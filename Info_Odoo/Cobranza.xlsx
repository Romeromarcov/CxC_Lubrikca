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branza" sheetId="1" r:id="rId5"/>
    <sheet state="visible" name="Montos Reales" sheetId="2" r:id="rId6"/>
    <sheet state="visible" name="Montos a BCV" sheetId="3" r:id="rId7"/>
  </sheets>
  <definedNames>
    <definedName hidden="1" localSheetId="0" name="_xlnm._FilterDatabase">Cobranza!$A$1:$AA$1090</definedName>
  </definedNames>
  <calcPr/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<sst xmlns="http://schemas.openxmlformats.org/spreadsheetml/2006/main" count="372" uniqueCount="105">
  <si>
    <t>Fecha</t>
  </si>
  <si>
    <t>Nro de Orden</t>
  </si>
  <si>
    <t>Importe firmado</t>
  </si>
  <si>
    <t>Moneda</t>
  </si>
  <si>
    <t>Metodo de Pago</t>
  </si>
  <si>
    <t>Cliente</t>
  </si>
  <si>
    <t>Tasa BCV</t>
  </si>
  <si>
    <t>Tasa  Real</t>
  </si>
  <si>
    <t>Monto $ BCV</t>
  </si>
  <si>
    <t>Monto $ Real</t>
  </si>
  <si>
    <t>Monto Unificado USD</t>
  </si>
  <si>
    <t>Validación Ingreso</t>
  </si>
  <si>
    <t>Recibido</t>
  </si>
  <si>
    <t>Validacion Orden/Cliente</t>
  </si>
  <si>
    <t>Columna 15</t>
  </si>
  <si>
    <t>Columna 16</t>
  </si>
  <si>
    <t>Columna 17</t>
  </si>
  <si>
    <t>Columna 18</t>
  </si>
  <si>
    <t>Columna 19</t>
  </si>
  <si>
    <t>Columna 20</t>
  </si>
  <si>
    <t>Columna 21</t>
  </si>
  <si>
    <t>Columna 22</t>
  </si>
  <si>
    <t>Columna 23</t>
  </si>
  <si>
    <t>Columna 24</t>
  </si>
  <si>
    <t>Columna 25</t>
  </si>
  <si>
    <t>Columna 26</t>
  </si>
  <si>
    <t>Columna 27</t>
  </si>
  <si>
    <t>USD</t>
  </si>
  <si>
    <t>Efectivo USD</t>
  </si>
  <si>
    <t>FREDI MARQUEZ</t>
  </si>
  <si>
    <t>ZIP MARKET, CA</t>
  </si>
  <si>
    <t>VES</t>
  </si>
  <si>
    <t>Bancamiga</t>
  </si>
  <si>
    <t>E&amp;M CAR SHOP C.A</t>
  </si>
  <si>
    <t>EMPRENDIMIENTO IRMA RODRIGUEZ 6</t>
  </si>
  <si>
    <t>Angel ARMAS</t>
  </si>
  <si>
    <t>Venezuela</t>
  </si>
  <si>
    <t>Ricardo A. Fernandez.</t>
  </si>
  <si>
    <t>Ferretería JJ Martins c.a</t>
  </si>
  <si>
    <t>ALIPLUS TRASPORTE Y EQUIPOS, CA</t>
  </si>
  <si>
    <t>INVERSIONES IRETE SUKA, C.A</t>
  </si>
  <si>
    <t>Rawy Xavier Melendez Caripa</t>
  </si>
  <si>
    <t>Jesus luciani Russiani.</t>
  </si>
  <si>
    <t>Ruben Dario Fernandez</t>
  </si>
  <si>
    <t>EMPRENDIMIENTO TOMAS MARCANO 5</t>
  </si>
  <si>
    <t>Multiservicios Sanahuja 36 C.A</t>
  </si>
  <si>
    <t>HIDRAULICAS CAICEDO C.A.</t>
  </si>
  <si>
    <t>GARAJE Y TALLERES FRIDELBA, C.A</t>
  </si>
  <si>
    <t>Auto repuestos Fontalvo</t>
  </si>
  <si>
    <t>Autoelectronica Oranel, C.A.</t>
  </si>
  <si>
    <t>JOSE STURCHIO CAPPELLANIA</t>
  </si>
  <si>
    <t>Motolavado Yahir</t>
  </si>
  <si>
    <t>AGROPECUARIA EL TORO DORADO, C.A</t>
  </si>
  <si>
    <t>Turismo Apureño Turapca, C.A</t>
  </si>
  <si>
    <t>Coffee Party, C.A.</t>
  </si>
  <si>
    <t>Williams Bastidas</t>
  </si>
  <si>
    <t>Junior Marco Antonio Vivas Navas</t>
  </si>
  <si>
    <t>Jose Lopez Espinoza</t>
  </si>
  <si>
    <t>Auto Repuestos Acal C.A</t>
  </si>
  <si>
    <t>Moises Alejandro Mares</t>
  </si>
  <si>
    <t>AUTO ACCESORIOS VZLA, C.A.</t>
  </si>
  <si>
    <t>Diana Carolina Torres</t>
  </si>
  <si>
    <t>Comercial Rio Paraguas C.A</t>
  </si>
  <si>
    <t>Autorepuestos las 24 horas</t>
  </si>
  <si>
    <t>Inversiones Famasa, C.A</t>
  </si>
  <si>
    <t>Efectivo VES</t>
  </si>
  <si>
    <t>ESTACIONAMIENTO CIACORE 2000 c.a</t>
  </si>
  <si>
    <t>Distribuidora Nesmari 2050 c.a</t>
  </si>
  <si>
    <t>Corporación Lubricantes 7ma Av.C.A</t>
  </si>
  <si>
    <t>Nyekel Quevedo</t>
  </si>
  <si>
    <t>ESTACIONAMIENTO CIACORE 2000</t>
  </si>
  <si>
    <t>ACCESORIOS Y REPUESTOS MOTO CAR 20-11-C.A</t>
  </si>
  <si>
    <t>Jose Angel Gutierrez Rodriguez</t>
  </si>
  <si>
    <t>Moto repuestos jj</t>
  </si>
  <si>
    <t>AUTOREPUESTOS SION C.A.</t>
  </si>
  <si>
    <t>Inversiones Brayan CT C.A</t>
  </si>
  <si>
    <t>Pidelo Y Punto,c.a.</t>
  </si>
  <si>
    <t>Neykel Quevedo</t>
  </si>
  <si>
    <t>Anthony Jose Quijada Diaz.</t>
  </si>
  <si>
    <t>Emprendimiento Yeizon Villaroel</t>
  </si>
  <si>
    <t>Moto Repuestos Sanz 11. C.A.</t>
  </si>
  <si>
    <t>Paola M. Aguilera Z.</t>
  </si>
  <si>
    <t>Motorepuestos HD 94, C.A</t>
  </si>
  <si>
    <t>Grupo 3030, C.A</t>
  </si>
  <si>
    <t>Dimas Ortíz</t>
  </si>
  <si>
    <t>VAL VAL 16 C.A</t>
  </si>
  <si>
    <t>BANcamiga</t>
  </si>
  <si>
    <t>AREA58 2022, C.A.</t>
  </si>
  <si>
    <t>Pedro Castro</t>
  </si>
  <si>
    <t>INVERSIONES JOSCAR XXI, S.A.</t>
  </si>
  <si>
    <t>Inversiones maxgad &amp; ef</t>
  </si>
  <si>
    <t>DISTRIBUIDORA PINOS 181297 C.A</t>
  </si>
  <si>
    <t>Jhonny Bolivar</t>
  </si>
  <si>
    <t>Conciliacion</t>
  </si>
  <si>
    <t>Agropecuaria Leche Miel</t>
  </si>
  <si>
    <t>TorniRepuesto BA 2015, C.A</t>
  </si>
  <si>
    <t>SUM de Importe firmado</t>
  </si>
  <si>
    <t>Fecha - Mes</t>
  </si>
  <si>
    <t>Suma total</t>
  </si>
  <si>
    <t>feb</t>
  </si>
  <si>
    <t>mar</t>
  </si>
  <si>
    <t>abr</t>
  </si>
  <si>
    <t>may</t>
  </si>
  <si>
    <t>jun</t>
  </si>
  <si>
    <t>SUM de Monto $ BCV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</si>
</sst>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#,##0.0000"/>
  </numFmts>
  <fonts count="10">
    <font>
      <sz val="11.0"/>
      <color theme="1"/>
      <name val="Aptos Narrow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color theme="1"/>
      <name val="Aptos Narrow"/>
      <scheme val="minor"/>
    </font>
    <font>
      <sz val="11.0"/>
      <color rgb="FF000000"/>
      <name val="Calibri"/>
    </font>
    <font>
      <sz val="11.0"/>
      <color rgb="FF000000"/>
      <name val="Arial"/>
    </font>
    <font>
      <sz val="9.0"/>
      <color rgb="FF444746"/>
      <name val="&quot;Google Sans Mono&quot;"/>
    </font>
    <font>
      <sz val="11.0"/>
      <color rgb="FF1F1F1F"/>
      <name val="Arial"/>
    </font>
    <font>
      <sz val="11.0"/>
      <color theme="1"/>
      <name val="Aptos Narrow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DE3EA"/>
        <bgColor rgb="FFDDE3EA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164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165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2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2" fontId="6" numFmtId="0" xfId="0" applyAlignment="1" applyFill="1" applyFont="1">
      <alignment shrinkToFit="0" vertical="center" wrapText="0"/>
    </xf>
    <xf borderId="0" fillId="0" fontId="7" numFmtId="165" xfId="0" applyAlignment="1" applyFont="1" applyNumberFormat="1">
      <alignment horizontal="left" readingOrder="1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3" fontId="8" numFmtId="164" xfId="0" applyAlignment="1" applyFill="1" applyFont="1" applyNumberForma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164" xfId="0" applyAlignment="1" applyFont="1" applyNumberFormat="1">
      <alignment readingOrder="0" shrinkToFit="0" vertical="center" wrapText="1"/>
    </xf>
    <xf borderId="0" fillId="0" fontId="8" numFmtId="164" xfId="0" applyAlignment="1" applyFont="1" applyNumberFormat="1">
      <alignment shrinkToFit="0" vertical="center" wrapText="1"/>
    </xf>
    <xf borderId="0" fillId="0" fontId="8" numFmtId="164" xfId="0" applyAlignment="1" applyFont="1" applyNumberFormat="1">
      <alignment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3" numFmtId="165" xfId="0" applyAlignment="1" applyFont="1" applyNumberFormat="1">
      <alignment shrinkToFit="0" vertical="center" wrapText="0"/>
    </xf>
    <xf borderId="0" fillId="0" fontId="3" numFmtId="164" xfId="0" applyFont="1" applyNumberFormat="1"/>
    <xf borderId="0" fillId="0" fontId="3" numFmtId="0" xfId="0" applyFont="1"/>
    <xf borderId="0" fillId="0" fontId="3" numFmtId="4" xfId="0" applyFont="1" applyNumberFormat="1"/>
    <xf borderId="0" fillId="0" fontId="3" numFmtId="0" xfId="0" applyFont="1"/>
    <xf borderId="0" fillId="0" fontId="3" numFmtId="2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obranz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588" sheet="Cobranza"/>
  </cacheSource>
  <cacheFields>
    <cacheField name="Fecha" numFmtId="164">
      <sharedItems containsSemiMixedTypes="0" containsNonDate="0" containsDate="1" containsString="0" minDate="2026-02-27T00:00:00Z" maxDate="2026-06-18T00:00:00Z">
        <d v="2026-03-02T00:00:00Z"/>
        <d v="2026-02-27T00:00:00Z"/>
        <d v="2026-03-03T00:00:00Z"/>
        <d v="2026-03-05T00:00:00Z"/>
        <d v="2026-03-06T00:00:00Z"/>
        <d v="2026-03-09T00:00:00Z"/>
        <d v="2026-03-11T00:00:00Z"/>
        <d v="2026-03-12T00:00:00Z"/>
        <d v="2026-03-13T00:00:00Z"/>
        <d v="2026-03-16T00:00:00Z"/>
        <d v="2026-03-17T00:00:00Z"/>
        <d v="2026-03-19T00:00:00Z"/>
        <d v="2026-03-23T00:00:00Z"/>
        <d v="2026-03-24T00:00:00Z"/>
        <d v="2026-03-25T00:00:00Z"/>
        <d v="2026-03-26T00:00:00Z"/>
        <d v="2026-03-27T00:00:00Z"/>
        <d v="2026-03-30T00:00:00Z"/>
        <d v="2026-03-31T00:00:00Z"/>
        <d v="2026-04-01T00:00:00Z"/>
        <d v="2026-04-06T00:00:00Z"/>
        <d v="2026-04-07T00:00:00Z"/>
        <d v="2026-04-08T00:00:00Z"/>
        <d v="2026-04-09T00:00:00Z"/>
        <d v="2026-04-10T00:00:00Z"/>
        <d v="2026-04-13T00:00:00Z"/>
        <d v="2026-04-14T00:00:00Z"/>
        <d v="2026-04-17T00:00:00Z"/>
        <d v="2026-06-09T00:00:00Z"/>
        <d v="2026-04-15T00:00:00Z"/>
        <d v="2026-04-16T00:00:00Z"/>
        <d v="2026-04-20T00:00:00Z"/>
        <d v="2026-04-21T00:00:00Z"/>
        <d v="2026-04-22T00:00:00Z"/>
        <d v="2026-04-23T00:00:00Z"/>
        <d v="2026-04-24T00:00:00Z"/>
        <d v="2026-04-27T00:00:00Z"/>
        <d v="2026-04-28T00:00:00Z"/>
        <d v="2026-04-29T00:00:00Z"/>
        <d v="2026-04-30T00:00:00Z"/>
        <d v="2026-05-04T00:00:00Z"/>
        <d v="2026-05-05T00:00:00Z"/>
        <d v="2026-05-06T00:00:00Z"/>
        <d v="2026-05-07T00:00:00Z"/>
        <d v="2026-05-08T00:00:00Z"/>
        <d v="2026-05-11T00:00:00Z"/>
        <d v="2026-05-12T00:00:00Z"/>
        <d v="2026-05-13T00:00:00Z"/>
        <d v="2026-05-14T00:00:00Z"/>
        <d v="2026-05-15T00:00:00Z"/>
        <d v="2026-05-18T00:00:00Z"/>
        <d v="2026-05-19T00:00:00Z"/>
        <d v="2026-05-20T00:00:00Z"/>
        <d v="2026-05-21T00:00:00Z"/>
        <d v="2026-05-22T00:00:00Z"/>
        <d v="2026-05-25T00:00:00Z"/>
        <d v="2026-05-26T00:00:00Z"/>
        <d v="2026-05-27T00:00:00Z"/>
        <d v="2026-05-28T00:00:00Z"/>
        <d v="2026-05-29T00:00:00Z"/>
        <d v="2026-06-01T00:00:00Z"/>
        <d v="2026-06-02T00:00:00Z"/>
        <d v="2026-05-31T00:00:00Z"/>
        <d v="2026-06-03T00:00:00Z"/>
        <d v="2026-06-04T00:00:00Z"/>
        <d v="2026-06-05T00:00:00Z"/>
        <d v="2026-06-08T00:00:00Z"/>
        <d v="2026-06-07T00:00:00Z"/>
        <d v="2026-06-10T00:00:00Z"/>
        <d v="2026-06-11T00:00:00Z"/>
        <d v="2026-06-12T00:00:00Z"/>
        <d v="2026-06-15T00:00:00Z"/>
        <d v="2026-06-13T00:00:00Z"/>
        <d v="2026-06-16T00:00:00Z"/>
        <d v="2026-06-17T00:00:00Z"/>
      </sharedItems>
      <fieldGroup base="0">
        <rangePr autoStart="0" autoEnd="0" groupBy="months" startDate="2026-02-27T00:00:00Z" endDate="2026-06-18T00:00:00Z"/>
        <groupItems>
          <s v="&lt;02/27/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/18/26"/>
        </groupItems>
      </fieldGroup>
    </cacheField>
    <cacheField name="Nro de Orden" numFmtId="0">
      <sharedItems containsSemiMixedTypes="0" containsString="0" containsNumber="1" containsInteger="1">
        <n v="52.0"/>
        <n v="8.0"/>
        <n v="9.0"/>
        <n v="7.0"/>
        <n v="33.0"/>
        <n v="28.0"/>
        <n v="32.0"/>
        <n v="42.0"/>
        <n v="50.0"/>
        <n v="164.0"/>
        <n v="47.0"/>
        <n v="67.0"/>
        <n v="77.0"/>
        <n v="20.0"/>
        <n v="23.0"/>
        <n v="46.0"/>
        <n v="66.0"/>
        <n v="88.0"/>
        <n v="79.0"/>
        <n v="30.0"/>
        <n v="92.0"/>
        <n v="4.0"/>
        <n v="38.0"/>
        <n v="99.0"/>
        <n v="137.0"/>
        <n v="48.0"/>
        <n v="140.0"/>
        <n v="136.0"/>
        <n v="56.0"/>
        <n v="119.0"/>
        <n v="108.0"/>
        <n v="116.0"/>
        <n v="148.0"/>
        <n v="139.0"/>
        <n v="157.0"/>
        <n v="81.0"/>
        <n v="86.0"/>
        <n v="37.0"/>
        <n v="121.0"/>
        <n v="51.0"/>
        <n v="27.0"/>
        <n v="18.0"/>
        <n v="100.0"/>
        <n v="57.0"/>
        <n v="171.0"/>
        <n v="22.0"/>
        <n v="83.0"/>
        <n v="152.0"/>
        <n v="132.0"/>
        <n v="54.0"/>
        <n v="131.0"/>
        <n v="175.0"/>
        <n v="170.0"/>
        <n v="106.0"/>
        <n v="90.0"/>
        <n v="176.0"/>
        <n v="94.0"/>
        <n v="2.0"/>
        <n v="29.0"/>
        <n v="104.0"/>
        <n v="182.0"/>
        <n v="184.0"/>
        <n v="185.0"/>
        <n v="190.0"/>
        <n v="153.0"/>
        <n v="89.0"/>
        <n v="188.0"/>
        <n v="105.0"/>
        <n v="195.0"/>
        <n v="202.0"/>
        <n v="159.0"/>
        <n v="158.0"/>
        <n v="64.0"/>
        <n v="183.0"/>
        <n v="206.0"/>
        <n v="82.0"/>
        <n v="101.0"/>
        <n v="84.0"/>
        <n v="72.0"/>
        <n v="239.0"/>
        <n v="357.0"/>
        <n v="328.0"/>
        <n v="63.0"/>
        <n v="165.0"/>
        <n v="122.0"/>
        <n v="114.0"/>
        <n v="144.0"/>
        <n v="219.0"/>
        <n v="211.0"/>
        <n v="141.0"/>
        <n v="62.0"/>
        <n v="229.0"/>
        <n v="93.0"/>
        <n v="125.0"/>
        <n v="133.0"/>
        <n v="169.0"/>
        <n v="138.0"/>
        <n v="55.0"/>
        <n v="234.0"/>
        <n v="238.0"/>
        <n v="225.0"/>
        <n v="143.0"/>
        <n v="95.0"/>
        <n v="145.0"/>
        <n v="24.0"/>
        <n v="34.0"/>
        <n v="17.0"/>
        <n v="41.0"/>
        <n v="241.0"/>
        <n v="110.0"/>
        <n v="181.0"/>
        <n v="168.0"/>
        <n v="197.0"/>
        <n v="126.0"/>
        <n v="210.0"/>
        <n v="196.0"/>
        <n v="117.0"/>
        <n v="65.0"/>
        <n v="263.0"/>
        <n v="74.0"/>
        <n v="279.0"/>
        <n v="289.0"/>
        <n v="167.0"/>
        <n v="44.0"/>
        <n v="227.0"/>
        <n v="284.0"/>
        <n v="87.0"/>
        <n v="19.0"/>
        <n v="300.0"/>
        <n v="204.0"/>
        <n v="149.0"/>
        <n v="230.0"/>
        <n v="130.0"/>
        <n v="15.0"/>
        <n v="53.0"/>
        <n v="303.0"/>
        <n v="220.0"/>
        <n v="156.0"/>
        <n v="163.0"/>
        <n v="203.0"/>
        <n v="178.0"/>
        <n v="221.0"/>
        <n v="78.0"/>
        <n v="294.0"/>
        <n v="61.0"/>
        <n v="295.0"/>
        <n v="208.0"/>
        <n v="129.0"/>
        <n v="311.0"/>
        <n v="313.0"/>
        <n v="323.0"/>
        <n v="69.0"/>
        <n v="314.0"/>
        <n v="142.0"/>
        <n v="60.0"/>
        <n v="186.0"/>
        <n v="146.0"/>
        <n v="322.0"/>
        <n v="231.0"/>
        <n v="36.0"/>
        <n v="128.0"/>
        <n v="265.0"/>
        <n v="212.0"/>
        <n v="118.0"/>
        <n v="43.0"/>
        <n v="222.0"/>
        <n v="49.0"/>
        <n v="285.0"/>
        <n v="124.0"/>
        <n v="150.0"/>
        <n v="260.0"/>
        <n v="344.0"/>
        <n v="21.0"/>
        <n v="192.0"/>
        <n v="189.0"/>
        <n v="96.0"/>
        <n v="240.0"/>
        <n v="123.0"/>
        <n v="187.0"/>
        <n v="103.0"/>
        <n v="199.0"/>
        <n v="297.0"/>
        <n v="174.0"/>
        <n v="380.0"/>
        <n v="201.0"/>
        <n v="365.0"/>
        <n v="242.0"/>
        <n v="372.0"/>
        <n v="14.0"/>
        <n v="113.0"/>
        <n v="382.0"/>
        <n v="40.0"/>
        <n v="243.0"/>
        <n v="39.0"/>
        <n v="198.0"/>
        <n v="127.0"/>
        <n v="250.0"/>
        <n v="207.0"/>
        <n v="397.0"/>
        <n v="209.0"/>
        <n v="327.0"/>
        <n v="405.0"/>
        <n v="407.0"/>
        <n v="248.0"/>
        <n v="359.0"/>
        <n v="291.0"/>
        <n v="396.0"/>
        <n v="412.0"/>
        <n v="298.0"/>
        <n v="287.0"/>
        <n v="302.0"/>
        <n v="418.0"/>
        <n v="404.0"/>
        <n v="414.0"/>
        <n v="335.0"/>
        <n v="226.0"/>
        <n v="401.0"/>
        <n v="402.0"/>
        <n v="214.0"/>
        <n v="425.0"/>
        <n v="324.0"/>
        <n v="264.0"/>
        <n v="419.0"/>
        <n v="228.0"/>
        <n v="120.0"/>
        <n v="218.0"/>
        <n v="274.0"/>
        <n v="301.0"/>
        <n v="330.0"/>
        <n v="305.0"/>
        <n v="259.0"/>
        <n v="339.0"/>
        <n v="440.0"/>
        <n v="318.0"/>
        <n v="177.0"/>
        <n v="237.0"/>
        <n v="348.0"/>
        <n v="97.0"/>
        <n v="316.0"/>
        <n v="306.0"/>
        <n v="233.0"/>
        <n v="309.0"/>
        <n v="424.0"/>
        <n v="452.0"/>
        <n v="454.0"/>
        <n v="451.0"/>
        <n v="349.0"/>
        <n v="332.0"/>
        <n v="443.0"/>
        <n v="341.0"/>
        <n v="395.0"/>
        <n v="292.0"/>
        <n v="258.0"/>
        <n v="11.0"/>
        <n v="179.0"/>
        <n v="351.0"/>
        <n v="340.0"/>
        <n v="410.0"/>
        <n v="379.0"/>
        <n v="246.0"/>
        <n v="346.0"/>
        <n v="466.0"/>
        <n v="244.0"/>
        <n v="286.0"/>
        <n v="398.0"/>
        <n v="26.0"/>
        <n v="435.0"/>
        <n v="471.0"/>
        <n v="480.0"/>
        <n v="394.0"/>
        <n v="449.0"/>
        <n v="411.0"/>
        <n v="293.0"/>
        <n v="223.0"/>
        <n v="280.0"/>
        <n v="358.0"/>
        <n v="353.0"/>
        <n v="502.0"/>
        <n v="475.0"/>
        <n v="262.0"/>
        <n v="428.0"/>
        <n v="506.0"/>
        <n v="213.0"/>
        <n v="408.0"/>
        <n v="249.0"/>
        <n v="205.0"/>
        <n v="10.0"/>
        <n v="400.0"/>
        <n v="283.0"/>
        <n v="376.0"/>
        <n v="338.0"/>
        <n v="441.0"/>
        <n v="513.0"/>
        <n v="369.0"/>
        <n v="364.0"/>
        <n v="334.0"/>
        <n v="59.0"/>
        <n v="518.0"/>
        <n v="366.0"/>
        <n v="525.0"/>
        <n v="310.0"/>
        <n v="427.0"/>
        <n v="472.0"/>
        <n v="373.0"/>
        <n v="261.0"/>
        <n v="422.0"/>
        <n v="31.0"/>
        <n v="331.0"/>
        <n v="429.0"/>
        <n v="413.0"/>
        <n v="325.0"/>
        <n v="356.0"/>
        <n v="336.0"/>
        <n v="317.0"/>
        <n v="361.0"/>
        <n v="540.0"/>
        <n v="457.0"/>
        <n v="354.0"/>
        <n v="350.0"/>
        <n v="507.0"/>
        <n v="574.0"/>
        <n v="355.0"/>
      </sharedItems>
    </cacheField>
    <cacheField name="Importe firmado" numFmtId="0">
      <sharedItems containsSemiMixedTypes="0" containsString="0" containsNumber="1">
        <n v="260.0"/>
        <n v="35.33"/>
        <n v="166513.7"/>
        <n v="246.0"/>
        <n v="195.0"/>
        <n v="29489.51"/>
        <n v="43501.1"/>
        <n v="56462.48"/>
        <n v="65.0"/>
        <n v="48.0"/>
        <n v="820035.98"/>
        <n v="70112.0"/>
        <n v="36.0"/>
        <n v="16606.59"/>
        <n v="66.0"/>
        <n v="129.98"/>
        <n v="132.48"/>
        <n v="106455.68"/>
        <n v="203899.0"/>
        <n v="7670.0"/>
        <n v="146.0"/>
        <n v="30.0"/>
        <n v="126.0"/>
        <n v="175.0"/>
        <n v="50.0"/>
        <n v="36196.75"/>
        <n v="129.92"/>
        <n v="32691.98"/>
        <n v="24522.12"/>
        <n v="42792.08"/>
        <n v="197.0"/>
        <n v="110.03"/>
        <n v="99.01"/>
        <n v="36.08"/>
        <n v="972.03"/>
        <n v="124.0"/>
        <n v="72.0"/>
        <n v="28000.0"/>
        <n v="20.0"/>
        <n v="46851.45"/>
        <n v="119.48"/>
        <n v="46800.0"/>
        <n v="45616.9"/>
        <n v="96.0"/>
        <n v="1000.0"/>
        <n v="35.0"/>
        <n v="94.0"/>
        <n v="44.0"/>
        <n v="18954.8"/>
        <n v="108.0"/>
        <n v="67.0"/>
        <n v="247.88"/>
        <n v="238119.78"/>
        <n v="47405.98"/>
        <n v="100.0"/>
        <n v="110.0"/>
        <n v="23705.0"/>
        <n v="13775.0"/>
        <n v="70.0"/>
        <n v="115.92"/>
        <n v="64.8"/>
        <n v="23726.5"/>
        <n v="74937.81"/>
        <n v="10995.0"/>
        <n v="4.0"/>
        <n v="345.0"/>
        <n v="285.58"/>
        <n v="128.0"/>
        <n v="90.0"/>
        <n v="38.0"/>
        <n v="143.0"/>
        <n v="30000.0"/>
        <n v="23797.5"/>
        <n v="681.0"/>
        <n v="107.0"/>
        <n v="500.0"/>
        <n v="220.0"/>
        <n v="60.0"/>
        <n v="24860.48"/>
        <n v="56890.75"/>
        <n v="7020.0"/>
        <n v="560948.68"/>
        <n v="300.0"/>
        <n v="42880.0"/>
        <n v="27712.8"/>
        <n v="44031.13"/>
        <n v="239762.85"/>
        <n v="46.0"/>
        <n v="54000.0"/>
        <n v="3457.96"/>
        <n v="6802.37"/>
        <n v="40080.0"/>
        <n v="71787.16"/>
        <n v="25.0"/>
        <n v="68.0"/>
        <n v="71.0"/>
        <n v="200.0"/>
        <n v="47379.54"/>
        <n v="10200.18"/>
        <n v="47977.75"/>
        <n v="210.0"/>
        <n v="514.93"/>
        <n v="40.0"/>
        <n v="22.0"/>
        <n v="250.0"/>
        <n v="24.0"/>
        <n v="150.0"/>
        <n v="252.0"/>
        <n v="75.0"/>
        <n v="1910285.18"/>
        <n v="153023.28"/>
        <n v="48767.0"/>
        <n v="48245.0"/>
        <n v="56271.01"/>
        <n v="160.0"/>
        <n v="483.0"/>
        <n v="161.0"/>
        <n v="98.0"/>
        <n v="34386.9"/>
        <n v="85.0"/>
        <n v="141.0"/>
        <n v="45448.27"/>
        <n v="119.0"/>
        <n v="105483.55"/>
        <n v="140.0"/>
        <n v="82257.9"/>
        <n v="255.0"/>
        <n v="39678.8"/>
        <n v="134.0"/>
        <n v="81.0"/>
        <n v="128940.84"/>
        <n v="24237.0"/>
        <n v="72711.06"/>
        <n v="293907.53"/>
        <n v="25092.97"/>
        <n v="44546.94"/>
        <n v="150000.0"/>
        <n v="61739.4"/>
        <n v="50867.0"/>
        <n v="260112.0"/>
        <n v="180.0"/>
        <n v="565.0"/>
        <n v="26.0"/>
        <n v="346682.53"/>
        <n v="22790.4"/>
        <n v="56976.38"/>
        <n v="188.0"/>
        <n v="111.0"/>
        <n v="39.0"/>
        <n v="226.0"/>
        <n v="360.0"/>
        <n v="126322.64"/>
        <n v="11396.0"/>
        <n v="133.0"/>
        <n v="25125.61"/>
        <n v="19582.0"/>
        <n v="1000000.0"/>
        <n v="621789.96"/>
        <n v="800.0"/>
        <n v="172.0"/>
        <n v="28.0"/>
        <n v="76.0"/>
        <n v="135.0"/>
        <n v="49.0"/>
        <n v="190.0"/>
        <n v="900.0"/>
        <n v="48318.36"/>
        <n v="2870.89"/>
        <n v="25831.0"/>
        <n v="131208.0"/>
        <n v="14995.8"/>
        <n v="213194.38"/>
        <n v="391495.0"/>
        <n v="230.0"/>
        <n v="50046.06"/>
        <n v="91.0"/>
        <n v="118845.6"/>
        <n v="589.27"/>
        <n v="185.0"/>
        <n v="119010.4"/>
        <n v="220223.55"/>
        <n v="117.0"/>
        <n v="600.0"/>
        <n v="50860.0"/>
        <n v="10.0"/>
        <n v="130.0"/>
        <n v="51725.0"/>
        <n v="675.0"/>
        <n v="282421.33"/>
        <n v="24594.69"/>
        <n v="9761.32"/>
        <n v="103438.0"/>
        <n v="120.0"/>
        <n v="53400.0"/>
        <n v="15.0"/>
        <n v="14893.18"/>
        <n v="101.0"/>
        <n v="29906.09"/>
        <n v="480.0"/>
        <n v="150647.92"/>
        <n v="17.0"/>
        <n v="225.0"/>
        <n v="66987.76"/>
        <n v="6609.75"/>
        <n v="109.0"/>
        <n v="51796.19"/>
        <n v="56.0"/>
        <n v="113.0"/>
        <n v="53.0"/>
        <n v="3.0"/>
        <n v="58.0"/>
        <n v="32.0"/>
        <n v="696084.88"/>
        <n v="739911.72"/>
        <n v="191.0"/>
        <n v="213.0"/>
        <n v="154901.58"/>
        <n v="26183.5"/>
        <n v="30519.0"/>
        <n v="52.0"/>
        <n v="51.0"/>
        <n v="23895.0"/>
        <n v="31830.0"/>
        <n v="61538.0"/>
        <n v="320.0"/>
        <n v="220500.0"/>
        <n v="410.0"/>
        <n v="44931.66"/>
        <n v="206706.4"/>
        <n v="107076.0"/>
        <n v="69599.0"/>
        <n v="44715.77"/>
        <n v="31860.0"/>
        <n v="4779.0"/>
        <n v="34098.99"/>
        <n v="55.78"/>
        <n v="105000.0"/>
        <n v="41.0"/>
        <n v="220059.0"/>
        <n v="2200.0"/>
        <n v="22200.0"/>
        <n v="249.0"/>
        <n v="139208.18"/>
        <n v="45822.1"/>
        <n v="5963.0"/>
        <n v="61537.47"/>
        <n v="32675.0"/>
        <n v="1633.54"/>
        <n v="68415.92"/>
        <n v="103550.0"/>
        <n v="40821.72"/>
        <n v="310.0"/>
        <n v="74639.0"/>
        <n v="147680.0"/>
        <n v="54937.0"/>
        <n v="105163.8"/>
        <n v="223133.0"/>
        <n v="42246.56"/>
        <n v="3853.0"/>
        <n v="12803.0"/>
        <n v="64567.87"/>
        <n v="27228.5"/>
        <n v="330.0"/>
        <n v="27721.0"/>
        <n v="151.12"/>
        <n v="39376.0"/>
        <n v="187425.0"/>
        <n v="1298311.58"/>
        <n v="80.0"/>
        <n v="67086.0"/>
        <n v="64725.0"/>
        <n v="16740.0"/>
        <n v="189364.13"/>
        <n v="14.0"/>
        <n v="302.0"/>
        <n v="32412.0"/>
        <n v="62.0"/>
        <n v="198.0"/>
        <n v="19565.0"/>
        <n v="275.0"/>
        <n v="88784.19"/>
        <n v="539470.0"/>
        <n v="13010.0"/>
        <n v="39686.0"/>
        <n v="152745.65"/>
        <n v="11.94"/>
        <n v="8.06"/>
        <n v="2499654.49"/>
        <n v="282.0"/>
        <n v="105.0"/>
        <n v="19670.0"/>
        <n v="223.0"/>
        <n v="278.0"/>
        <n v="27781.08"/>
        <n v="22708.0"/>
        <n v="16898.68"/>
        <n v="63.0"/>
        <n v="28384.0"/>
        <n v="1203.0"/>
        <n v="207.0"/>
        <n v="106.0"/>
        <n v="72849.0"/>
        <n v="103.0"/>
        <n v="1541764.04"/>
        <n v="94080.0"/>
        <n v="19880.0"/>
        <n v="10465.0"/>
        <n v="354.0"/>
        <n v="28633.92"/>
        <n v="34.0"/>
        <n v="400.0"/>
        <n v="174.0"/>
        <n v="33.5"/>
        <n v="68000.0"/>
        <n v="40428.23"/>
        <n v="64.0"/>
        <n v="55.0"/>
        <n v="23.0"/>
        <n v="650.0"/>
        <n v="47040.0"/>
        <n v="36654.4"/>
        <n v="182461.0"/>
        <n v="162503.52"/>
        <n v="59300.0"/>
        <n v="885.0"/>
        <n v="191167.2"/>
        <n v="83567.0"/>
      </sharedItems>
    </cacheField>
    <cacheField name="Moneda" numFmtId="0">
      <sharedItems>
        <s v="USD"/>
        <s v="VES"/>
      </sharedItems>
    </cacheField>
    <cacheField name="Metodo de Pago" numFmtId="0">
      <sharedItems>
        <s v="Efectivo USD"/>
        <s v="Bancamiga"/>
        <s v="Venezuela"/>
        <s v="Efectivo VES"/>
        <s v="Conciliacion"/>
        <s v="Zelle"/>
        <s v="Binance"/>
        <s v="Efectivo"/>
        <s v="Provincial"/>
      </sharedItems>
    </cacheField>
    <cacheField name="Cliente">
      <sharedItems containsMixedTypes="1" containsNumber="1" containsInteger="1">
        <s v="FREDI MARQUEZ"/>
        <s v="ZIP MARKET, CA"/>
        <s v="E&amp;M CAR SHOP C.A"/>
        <s v="EMPRENDIMIENTO IRMA RODRIGUEZ 6"/>
        <s v="Angel ARMAS"/>
        <s v="Ricardo A. Fernandez."/>
        <s v="Ferretería JJ Martins c.a"/>
        <s v="ALIPLUS TRASPORTE Y EQUIPOS, CA"/>
        <s v="INVERSIONES IRETE SUKA, C.A"/>
        <s v="Rawy Xavier Melendez Caripa"/>
        <s v="Jesus luciani Russiani."/>
        <s v="Ruben Dario Fernandez"/>
        <s v="EMPRENDIMIENTO TOMAS MARCANO 5"/>
        <s v="Multiservicios Sanahuja 36 C.A"/>
        <s v="HIDRAULICAS CAICEDO C.A."/>
        <s v="GARAJE Y TALLERES FRIDELBA, C.A"/>
        <s v="Auto repuestos Fontalvo"/>
        <s v="Autoelectronica Oranel, C.A."/>
        <s v="JOSE STURCHIO CAPPELLANIA"/>
        <s v="Motolavado Yahir"/>
        <s v="AGROPECUARIA EL TORO DORADO, C.A"/>
        <s v="Turismo Apureño Turapca, C.A"/>
        <s v="Coffee Party, C.A."/>
        <s v="Williams Bastidas"/>
        <s v="Junior Marco Antonio Vivas Navas"/>
        <s v="Jose Lopez Espinoza"/>
        <s v="Auto Repuestos Acal C.A"/>
        <s v="Moises Alejandro Mares"/>
        <s v="AUTO ACCESORIOS VZLA, C.A."/>
        <s v="Diana Carolina Torres"/>
        <s v="Comercial Rio Paraguas C.A"/>
        <s v="Autorepuestos las 24 horas"/>
        <s v="Inversiones Famasa, C.A"/>
        <s v="ESTACIONAMIENTO CIACORE 2000 c.a"/>
        <s v="Distribuidora Nesmari 2050 c.a"/>
        <s v="Corporación Lubricantes 7ma Av.C.A"/>
        <s v="Nyekel Quevedo"/>
        <s v="ESTACIONAMIENTO CIACORE 2000"/>
        <s v="ACCESORIOS Y REPUESTOS MOTO CAR 20-11-C.A"/>
        <s v="Jose Angel Gutierrez Rodriguez"/>
        <s v="Moto repuestos jj"/>
        <s v="AUTOREPUESTOS SION C.A."/>
        <s v="Inversiones Brayan CT C.A"/>
        <s v="Pidelo Y Punto,c.a."/>
        <s v="Neykel Quevedo"/>
        <s v="Anthony Jose Quijada Diaz."/>
        <s v="Emprendimiento Yeizon Villaroel"/>
        <s v="Moto Repuestos Sanz 11. C.A."/>
        <s v="Paola M. Aguilera Z."/>
        <s v="Motorepuestos HD 94, C.A"/>
        <s v="Grupo 3030, C.A"/>
        <s v="Dimas Ortíz"/>
        <s v="VAL VAL 16 C.A"/>
        <s v="AREA58 2022, C.A."/>
        <s v="Pedro Castro"/>
        <s v="INVERSIONES JOSCAR XXI, S.A."/>
        <s v="Inversiones maxgad &amp; ef"/>
        <s v="DISTRIBUIDORA PINOS 181297 C.A"/>
        <s v="Jhonny Bolivar"/>
        <s v="Agropecuaria Leche Miel"/>
        <s v="TorniRepuesto BA 2015, C.A"/>
        <s v="EMPRENDIMIENTO HECTOR LLAMOZA"/>
        <s v="Emprendimiento Tomas Paz"/>
        <s v="Autoasesorio maxi motor"/>
        <s v="Montura de Cauchos Biondo,c.a."/>
        <s v="Yulendri Carolina Pineda Blanco"/>
        <s v="SJMG 2012 C.A"/>
        <s v="Devenalsa Deshidratadora Venezolana de Alimentos, S.A."/>
        <s v="Emprendimiento YSKRA"/>
        <s v="Megacar2020.c.a"/>
        <s v="Inversiones La Bendición del Nazareno, C.A"/>
        <s v="ALI ALEXANDER MORENO FIGUEREDO"/>
        <s v="Benefit c.a"/>
        <s v="Barrios Rodríguez Marlon Enrique"/>
        <s v="Cauchos California, C.A"/>
        <s v="Jose Brea"/>
        <s v="CONSTRUCTORA GRANO AGREGADO, C.A"/>
        <s v="MOTOREPUESTOS EL GUANÁBANO YRM C.A."/>
        <s v="Multiservicios Arizona, C.A."/>
        <s v="La cámara perfecta"/>
        <s v="Encamotors Catia C.A"/>
        <s v="Miguel Antonio Chacon"/>
        <s v="MOTO REPUESTOS LA FLECHA, C.A."/>
        <s v="Inversiones Trip K, c.a."/>
        <s v="Emprendimiento José Sánchez 203 c.a"/>
        <s v="ADS SERVICE C.A"/>
        <s v="Wuilliams bastidas"/>
        <s v="Victor Ordaz"/>
        <s v="Comercial los de faria,c.a."/>
        <s v="Jose Becerra"/>
        <s v="Auto Servicios HN 6972, C.A"/>
        <s v="Katiuska Alejandra Curvelo"/>
        <s v="Servicios Nicolazzo 97, C.A"/>
        <s v="Frenos Elite, C.A"/>
        <s v="Comercializadora Garabote"/>
        <s v="EN LA VIA 2023 C.A"/>
        <s v="SUPLIPARTES PARAISO, C.A"/>
        <s v="Javier Cardenas Prato."/>
        <s v="Ruta 8 Autopartes,c.a."/>
        <s v="INVERSIONES ARCOSOL 21, C.A."/>
        <s v="Inversiones Vercris 17 C.A"/>
        <n v="8.0"/>
        <s v="TALLER TNMCAR, C.A"/>
        <s v="SERVICIOS Y MANTENIMIENTO SPACARS, C.A"/>
        <s v="INVERSIONES MI 'LINDA YEMAIRE 2019, C.A"/>
        <s v="EMPRENDIMIENTO MARTIN BASTIDAS 2"/>
        <s v="DISTRIBUIDORA MULTIAHORRO C.A."/>
        <s v="INVERSIONES MI  'LINDA YEMAIRE 2019, C.A"/>
        <s v="MULTISERVICIOS RECAM13, C.A."/>
        <s v="MOTOS Y REPUESTOS DOS RUEDAS, C.A."/>
        <s v="Emprendimiento Jordy Valencia"/>
        <s v="Jose Alzolay"/>
        <s v="Carlos Bravo"/>
        <s v="Edgar salas"/>
        <s v="LOGISTICA Y CONSULTORIA VINCARS, C.A."/>
        <s v="INVERSIONES R&amp;C 1817,  c.a."/>
        <s v="Cauchos y Suministros Camacho C.A"/>
        <s v="Alexander Quiroz"/>
        <s v="Constructora  Campo Urbano,c.a."/>
        <s v="inversiones El Gran Charles C.A"/>
        <s v="Multiservicios Gre-orio2022 c.a"/>
        <s v="Repuestos Guia Dios Nuestro Camino,c.a."/>
        <s v="Inversiones DSM 2706, c.a."/>
        <s v="ELIVAN2025, C.A"/>
        <s v="Vianney García"/>
        <s v="Braulio R. Cedeño Gonzalez."/>
        <s v="Marlene Herrera"/>
        <s v="Inversiones Air Brakes, C.A"/>
        <s v="M.L.P Repuestos y Otros, C.A"/>
        <s v="Inversiones Dekamalbaz, C.A"/>
        <s v="INVERSIONES SMALUM 21, C.A."/>
        <s v="Global Ferre 888 C.A"/>
        <s v="Manuel Emilio Reyes"/>
        <s v="Ramon Alvarez Mota"/>
        <s v="HP Repuestos 2007 C.A"/>
        <s v="Alexis Rodríguez Fernández"/>
        <s v="PROYECTO MAQUIVEIRO 21 C.A."/>
        <s v="Javier gregorio Espinoza"/>
        <s v="DISTRIBUIDORA E.P.L.C  2017, c.a."/>
        <s v="Kiosco Willianny 1013, C.A"/>
        <s v="Servicios de Gruas Torgil 300, c.a."/>
        <s v="En ascenso 2011,c.a."/>
        <s v="SPEED RACING, CA"/>
        <s v="Franklin J. Mijares S."/>
        <s v="WILLY MOTOR CAR REPUESTOS Y SERVICIOS, C.A."/>
        <s v="Cauchera William 2018, C.A"/>
        <s v="Moto Bestia, C.A"/>
        <s v="Autorepuestos Pitstop,c.a."/>
        <s v="EMPRENDIMIENTO MANUEL GÓMEZ 6"/>
        <s v="Ingrit Martinez"/>
        <s v="Emprendimiento ilaris cancelo"/>
        <s v="Inversiones Mirelkys C.A"/>
        <s v="Kervin baez"/>
        <s v="Abraham almenar"/>
        <s v="Sergio Ibrain Rumbo Mundaray"/>
        <s v="ERICH GILBERTO CASERES MELENDEZ"/>
        <s v="Wili Mervin León Romero"/>
        <s v="Josefina Guevera"/>
        <s v="Jorge Luis camacaro"/>
        <s v="Nemer Bourji"/>
        <s v="Inversiones Los compadres 7686, c.a."/>
        <s v="CAUCHOS Y ACCESORIOS LA CAMPIÑA, C.A."/>
        <s v="MARTIN RAMON DIAZ BOLIVAR"/>
        <s v="Cooperativa Dios mi Amparo, R.L."/>
        <s v="CENTRO MOTRIZ GUADALUPE, C.A."/>
        <s v="INVERSIONES F-250, C.A"/>
        <s v="Multiservicio Tocome, C.A"/>
        <s v="JOSE RAFAEL MARTÍNEZ"/>
        <s v="Jhon Morales"/>
        <s v="Felipe Granja"/>
        <s v="MOTO REPUESTO GARCIA 2023, C.A."/>
        <s v="LUBRIREPUESTOS PANORAMA, C.A."/>
        <s v="Auto Partes Y Repuestos Encava Express,c.a."/>
        <s v="INVERSIONES JOSCAR  XXI, S.A."/>
        <s v="Antonio Terán"/>
        <s v="NAUDY MARTINEZ"/>
        <s v="CLUDE CARVALHO DE ACOSTA"/>
        <s v="Inversiones García GL C.A"/>
        <s v="Automecanica Marilu 2014, C.A"/>
        <s v="Emprendimiento Eduardo Pérez 6"/>
        <s v="Jefferson rosales"/>
        <s v="Distribuidora El Frenazo"/>
        <s v="MOTO MARCE 21, CA"/>
        <s v="INVERSIONES BECLA PARTS C.A."/>
        <s v="Yeifri Alexander Marquez Zerpa"/>
        <s v="Multiservicios gochi express 2024, c.a"/>
        <s v="Luis Zambrano"/>
        <s v="AUTOPERIQUITO EL PEQUEÑO CHAMOY, C.A."/>
        <s v="Lubricantes BK C.A"/>
        <s v="Inversiones tydelmarojg"/>
        <s v="Joel Duque"/>
        <s v="PROYECTOS Y DESARROLLO TOMTOM,C.A."/>
        <s v="José Gregorio Hernández"/>
        <s v="Alejandro Zorrilla"/>
        <s v="Sandra Katherine Quintero Crespo"/>
        <s v="Autorepuestos el Florin,c.a."/>
        <s v="Lubristation, C.A."/>
        <s v="Hector Griman"/>
        <s v="Desarrollo Agrario Integral DAI Los Pucheros 13, C. A."/>
        <s v="Comercializadora Dimon c.a"/>
        <s v="Inversiones Marfran 2025, C. A."/>
        <s v="TERA INGENIERIA Y SERVICIOS INDUSTRIALES, C.A"/>
        <s v="TALLER Y REPUESTOS CHOPPERS, C.A."/>
        <s v="LA CASA DE LAS BATERIAS"/>
        <s v="GASOLVEN DISTRIBUIDORA, C.A"/>
        <s v="ELENA MEJIAS"/>
        <s v="CAUCHOS NUÑEZ, C.A."/>
        <s v="Rhino Toyo Parts, C.A."/>
        <s v="Juan antonio salaverria herrera"/>
        <s v="Multiservicio SOS Cars, C.A"/>
        <s v="INVERSIONES DA &amp; JE,"/>
        <s v="Autopartes Munich PH 168 C.A."/>
        <s v="COMERCIAL REPUESTOS MUNDIALES RMS 2022 C.A."/>
        <s v="Video Electrónica Fermat, C.A"/>
        <s v="INVERSIONES SM 2191, C.A."/>
        <s v="Comercializadora El Fénix de Catia"/>
        <s v="Asociación Cooperativa la Esquina del Lubricante 9999 R.L"/>
        <s v="Comercializadora Estoril 25,c.a."/>
        <s v="REPRESENTACIONES LAGUS MEL, C. A"/>
        <s v="Melany Madrid"/>
        <s v="DIADOMHAN AUTOMOTRIZ, C.A."/>
      </sharedItems>
    </cacheField>
    <cacheField name="Tasa BCV" numFmtId="165">
      <sharedItems containsSemiMixedTypes="0" containsString="0" containsNumber="1">
        <n v="414.0455"/>
        <n v="419.9873"/>
        <n v="421.8772"/>
        <n v="427.9302"/>
        <n v="501.73"/>
        <n v="431.0113"/>
        <n v="433.1664"/>
        <n v="438.205"/>
        <n v="440.9657"/>
        <n v="510.34"/>
        <n v="443.2587"/>
        <n v="511.34"/>
        <n v="514.97"/>
        <n v="451.5072"/>
        <n v="520.64"/>
        <n v="457.0757"/>
        <n v="527.79"/>
        <n v="459.4525"/>
        <n v="533.4565"/>
        <n v="455.254"/>
        <n v="462.6687"/>
        <n v="540.1704"/>
        <n v="468.5145"/>
        <n v="541.1904"/>
        <n v="471.7004"/>
        <n v="543.9413"/>
        <n v="527.7944"/>
        <n v="542.6382"/>
        <n v="481.6989"/>
        <n v="545.9483"/>
        <n v="473.9176"/>
        <n v="474.0598"/>
        <n v="550.8954"/>
        <n v="474.5338"/>
        <n v="475.9583"/>
        <n v="549.6986"/>
        <n v="476.4342"/>
        <n v="556.6609"/>
        <n v="477.1488"/>
        <n v="560.0486"/>
        <n v="477.6259"/>
        <n v="480.2572"/>
        <n v="567.68"/>
        <n v="478.5811"/>
        <n v="479.7775"/>
        <n v="481.2177"/>
        <n v="482.7586"/>
        <n v="483.3379"/>
        <n v="483.8695"/>
        <n v="484.7404"/>
        <n v="485.2251"/>
        <n v="486.1955"/>
        <n v="483.3397"/>
        <n v="487.1192"/>
        <n v="569.7638"/>
        <n v="574.0377"/>
        <n v="489.5547"/>
        <n v="490.0442"/>
        <n v="493.3765"/>
        <n v="496.8301"/>
        <n v="499.8608"/>
        <n v="500.4606"/>
        <n v="504.9146"/>
        <n v="508.6004"/>
        <n v="510.7873"/>
        <n v="515.18"/>
        <n v="517.9619"/>
        <n v="520.9142"/>
        <n v="523.675"/>
        <n v="526.8694"/>
        <n v="530.5047"/>
        <n v="535.3853"/>
        <n v="538.3853"/>
        <n v="544.5794"/>
        <n v="540.0431"/>
        <n v="549.3716"/>
        <n v="557.9741"/>
        <n v="544.9741"/>
        <n v="554.4258"/>
        <n v="558.6436"/>
        <n v="560.3753"/>
        <n v="563.2892"/>
        <n v="567.6828"/>
        <n v="572.67"/>
        <n v="572.6784"/>
        <n v="577.5461"/>
        <n v="582.6862"/>
        <n v="587.4059"/>
        <n v="572.6748"/>
        <n v="592.5163"/>
        <n v="596.7824"/>
      </sharedItems>
    </cacheField>
    <cacheField name="Tasa  Real" numFmtId="0">
      <sharedItems containsString="0" containsBlank="1">
        <m/>
      </sharedItems>
    </cacheField>
    <cacheField name="Monto $ BCV" numFmtId="2">
      <sharedItems containsSemiMixedTypes="0" containsString="0" containsNumber="1">
        <n v="260.0"/>
        <n v="35.33"/>
        <n v="396.47317906993857"/>
        <n v="246.0"/>
        <n v="195.0"/>
        <n v="68.91196274532622"/>
        <n v="86.70221035218145"/>
        <n v="130.99999930396257"/>
        <n v="65.0"/>
        <n v="48.0"/>
        <n v="1893.1200111550663"/>
        <n v="159.99817437044305"/>
        <n v="36.0"/>
        <n v="37.659595746335825"/>
        <n v="66.0"/>
        <n v="129.98"/>
        <n v="132.48"/>
        <n v="240.16602494209363"/>
        <n v="399.5356037151703"/>
        <n v="14.999804435405014"/>
        <n v="146.0"/>
        <n v="30.0"/>
        <n v="126.0"/>
        <n v="175.0"/>
        <n v="50.0"/>
        <n v="80.16871048789477"/>
        <n v="129.92"/>
        <n v="61.94126451808485"/>
        <n v="53.65001902310711"/>
        <n v="93.13711428276046"/>
        <n v="197.0"/>
        <n v="110.03"/>
        <n v="99.01"/>
        <n v="36.08"/>
        <n v="972.03"/>
        <n v="124.0"/>
        <n v="72.0"/>
        <n v="51.83549487346956"/>
        <n v="20.0"/>
        <n v="100.0"/>
        <n v="119.48"/>
        <n v="99.89018482885803"/>
        <n v="84.28992827662871"/>
        <n v="96.0"/>
        <n v="1.8946771697464013"/>
        <n v="35.0"/>
        <n v="94.0"/>
        <n v="44.0"/>
        <n v="34.930824995365235"/>
        <n v="108.0"/>
        <n v="67.0"/>
        <n v="247.88"/>
        <n v="502.4497507583597"/>
        <n v="100.00000000000001"/>
        <n v="110.0"/>
        <n v="50.004239971412886"/>
        <n v="25.004746817635436"/>
        <n v="86.0525972807179"/>
        <n v="70.0"/>
        <n v="115.92"/>
        <n v="64.8"/>
        <n v="49.999599607024834"/>
        <n v="157.44616702765768"/>
        <n v="20.001870115732512"/>
        <n v="4.0"/>
        <n v="345.0"/>
        <n v="0.6025942062502004"/>
        <n v="128.0"/>
        <n v="90.0"/>
        <n v="38.0"/>
        <n v="143.0"/>
        <n v="63.30214366379303"/>
        <n v="50.214425461303826"/>
        <n v="681.0"/>
        <n v="107.0"/>
        <n v="500.0"/>
        <n v="220.0"/>
        <n v="60.0"/>
        <n v="44.660007555766896"/>
        <n v="102.20001081448329"/>
        <n v="14.73445860939454"/>
        <n v="1177.3896164465104"/>
        <n v="300.0"/>
        <n v="76.56478384197372"/>
        <n v="49.48284845279499"/>
        <n v="78.62019474738442"/>
        <n v="502.4907324507575"/>
        <n v="46.0"/>
        <n v="113.05919549170177"/>
        <n v="3457.96"/>
        <n v="6802.37"/>
        <n v="72.00074587599022"/>
        <n v="149.99998955244996"/>
        <n v="25.0"/>
        <n v="68.0"/>
        <n v="71.0"/>
        <n v="200.0"/>
        <n v="99.00002319356113"/>
        <n v="21.260230002449052"/>
        <n v="210.0"/>
        <n v="514.93"/>
        <n v="40.0"/>
        <n v="22.0"/>
        <n v="250.0"/>
        <n v="24.0"/>
        <n v="150.0"/>
        <n v="252.0"/>
        <n v="75.0"/>
        <n v="3991.560009369363"/>
        <n v="317.6741321186326"/>
        <n v="101.23959178648737"/>
        <n v="100.15592728154455"/>
        <n v="116.81780880130722"/>
        <n v="160.0"/>
        <n v="1.0005000428785733"/>
        <n v="161.0"/>
        <n v="98.0"/>
        <n v="71.23001019557186"/>
        <n v="85.0"/>
        <n v="141.0"/>
        <n v="62.06837907807354"/>
        <n v="94.03001502675457"/>
        <n v="119.0"/>
        <n v="217.99999793332705"/>
        <n v="140.0"/>
        <n v="170.0001756671995"/>
        <n v="255.0"/>
        <n v="82.0031020760763"/>
        <n v="134.0"/>
        <n v="81.0"/>
        <n v="266.47854431825107"/>
        <n v="49.99995874080229"/>
        <n v="606.31944438714"/>
        <n v="51.7657905138503"/>
        <n v="91.89855023431099"/>
        <n v="309.13487369058197"/>
        <n v="127.23867747154877"/>
        <n v="104.83175746679221"/>
        <n v="61.70357397384386"/>
        <n v="538.1556698115218"/>
        <n v="180.0"/>
        <n v="565.0"/>
        <n v="26.0"/>
        <n v="713.0517045098114"/>
        <n v="47.4545722583649"/>
        <n v="116.96599107569564"/>
        <n v="188.0"/>
        <n v="111.0"/>
        <n v="39.0"/>
        <n v="226.0"/>
        <n v="360.0"/>
        <n v="61.58656854420848"/>
        <n v="259.32593090151244"/>
        <n v="20.001270701999672"/>
        <n v="133.0"/>
        <n v="51.32339654792406"/>
        <n v="39.9996159775404"/>
        <n v="263.3839282923849"/>
        <n v="2042.6726574170361"/>
        <n v="1270.1133499484326"/>
        <n v="800.0"/>
        <n v="172.0"/>
        <n v="28.0"/>
        <n v="76.0"/>
        <n v="135.0"/>
        <n v="49.0"/>
        <n v="190.0"/>
        <n v="900.0"/>
        <n v="97.93405239203732"/>
        <n v="5.818862471155395"/>
        <n v="51.99161644996951"/>
        <n v="264.09027955431844"/>
        <n v="30.182953891078657"/>
        <n v="426.50749968791314"/>
        <n v="783.2080451197613"/>
        <n v="230.0"/>
        <n v="91.0"/>
        <n v="237.47244038791467"/>
        <n v="1.1774553281517066"/>
        <n v="185.0"/>
        <n v="237.80173703983888"/>
        <n v="436.1599961656882"/>
        <n v="117.0"/>
        <n v="600.0"/>
        <n v="100.72990561176088"/>
        <n v="10.0"/>
        <n v="130.0"/>
        <n v="101.70066716424132"/>
        <n v="675.0"/>
        <n v="555.2912070065223"/>
        <n v="48.35759075297621"/>
        <n v="19.110342015159734"/>
        <n v="202.5069926366611"/>
        <n v="120.0"/>
        <n v="104.5444943521501"/>
        <n v="15.0"/>
        <n v="29.15730285384934"/>
        <n v="101.0"/>
        <n v="58.04978842346365"/>
        <n v="480.0"/>
        <n v="290.84749283682834"/>
        <n v="17.0"/>
        <n v="225.0"/>
        <n v="129.3295124602794"/>
        <n v="12.76107373920746"/>
        <n v="109.0"/>
        <n v="56.0"/>
        <n v="113.0"/>
        <n v="53.0"/>
        <n v="3.0"/>
        <n v="58.0"/>
        <n v="32.0"/>
        <n v="1909.5813242946485"/>
        <n v="1329.2306869718816"/>
        <n v="1412.9216021387313"/>
        <n v="191.0"/>
        <n v="213.0"/>
        <n v="294.00375121424776"/>
        <n v="49.99952260466893"/>
        <n v="57.52823679036209"/>
        <n v="52.0"/>
        <n v="51.0"/>
        <n v="45.042013765382286"/>
        <n v="59.99946843072267"/>
        <n v="115.99897229939717"/>
        <n v="320.0"/>
        <n v="411.8529216248559"/>
        <n v="410.0"/>
        <n v="83.92397026963572"/>
        <n v="386.08904652406403"/>
        <n v="199.99802011747425"/>
        <n v="129.27358900772364"/>
        <n v="83.05533230569259"/>
        <n v="60.05601835384305"/>
        <n v="9.008402753076458"/>
        <n v="64.72000461594466"/>
        <n v="55.78"/>
        <n v="199.29037442675545"/>
        <n v="41.0"/>
        <n v="407.4841433952216"/>
        <n v="4.109190147730989"/>
        <n v="41.465464218012706"/>
        <n v="249.0"/>
        <n v="257.77235187339676"/>
        <n v="84.84896853602982"/>
        <n v="11.04171130044991"/>
        <n v="112.99999596018506"/>
        <n v="60.000433361967055"/>
        <n v="2.999636049398857"/>
        <n v="125.63075283420564"/>
        <n v="190.14674444167372"/>
        <n v="74.96008846460224"/>
        <n v="310.0"/>
        <n v="135.86250181116026"/>
        <n v="268.8162256658335"/>
        <n v="99.99970875815205"/>
        <n v="191.4256215647114"/>
        <n v="406.16042037848337"/>
        <n v="76.89978877684977"/>
        <n v="3853.0"/>
        <n v="25.3567633021505"/>
        <n v="115.71839983253703"/>
        <n v="48.79886001877148"/>
        <n v="330.0"/>
        <n v="49.681517475452715"/>
        <n v="0.2708369438653156"/>
        <n v="70.56958378534057"/>
        <n v="335.90268795630476"/>
        <n v="2464.200008578976"/>
        <n v="80.0"/>
        <n v="120.23138708409583"/>
        <n v="116.00000788567067"/>
        <n v="30.00139253775399"/>
        <n v="339.37799263442514"/>
        <n v="14.0"/>
        <n v="1000.0"/>
        <n v="302.0"/>
        <n v="58.08871773797386"/>
        <n v="62.0"/>
        <n v="198.0"/>
        <n v="35.02232908423188"/>
        <n v="275.0"/>
        <n v="158.92814309516837"/>
        <n v="965.678296502457"/>
        <n v="23.216583600312145"/>
        <n v="70.82039483182074"/>
        <n v="272.5774137439676"/>
        <n v="11.94"/>
        <n v="8.06"/>
        <n v="5141.253857758865"/>
        <n v="282.0"/>
        <n v="105.0"/>
        <n v="34.9198954995054"/>
        <n v="223.0"/>
        <n v="278.0"/>
        <n v="27781.08"/>
        <n v="40.001211944416845"/>
        <n v="29.76782104372371"/>
        <n v="63.0"/>
        <n v="49.999753383403544"/>
        <n v="1203.0"/>
        <n v="207.0"/>
        <n v="106.0"/>
        <n v="144.27984455193015"/>
        <n v="103.0"/>
        <n v="2715.890000542556"/>
        <n v="164.28068528514433"/>
        <n v="34.71458256936805"/>
        <n v="18.27378158491747"/>
        <n v="354.0"/>
        <n v="49.99999999999999"/>
        <n v="34.0"/>
        <n v="400.0"/>
        <n v="174.0"/>
        <n v="33.5"/>
        <n v="117.73951897519522"/>
        <n v="70.00000519439054"/>
        <n v="64.0"/>
        <n v="55.0"/>
        <n v="23.0"/>
        <n v="650.0"/>
        <n v="80.72955906626929"/>
        <n v="62.400462780506636"/>
        <n v="318.611889330559"/>
        <n v="274.2599992607798"/>
        <n v="100.08163488498123"/>
        <n v="885.0"/>
        <n v="322.63618739265064"/>
        <n v="141.03747019280314"/>
      </sharedItems>
    </cacheField>
    <cacheField name="Monto $ Real" numFmtId="0">
      <sharedItems containsSemiMixedTypes="0" containsString="0" containsNumber="1">
        <n v="260.0"/>
        <n v="35.33"/>
        <n v="0.0"/>
        <n v="246.0"/>
        <n v="195.0"/>
        <n v="65.0"/>
        <n v="48.0"/>
        <n v="36.0"/>
        <n v="66.0"/>
        <n v="129.98"/>
        <n v="132.48"/>
        <n v="146.0"/>
        <n v="30.0"/>
        <n v="126.0"/>
        <n v="175.0"/>
        <n v="50.0"/>
        <n v="129.92"/>
        <n v="197.0"/>
        <n v="110.03"/>
        <n v="99.01"/>
        <n v="36.08"/>
        <n v="972.03"/>
        <n v="124.0"/>
        <n v="72.0"/>
        <n v="20.0"/>
        <n v="119.48"/>
        <n v="96.0"/>
        <n v="35.0"/>
        <n v="94.0"/>
        <n v="44.0"/>
        <n v="108.0"/>
        <n v="67.0"/>
        <n v="247.88"/>
        <n v="100.0"/>
        <n v="110.0"/>
        <n v="70.0"/>
        <n v="115.92"/>
        <n v="64.8"/>
        <n v="4.0"/>
        <n v="345.0"/>
        <n v="128.0"/>
        <n v="90.0"/>
        <n v="38.0"/>
        <n v="143.0"/>
        <n v="681.0"/>
        <n v="107.0"/>
        <n v="500.0"/>
        <n v="220.0"/>
        <n v="60.0"/>
        <n v="300.0"/>
        <n v="46.0"/>
        <n v="3457.96"/>
        <n v="6802.37"/>
        <n v="25.0"/>
        <n v="68.0"/>
        <n v="71.0"/>
        <n v="200.0"/>
        <n v="210.0"/>
        <n v="514.93"/>
        <n v="40.0"/>
        <n v="22.0"/>
        <n v="250.0"/>
        <n v="24.0"/>
        <n v="150.0"/>
        <n v="252.0"/>
        <n v="75.0"/>
        <n v="160.0"/>
        <n v="161.0"/>
        <n v="98.0"/>
        <n v="85.0"/>
        <n v="141.0"/>
        <n v="119.0"/>
        <n v="140.0"/>
        <n v="255.0"/>
        <n v="134.0"/>
        <n v="81.0"/>
        <n v="180.0"/>
        <n v="565.0"/>
        <n v="26.0"/>
        <n v="188.0"/>
        <n v="111.0"/>
        <n v="39.0"/>
        <n v="226.0"/>
        <n v="360.0"/>
        <n v="133.0"/>
        <n v="800.0"/>
        <n v="172.0"/>
        <n v="28.0"/>
        <n v="76.0"/>
        <n v="135.0"/>
        <n v="49.0"/>
        <n v="190.0"/>
        <n v="900.0"/>
        <n v="230.0"/>
        <n v="91.0"/>
        <n v="185.0"/>
        <n v="117.0"/>
        <n v="600.0"/>
        <n v="10.0"/>
        <n v="130.0"/>
        <n v="675.0"/>
        <n v="120.0"/>
        <n v="15.0"/>
        <n v="101.0"/>
        <n v="480.0"/>
        <n v="17.0"/>
        <n v="225.0"/>
        <n v="109.0"/>
        <n v="56.0"/>
        <n v="113.0"/>
        <n v="53.0"/>
        <n v="3.0"/>
        <n v="58.0"/>
        <n v="32.0"/>
        <n v="191.0"/>
        <n v="213.0"/>
        <n v="52.0"/>
        <n v="51.0"/>
        <n v="320.0"/>
        <n v="410.0"/>
        <n v="55.78"/>
        <n v="41.0"/>
        <n v="249.0"/>
        <n v="310.0"/>
        <n v="3853.0"/>
        <n v="330.0"/>
        <n v="80.0"/>
        <n v="14.0"/>
        <n v="1000.0"/>
        <n v="302.0"/>
        <n v="62.0"/>
        <n v="198.0"/>
        <n v="275.0"/>
        <n v="11.94"/>
        <n v="8.06"/>
        <n v="282.0"/>
        <n v="105.0"/>
        <n v="223.0"/>
        <n v="278.0"/>
        <n v="27781.08"/>
        <n v="63.0"/>
        <n v="1203.0"/>
        <n v="207.0"/>
        <n v="106.0"/>
        <n v="103.0"/>
        <n v="354.0"/>
        <n v="34.0"/>
        <n v="400.0"/>
        <n v="174.0"/>
        <n v="33.5"/>
        <n v="64.0"/>
        <n v="55.0"/>
        <n v="23.0"/>
        <n v="650.0"/>
        <n v="885.0"/>
      </sharedItems>
    </cacheField>
    <cacheField name="Monto Unificado USD" numFmtId="2">
      <sharedItems containsSemiMixedTypes="0" containsString="0" containsNumber="1">
        <n v="260.0"/>
        <n v="35.33"/>
        <n v="396.47317906993857"/>
        <n v="246.0"/>
        <n v="195.0"/>
        <n v="68.91196274532622"/>
        <n v="86.70221035218145"/>
        <n v="130.99999930396257"/>
        <n v="65.0"/>
        <n v="48.0"/>
        <n v="1893.1200111550663"/>
        <n v="159.99817437044305"/>
        <n v="36.0"/>
        <n v="37.659595746335825"/>
        <n v="66.0"/>
        <n v="129.98"/>
        <n v="132.48"/>
        <n v="240.16602494209363"/>
        <n v="399.5356037151703"/>
        <n v="14.999804435405014"/>
        <n v="146.0"/>
        <n v="30.0"/>
        <n v="126.0"/>
        <n v="175.0"/>
        <n v="50.0"/>
        <n v="80.16871048789477"/>
        <n v="129.92"/>
        <n v="61.94126451808485"/>
        <n v="53.65001902310711"/>
        <n v="93.13711428276046"/>
        <n v="197.0"/>
        <n v="110.03"/>
        <n v="99.01"/>
        <n v="36.08"/>
        <n v="972.03"/>
        <n v="124.0"/>
        <n v="72.0"/>
        <n v="51.83549487346956"/>
        <n v="20.0"/>
        <n v="100.0"/>
        <n v="119.48"/>
        <n v="99.89018482885803"/>
        <n v="84.28992827662871"/>
        <n v="96.0"/>
        <n v="1.8946771697464013"/>
        <n v="35.0"/>
        <n v="94.0"/>
        <n v="44.0"/>
        <n v="34.930824995365235"/>
        <n v="108.0"/>
        <n v="67.0"/>
        <n v="247.88"/>
        <n v="502.4497507583597"/>
        <n v="100.00000000000001"/>
        <n v="110.0"/>
        <n v="50.004239971412886"/>
        <n v="25.004746817635436"/>
        <n v="86.0525972807179"/>
        <n v="70.0"/>
        <n v="115.92"/>
        <n v="64.8"/>
        <n v="49.999599607024834"/>
        <n v="157.44616702765768"/>
        <n v="20.001870115732512"/>
        <n v="4.0"/>
        <n v="345.0"/>
        <n v="0.6025942062502004"/>
        <n v="128.0"/>
        <n v="90.0"/>
        <n v="38.0"/>
        <n v="143.0"/>
        <n v="63.30214366379303"/>
        <n v="50.214425461303826"/>
        <n v="681.0"/>
        <n v="107.0"/>
        <n v="500.0"/>
        <n v="220.0"/>
        <n v="60.0"/>
        <n v="44.660007555766896"/>
        <n v="102.20001081448329"/>
        <n v="14.73445860939454"/>
        <n v="1177.3896164465104"/>
        <n v="300.0"/>
        <n v="76.56478384197372"/>
        <n v="49.48284845279499"/>
        <n v="78.62019474738442"/>
        <n v="502.4907324507575"/>
        <n v="46.0"/>
        <n v="113.05919549170177"/>
        <n v="3457.96"/>
        <n v="6802.37"/>
        <n v="72.00074587599022"/>
        <n v="149.99998955244996"/>
        <n v="25.0"/>
        <n v="68.0"/>
        <n v="71.0"/>
        <n v="200.0"/>
        <n v="99.00002319356113"/>
        <n v="21.260230002449052"/>
        <n v="210.0"/>
        <n v="514.93"/>
        <n v="40.0"/>
        <n v="22.0"/>
        <n v="250.0"/>
        <n v="24.0"/>
        <n v="150.0"/>
        <n v="252.0"/>
        <n v="75.0"/>
        <n v="3991.560009369363"/>
        <n v="317.6741321186326"/>
        <n v="101.23959178648737"/>
        <n v="100.15592728154455"/>
        <n v="116.81780880130722"/>
        <n v="160.0"/>
        <n v="1.0005000428785733"/>
        <n v="161.0"/>
        <n v="98.0"/>
        <n v="71.23001019557186"/>
        <n v="85.0"/>
        <n v="141.0"/>
        <n v="62.06837907807354"/>
        <n v="94.03001502675457"/>
        <n v="119.0"/>
        <n v="217.99999793332705"/>
        <n v="140.0"/>
        <n v="170.0001756671995"/>
        <n v="255.0"/>
        <n v="82.0031020760763"/>
        <n v="134.0"/>
        <n v="81.0"/>
        <n v="266.47854431825107"/>
        <n v="49.99995874080229"/>
        <n v="606.31944438714"/>
        <n v="51.7657905138503"/>
        <n v="91.89855023431099"/>
        <n v="309.13487369058197"/>
        <n v="127.23867747154877"/>
        <n v="104.83175746679221"/>
        <n v="61.70357397384386"/>
        <n v="538.1556698115218"/>
        <n v="180.0"/>
        <n v="565.0"/>
        <n v="26.0"/>
        <n v="713.0517045098114"/>
        <n v="47.4545722583649"/>
        <n v="116.96599107569564"/>
        <n v="188.0"/>
        <n v="111.0"/>
        <n v="39.0"/>
        <n v="226.0"/>
        <n v="360.0"/>
        <n v="61.58656854420848"/>
        <n v="259.32593090151244"/>
        <n v="20.001270701999672"/>
        <n v="133.0"/>
        <n v="51.32339654792406"/>
        <n v="39.9996159775404"/>
        <n v="263.3839282923849"/>
        <n v="2042.6726574170361"/>
        <n v="1270.1133499484326"/>
        <n v="800.0"/>
        <n v="172.0"/>
        <n v="28.0"/>
        <n v="76.0"/>
        <n v="135.0"/>
        <n v="49.0"/>
        <n v="190.0"/>
        <n v="900.0"/>
        <n v="97.93405239203732"/>
        <n v="5.818862471155395"/>
        <n v="51.99161644996951"/>
        <n v="264.09027955431844"/>
        <n v="30.182953891078657"/>
        <n v="426.50749968791314"/>
        <n v="783.2080451197613"/>
        <n v="230.0"/>
        <n v="91.0"/>
        <n v="237.47244038791467"/>
        <n v="1.1774553281517066"/>
        <n v="185.0"/>
        <n v="237.80173703983888"/>
        <n v="436.1599961656882"/>
        <n v="117.0"/>
        <n v="600.0"/>
        <n v="100.72990561176088"/>
        <n v="10.0"/>
        <n v="130.0"/>
        <n v="101.70066716424132"/>
        <n v="675.0"/>
        <n v="555.2912070065223"/>
        <n v="48.35759075297621"/>
        <n v="19.110342015159734"/>
        <n v="202.5069926366611"/>
        <n v="120.0"/>
        <n v="104.5444943521501"/>
        <n v="15.0"/>
        <n v="29.15730285384934"/>
        <n v="101.0"/>
        <n v="58.04978842346365"/>
        <n v="480.0"/>
        <n v="290.84749283682834"/>
        <n v="17.0"/>
        <n v="225.0"/>
        <n v="129.3295124602794"/>
        <n v="12.76107373920746"/>
        <n v="109.0"/>
        <n v="56.0"/>
        <n v="113.0"/>
        <n v="53.0"/>
        <n v="3.0"/>
        <n v="58.0"/>
        <n v="32.0"/>
        <n v="1909.5813242946485"/>
        <n v="1329.2306869718816"/>
        <n v="1412.9216021387313"/>
        <n v="191.0"/>
        <n v="213.0"/>
        <n v="294.00375121424776"/>
        <n v="49.99952260466893"/>
        <n v="57.52823679036209"/>
        <n v="52.0"/>
        <n v="51.0"/>
        <n v="45.042013765382286"/>
        <n v="59.99946843072267"/>
        <n v="115.99897229939717"/>
        <n v="320.0"/>
        <n v="411.8529216248559"/>
        <n v="410.0"/>
        <n v="83.92397026963572"/>
        <n v="386.08904652406403"/>
        <n v="199.99802011747425"/>
        <n v="129.27358900772364"/>
        <n v="83.05533230569259"/>
        <n v="60.05601835384305"/>
        <n v="9.008402753076458"/>
        <n v="64.72000461594466"/>
        <n v="55.78"/>
        <n v="199.29037442675545"/>
        <n v="41.0"/>
        <n v="407.4841433952216"/>
        <n v="4.109190147730989"/>
        <n v="41.465464218012706"/>
        <n v="249.0"/>
        <n v="257.77235187339676"/>
        <n v="84.84896853602982"/>
        <n v="11.04171130044991"/>
        <n v="112.99999596018506"/>
        <n v="60.000433361967055"/>
        <n v="2.999636049398857"/>
        <n v="125.63075283420564"/>
        <n v="190.14674444167372"/>
        <n v="74.96008846460224"/>
        <n v="310.0"/>
        <n v="135.86250181116026"/>
        <n v="268.8162256658335"/>
        <n v="99.99970875815205"/>
        <n v="191.4256215647114"/>
        <n v="406.16042037848337"/>
        <n v="76.89978877684977"/>
        <n v="3853.0"/>
        <n v="25.3567633021505"/>
        <n v="115.71839983253703"/>
        <n v="48.79886001877148"/>
        <n v="330.0"/>
        <n v="49.681517475452715"/>
        <n v="0.2708369438653156"/>
        <n v="70.56958378534057"/>
        <n v="335.90268795630476"/>
        <n v="2464.200008578976"/>
        <n v="80.0"/>
        <n v="120.23138708409583"/>
        <n v="116.00000788567067"/>
        <n v="30.00139253775399"/>
        <n v="339.37799263442514"/>
        <n v="14.0"/>
        <n v="1000.0"/>
        <n v="302.0"/>
        <n v="58.08871773797386"/>
        <n v="62.0"/>
        <n v="198.0"/>
        <n v="35.02232908423188"/>
        <n v="275.0"/>
        <n v="158.92814309516837"/>
        <n v="965.678296502457"/>
        <n v="23.216583600312145"/>
        <n v="70.82039483182074"/>
        <n v="272.5774137439676"/>
        <n v="11.94"/>
        <n v="8.06"/>
        <n v="5141.253857758865"/>
        <n v="282.0"/>
        <n v="105.0"/>
        <n v="34.9198954995054"/>
        <n v="223.0"/>
        <n v="278.0"/>
        <n v="27781.08"/>
        <n v="40.001211944416845"/>
        <n v="29.76782104372371"/>
        <n v="63.0"/>
        <n v="49.999753383403544"/>
        <n v="1203.0"/>
        <n v="207.0"/>
        <n v="106.0"/>
        <n v="144.27984455193015"/>
        <n v="103.0"/>
        <n v="2715.890000542556"/>
        <n v="164.28068528514433"/>
        <n v="34.71458256936805"/>
        <n v="18.27378158491747"/>
        <n v="354.0"/>
        <n v="49.99999999999999"/>
        <n v="34.0"/>
        <n v="400.0"/>
        <n v="174.0"/>
        <n v="33.5"/>
        <n v="117.73951897519522"/>
        <n v="70.00000519439054"/>
        <n v="64.0"/>
        <n v="55.0"/>
        <n v="23.0"/>
        <n v="650.0"/>
        <n v="80.72955906626929"/>
        <n v="62.400462780506636"/>
        <n v="318.611889330559"/>
        <n v="274.2599992607798"/>
        <n v="100.08163488498123"/>
        <n v="885.0"/>
        <n v="322.63618739265064"/>
        <n v="141.03747019280314"/>
      </sharedItems>
    </cacheField>
    <cacheField name="Validación Ingreso" numFmtId="0">
      <sharedItems>
        <s v="NO ENCONTRADO EN MAESTRO"/>
      </sharedItems>
    </cacheField>
    <cacheField name="Recibido" numFmtId="0">
      <sharedItems containsString="0" containsBlank="1">
        <m/>
      </sharedItems>
    </cacheField>
    <cacheField name="Validacion Orden/Cliente" numFmtId="0">
      <sharedItems containsString="0" containsBlank="1">
        <m/>
      </sharedItems>
    </cacheField>
    <cacheField name="Columna 15" numFmtId="0">
      <sharedItems containsString="0" containsBlank="1">
        <m/>
      </sharedItems>
    </cacheField>
    <cacheField name="Columna 16" numFmtId="0">
      <sharedItems containsString="0" containsBlank="1">
        <m/>
      </sharedItems>
    </cacheField>
    <cacheField name="Columna 17" numFmtId="0">
      <sharedItems containsString="0" containsBlank="1">
        <m/>
      </sharedItems>
    </cacheField>
    <cacheField name="Columna 18" numFmtId="0">
      <sharedItems containsString="0" containsBlank="1">
        <m/>
      </sharedItems>
    </cacheField>
    <cacheField name="Columna 19" numFmtId="0">
      <sharedItems containsString="0" containsBlank="1">
        <m/>
      </sharedItems>
    </cacheField>
    <cacheField name="Columna 20" numFmtId="0">
      <sharedItems containsString="0" containsBlank="1">
        <m/>
      </sharedItems>
    </cacheField>
    <cacheField name="Columna 21" numFmtId="0">
      <sharedItems containsString="0" containsBlank="1">
        <m/>
      </sharedItems>
    </cacheField>
    <cacheField name="Columna 22" numFmtId="0">
      <sharedItems containsString="0" containsBlank="1">
        <m/>
      </sharedItems>
    </cacheField>
    <cacheField name="Columna 23" numFmtId="0">
      <sharedItems containsString="0" containsBlank="1">
        <m/>
      </sharedItems>
    </cacheField>
    <cacheField name="Columna 24" numFmtId="0">
      <sharedItems containsString="0" containsBlank="1">
        <m/>
      </sharedItems>
    </cacheField>
    <cacheField name="Columna 25" numFmtId="0">
      <sharedItems containsString="0" containsBlank="1">
        <m/>
      </sharedItems>
    </cacheField>
    <cacheField name="Columna 26" numFmtId="0">
      <sharedItems containsString="0" containsBlank="1">
        <m/>
      </sharedItems>
    </cacheField>
    <cacheField name="Columna 27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1000" sheet="Cobranza"/>
  </cacheSource>
  <cacheFields>
    <cacheField name="Fecha" numFmtId="164">
      <sharedItems containsNonDate="0" containsDate="1" containsString="0" containsBlank="1" minDate="2026-02-27T00:00:00Z" maxDate="2026-06-24T00:00:00Z">
        <d v="2026-03-02T00:00:00Z"/>
        <d v="2026-02-27T00:00:00Z"/>
        <d v="2026-03-03T00:00:00Z"/>
        <d v="2026-03-05T00:00:00Z"/>
        <d v="2026-03-06T00:00:00Z"/>
        <d v="2026-03-09T00:00:00Z"/>
        <d v="2026-03-11T00:00:00Z"/>
        <d v="2026-03-12T00:00:00Z"/>
        <d v="2026-03-13T00:00:00Z"/>
        <d v="2026-03-16T00:00:00Z"/>
        <d v="2026-03-17T00:00:00Z"/>
        <d v="2026-03-19T00:00:00Z"/>
        <d v="2026-03-23T00:00:00Z"/>
        <d v="2026-03-24T00:00:00Z"/>
        <d v="2026-03-25T00:00:00Z"/>
        <d v="2026-03-26T00:00:00Z"/>
        <d v="2026-03-27T00:00:00Z"/>
        <d v="2026-03-30T00:00:00Z"/>
        <d v="2026-03-31T00:00:00Z"/>
        <d v="2026-04-01T00:00:00Z"/>
        <d v="2026-04-06T00:00:00Z"/>
        <d v="2026-04-07T00:00:00Z"/>
        <d v="2026-04-08T00:00:00Z"/>
        <d v="2026-04-09T00:00:00Z"/>
        <d v="2026-04-10T00:00:00Z"/>
        <d v="2026-04-13T00:00:00Z"/>
        <d v="2026-04-14T00:00:00Z"/>
        <d v="2026-04-17T00:00:00Z"/>
        <d v="2026-06-09T00:00:00Z"/>
        <d v="2026-04-15T00:00:00Z"/>
        <d v="2026-04-16T00:00:00Z"/>
        <d v="2026-04-20T00:00:00Z"/>
        <d v="2026-04-21T00:00:00Z"/>
        <d v="2026-04-22T00:00:00Z"/>
        <d v="2026-04-23T00:00:00Z"/>
        <d v="2026-04-24T00:00:00Z"/>
        <d v="2026-04-27T00:00:00Z"/>
        <d v="2026-04-28T00:00:00Z"/>
        <d v="2026-04-29T00:00:00Z"/>
        <d v="2026-04-30T00:00:00Z"/>
        <d v="2026-05-04T00:00:00Z"/>
        <d v="2026-05-05T00:00:00Z"/>
        <d v="2026-05-06T00:00:00Z"/>
        <d v="2026-05-07T00:00:00Z"/>
        <d v="2026-05-08T00:00:00Z"/>
        <d v="2026-05-11T00:00:00Z"/>
        <d v="2026-05-12T00:00:00Z"/>
        <d v="2026-05-13T00:00:00Z"/>
        <d v="2026-05-14T00:00:00Z"/>
        <d v="2026-05-15T00:00:00Z"/>
        <d v="2026-05-18T00:00:00Z"/>
        <d v="2026-05-19T00:00:00Z"/>
        <d v="2026-05-20T00:00:00Z"/>
        <d v="2026-05-21T00:00:00Z"/>
        <d v="2026-05-22T00:00:00Z"/>
        <d v="2026-05-25T00:00:00Z"/>
        <d v="2026-05-26T00:00:00Z"/>
        <d v="2026-05-27T00:00:00Z"/>
        <d v="2026-05-28T00:00:00Z"/>
        <d v="2026-05-29T00:00:00Z"/>
        <d v="2026-06-01T00:00:00Z"/>
        <d v="2026-06-02T00:00:00Z"/>
        <d v="2026-05-31T00:00:00Z"/>
        <d v="2026-06-03T00:00:00Z"/>
        <d v="2026-06-04T00:00:00Z"/>
        <d v="2026-06-05T00:00:00Z"/>
        <d v="2026-06-08T00:00:00Z"/>
        <d v="2026-06-07T00:00:00Z"/>
        <d v="2026-06-10T00:00:00Z"/>
        <d v="2026-06-11T00:00:00Z"/>
        <d v="2026-06-12T00:00:00Z"/>
        <d v="2026-06-15T00:00:00Z"/>
        <d v="2026-06-13T00:00:00Z"/>
        <d v="2026-06-16T00:00:00Z"/>
        <d v="2026-06-17T00:00:00Z"/>
        <d v="2026-06-18T00:00:00Z"/>
        <d v="2026-06-19T00:00:00Z"/>
        <d v="2026-06-22T00:00:00Z"/>
        <d v="2026-06-23T00:00:00Z"/>
        <m/>
      </sharedItems>
      <fieldGroup base="0">
        <rangePr autoStart="0" autoEnd="0" groupBy="months" startDate="2026-02-27T00:00:00Z" endDate="2026-06-24T00:00:00Z"/>
        <groupItems>
          <s v="&lt;02/27/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/24/26"/>
        </groupItems>
      </fieldGroup>
    </cacheField>
    <cacheField name="Nro de Orden" numFmtId="0">
      <sharedItems containsString="0" containsBlank="1" containsNumber="1" containsInteger="1">
        <n v="52.0"/>
        <n v="8.0"/>
        <n v="9.0"/>
        <n v="7.0"/>
        <n v="33.0"/>
        <n v="28.0"/>
        <n v="32.0"/>
        <n v="42.0"/>
        <n v="50.0"/>
        <n v="164.0"/>
        <n v="47.0"/>
        <n v="67.0"/>
        <n v="77.0"/>
        <n v="20.0"/>
        <n v="23.0"/>
        <n v="46.0"/>
        <n v="66.0"/>
        <n v="88.0"/>
        <n v="79.0"/>
        <n v="30.0"/>
        <n v="92.0"/>
        <n v="4.0"/>
        <n v="38.0"/>
        <n v="99.0"/>
        <n v="137.0"/>
        <n v="48.0"/>
        <n v="140.0"/>
        <n v="136.0"/>
        <n v="56.0"/>
        <n v="119.0"/>
        <n v="108.0"/>
        <n v="116.0"/>
        <n v="148.0"/>
        <n v="139.0"/>
        <n v="157.0"/>
        <n v="81.0"/>
        <n v="86.0"/>
        <n v="37.0"/>
        <n v="121.0"/>
        <n v="51.0"/>
        <n v="27.0"/>
        <n v="18.0"/>
        <n v="100.0"/>
        <n v="57.0"/>
        <n v="171.0"/>
        <n v="22.0"/>
        <n v="83.0"/>
        <n v="152.0"/>
        <n v="132.0"/>
        <n v="54.0"/>
        <n v="131.0"/>
        <n v="175.0"/>
        <n v="170.0"/>
        <n v="106.0"/>
        <n v="90.0"/>
        <n v="176.0"/>
        <n v="94.0"/>
        <n v="2.0"/>
        <n v="29.0"/>
        <n v="104.0"/>
        <n v="182.0"/>
        <n v="184.0"/>
        <n v="185.0"/>
        <n v="190.0"/>
        <n v="153.0"/>
        <n v="89.0"/>
        <n v="188.0"/>
        <n v="105.0"/>
        <n v="195.0"/>
        <n v="202.0"/>
        <n v="159.0"/>
        <n v="158.0"/>
        <n v="64.0"/>
        <n v="183.0"/>
        <n v="206.0"/>
        <n v="82.0"/>
        <n v="101.0"/>
        <n v="84.0"/>
        <n v="72.0"/>
        <n v="239.0"/>
        <n v="357.0"/>
        <n v="328.0"/>
        <n v="63.0"/>
        <n v="165.0"/>
        <n v="122.0"/>
        <n v="114.0"/>
        <n v="144.0"/>
        <n v="219.0"/>
        <n v="211.0"/>
        <n v="141.0"/>
        <n v="62.0"/>
        <n v="229.0"/>
        <n v="93.0"/>
        <n v="125.0"/>
        <n v="133.0"/>
        <n v="169.0"/>
        <n v="138.0"/>
        <n v="55.0"/>
        <n v="234.0"/>
        <n v="238.0"/>
        <n v="225.0"/>
        <n v="143.0"/>
        <n v="95.0"/>
        <n v="145.0"/>
        <n v="24.0"/>
        <n v="34.0"/>
        <n v="17.0"/>
        <n v="41.0"/>
        <n v="241.0"/>
        <n v="110.0"/>
        <n v="181.0"/>
        <n v="168.0"/>
        <n v="197.0"/>
        <n v="126.0"/>
        <n v="210.0"/>
        <n v="196.0"/>
        <n v="117.0"/>
        <n v="65.0"/>
        <n v="263.0"/>
        <n v="74.0"/>
        <n v="279.0"/>
        <n v="289.0"/>
        <n v="167.0"/>
        <n v="44.0"/>
        <n v="227.0"/>
        <n v="284.0"/>
        <n v="87.0"/>
        <n v="19.0"/>
        <n v="300.0"/>
        <n v="204.0"/>
        <n v="149.0"/>
        <n v="230.0"/>
        <n v="130.0"/>
        <n v="15.0"/>
        <n v="53.0"/>
        <n v="303.0"/>
        <n v="220.0"/>
        <n v="156.0"/>
        <n v="163.0"/>
        <n v="203.0"/>
        <n v="178.0"/>
        <n v="221.0"/>
        <n v="78.0"/>
        <n v="294.0"/>
        <n v="61.0"/>
        <n v="295.0"/>
        <n v="208.0"/>
        <n v="129.0"/>
        <n v="311.0"/>
        <n v="313.0"/>
        <n v="323.0"/>
        <n v="69.0"/>
        <n v="314.0"/>
        <n v="142.0"/>
        <n v="60.0"/>
        <n v="186.0"/>
        <n v="146.0"/>
        <n v="322.0"/>
        <n v="231.0"/>
        <n v="36.0"/>
        <n v="128.0"/>
        <n v="265.0"/>
        <n v="212.0"/>
        <n v="118.0"/>
        <n v="43.0"/>
        <n v="222.0"/>
        <n v="49.0"/>
        <n v="285.0"/>
        <n v="124.0"/>
        <n v="150.0"/>
        <n v="260.0"/>
        <n v="344.0"/>
        <n v="21.0"/>
        <n v="192.0"/>
        <n v="189.0"/>
        <n v="96.0"/>
        <n v="240.0"/>
        <n v="123.0"/>
        <n v="187.0"/>
        <n v="103.0"/>
        <n v="199.0"/>
        <n v="297.0"/>
        <n v="174.0"/>
        <n v="380.0"/>
        <n v="201.0"/>
        <n v="365.0"/>
        <n v="242.0"/>
        <n v="372.0"/>
        <n v="14.0"/>
        <n v="113.0"/>
        <n v="382.0"/>
        <n v="40.0"/>
        <n v="243.0"/>
        <n v="39.0"/>
        <n v="198.0"/>
        <n v="127.0"/>
        <n v="250.0"/>
        <n v="207.0"/>
        <n v="397.0"/>
        <n v="209.0"/>
        <n v="327.0"/>
        <n v="405.0"/>
        <n v="407.0"/>
        <n v="248.0"/>
        <n v="359.0"/>
        <n v="291.0"/>
        <n v="396.0"/>
        <n v="412.0"/>
        <n v="298.0"/>
        <n v="287.0"/>
        <n v="302.0"/>
        <n v="418.0"/>
        <n v="404.0"/>
        <n v="414.0"/>
        <n v="335.0"/>
        <n v="226.0"/>
        <n v="401.0"/>
        <n v="402.0"/>
        <n v="214.0"/>
        <n v="425.0"/>
        <n v="324.0"/>
        <n v="264.0"/>
        <n v="419.0"/>
        <n v="228.0"/>
        <n v="120.0"/>
        <n v="218.0"/>
        <n v="274.0"/>
        <n v="301.0"/>
        <n v="330.0"/>
        <n v="305.0"/>
        <n v="259.0"/>
        <n v="339.0"/>
        <n v="440.0"/>
        <n v="318.0"/>
        <n v="177.0"/>
        <n v="237.0"/>
        <n v="348.0"/>
        <n v="97.0"/>
        <n v="316.0"/>
        <n v="306.0"/>
        <n v="233.0"/>
        <n v="309.0"/>
        <n v="424.0"/>
        <n v="452.0"/>
        <n v="454.0"/>
        <n v="451.0"/>
        <n v="349.0"/>
        <n v="332.0"/>
        <n v="443.0"/>
        <n v="341.0"/>
        <n v="395.0"/>
        <n v="292.0"/>
        <n v="258.0"/>
        <n v="11.0"/>
        <n v="179.0"/>
        <n v="351.0"/>
        <n v="340.0"/>
        <n v="410.0"/>
        <n v="379.0"/>
        <n v="246.0"/>
        <n v="346.0"/>
        <n v="466.0"/>
        <n v="244.0"/>
        <n v="286.0"/>
        <n v="398.0"/>
        <n v="26.0"/>
        <n v="435.0"/>
        <n v="471.0"/>
        <n v="480.0"/>
        <n v="394.0"/>
        <n v="449.0"/>
        <n v="411.0"/>
        <n v="293.0"/>
        <n v="223.0"/>
        <n v="280.0"/>
        <n v="358.0"/>
        <n v="353.0"/>
        <n v="502.0"/>
        <n v="475.0"/>
        <n v="262.0"/>
        <n v="428.0"/>
        <n v="506.0"/>
        <n v="213.0"/>
        <n v="408.0"/>
        <n v="249.0"/>
        <n v="205.0"/>
        <n v="10.0"/>
        <n v="400.0"/>
        <n v="283.0"/>
        <n v="376.0"/>
        <n v="338.0"/>
        <n v="441.0"/>
        <n v="513.0"/>
        <n v="369.0"/>
        <n v="364.0"/>
        <n v="334.0"/>
        <n v="59.0"/>
        <n v="518.0"/>
        <n v="366.0"/>
        <n v="525.0"/>
        <n v="310.0"/>
        <n v="427.0"/>
        <n v="472.0"/>
        <n v="373.0"/>
        <n v="261.0"/>
        <n v="422.0"/>
        <n v="31.0"/>
        <n v="331.0"/>
        <n v="429.0"/>
        <n v="413.0"/>
        <n v="325.0"/>
        <n v="356.0"/>
        <n v="336.0"/>
        <n v="317.0"/>
        <n v="361.0"/>
        <n v="540.0"/>
        <n v="457.0"/>
        <n v="354.0"/>
        <n v="350.0"/>
        <n v="507.0"/>
        <n v="574.0"/>
        <n v="355.0"/>
        <n v="434.0"/>
        <n v="257.0"/>
        <n v="503.0"/>
        <n v="439.0"/>
        <n v="489.0"/>
        <n v="542.0"/>
        <n v="585.0"/>
        <n v="492.0"/>
        <n v="431.0"/>
        <n v="563.0"/>
        <n v="433.0"/>
        <n v="326.0"/>
        <n v="245.0"/>
        <n v="467.0"/>
        <n v="555.0"/>
        <m/>
      </sharedItems>
    </cacheField>
    <cacheField name="Importe firmado" numFmtId="0">
      <sharedItems containsString="0" containsBlank="1" containsNumber="1">
        <n v="260.0"/>
        <n v="35.33"/>
        <n v="166513.7"/>
        <n v="246.0"/>
        <n v="195.0"/>
        <n v="29489.51"/>
        <n v="43501.1"/>
        <n v="56462.48"/>
        <n v="65.0"/>
        <n v="48.0"/>
        <n v="820035.98"/>
        <n v="70112.0"/>
        <n v="36.0"/>
        <n v="16606.59"/>
        <n v="66.0"/>
        <n v="129.98"/>
        <n v="132.48"/>
        <n v="106455.68"/>
        <n v="203899.0"/>
        <n v="7670.0"/>
        <n v="146.0"/>
        <n v="30.0"/>
        <n v="126.0"/>
        <n v="175.0"/>
        <n v="50.0"/>
        <n v="36196.75"/>
        <n v="129.92"/>
        <n v="32691.98"/>
        <n v="24522.12"/>
        <n v="42792.08"/>
        <n v="197.0"/>
        <n v="110.03"/>
        <n v="99.01"/>
        <n v="36.08"/>
        <n v="972.03"/>
        <n v="124.0"/>
        <n v="72.0"/>
        <n v="28000.0"/>
        <n v="20.0"/>
        <n v="46851.45"/>
        <n v="119.48"/>
        <n v="46800.0"/>
        <n v="45616.9"/>
        <n v="96.0"/>
        <n v="1000.0"/>
        <n v="35.0"/>
        <n v="94.0"/>
        <n v="44.0"/>
        <n v="18954.8"/>
        <n v="108.0"/>
        <n v="67.0"/>
        <n v="247.88"/>
        <n v="238119.78"/>
        <n v="47405.98"/>
        <n v="100.0"/>
        <n v="110.0"/>
        <n v="23705.0"/>
        <n v="13775.0"/>
        <n v="70.0"/>
        <n v="115.92"/>
        <n v="64.8"/>
        <n v="23726.5"/>
        <n v="74937.81"/>
        <n v="10995.0"/>
        <n v="4.0"/>
        <n v="345.0"/>
        <n v="285.58"/>
        <n v="128.0"/>
        <n v="90.0"/>
        <n v="38.0"/>
        <n v="143.0"/>
        <n v="30000.0"/>
        <n v="23797.5"/>
        <n v="681.0"/>
        <n v="107.0"/>
        <n v="500.0"/>
        <n v="220.0"/>
        <n v="60.0"/>
        <n v="24860.48"/>
        <n v="56890.75"/>
        <n v="7020.0"/>
        <n v="560948.68"/>
        <n v="300.0"/>
        <n v="42880.0"/>
        <n v="27712.8"/>
        <n v="44031.13"/>
        <n v="239762.85"/>
        <n v="46.0"/>
        <n v="54000.0"/>
        <n v="3457.96"/>
        <n v="6802.37"/>
        <n v="40080.0"/>
        <n v="71787.16"/>
        <n v="25.0"/>
        <n v="68.0"/>
        <n v="71.0"/>
        <n v="200.0"/>
        <n v="47379.54"/>
        <n v="10200.18"/>
        <n v="47977.75"/>
        <n v="210.0"/>
        <n v="514.93"/>
        <n v="40.0"/>
        <n v="22.0"/>
        <n v="250.0"/>
        <n v="24.0"/>
        <n v="150.0"/>
        <n v="252.0"/>
        <n v="75.0"/>
        <n v="1910285.18"/>
        <n v="153023.28"/>
        <n v="48767.0"/>
        <n v="48245.0"/>
        <n v="56271.01"/>
        <n v="160.0"/>
        <n v="483.0"/>
        <n v="161.0"/>
        <n v="98.0"/>
        <n v="34386.9"/>
        <n v="85.0"/>
        <n v="141.0"/>
        <n v="45448.27"/>
        <n v="119.0"/>
        <n v="105483.55"/>
        <n v="140.0"/>
        <n v="82257.9"/>
        <n v="255.0"/>
        <n v="39678.8"/>
        <n v="134.0"/>
        <n v="81.0"/>
        <n v="128940.84"/>
        <n v="24237.0"/>
        <n v="72711.06"/>
        <n v="293907.53"/>
        <n v="25092.97"/>
        <n v="44546.94"/>
        <n v="150000.0"/>
        <n v="61739.4"/>
        <n v="50867.0"/>
        <n v="260112.0"/>
        <n v="180.0"/>
        <n v="565.0"/>
        <n v="26.0"/>
        <n v="346682.53"/>
        <n v="22790.4"/>
        <n v="56976.38"/>
        <n v="188.0"/>
        <n v="111.0"/>
        <n v="39.0"/>
        <n v="226.0"/>
        <n v="360.0"/>
        <n v="126322.64"/>
        <n v="11396.0"/>
        <n v="133.0"/>
        <n v="25125.61"/>
        <n v="19582.0"/>
        <n v="1000000.0"/>
        <n v="621789.96"/>
        <n v="800.0"/>
        <n v="172.0"/>
        <n v="28.0"/>
        <n v="76.0"/>
        <n v="135.0"/>
        <n v="49.0"/>
        <n v="190.0"/>
        <n v="900.0"/>
        <n v="48318.36"/>
        <n v="2870.89"/>
        <n v="25831.0"/>
        <n v="131208.0"/>
        <n v="14995.8"/>
        <n v="213194.38"/>
        <n v="391495.0"/>
        <n v="230.0"/>
        <n v="50046.06"/>
        <n v="91.0"/>
        <n v="118845.6"/>
        <n v="589.27"/>
        <n v="185.0"/>
        <n v="119010.4"/>
        <n v="220223.55"/>
        <n v="117.0"/>
        <n v="600.0"/>
        <n v="50860.0"/>
        <n v="10.0"/>
        <n v="130.0"/>
        <n v="51725.0"/>
        <n v="675.0"/>
        <n v="282421.33"/>
        <n v="24594.69"/>
        <n v="9761.32"/>
        <n v="103438.0"/>
        <n v="120.0"/>
        <n v="53400.0"/>
        <n v="15.0"/>
        <n v="14893.18"/>
        <n v="101.0"/>
        <n v="29906.09"/>
        <n v="480.0"/>
        <n v="150647.92"/>
        <n v="17.0"/>
        <n v="225.0"/>
        <n v="66987.76"/>
        <n v="6609.75"/>
        <n v="109.0"/>
        <n v="51796.19"/>
        <n v="56.0"/>
        <n v="113.0"/>
        <n v="53.0"/>
        <n v="3.0"/>
        <n v="58.0"/>
        <n v="32.0"/>
        <n v="696084.88"/>
        <n v="739911.72"/>
        <n v="191.0"/>
        <n v="213.0"/>
        <n v="154901.58"/>
        <n v="26183.5"/>
        <n v="30519.0"/>
        <n v="52.0"/>
        <n v="51.0"/>
        <n v="23895.0"/>
        <n v="31830.0"/>
        <n v="61538.0"/>
        <n v="320.0"/>
        <n v="220500.0"/>
        <n v="410.0"/>
        <n v="44931.66"/>
        <n v="206706.4"/>
        <n v="107076.0"/>
        <n v="69599.0"/>
        <n v="44715.77"/>
        <n v="31860.0"/>
        <n v="4779.0"/>
        <n v="34098.99"/>
        <n v="55.78"/>
        <n v="105000.0"/>
        <n v="41.0"/>
        <n v="220059.0"/>
        <n v="2200.0"/>
        <n v="22200.0"/>
        <n v="249.0"/>
        <n v="139208.18"/>
        <n v="45822.1"/>
        <n v="5963.0"/>
        <n v="61537.47"/>
        <n v="32675.0"/>
        <n v="1633.54"/>
        <n v="68415.92"/>
        <n v="103550.0"/>
        <n v="40821.72"/>
        <n v="310.0"/>
        <n v="74639.0"/>
        <n v="147680.0"/>
        <n v="54937.0"/>
        <n v="105163.8"/>
        <n v="223133.0"/>
        <n v="42246.56"/>
        <n v="3853.0"/>
        <n v="12803.0"/>
        <n v="64567.87"/>
        <n v="27228.5"/>
        <n v="330.0"/>
        <n v="27721.0"/>
        <n v="151.12"/>
        <n v="39376.0"/>
        <n v="187425.0"/>
        <n v="1298311.58"/>
        <n v="80.0"/>
        <n v="67086.0"/>
        <n v="64725.0"/>
        <n v="16740.0"/>
        <n v="189364.13"/>
        <n v="14.0"/>
        <n v="302.0"/>
        <n v="32412.0"/>
        <n v="62.0"/>
        <n v="198.0"/>
        <n v="19565.0"/>
        <n v="275.0"/>
        <n v="88784.19"/>
        <n v="539470.0"/>
        <n v="13010.0"/>
        <n v="39686.0"/>
        <n v="152745.65"/>
        <n v="11.94"/>
        <n v="8.06"/>
        <n v="2499654.49"/>
        <n v="282.0"/>
        <n v="105.0"/>
        <n v="19670.0"/>
        <n v="223.0"/>
        <n v="278.0"/>
        <n v="27781.08"/>
        <n v="22708.0"/>
        <n v="16898.68"/>
        <n v="63.0"/>
        <n v="28384.0"/>
        <n v="1203.0"/>
        <n v="207.0"/>
        <n v="106.0"/>
        <n v="72849.0"/>
        <n v="103.0"/>
        <n v="1541764.04"/>
        <n v="94080.0"/>
        <n v="19880.0"/>
        <n v="10465.0"/>
        <n v="354.0"/>
        <n v="28633.92"/>
        <n v="34.0"/>
        <n v="400.0"/>
        <n v="174.0"/>
        <n v="33.5"/>
        <n v="68000.0"/>
        <n v="40428.23"/>
        <n v="64.0"/>
        <n v="55.0"/>
        <n v="23.0"/>
        <n v="650.0"/>
        <n v="47040.0"/>
        <n v="36654.4"/>
        <n v="182461.0"/>
        <n v="162503.52"/>
        <n v="59300.0"/>
        <n v="885.0"/>
        <n v="191167.2"/>
        <n v="83567.0"/>
        <n v="27928.95"/>
        <n v="61390.52"/>
        <n v="265346.29"/>
        <n v="700.0"/>
        <n v="390.0"/>
        <n v="240537.0"/>
        <n v="73.0"/>
        <n v="167763.83"/>
        <n v="18372.9"/>
        <n v="79600.0"/>
        <n v="45000.0"/>
        <n v="24500.0"/>
        <n v="28276.74"/>
        <n v="21577.54"/>
        <m/>
      </sharedItems>
    </cacheField>
    <cacheField name="Moneda" numFmtId="0">
      <sharedItems containsBlank="1">
        <s v="USD"/>
        <s v="VES"/>
        <m/>
      </sharedItems>
    </cacheField>
    <cacheField name="Metodo de Pago" numFmtId="0">
      <sharedItems containsBlank="1">
        <s v="Efectivo USD"/>
        <s v="Bancamiga"/>
        <s v="Venezuela"/>
        <s v="Efectivo VES"/>
        <s v="Conciliacion"/>
        <s v="Zelle"/>
        <s v="Binance"/>
        <s v="Efectivo"/>
        <s v="Provincial"/>
        <m/>
      </sharedItems>
    </cacheField>
    <cacheField name="Cliente">
      <sharedItems containsBlank="1" containsMixedTypes="1" containsNumber="1" containsInteger="1">
        <s v="FREDI MARQUEZ"/>
        <s v="ZIP MARKET, CA"/>
        <s v="E&amp;M CAR SHOP C.A"/>
        <s v="EMPRENDIMIENTO IRMA RODRIGUEZ 6"/>
        <s v="Angel ARMAS"/>
        <s v="Ricardo A. Fernandez."/>
        <s v="Ferretería JJ Martins c.a"/>
        <s v="ALIPLUS TRASPORTE Y EQUIPOS, CA"/>
        <s v="INVERSIONES IRETE SUKA, C.A"/>
        <s v="Rawy Xavier Melendez Caripa"/>
        <s v="Jesus luciani Russiani."/>
        <s v="Ruben Dario Fernandez"/>
        <s v="EMPRENDIMIENTO TOMAS MARCANO 5"/>
        <s v="Multiservicios Sanahuja 36 C.A"/>
        <s v="HIDRAULICAS CAICEDO C.A."/>
        <s v="GARAJE Y TALLERES FRIDELBA, C.A"/>
        <s v="Auto repuestos Fontalvo"/>
        <s v="Autoelectronica Oranel, C.A."/>
        <s v="JOSE STURCHIO CAPPELLANIA"/>
        <s v="Motolavado Yahir"/>
        <s v="AGROPECUARIA EL TORO DORADO, C.A"/>
        <s v="Turismo Apureño Turapca, C.A"/>
        <s v="Coffee Party, C.A."/>
        <s v="Williams Bastidas"/>
        <s v="Junior Marco Antonio Vivas Navas"/>
        <s v="Jose Lopez Espinoza"/>
        <s v="Auto Repuestos Acal C.A"/>
        <s v="Moises Alejandro Mares"/>
        <s v="AUTO ACCESORIOS VZLA, C.A."/>
        <s v="Diana Carolina Torres"/>
        <s v="Comercial Rio Paraguas C.A"/>
        <s v="Autorepuestos las 24 horas"/>
        <s v="Inversiones Famasa, C.A"/>
        <s v="ESTACIONAMIENTO CIACORE 2000 c.a"/>
        <s v="Distribuidora Nesmari 2050 c.a"/>
        <s v="Corporación Lubricantes 7ma Av.C.A"/>
        <s v="Nyekel Quevedo"/>
        <s v="ESTACIONAMIENTO CIACORE 2000"/>
        <s v="ACCESORIOS Y REPUESTOS MOTO CAR 20-11-C.A"/>
        <s v="Jose Angel Gutierrez Rodriguez"/>
        <s v="Moto repuestos jj"/>
        <s v="AUTOREPUESTOS SION C.A."/>
        <s v="Inversiones Brayan CT C.A"/>
        <s v="Pidelo Y Punto,c.a."/>
        <s v="Neykel Quevedo"/>
        <s v="Anthony Jose Quijada Diaz."/>
        <s v="Emprendimiento Yeizon Villaroel"/>
        <s v="Moto Repuestos Sanz 11. C.A."/>
        <s v="Paola M. Aguilera Z."/>
        <s v="Motorepuestos HD 94, C.A"/>
        <s v="Grupo 3030, C.A"/>
        <s v="Dimas Ortíz"/>
        <s v="VAL VAL 16 C.A"/>
        <s v="AREA58 2022, C.A."/>
        <s v="Pedro Castro"/>
        <s v="INVERSIONES JOSCAR XXI, S.A."/>
        <s v="Inversiones maxgad &amp; ef"/>
        <s v="DISTRIBUIDORA PINOS 181297 C.A"/>
        <s v="Jhonny Bolivar"/>
        <s v="Agropecuaria Leche Miel"/>
        <s v="TorniRepuesto BA 2015, C.A"/>
        <s v="EMPRENDIMIENTO HECTOR LLAMOZA"/>
        <s v="Emprendimiento Tomas Paz"/>
        <s v="Autoasesorio maxi motor"/>
        <s v="Montura de Cauchos Biondo,c.a."/>
        <s v="Yulendri Carolina Pineda Blanco"/>
        <s v="SJMG 2012 C.A"/>
        <s v="Devenalsa Deshidratadora Venezolana de Alimentos, S.A."/>
        <s v="Emprendimiento YSKRA"/>
        <s v="Megacar2020.c.a"/>
        <s v="Inversiones La Bendición del Nazareno, C.A"/>
        <s v="ALI ALEXANDER MORENO FIGUEREDO"/>
        <s v="Benefit c.a"/>
        <s v="Barrios Rodríguez Marlon Enrique"/>
        <s v="Cauchos California, C.A"/>
        <s v="Jose Brea"/>
        <s v="CONSTRUCTORA GRANO AGREGADO, C.A"/>
        <s v="MOTOREPUESTOS EL GUANÁBANO YRM C.A."/>
        <s v="Multiservicios Arizona, C.A."/>
        <s v="La cámara perfecta"/>
        <s v="Encamotors Catia C.A"/>
        <s v="Miguel Antonio Chacon"/>
        <s v="MOTO REPUESTOS LA FLECHA, C.A."/>
        <s v="Inversiones Trip K, c.a."/>
        <s v="Emprendimiento José Sánchez 203 c.a"/>
        <s v="ADS SERVICE C.A"/>
        <s v="Wuilliams bastidas"/>
        <s v="Victor Ordaz"/>
        <s v="Comercial los de faria,c.a."/>
        <s v="Jose Becerra"/>
        <s v="Auto Servicios HN 6972, C.A"/>
        <s v="Katiuska Alejandra Curvelo"/>
        <s v="Servicios Nicolazzo 97, C.A"/>
        <s v="Frenos Elite, C.A"/>
        <s v="Comercializadora Garabote"/>
        <s v="EN LA VIA 2023 C.A"/>
        <s v="SUPLIPARTES PARAISO, C.A"/>
        <s v="Javier Cardenas Prato."/>
        <s v="Ruta 8 Autopartes,c.a."/>
        <s v="INVERSIONES ARCOSOL 21, C.A."/>
        <s v="Inversiones Vercris 17 C.A"/>
        <n v="8.0"/>
        <s v="TALLER TNMCAR, C.A"/>
        <s v="SERVICIOS Y MANTENIMIENTO SPACARS, C.A"/>
        <s v="INVERSIONES MI 'LINDA YEMAIRE 2019, C.A"/>
        <s v="EMPRENDIMIENTO MARTIN BASTIDAS 2"/>
        <s v="DISTRIBUIDORA MULTIAHORRO C.A."/>
        <s v="INVERSIONES MI  'LINDA YEMAIRE 2019, C.A"/>
        <s v="MULTISERVICIOS RECAM13, C.A."/>
        <s v="MOTOS Y REPUESTOS DOS RUEDAS, C.A."/>
        <s v="Emprendimiento Jordy Valencia"/>
        <s v="Jose Alzolay"/>
        <s v="Carlos Bravo"/>
        <s v="Edgar salas"/>
        <s v="LOGISTICA Y CONSULTORIA VINCARS, C.A."/>
        <s v="INVERSIONES R&amp;C 1817,  c.a."/>
        <s v="Cauchos y Suministros Camacho C.A"/>
        <s v="Alexander Quiroz"/>
        <s v="Constructora  Campo Urbano,c.a."/>
        <s v="inversiones El Gran Charles C.A"/>
        <s v="Multiservicios Gre-orio2022 c.a"/>
        <s v="Repuestos Guia Dios Nuestro Camino,c.a."/>
        <s v="Inversiones DSM 2706, c.a."/>
        <s v="ELIVAN2025, C.A"/>
        <s v="Vianney García"/>
        <s v="Braulio R. Cedeño Gonzalez."/>
        <s v="Marlene Herrera"/>
        <s v="Inversiones Air Brakes, C.A"/>
        <s v="M.L.P Repuestos y Otros, C.A"/>
        <s v="Inversiones Dekamalbaz, C.A"/>
        <s v="INVERSIONES SMALUM 21, C.A."/>
        <s v="Global Ferre 888 C.A"/>
        <s v="Manuel Emilio Reyes"/>
        <s v="Ramon Alvarez Mota"/>
        <s v="HP Repuestos 2007 C.A"/>
        <s v="Alexis Rodríguez Fernández"/>
        <s v="PROYECTO MAQUIVEIRO 21 C.A."/>
        <s v="Javier gregorio Espinoza"/>
        <s v="DISTRIBUIDORA E.P.L.C  2017, c.a."/>
        <s v="Kiosco Willianny 1013, C.A"/>
        <s v="Servicios de Gruas Torgil 300, c.a."/>
        <s v="En ascenso 2011,c.a."/>
        <s v="SPEED RACING, CA"/>
        <s v="Franklin J. Mijares S."/>
        <s v="WILLY MOTOR CAR REPUESTOS Y SERVICIOS, C.A."/>
        <s v="Cauchera William 2018, C.A"/>
        <s v="Moto Bestia, C.A"/>
        <s v="Autorepuestos Pitstop,c.a."/>
        <s v="EMPRENDIMIENTO MANUEL GÓMEZ 6"/>
        <s v="Ingrit Martinez"/>
        <s v="Emprendimiento ilaris cancelo"/>
        <s v="Inversiones Mirelkys C.A"/>
        <s v="Kervin baez"/>
        <s v="Abraham almenar"/>
        <s v="Sergio Ibrain Rumbo Mundaray"/>
        <s v="ERICH GILBERTO CASERES MELENDEZ"/>
        <s v="Wili Mervin León Romero"/>
        <s v="Josefina Guevera"/>
        <s v="Jorge Luis camacaro"/>
        <s v="Nemer Bourji"/>
        <s v="Inversiones Los compadres 7686, c.a."/>
        <s v="CAUCHOS Y ACCESORIOS LA CAMPIÑA, C.A."/>
        <s v="MARTIN RAMON DIAZ BOLIVAR"/>
        <s v="Cooperativa Dios mi Amparo, R.L."/>
        <s v="CENTRO MOTRIZ GUADALUPE, C.A."/>
        <s v="INVERSIONES F-250, C.A"/>
        <s v="Multiservicio Tocome, C.A"/>
        <s v="JOSE RAFAEL MARTÍNEZ"/>
        <s v="Jhon Morales"/>
        <s v="Felipe Granja"/>
        <s v="MOTO REPUESTO GARCIA 2023, C.A."/>
        <s v="LUBRIREPUESTOS PANORAMA, C.A."/>
        <s v="Auto Partes Y Repuestos Encava Express,c.a."/>
        <s v="INVERSIONES JOSCAR  XXI, S.A."/>
        <s v="Antonio Terán"/>
        <s v="NAUDY MARTINEZ"/>
        <s v="CLUDE CARVALHO DE ACOSTA"/>
        <s v="Inversiones García GL C.A"/>
        <s v="Automecanica Marilu 2014, C.A"/>
        <s v="Emprendimiento Eduardo Pérez 6"/>
        <s v="Jefferson rosales"/>
        <s v="Distribuidora El Frenazo"/>
        <s v="MOTO MARCE 21, CA"/>
        <s v="INVERSIONES BECLA PARTS C.A."/>
        <s v="Yeifri Alexander Marquez Zerpa"/>
        <s v="Multiservicios gochi express 2024, c.a"/>
        <s v="Luis Zambrano"/>
        <s v="AUTOPERIQUITO EL PEQUEÑO CHAMOY, C.A."/>
        <s v="Lubricantes BK C.A"/>
        <s v="Inversiones tydelmarojg"/>
        <s v="Joel Duque"/>
        <s v="PROYECTOS Y DESARROLLO TOMTOM,C.A."/>
        <s v="José Gregorio Hernández"/>
        <s v="Alejandro Zorrilla"/>
        <s v="Sandra Katherine Quintero Crespo"/>
        <s v="Autorepuestos el Florin,c.a."/>
        <s v="Lubristation, C.A."/>
        <s v="Hector Griman"/>
        <s v="Desarrollo Agrario Integral DAI Los Pucheros 13, C. A."/>
        <s v="Comercializadora Dimon c.a"/>
        <s v="Inversiones Marfran 2025, C. A."/>
        <s v="TERA INGENIERIA Y SERVICIOS INDUSTRIALES, C.A"/>
        <s v="TALLER Y REPUESTOS CHOPPERS, C.A."/>
        <s v="LA CASA DE LAS BATERIAS"/>
        <s v="GASOLVEN DISTRIBUIDORA, C.A"/>
        <s v="ELENA MEJIAS"/>
        <s v="CAUCHOS NUÑEZ, C.A."/>
        <s v="Rhino Toyo Parts, C.A."/>
        <s v="Juan antonio salaverria herrera"/>
        <s v="Multiservicio SOS Cars, C.A"/>
        <s v="INVERSIONES DA &amp; JE,"/>
        <s v="Autopartes Munich PH 168 C.A."/>
        <s v="COMERCIAL REPUESTOS MUNDIALES RMS 2022 C.A."/>
        <s v="Video Electrónica Fermat, C.A"/>
        <s v="INVERSIONES SM 2191, C.A."/>
        <s v="Comercializadora El Fénix de Catia"/>
        <s v="Asociación Cooperativa la Esquina del Lubricante 9999 R.L"/>
        <s v="Comercializadora Estoril 25,c.a."/>
        <s v="REPRESENTACIONES LAGUS MEL, C. A"/>
        <s v="Melany Madrid"/>
        <s v="DIADOMHAN AUTOMOTRIZ, C.A."/>
        <s v="INVERSIONES R&amp;C 1817, c.a."/>
        <s v="EMPRENDIMIENTO FRANCISCO VEGAS 3"/>
        <s v="Cauchera El Gordo 0410,c.a."/>
        <s v="Luis Eduardo Piñero Calcurian"/>
        <s v="Carlos Eduardo Ascension Matos"/>
        <s v="Carlos Ruiz"/>
        <s v="AGROPECUARIA LECHE Y MIEL, C.A"/>
        <m/>
      </sharedItems>
    </cacheField>
    <cacheField name="Tasa BCV" numFmtId="165">
      <sharedItems containsString="0" containsBlank="1" containsNumber="1">
        <n v="414.0455"/>
        <n v="419.9873"/>
        <n v="421.8772"/>
        <n v="427.9302"/>
        <n v="501.73"/>
        <n v="431.0113"/>
        <n v="433.1664"/>
        <n v="438.205"/>
        <n v="440.9657"/>
        <n v="510.34"/>
        <n v="443.2587"/>
        <n v="511.34"/>
        <n v="514.97"/>
        <n v="451.5072"/>
        <n v="520.64"/>
        <n v="457.0757"/>
        <n v="527.79"/>
        <n v="459.4525"/>
        <n v="533.4565"/>
        <n v="455.254"/>
        <n v="462.6687"/>
        <n v="540.1704"/>
        <n v="468.5145"/>
        <n v="541.1904"/>
        <n v="471.7004"/>
        <n v="543.9413"/>
        <n v="527.7944"/>
        <n v="542.6382"/>
        <n v="481.6989"/>
        <n v="545.9483"/>
        <n v="473.9176"/>
        <n v="474.0598"/>
        <n v="550.8954"/>
        <n v="474.5338"/>
        <n v="475.9583"/>
        <n v="549.6986"/>
        <n v="476.4342"/>
        <n v="556.6609"/>
        <n v="477.1488"/>
        <n v="560.0486"/>
        <n v="477.6259"/>
        <n v="480.2572"/>
        <n v="567.68"/>
        <n v="478.5811"/>
        <n v="479.7775"/>
        <n v="481.2177"/>
        <n v="482.7586"/>
        <n v="483.3379"/>
        <n v="483.8695"/>
        <n v="484.7404"/>
        <n v="485.2251"/>
        <n v="486.1955"/>
        <n v="483.3397"/>
        <n v="487.1192"/>
        <n v="569.7638"/>
        <n v="574.0377"/>
        <n v="489.5547"/>
        <n v="490.0442"/>
        <n v="493.3765"/>
        <n v="496.8301"/>
        <n v="499.8608"/>
        <n v="500.4606"/>
        <n v="504.9146"/>
        <n v="508.6004"/>
        <n v="510.7873"/>
        <n v="515.18"/>
        <n v="517.9619"/>
        <n v="520.9142"/>
        <n v="523.675"/>
        <n v="526.8694"/>
        <n v="530.5047"/>
        <n v="535.3853"/>
        <n v="538.3853"/>
        <n v="544.5794"/>
        <n v="540.0431"/>
        <n v="549.3716"/>
        <n v="557.9741"/>
        <n v="544.9741"/>
        <n v="554.4258"/>
        <n v="558.6436"/>
        <n v="560.3753"/>
        <n v="563.2892"/>
        <n v="567.6828"/>
        <n v="572.67"/>
        <n v="572.6784"/>
        <n v="577.5461"/>
        <n v="582.6862"/>
        <n v="587.4059"/>
        <n v="572.6748"/>
        <n v="592.5163"/>
        <n v="596.7824"/>
        <n v="602.3324"/>
        <n v="607.3919"/>
        <n v="607.33919"/>
        <n v="612.4332"/>
        <n v="617.6388"/>
        <m/>
      </sharedItems>
    </cacheField>
    <cacheField name="Tasa  Real" numFmtId="0">
      <sharedItems containsString="0" containsBlank="1">
        <m/>
      </sharedItems>
    </cacheField>
    <cacheField name="Monto $ BCV" numFmtId="2">
      <sharedItems containsSemiMixedTypes="0" containsString="0" containsNumber="1">
        <n v="260.0"/>
        <n v="35.33"/>
        <n v="396.47317906993857"/>
        <n v="246.0"/>
        <n v="195.0"/>
        <n v="68.91196274532622"/>
        <n v="86.70221035218145"/>
        <n v="130.99999930396257"/>
        <n v="65.0"/>
        <n v="48.0"/>
        <n v="1893.1200111550663"/>
        <n v="159.99817437044305"/>
        <n v="36.0"/>
        <n v="37.659595746335825"/>
        <n v="66.0"/>
        <n v="129.98"/>
        <n v="132.48"/>
        <n v="240.16602494209363"/>
        <n v="399.5356037151703"/>
        <n v="14.999804435405014"/>
        <n v="146.0"/>
        <n v="30.0"/>
        <n v="126.0"/>
        <n v="175.0"/>
        <n v="50.0"/>
        <n v="80.16871048789477"/>
        <n v="129.92"/>
        <n v="61.94126451808485"/>
        <n v="53.65001902310711"/>
        <n v="93.13711428276046"/>
        <n v="197.0"/>
        <n v="110.03"/>
        <n v="99.01"/>
        <n v="36.08"/>
        <n v="972.03"/>
        <n v="124.0"/>
        <n v="72.0"/>
        <n v="51.83549487346956"/>
        <n v="20.0"/>
        <n v="100.0"/>
        <n v="119.48"/>
        <n v="99.89018482885803"/>
        <n v="84.28992827662871"/>
        <n v="96.0"/>
        <n v="1.8946771697464013"/>
        <n v="35.0"/>
        <n v="94.0"/>
        <n v="44.0"/>
        <n v="34.930824995365235"/>
        <n v="108.0"/>
        <n v="67.0"/>
        <n v="247.88"/>
        <n v="502.4497507583597"/>
        <n v="100.00000000000001"/>
        <n v="110.0"/>
        <n v="50.004239971412886"/>
        <n v="25.004746817635436"/>
        <n v="86.0525972807179"/>
        <n v="70.0"/>
        <n v="115.92"/>
        <n v="64.8"/>
        <n v="49.999599607024834"/>
        <n v="157.44616702765768"/>
        <n v="20.001870115732512"/>
        <n v="4.0"/>
        <n v="345.0"/>
        <n v="0.6025942062502004"/>
        <n v="128.0"/>
        <n v="90.0"/>
        <n v="38.0"/>
        <n v="143.0"/>
        <n v="63.30214366379303"/>
        <n v="50.214425461303826"/>
        <n v="681.0"/>
        <n v="107.0"/>
        <n v="500.0"/>
        <n v="220.0"/>
        <n v="60.0"/>
        <n v="44.660007555766896"/>
        <n v="102.20001081448329"/>
        <n v="14.73445860939454"/>
        <n v="1177.3896164465104"/>
        <n v="300.0"/>
        <n v="76.56478384197372"/>
        <n v="49.48284845279499"/>
        <n v="78.62019474738442"/>
        <n v="502.4907324507575"/>
        <n v="46.0"/>
        <n v="113.05919549170177"/>
        <n v="3457.96"/>
        <n v="6802.37"/>
        <n v="72.00074587599022"/>
        <n v="149.99998955244996"/>
        <n v="25.0"/>
        <n v="68.0"/>
        <n v="71.0"/>
        <n v="200.0"/>
        <n v="99.00002319356113"/>
        <n v="21.260230002449052"/>
        <n v="210.0"/>
        <n v="514.93"/>
        <n v="40.0"/>
        <n v="22.0"/>
        <n v="250.0"/>
        <n v="24.0"/>
        <n v="150.0"/>
        <n v="252.0"/>
        <n v="75.0"/>
        <n v="3991.560009369363"/>
        <n v="317.6741321186326"/>
        <n v="101.23959178648737"/>
        <n v="100.15592728154455"/>
        <n v="116.81780880130722"/>
        <n v="160.0"/>
        <n v="1.0005000428785733"/>
        <n v="161.0"/>
        <n v="98.0"/>
        <n v="71.23001019557186"/>
        <n v="85.0"/>
        <n v="141.0"/>
        <n v="62.06837907807354"/>
        <n v="94.03001502675457"/>
        <n v="119.0"/>
        <n v="217.99999793332705"/>
        <n v="140.0"/>
        <n v="170.0001756671995"/>
        <n v="255.0"/>
        <n v="82.0031020760763"/>
        <n v="134.0"/>
        <n v="81.0"/>
        <n v="266.47854431825107"/>
        <n v="49.99995874080229"/>
        <n v="606.31944438714"/>
        <n v="51.7657905138503"/>
        <n v="91.89855023431099"/>
        <n v="309.13487369058197"/>
        <n v="127.23867747154877"/>
        <n v="104.83175746679221"/>
        <n v="61.70357397384386"/>
        <n v="538.1556698115218"/>
        <n v="180.0"/>
        <n v="565.0"/>
        <n v="26.0"/>
        <n v="713.0517045098114"/>
        <n v="47.4545722583649"/>
        <n v="116.96599107569564"/>
        <n v="188.0"/>
        <n v="111.0"/>
        <n v="39.0"/>
        <n v="226.0"/>
        <n v="360.0"/>
        <n v="61.58656854420848"/>
        <n v="259.32593090151244"/>
        <n v="20.001270701999672"/>
        <n v="133.0"/>
        <n v="51.32339654792406"/>
        <n v="39.9996159775404"/>
        <n v="263.3839282923849"/>
        <n v="2042.6726574170361"/>
        <n v="1270.1133499484326"/>
        <n v="800.0"/>
        <n v="172.0"/>
        <n v="28.0"/>
        <n v="76.0"/>
        <n v="135.0"/>
        <n v="49.0"/>
        <n v="190.0"/>
        <n v="900.0"/>
        <n v="97.93405239203732"/>
        <n v="5.818862471155395"/>
        <n v="51.99161644996951"/>
        <n v="264.09027955431844"/>
        <n v="30.182953891078657"/>
        <n v="426.50749968791314"/>
        <n v="783.2080451197613"/>
        <n v="230.0"/>
        <n v="91.0"/>
        <n v="237.47244038791467"/>
        <n v="1.1774553281517066"/>
        <n v="185.0"/>
        <n v="237.80173703983888"/>
        <n v="436.1599961656882"/>
        <n v="117.0"/>
        <n v="600.0"/>
        <n v="100.72990561176088"/>
        <n v="10.0"/>
        <n v="130.0"/>
        <n v="101.70066716424132"/>
        <n v="675.0"/>
        <n v="555.2912070065223"/>
        <n v="48.35759075297621"/>
        <n v="19.110342015159734"/>
        <n v="202.5069926366611"/>
        <n v="120.0"/>
        <n v="104.5444943521501"/>
        <n v="15.0"/>
        <n v="29.15730285384934"/>
        <n v="101.0"/>
        <n v="58.04978842346365"/>
        <n v="480.0"/>
        <n v="290.84749283682834"/>
        <n v="17.0"/>
        <n v="225.0"/>
        <n v="129.3295124602794"/>
        <n v="12.76107373920746"/>
        <n v="109.0"/>
        <n v="56.0"/>
        <n v="113.0"/>
        <n v="53.0"/>
        <n v="3.0"/>
        <n v="58.0"/>
        <n v="32.0"/>
        <n v="1909.5813242946485"/>
        <n v="1329.2306869718816"/>
        <n v="1412.9216021387313"/>
        <n v="191.0"/>
        <n v="213.0"/>
        <n v="294.00375121424776"/>
        <n v="49.99952260466893"/>
        <n v="57.52823679036209"/>
        <n v="52.0"/>
        <n v="51.0"/>
        <n v="45.042013765382286"/>
        <n v="59.99946843072267"/>
        <n v="115.99897229939717"/>
        <n v="320.0"/>
        <n v="411.8529216248559"/>
        <n v="410.0"/>
        <n v="83.92397026963572"/>
        <n v="386.08904652406403"/>
        <n v="199.99802011747425"/>
        <n v="129.27358900772364"/>
        <n v="83.05533230569259"/>
        <n v="60.05601835384305"/>
        <n v="9.008402753076458"/>
        <n v="64.72000461594466"/>
        <n v="55.78"/>
        <n v="199.29037442675545"/>
        <n v="41.0"/>
        <n v="407.4841433952216"/>
        <n v="4.109190147730989"/>
        <n v="41.465464218012706"/>
        <n v="249.0"/>
        <n v="257.77235187339676"/>
        <n v="84.84896853602982"/>
        <n v="11.04171130044991"/>
        <n v="112.99999596018506"/>
        <n v="60.000433361967055"/>
        <n v="2.999636049398857"/>
        <n v="125.63075283420564"/>
        <n v="190.14674444167372"/>
        <n v="74.96008846460224"/>
        <n v="310.0"/>
        <n v="135.86250181116026"/>
        <n v="268.8162256658335"/>
        <n v="99.99970875815205"/>
        <n v="191.4256215647114"/>
        <n v="406.16042037848337"/>
        <n v="76.89978877684977"/>
        <n v="3853.0"/>
        <n v="25.3567633021505"/>
        <n v="115.71839983253703"/>
        <n v="48.79886001877148"/>
        <n v="330.0"/>
        <n v="49.681517475452715"/>
        <n v="0.2708369438653156"/>
        <n v="70.56958378534057"/>
        <n v="335.90268795630476"/>
        <n v="2464.200008578976"/>
        <n v="80.0"/>
        <n v="120.23138708409583"/>
        <n v="116.00000788567067"/>
        <n v="30.00139253775399"/>
        <n v="339.37799263442514"/>
        <n v="14.0"/>
        <n v="1000.0"/>
        <n v="302.0"/>
        <n v="58.08871773797386"/>
        <n v="62.0"/>
        <n v="198.0"/>
        <n v="35.02232908423188"/>
        <n v="275.0"/>
        <n v="158.92814309516837"/>
        <n v="965.678296502457"/>
        <n v="23.216583600312145"/>
        <n v="70.82039483182074"/>
        <n v="272.5774137439676"/>
        <n v="11.94"/>
        <n v="8.06"/>
        <n v="5141.253857758865"/>
        <n v="282.0"/>
        <n v="105.0"/>
        <n v="34.9198954995054"/>
        <n v="223.0"/>
        <n v="278.0"/>
        <n v="27781.08"/>
        <n v="40.001211944416845"/>
        <n v="29.76782104372371"/>
        <n v="63.0"/>
        <n v="49.999753383403544"/>
        <n v="1203.0"/>
        <n v="207.0"/>
        <n v="106.0"/>
        <n v="144.27984455193015"/>
        <n v="103.0"/>
        <n v="2715.890000542556"/>
        <n v="164.28068528514433"/>
        <n v="34.71458256936805"/>
        <n v="18.27378158491747"/>
        <n v="354.0"/>
        <n v="49.99999999999999"/>
        <n v="34.0"/>
        <n v="400.0"/>
        <n v="174.0"/>
        <n v="33.5"/>
        <n v="117.73951897519522"/>
        <n v="70.00000519439054"/>
        <n v="64.0"/>
        <n v="55.0"/>
        <n v="23.0"/>
        <n v="650.0"/>
        <n v="80.72955906626929"/>
        <n v="62.400462780506636"/>
        <n v="318.611889330559"/>
        <n v="274.2599992607798"/>
        <n v="100.08163488498123"/>
        <n v="885.0"/>
        <n v="322.63618739265064"/>
        <n v="141.03747019280314"/>
        <n v="49.80638597558424"/>
        <n v="46.36800211975979"/>
        <n v="101.08111086985839"/>
        <n v="444.62820954505355"/>
        <n v="700.0"/>
        <n v="390.0"/>
        <n v="392.75630387118133"/>
        <n v="73.0"/>
        <n v="273.9300057540969"/>
        <n v="29.99984324821058"/>
        <n v="129.9733587271232"/>
        <n v="73.4774012904591"/>
        <n v="39.66719707375897"/>
        <n v="48.57207804950078"/>
        <n v="45.78200074218136"/>
        <n v="21577.54"/>
        <n v="0.0"/>
      </sharedItems>
    </cacheField>
    <cacheField name="Monto $ Real" numFmtId="0">
      <sharedItems containsSemiMixedTypes="0" containsString="0" containsNumber="1">
        <n v="260.0"/>
        <n v="35.33"/>
        <n v="0.0"/>
        <n v="246.0"/>
        <n v="195.0"/>
        <n v="65.0"/>
        <n v="48.0"/>
        <n v="36.0"/>
        <n v="66.0"/>
        <n v="129.98"/>
        <n v="132.48"/>
        <n v="146.0"/>
        <n v="30.0"/>
        <n v="126.0"/>
        <n v="175.0"/>
        <n v="50.0"/>
        <n v="129.92"/>
        <n v="197.0"/>
        <n v="110.03"/>
        <n v="99.01"/>
        <n v="36.08"/>
        <n v="972.03"/>
        <n v="124.0"/>
        <n v="72.0"/>
        <n v="20.0"/>
        <n v="119.48"/>
        <n v="96.0"/>
        <n v="35.0"/>
        <n v="94.0"/>
        <n v="44.0"/>
        <n v="108.0"/>
        <n v="67.0"/>
        <n v="247.88"/>
        <n v="100.0"/>
        <n v="110.0"/>
        <n v="70.0"/>
        <n v="115.92"/>
        <n v="64.8"/>
        <n v="4.0"/>
        <n v="345.0"/>
        <n v="128.0"/>
        <n v="90.0"/>
        <n v="38.0"/>
        <n v="143.0"/>
        <n v="681.0"/>
        <n v="107.0"/>
        <n v="500.0"/>
        <n v="220.0"/>
        <n v="60.0"/>
        <n v="300.0"/>
        <n v="46.0"/>
        <n v="3457.96"/>
        <n v="6802.37"/>
        <n v="25.0"/>
        <n v="68.0"/>
        <n v="71.0"/>
        <n v="200.0"/>
        <n v="210.0"/>
        <n v="514.93"/>
        <n v="40.0"/>
        <n v="22.0"/>
        <n v="250.0"/>
        <n v="24.0"/>
        <n v="150.0"/>
        <n v="252.0"/>
        <n v="75.0"/>
        <n v="160.0"/>
        <n v="161.0"/>
        <n v="98.0"/>
        <n v="85.0"/>
        <n v="141.0"/>
        <n v="119.0"/>
        <n v="140.0"/>
        <n v="255.0"/>
        <n v="134.0"/>
        <n v="81.0"/>
        <n v="180.0"/>
        <n v="565.0"/>
        <n v="26.0"/>
        <n v="188.0"/>
        <n v="111.0"/>
        <n v="39.0"/>
        <n v="226.0"/>
        <n v="360.0"/>
        <n v="133.0"/>
        <n v="800.0"/>
        <n v="172.0"/>
        <n v="28.0"/>
        <n v="76.0"/>
        <n v="135.0"/>
        <n v="49.0"/>
        <n v="190.0"/>
        <n v="900.0"/>
        <n v="230.0"/>
        <n v="91.0"/>
        <n v="185.0"/>
        <n v="117.0"/>
        <n v="600.0"/>
        <n v="10.0"/>
        <n v="130.0"/>
        <n v="675.0"/>
        <n v="120.0"/>
        <n v="15.0"/>
        <n v="101.0"/>
        <n v="480.0"/>
        <n v="17.0"/>
        <n v="225.0"/>
        <n v="109.0"/>
        <n v="56.0"/>
        <n v="113.0"/>
        <n v="53.0"/>
        <n v="3.0"/>
        <n v="58.0"/>
        <n v="32.0"/>
        <n v="191.0"/>
        <n v="213.0"/>
        <n v="52.0"/>
        <n v="51.0"/>
        <n v="320.0"/>
        <n v="410.0"/>
        <n v="55.78"/>
        <n v="41.0"/>
        <n v="249.0"/>
        <n v="310.0"/>
        <n v="3853.0"/>
        <n v="330.0"/>
        <n v="80.0"/>
        <n v="14.0"/>
        <n v="1000.0"/>
        <n v="302.0"/>
        <n v="62.0"/>
        <n v="198.0"/>
        <n v="275.0"/>
        <n v="11.94"/>
        <n v="8.06"/>
        <n v="282.0"/>
        <n v="105.0"/>
        <n v="223.0"/>
        <n v="278.0"/>
        <n v="27781.08"/>
        <n v="63.0"/>
        <n v="1203.0"/>
        <n v="207.0"/>
        <n v="106.0"/>
        <n v="103.0"/>
        <n v="354.0"/>
        <n v="34.0"/>
        <n v="400.0"/>
        <n v="174.0"/>
        <n v="33.5"/>
        <n v="64.0"/>
        <n v="55.0"/>
        <n v="23.0"/>
        <n v="650.0"/>
        <n v="885.0"/>
        <n v="700.0"/>
        <n v="390.0"/>
        <n v="73.0"/>
        <n v="21577.54"/>
      </sharedItems>
    </cacheField>
    <cacheField name="Monto Unificado USD" numFmtId="2">
      <sharedItems containsSemiMixedTypes="0" containsString="0" containsNumber="1">
        <n v="260.0"/>
        <n v="35.33"/>
        <n v="396.47317906993857"/>
        <n v="246.0"/>
        <n v="195.0"/>
        <n v="68.91196274532622"/>
        <n v="86.70221035218145"/>
        <n v="130.99999930396257"/>
        <n v="65.0"/>
        <n v="48.0"/>
        <n v="1893.1200111550663"/>
        <n v="159.99817437044305"/>
        <n v="36.0"/>
        <n v="37.659595746335825"/>
        <n v="66.0"/>
        <n v="129.98"/>
        <n v="132.48"/>
        <n v="240.16602494209363"/>
        <n v="399.5356037151703"/>
        <n v="14.999804435405014"/>
        <n v="146.0"/>
        <n v="30.0"/>
        <n v="126.0"/>
        <n v="175.0"/>
        <n v="50.0"/>
        <n v="80.16871048789477"/>
        <n v="129.92"/>
        <n v="61.94126451808485"/>
        <n v="53.65001902310711"/>
        <n v="93.13711428276046"/>
        <n v="197.0"/>
        <n v="110.03"/>
        <n v="99.01"/>
        <n v="36.08"/>
        <n v="972.03"/>
        <n v="124.0"/>
        <n v="72.0"/>
        <n v="51.83549487346956"/>
        <n v="20.0"/>
        <n v="100.0"/>
        <n v="119.48"/>
        <n v="99.89018482885803"/>
        <n v="84.28992827662871"/>
        <n v="96.0"/>
        <n v="1.8946771697464013"/>
        <n v="35.0"/>
        <n v="94.0"/>
        <n v="44.0"/>
        <n v="34.930824995365235"/>
        <n v="108.0"/>
        <n v="67.0"/>
        <n v="247.88"/>
        <n v="502.4497507583597"/>
        <n v="100.00000000000001"/>
        <n v="110.0"/>
        <n v="50.004239971412886"/>
        <n v="25.004746817635436"/>
        <n v="86.0525972807179"/>
        <n v="70.0"/>
        <n v="115.92"/>
        <n v="64.8"/>
        <n v="49.999599607024834"/>
        <n v="157.44616702765768"/>
        <n v="20.001870115732512"/>
        <n v="4.0"/>
        <n v="345.0"/>
        <n v="0.6025942062502004"/>
        <n v="128.0"/>
        <n v="90.0"/>
        <n v="38.0"/>
        <n v="143.0"/>
        <n v="63.30214366379303"/>
        <n v="50.214425461303826"/>
        <n v="681.0"/>
        <n v="107.0"/>
        <n v="500.0"/>
        <n v="220.0"/>
        <n v="60.0"/>
        <n v="44.660007555766896"/>
        <n v="102.20001081448329"/>
        <n v="14.73445860939454"/>
        <n v="1177.3896164465104"/>
        <n v="300.0"/>
        <n v="76.56478384197372"/>
        <n v="49.48284845279499"/>
        <n v="78.62019474738442"/>
        <n v="502.4907324507575"/>
        <n v="46.0"/>
        <n v="113.05919549170177"/>
        <n v="3457.96"/>
        <n v="6802.37"/>
        <n v="72.00074587599022"/>
        <n v="149.99998955244996"/>
        <n v="25.0"/>
        <n v="68.0"/>
        <n v="71.0"/>
        <n v="200.0"/>
        <n v="99.00002319356113"/>
        <n v="21.260230002449052"/>
        <n v="210.0"/>
        <n v="514.93"/>
        <n v="40.0"/>
        <n v="22.0"/>
        <n v="250.0"/>
        <n v="24.0"/>
        <n v="150.0"/>
        <n v="252.0"/>
        <n v="75.0"/>
        <n v="3991.560009369363"/>
        <n v="317.6741321186326"/>
        <n v="101.23959178648737"/>
        <n v="100.15592728154455"/>
        <n v="116.81780880130722"/>
        <n v="160.0"/>
        <n v="1.0005000428785733"/>
        <n v="161.0"/>
        <n v="98.0"/>
        <n v="71.23001019557186"/>
        <n v="85.0"/>
        <n v="141.0"/>
        <n v="62.06837907807354"/>
        <n v="94.03001502675457"/>
        <n v="119.0"/>
        <n v="217.99999793332705"/>
        <n v="140.0"/>
        <n v="170.0001756671995"/>
        <n v="255.0"/>
        <n v="82.0031020760763"/>
        <n v="134.0"/>
        <n v="81.0"/>
        <n v="266.47854431825107"/>
        <n v="49.99995874080229"/>
        <n v="606.31944438714"/>
        <n v="51.7657905138503"/>
        <n v="91.89855023431099"/>
        <n v="309.13487369058197"/>
        <n v="127.23867747154877"/>
        <n v="104.83175746679221"/>
        <n v="61.70357397384386"/>
        <n v="538.1556698115218"/>
        <n v="180.0"/>
        <n v="565.0"/>
        <n v="26.0"/>
        <n v="713.0517045098114"/>
        <n v="47.4545722583649"/>
        <n v="116.96599107569564"/>
        <n v="188.0"/>
        <n v="111.0"/>
        <n v="39.0"/>
        <n v="226.0"/>
        <n v="360.0"/>
        <n v="61.58656854420848"/>
        <n v="259.32593090151244"/>
        <n v="20.001270701999672"/>
        <n v="133.0"/>
        <n v="51.32339654792406"/>
        <n v="39.9996159775404"/>
        <n v="263.3839282923849"/>
        <n v="2042.6726574170361"/>
        <n v="1270.1133499484326"/>
        <n v="800.0"/>
        <n v="172.0"/>
        <n v="28.0"/>
        <n v="76.0"/>
        <n v="135.0"/>
        <n v="49.0"/>
        <n v="190.0"/>
        <n v="900.0"/>
        <n v="97.93405239203732"/>
        <n v="5.818862471155395"/>
        <n v="51.99161644996951"/>
        <n v="264.09027955431844"/>
        <n v="30.182953891078657"/>
        <n v="426.50749968791314"/>
        <n v="783.2080451197613"/>
        <n v="230.0"/>
        <n v="91.0"/>
        <n v="237.47244038791467"/>
        <n v="1.1774553281517066"/>
        <n v="185.0"/>
        <n v="237.80173703983888"/>
        <n v="436.1599961656882"/>
        <n v="117.0"/>
        <n v="600.0"/>
        <n v="100.72990561176088"/>
        <n v="10.0"/>
        <n v="130.0"/>
        <n v="101.70066716424132"/>
        <n v="675.0"/>
        <n v="555.2912070065223"/>
        <n v="48.35759075297621"/>
        <n v="19.110342015159734"/>
        <n v="202.5069926366611"/>
        <n v="120.0"/>
        <n v="104.5444943521501"/>
        <n v="15.0"/>
        <n v="29.15730285384934"/>
        <n v="101.0"/>
        <n v="58.04978842346365"/>
        <n v="480.0"/>
        <n v="290.84749283682834"/>
        <n v="17.0"/>
        <n v="225.0"/>
        <n v="129.3295124602794"/>
        <n v="12.76107373920746"/>
        <n v="109.0"/>
        <n v="56.0"/>
        <n v="113.0"/>
        <n v="53.0"/>
        <n v="3.0"/>
        <n v="58.0"/>
        <n v="32.0"/>
        <n v="1909.5813242946485"/>
        <n v="1329.2306869718816"/>
        <n v="1412.9216021387313"/>
        <n v="191.0"/>
        <n v="213.0"/>
        <n v="294.00375121424776"/>
        <n v="49.99952260466893"/>
        <n v="57.52823679036209"/>
        <n v="52.0"/>
        <n v="51.0"/>
        <n v="45.042013765382286"/>
        <n v="59.99946843072267"/>
        <n v="115.99897229939717"/>
        <n v="320.0"/>
        <n v="411.8529216248559"/>
        <n v="410.0"/>
        <n v="83.92397026963572"/>
        <n v="386.08904652406403"/>
        <n v="199.99802011747425"/>
        <n v="129.27358900772364"/>
        <n v="83.05533230569259"/>
        <n v="60.05601835384305"/>
        <n v="9.008402753076458"/>
        <n v="64.72000461594466"/>
        <n v="55.78"/>
        <n v="199.29037442675545"/>
        <n v="41.0"/>
        <n v="407.4841433952216"/>
        <n v="4.109190147730989"/>
        <n v="41.465464218012706"/>
        <n v="249.0"/>
        <n v="257.77235187339676"/>
        <n v="84.84896853602982"/>
        <n v="11.04171130044991"/>
        <n v="112.99999596018506"/>
        <n v="60.000433361967055"/>
        <n v="2.999636049398857"/>
        <n v="125.63075283420564"/>
        <n v="190.14674444167372"/>
        <n v="74.96008846460224"/>
        <n v="310.0"/>
        <n v="135.86250181116026"/>
        <n v="268.8162256658335"/>
        <n v="99.99970875815205"/>
        <n v="191.4256215647114"/>
        <n v="406.16042037848337"/>
        <n v="76.89978877684977"/>
        <n v="3853.0"/>
        <n v="25.3567633021505"/>
        <n v="115.71839983253703"/>
        <n v="48.79886001877148"/>
        <n v="330.0"/>
        <n v="49.681517475452715"/>
        <n v="0.2708369438653156"/>
        <n v="70.56958378534057"/>
        <n v="335.90268795630476"/>
        <n v="2464.200008578976"/>
        <n v="80.0"/>
        <n v="120.23138708409583"/>
        <n v="116.00000788567067"/>
        <n v="30.00139253775399"/>
        <n v="339.37799263442514"/>
        <n v="14.0"/>
        <n v="1000.0"/>
        <n v="302.0"/>
        <n v="58.08871773797386"/>
        <n v="62.0"/>
        <n v="198.0"/>
        <n v="35.02232908423188"/>
        <n v="275.0"/>
        <n v="158.92814309516837"/>
        <n v="965.678296502457"/>
        <n v="23.216583600312145"/>
        <n v="70.82039483182074"/>
        <n v="272.5774137439676"/>
        <n v="11.94"/>
        <n v="8.06"/>
        <n v="5141.253857758865"/>
        <n v="282.0"/>
        <n v="105.0"/>
        <n v="34.9198954995054"/>
        <n v="223.0"/>
        <n v="278.0"/>
        <n v="27781.08"/>
        <n v="40.001211944416845"/>
        <n v="29.76782104372371"/>
        <n v="63.0"/>
        <n v="49.999753383403544"/>
        <n v="1203.0"/>
        <n v="207.0"/>
        <n v="106.0"/>
        <n v="144.27984455193015"/>
        <n v="103.0"/>
        <n v="2715.890000542556"/>
        <n v="164.28068528514433"/>
        <n v="34.71458256936805"/>
        <n v="18.27378158491747"/>
        <n v="354.0"/>
        <n v="49.99999999999999"/>
        <n v="34.0"/>
        <n v="400.0"/>
        <n v="174.0"/>
        <n v="33.5"/>
        <n v="117.73951897519522"/>
        <n v="70.00000519439054"/>
        <n v="64.0"/>
        <n v="55.0"/>
        <n v="23.0"/>
        <n v="650.0"/>
        <n v="80.72955906626929"/>
        <n v="62.400462780506636"/>
        <n v="318.611889330559"/>
        <n v="274.2599992607798"/>
        <n v="100.08163488498123"/>
        <n v="885.0"/>
        <n v="322.63618739265064"/>
        <n v="141.03747019280314"/>
        <n v="49.80638597558424"/>
        <n v="46.36800211975979"/>
        <n v="101.08111086985839"/>
        <n v="444.62820954505355"/>
        <n v="700.0"/>
        <n v="390.0"/>
        <n v="392.75630387118133"/>
        <n v="73.0"/>
        <n v="273.9300057540969"/>
        <n v="29.99984324821058"/>
        <n v="129.9733587271232"/>
        <n v="73.4774012904591"/>
        <n v="39.66719707375897"/>
        <n v="48.57207804950078"/>
        <n v="45.78200074218136"/>
        <n v="21577.54"/>
        <n v="0.0"/>
      </sharedItems>
    </cacheField>
    <cacheField name="Validación Ingreso" numFmtId="0">
      <sharedItems>
        <s v="NO ENCONTRADO EN MAESTRO"/>
      </sharedItems>
    </cacheField>
    <cacheField name="Recibido" numFmtId="0">
      <sharedItems containsString="0" containsBlank="1">
        <m/>
      </sharedItems>
    </cacheField>
    <cacheField name="Validacion Orden/Cliente" numFmtId="0">
      <sharedItems containsString="0" containsBlank="1">
        <m/>
      </sharedItems>
    </cacheField>
    <cacheField name="Columna 15" numFmtId="0">
      <sharedItems containsString="0" containsBlank="1">
        <m/>
      </sharedItems>
    </cacheField>
    <cacheField name="Columna 16" numFmtId="0">
      <sharedItems containsString="0" containsBlank="1">
        <m/>
      </sharedItems>
    </cacheField>
    <cacheField name="Columna 17" numFmtId="0">
      <sharedItems containsString="0" containsBlank="1">
        <m/>
      </sharedItems>
    </cacheField>
    <cacheField name="Columna 18" numFmtId="0">
      <sharedItems containsString="0" containsBlank="1">
        <m/>
      </sharedItems>
    </cacheField>
    <cacheField name="Columna 19" numFmtId="0">
      <sharedItems containsString="0" containsBlank="1">
        <m/>
      </sharedItems>
    </cacheField>
    <cacheField name="Columna 20" numFmtId="0">
      <sharedItems containsString="0" containsBlank="1">
        <m/>
      </sharedItems>
    </cacheField>
    <cacheField name="Columna 21" numFmtId="0">
      <sharedItems containsString="0" containsBlank="1">
        <m/>
      </sharedItems>
    </cacheField>
    <cacheField name="Columna 22" numFmtId="0">
      <sharedItems containsString="0" containsBlank="1">
        <m/>
      </sharedItems>
    </cacheField>
    <cacheField name="Columna 23" numFmtId="0">
      <sharedItems containsString="0" containsBlank="1">
        <m/>
      </sharedItems>
    </cacheField>
    <cacheField name="Columna 24" numFmtId="0">
      <sharedItems containsString="0" containsBlank="1">
        <m/>
      </sharedItems>
    </cacheField>
    <cacheField name="Columna 25" numFmtId="0">
      <sharedItems containsString="0" containsBlank="1">
        <m/>
      </sharedItems>
    </cacheField>
    <cacheField name="Columna 26" numFmtId="0">
      <sharedItems containsString="0" containsBlank="1">
        <m/>
      </sharedItems>
    </cacheField>
    <cacheField name="Columna 27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Montos Reales" cacheId="0" dataCaption="" compact="0" compactData="0">
  <location ref="A1:D8" firstHeaderRow="0" firstDataRow="1" firstDataCol="1"/>
  <pivotFields>
    <pivotField name="Fecha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ro de Ord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t="default"/>
      </items>
    </pivotField>
    <pivotField name="Importe firmad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t="default"/>
      </items>
    </pivotField>
    <pivotField name="Moneda" axis="axisCol" compact="0" outline="0" multipleItemSelectionAllowed="1" showAll="0" sortType="ascending">
      <items>
        <item x="0"/>
        <item x="1"/>
        <item t="default"/>
      </items>
    </pivotField>
    <pivotField name="Metodo de Pa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t="default"/>
      </items>
    </pivotField>
    <pivotField name="Tasa BCV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Tasa  Real" compact="0" outline="0" multipleItemSelectionAllowed="1" showAll="0">
      <items>
        <item x="0"/>
        <item t="default"/>
      </items>
    </pivotField>
    <pivotField name="Monto $ BCV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t="default"/>
      </items>
    </pivotField>
    <pivotField name="Monto $ Re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Monto Unificado USD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t="default"/>
      </items>
    </pivotField>
    <pivotField name="Validación Ingreso" compact="0" outline="0" multipleItemSelectionAllowed="1" showAll="0">
      <items>
        <item x="0"/>
        <item t="default"/>
      </items>
    </pivotField>
    <pivotField name="Recibido" compact="0" outline="0" multipleItemSelectionAllowed="1" showAll="0">
      <items>
        <item x="0"/>
        <item t="default"/>
      </items>
    </pivotField>
    <pivotField name="Validacion Orden/Cliente" compact="0" outline="0" multipleItemSelectionAllowed="1" showAll="0">
      <items>
        <item x="0"/>
        <item t="default"/>
      </items>
    </pivotField>
    <pivotField name="Columna 15" compact="0" outline="0" multipleItemSelectionAllowed="1" showAll="0">
      <items>
        <item x="0"/>
        <item t="default"/>
      </items>
    </pivotField>
    <pivotField name="Columna 16" compact="0" outline="0" multipleItemSelectionAllowed="1" showAll="0">
      <items>
        <item x="0"/>
        <item t="default"/>
      </items>
    </pivotField>
    <pivotField name="Columna 17" compact="0" outline="0" multipleItemSelectionAllowed="1" showAll="0">
      <items>
        <item x="0"/>
        <item t="default"/>
      </items>
    </pivotField>
    <pivotField name="Columna 18" compact="0" outline="0" multipleItemSelectionAllowed="1" showAll="0">
      <items>
        <item x="0"/>
        <item t="default"/>
      </items>
    </pivotField>
    <pivotField name="Columna 19" compact="0" outline="0" multipleItemSelectionAllowed="1" showAll="0">
      <items>
        <item x="0"/>
        <item t="default"/>
      </items>
    </pivotField>
    <pivotField name="Columna 20" compact="0" outline="0" multipleItemSelectionAllowed="1" showAll="0">
      <items>
        <item x="0"/>
        <item t="default"/>
      </items>
    </pivotField>
    <pivotField name="Columna 21" compact="0" outline="0" multipleItemSelectionAllowed="1" showAll="0">
      <items>
        <item x="0"/>
        <item t="default"/>
      </items>
    </pivotField>
    <pivotField name="Columna 22" compact="0" outline="0" multipleItemSelectionAllowed="1" showAll="0">
      <items>
        <item x="0"/>
        <item t="default"/>
      </items>
    </pivotField>
    <pivotField name="Columna 23" compact="0" outline="0" multipleItemSelectionAllowed="1" showAll="0">
      <items>
        <item x="0"/>
        <item t="default"/>
      </items>
    </pivotField>
    <pivotField name="Columna 24" compact="0" outline="0" multipleItemSelectionAllowed="1" showAll="0">
      <items>
        <item x="0"/>
        <item t="default"/>
      </items>
    </pivotField>
    <pivotField name="Columna 25" compact="0" outline="0" multipleItemSelectionAllowed="1" showAll="0">
      <items>
        <item x="0"/>
        <item t="default"/>
      </items>
    </pivotField>
    <pivotField name="Columna 26" compact="0" outline="0" multipleItemSelectionAllowed="1" showAll="0">
      <items>
        <item x="0"/>
        <item t="default"/>
      </items>
    </pivotField>
    <pivotField name="Columna 27" compact="0" outline="0" multipleItemSelectionAllowed="1" showAll="0">
      <items>
        <item x="0"/>
        <item t="default"/>
      </items>
    </pivotField>
  </pivotFields>
  <rowFields>
    <field x="0"/>
  </rowFields>
  <colFields>
    <field x="3"/>
  </colFields>
  <dataFields>
    <dataField name="SUM de Importe firmado" fld="2" baseField="0"/>
  </dataFields>
</pivotTableDefinition>
</file>

<file path=xl/pivotTables/pivotTable2.xml><?xml version="1.0" encoding="utf-8"?>
<pivotTableDefinition xmlns="http://schemas.openxmlformats.org/spreadsheetml/2006/main" name="Montos a BCV" cacheId="1" dataCaption="" compact="0" compactData="0">
  <location ref="A1:E9" firstHeaderRow="0" firstDataRow="1" firstDataCol="1"/>
  <pivotFields>
    <pivotField name="Fecha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ro de Ord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t="default"/>
      </items>
    </pivotField>
    <pivotField name="Importe firm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t="default"/>
      </items>
    </pivotField>
    <pivotField name="Moneda" axis="axisCol" compact="0" outline="0" multipleItemSelectionAllowed="1" showAll="0" sortType="ascending">
      <items>
        <item x="2"/>
        <item x="0"/>
        <item x="1"/>
        <item t="default"/>
      </items>
    </pivotField>
    <pivotField name="Metodo de Pa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t="default"/>
      </items>
    </pivotField>
    <pivotField name="Tasa BCV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Tasa  Real" compact="0" outline="0" multipleItemSelectionAllowed="1" showAll="0">
      <items>
        <item x="0"/>
        <item t="default"/>
      </items>
    </pivotField>
    <pivotField name="Monto $ BCV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name="Monto $ Re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name="Monto Unificado USD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name="Validación Ingreso" compact="0" outline="0" multipleItemSelectionAllowed="1" showAll="0">
      <items>
        <item x="0"/>
        <item t="default"/>
      </items>
    </pivotField>
    <pivotField name="Recibido" compact="0" outline="0" multipleItemSelectionAllowed="1" showAll="0">
      <items>
        <item x="0"/>
        <item t="default"/>
      </items>
    </pivotField>
    <pivotField name="Validacion Orden/Cliente" compact="0" outline="0" multipleItemSelectionAllowed="1" showAll="0">
      <items>
        <item x="0"/>
        <item t="default"/>
      </items>
    </pivotField>
    <pivotField name="Columna 15" compact="0" outline="0" multipleItemSelectionAllowed="1" showAll="0">
      <items>
        <item x="0"/>
        <item t="default"/>
      </items>
    </pivotField>
    <pivotField name="Columna 16" compact="0" outline="0" multipleItemSelectionAllowed="1" showAll="0">
      <items>
        <item x="0"/>
        <item t="default"/>
      </items>
    </pivotField>
    <pivotField name="Columna 17" compact="0" outline="0" multipleItemSelectionAllowed="1" showAll="0">
      <items>
        <item x="0"/>
        <item t="default"/>
      </items>
    </pivotField>
    <pivotField name="Columna 18" compact="0" outline="0" multipleItemSelectionAllowed="1" showAll="0">
      <items>
        <item x="0"/>
        <item t="default"/>
      </items>
    </pivotField>
    <pivotField name="Columna 19" compact="0" outline="0" multipleItemSelectionAllowed="1" showAll="0">
      <items>
        <item x="0"/>
        <item t="default"/>
      </items>
    </pivotField>
    <pivotField name="Columna 20" compact="0" outline="0" multipleItemSelectionAllowed="1" showAll="0">
      <items>
        <item x="0"/>
        <item t="default"/>
      </items>
    </pivotField>
    <pivotField name="Columna 21" compact="0" outline="0" multipleItemSelectionAllowed="1" showAll="0">
      <items>
        <item x="0"/>
        <item t="default"/>
      </items>
    </pivotField>
    <pivotField name="Columna 22" compact="0" outline="0" multipleItemSelectionAllowed="1" showAll="0">
      <items>
        <item x="0"/>
        <item t="default"/>
      </items>
    </pivotField>
    <pivotField name="Columna 23" compact="0" outline="0" multipleItemSelectionAllowed="1" showAll="0">
      <items>
        <item x="0"/>
        <item t="default"/>
      </items>
    </pivotField>
    <pivotField name="Columna 24" compact="0" outline="0" multipleItemSelectionAllowed="1" showAll="0">
      <items>
        <item x="0"/>
        <item t="default"/>
      </items>
    </pivotField>
    <pivotField name="Columna 25" compact="0" outline="0" multipleItemSelectionAllowed="1" showAll="0">
      <items>
        <item x="0"/>
        <item t="default"/>
      </items>
    </pivotField>
    <pivotField name="Columna 26" compact="0" outline="0" multipleItemSelectionAllowed="1" showAll="0">
      <items>
        <item x="0"/>
        <item t="default"/>
      </items>
    </pivotField>
    <pivotField name="Columna 27" compact="0" outline="0" multipleItemSelectionAllowed="1" showAll="0">
      <items>
        <item x="0"/>
        <item t="default"/>
      </items>
    </pivotField>
  </pivotFields>
  <rowFields>
    <field x="0"/>
  </rowFields>
  <colFields>
    <field x="3"/>
  </colFields>
  <dataFields>
    <dataField name="SUM of Monto $ BCV" fld="8" baseField="0"/>
  </dataFields>
</pivotTableDefinition>
</file>

<file path=xl/tables/table1.xml><?xml version="1.0" encoding="utf-8"?>
<table xmlns="http://schemas.openxmlformats.org/spreadsheetml/2006/main" ref="A1:AA1090" displayName="Tabla_1" name="Tabla_1" id="1">
  <autoFilter ref="$A$1:$AA$1090"/>
  <tableColumns count="27">
    <tableColumn name="Fecha" id="1"/>
    <tableColumn name="Nro de Orden" id="2"/>
    <tableColumn name="Importe firmado" id="3"/>
    <tableColumn name="Moneda" id="4"/>
    <tableColumn name="Metodo de Pago" id="5"/>
    <tableColumn name="Cliente" id="6"/>
    <tableColumn name="Tasa BCV" id="7"/>
    <tableColumn name="Tasa  Real" id="8"/>
    <tableColumn name="Monto $ BCV" id="9"/>
    <tableColumn name="Monto $ Real" id="10"/>
    <tableColumn name="Monto Unificado USD" id="11"/>
    <tableColumn name="Validación Ingreso" id="12"/>
    <tableColumn name="Recibido" id="13"/>
    <tableColumn name="Validacion Orden/Cliente" id="14"/>
    <tableColumn name="Columna 15" id="15"/>
    <tableColumn name="Columna 16" id="16"/>
    <tableColumn name="Columna 17" id="17"/>
    <tableColumn name="Columna 18" id="18"/>
    <tableColumn name="Columna 19" id="19"/>
    <tableColumn name="Columna 20" id="20"/>
    <tableColumn name="Columna 21" id="21"/>
    <tableColumn name="Columna 22" id="22"/>
    <tableColumn name="Columna 23" id="23"/>
    <tableColumn name="Columna 24" id="24"/>
    <tableColumn name="Columna 25" id="25"/>
    <tableColumn name="Columna 26" id="26"/>
    <tableColumn name="Columna 27" id="27"/>
  </tableColumns>
  <tableStyleInfo name="Cobranz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63"/>
    <col customWidth="1" min="2" max="2" width="20.5"/>
    <col customWidth="1" min="3" max="3" width="22.75"/>
    <col customWidth="1" min="4" max="8" width="22.63"/>
    <col customWidth="1" min="9" max="10" width="20.13"/>
    <col customWidth="1" min="11" max="11" width="16.0"/>
    <col customWidth="1" min="12" max="12" width="31.13"/>
    <col customWidth="1" min="14" max="14" width="18.13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5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</row>
    <row r="2" ht="22.5" customHeight="1">
      <c r="A2" s="8">
        <v>46083.0</v>
      </c>
      <c r="B2" s="9">
        <v>52.0</v>
      </c>
      <c r="C2" s="10">
        <v>260.0</v>
      </c>
      <c r="D2" s="11" t="s">
        <v>27</v>
      </c>
      <c r="E2" s="11" t="s">
        <v>28</v>
      </c>
      <c r="F2" s="11" t="s">
        <v>29</v>
      </c>
      <c r="G2" s="12">
        <v>414.0455</v>
      </c>
      <c r="H2" s="13"/>
      <c r="I2" s="14">
        <f t="shared" ref="I2:I1090" si="1">IF(D2="USD", C2, IF(AND(D2="VES", G2&gt;0), C2/G2, 0))</f>
        <v>260</v>
      </c>
      <c r="J2" s="15">
        <f t="shared" ref="J2:J1090" si="2">IF(D2="USD", C2, IF(AND(D2="VES", H2&gt;0), C2/H2, 0))</f>
        <v>260</v>
      </c>
      <c r="K2" s="14">
        <f t="shared" ref="K2:K1090" si="3">IF(D2="USD",C2,I2)</f>
        <v>260</v>
      </c>
      <c r="L2" s="16" t="str">
        <f>IFERROR(__xludf.DUMMYFUNCTION("IFERROR(
  IF(
    VLOOKUP(C2, IMPORTRANGE(""gid=860555792"", ""Maestro!B:C""), 2, FALSE) = D2, 
    ""CONCILIADO"", 
    ""ERROR EN MONTO""
  ), 
  ""NO ENCONTRADO EN MAESTRO""
)"),"NO ENCONTRADO EN MAESTRO")</f>
        <v>NO ENCONTRADO EN MAESTRO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ht="22.5" customHeight="1">
      <c r="A3" s="8">
        <v>46080.0</v>
      </c>
      <c r="B3" s="9">
        <v>8.0</v>
      </c>
      <c r="C3" s="10">
        <v>35.33</v>
      </c>
      <c r="D3" s="11" t="s">
        <v>27</v>
      </c>
      <c r="E3" s="11" t="s">
        <v>28</v>
      </c>
      <c r="F3" s="11" t="s">
        <v>30</v>
      </c>
      <c r="G3" s="12">
        <v>414.0455</v>
      </c>
      <c r="H3" s="13"/>
      <c r="I3" s="14">
        <f t="shared" si="1"/>
        <v>35.33</v>
      </c>
      <c r="J3" s="15">
        <f t="shared" si="2"/>
        <v>35.33</v>
      </c>
      <c r="K3" s="14">
        <f t="shared" si="3"/>
        <v>35.33</v>
      </c>
      <c r="L3" s="16" t="str">
        <f>IFERROR(__xludf.DUMMYFUNCTION("IFERROR(
  IF(
    VLOOKUP(C3, IMPORTRANGE(""gid=860555792"", ""Maestro!B:C""), 2, FALSE) = D3, 
    ""CONCILIADO"", 
    ""ERROR EN MONTO""
  ), 
  ""NO ENCONTRADO EN MAESTRO""
)"),"NO ENCONTRADO EN MAESTRO")</f>
        <v>NO ENCONTRADO EN MAESTRO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ht="22.5" customHeight="1">
      <c r="A4" s="8">
        <v>46083.0</v>
      </c>
      <c r="B4" s="9">
        <v>9.0</v>
      </c>
      <c r="C4" s="10">
        <v>166513.7</v>
      </c>
      <c r="D4" s="11" t="s">
        <v>31</v>
      </c>
      <c r="E4" s="11" t="s">
        <v>32</v>
      </c>
      <c r="F4" s="11" t="s">
        <v>33</v>
      </c>
      <c r="G4" s="12">
        <v>419.9873</v>
      </c>
      <c r="H4" s="13"/>
      <c r="I4" s="14">
        <f t="shared" si="1"/>
        <v>396.4731791</v>
      </c>
      <c r="J4" s="15">
        <f t="shared" si="2"/>
        <v>0</v>
      </c>
      <c r="K4" s="14">
        <f t="shared" si="3"/>
        <v>396.4731791</v>
      </c>
      <c r="L4" s="16" t="str">
        <f>IFERROR(__xludf.DUMMYFUNCTION("IFERROR(
  IF(
    VLOOKUP(C4, IMPORTRANGE(""gid=860555792"", ""Maestro!B:C""), 2, FALSE) = D4, 
    ""CONCILIADO"", 
    ""ERROR EN MONTO""
  ), 
  ""NO ENCONTRADO EN MAESTRO""
)"),"NO ENCONTRADO EN MAESTRO")</f>
        <v>NO ENCONTRADO EN MAESTRO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ht="22.5" customHeight="1">
      <c r="A5" s="8">
        <v>46084.0</v>
      </c>
      <c r="B5" s="9">
        <v>7.0</v>
      </c>
      <c r="C5" s="10">
        <v>246.0</v>
      </c>
      <c r="D5" s="11" t="s">
        <v>27</v>
      </c>
      <c r="E5" s="11" t="s">
        <v>28</v>
      </c>
      <c r="F5" s="11" t="s">
        <v>34</v>
      </c>
      <c r="G5" s="12">
        <v>421.8772</v>
      </c>
      <c r="H5" s="13"/>
      <c r="I5" s="14">
        <f t="shared" si="1"/>
        <v>246</v>
      </c>
      <c r="J5" s="15">
        <f t="shared" si="2"/>
        <v>246</v>
      </c>
      <c r="K5" s="14">
        <f t="shared" si="3"/>
        <v>246</v>
      </c>
      <c r="L5" s="16" t="str">
        <f>IFERROR(__xludf.DUMMYFUNCTION("IFERROR(
  IF(
    VLOOKUP(C5, IMPORTRANGE(""gid=860555792"", ""Maestro!B:C""), 2, FALSE) = D5, 
    ""CONCILIADO"", 
    ""ERROR EN MONTO""
  ), 
  ""NO ENCONTRADO EN MAESTRO""
)"),"NO ENCONTRADO EN MAESTRO")</f>
        <v>NO ENCONTRADO EN MAESTRO</v>
      </c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ht="22.5" customHeight="1">
      <c r="A6" s="8">
        <v>46086.0</v>
      </c>
      <c r="B6" s="9">
        <v>33.0</v>
      </c>
      <c r="C6" s="10">
        <v>195.0</v>
      </c>
      <c r="D6" s="11" t="s">
        <v>27</v>
      </c>
      <c r="E6" s="11" t="s">
        <v>28</v>
      </c>
      <c r="F6" s="11" t="s">
        <v>35</v>
      </c>
      <c r="G6" s="17">
        <v>427.9302</v>
      </c>
      <c r="H6" s="13"/>
      <c r="I6" s="14">
        <f t="shared" si="1"/>
        <v>195</v>
      </c>
      <c r="J6" s="15">
        <f t="shared" si="2"/>
        <v>195</v>
      </c>
      <c r="K6" s="14">
        <f t="shared" si="3"/>
        <v>195</v>
      </c>
      <c r="L6" s="16" t="str">
        <f>IFERROR(__xludf.DUMMYFUNCTION("IFERROR(
  IF(
    VLOOKUP(C6, IMPORTRANGE(""gid=860555792"", ""Maestro!B:C""), 2, FALSE) = D6, 
    ""CONCILIADO"", 
    ""ERROR EN MONTO""
  ), 
  ""NO ENCONTRADO EN MAESTRO""
)"),"NO ENCONTRADO EN MAESTRO")</f>
        <v>NO ENCONTRADO EN MAESTRO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ht="22.5" customHeight="1">
      <c r="A7" s="8">
        <v>46086.0</v>
      </c>
      <c r="B7" s="9">
        <v>28.0</v>
      </c>
      <c r="C7" s="10">
        <v>29489.51</v>
      </c>
      <c r="D7" s="11" t="s">
        <v>31</v>
      </c>
      <c r="E7" s="11" t="s">
        <v>36</v>
      </c>
      <c r="F7" s="11" t="s">
        <v>37</v>
      </c>
      <c r="G7" s="17">
        <v>427.9302</v>
      </c>
      <c r="H7" s="13"/>
      <c r="I7" s="14">
        <f t="shared" si="1"/>
        <v>68.91196275</v>
      </c>
      <c r="J7" s="15">
        <f t="shared" si="2"/>
        <v>0</v>
      </c>
      <c r="K7" s="14">
        <f t="shared" si="3"/>
        <v>68.91196275</v>
      </c>
      <c r="L7" s="16" t="str">
        <f>IFERROR(__xludf.DUMMYFUNCTION("IFERROR(
  IF(
    VLOOKUP(C7, IMPORTRANGE(""gid=860555792"", ""Maestro!B:C""), 2, FALSE) = D7, 
    ""CONCILIADO"", 
    ""ERROR EN MONTO""
  ), 
  ""NO ENCONTRADO EN MAESTRO""
)"),"NO ENCONTRADO EN MAESTRO")</f>
        <v>NO ENCONTRADO EN MAESTRO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ht="22.5" customHeight="1">
      <c r="A8" s="8">
        <v>46086.0</v>
      </c>
      <c r="B8" s="9">
        <v>32.0</v>
      </c>
      <c r="C8" s="10">
        <v>43501.1</v>
      </c>
      <c r="D8" s="11" t="s">
        <v>31</v>
      </c>
      <c r="E8" s="11" t="s">
        <v>32</v>
      </c>
      <c r="F8" s="11" t="s">
        <v>38</v>
      </c>
      <c r="G8" s="17">
        <v>501.73</v>
      </c>
      <c r="H8" s="13"/>
      <c r="I8" s="14">
        <f t="shared" si="1"/>
        <v>86.70221035</v>
      </c>
      <c r="J8" s="15">
        <f t="shared" si="2"/>
        <v>0</v>
      </c>
      <c r="K8" s="14">
        <f t="shared" si="3"/>
        <v>86.70221035</v>
      </c>
      <c r="L8" s="16" t="str">
        <f>IFERROR(__xludf.DUMMYFUNCTION("IFERROR(
  IF(
    VLOOKUP(C8, IMPORTRANGE(""gid=860555792"", ""Maestro!B:C""), 2, FALSE) = D8, 
    ""CONCILIADO"", 
    ""ERROR EN MONTO""
  ), 
  ""NO ENCONTRADO EN MAESTRO""
)"),"NO ENCONTRADO EN MAESTRO")</f>
        <v>NO ENCONTRADO EN MAESTRO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ht="22.5" customHeight="1">
      <c r="A9" s="8">
        <v>46087.0</v>
      </c>
      <c r="B9" s="9">
        <v>42.0</v>
      </c>
      <c r="C9" s="10">
        <v>56462.48</v>
      </c>
      <c r="D9" s="11" t="s">
        <v>31</v>
      </c>
      <c r="E9" s="11" t="s">
        <v>32</v>
      </c>
      <c r="F9" s="11" t="s">
        <v>39</v>
      </c>
      <c r="G9" s="17">
        <v>431.0113</v>
      </c>
      <c r="H9" s="18"/>
      <c r="I9" s="14">
        <f t="shared" si="1"/>
        <v>130.9999993</v>
      </c>
      <c r="J9" s="15">
        <f t="shared" si="2"/>
        <v>0</v>
      </c>
      <c r="K9" s="14">
        <f t="shared" si="3"/>
        <v>130.9999993</v>
      </c>
      <c r="L9" s="16" t="str">
        <f>IFERROR(__xludf.DUMMYFUNCTION("IFERROR(
  IF(
    VLOOKUP(C9, IMPORTRANGE(""gid=860555792"", ""Maestro!B:C""), 2, FALSE) = D9, 
    ""CONCILIADO"", 
    ""ERROR EN MONTO""
  ), 
  ""NO ENCONTRADO EN MAESTRO""
)"),"NO ENCONTRADO EN MAESTRO")</f>
        <v>NO ENCONTRADO EN MAESTRO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ht="22.5" customHeight="1">
      <c r="A10" s="8">
        <v>46090.0</v>
      </c>
      <c r="B10" s="9">
        <v>50.0</v>
      </c>
      <c r="C10" s="10">
        <v>65.0</v>
      </c>
      <c r="D10" s="11" t="s">
        <v>27</v>
      </c>
      <c r="E10" s="11" t="s">
        <v>28</v>
      </c>
      <c r="F10" s="11" t="s">
        <v>29</v>
      </c>
      <c r="G10" s="17">
        <v>433.1664</v>
      </c>
      <c r="H10" s="13"/>
      <c r="I10" s="14">
        <f t="shared" si="1"/>
        <v>65</v>
      </c>
      <c r="J10" s="15">
        <f t="shared" si="2"/>
        <v>65</v>
      </c>
      <c r="K10" s="14">
        <f t="shared" si="3"/>
        <v>65</v>
      </c>
      <c r="L10" s="16" t="str">
        <f>IFERROR(__xludf.DUMMYFUNCTION("IFERROR(
  IF(
    VLOOKUP(C10, IMPORTRANGE(""gid=860555792"", ""Maestro!B:C""), 2, FALSE) = D10, 
    ""CONCILIADO"", 
    ""ERROR EN MONTO""
  ), 
  ""NO ENCONTRADO EN MAESTRO""
)"),"NO ENCONTRADO EN MAESTRO")</f>
        <v>NO ENCONTRADO EN MAESTRO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ht="22.5" customHeight="1">
      <c r="A11" s="8">
        <v>46090.0</v>
      </c>
      <c r="B11" s="9">
        <v>164.0</v>
      </c>
      <c r="C11" s="10">
        <v>48.0</v>
      </c>
      <c r="D11" s="11" t="s">
        <v>27</v>
      </c>
      <c r="E11" s="11" t="s">
        <v>28</v>
      </c>
      <c r="F11" s="11" t="s">
        <v>40</v>
      </c>
      <c r="G11" s="17">
        <v>433.1664</v>
      </c>
      <c r="H11" s="13"/>
      <c r="I11" s="14">
        <f t="shared" si="1"/>
        <v>48</v>
      </c>
      <c r="J11" s="15">
        <f t="shared" si="2"/>
        <v>48</v>
      </c>
      <c r="K11" s="14">
        <f t="shared" si="3"/>
        <v>48</v>
      </c>
      <c r="L11" s="16" t="str">
        <f>IFERROR(__xludf.DUMMYFUNCTION("IFERROR(
  IF(
    VLOOKUP(C11, IMPORTRANGE(""gid=860555792"", ""Maestro!B:C""), 2, FALSE) = D11, 
    ""CONCILIADO"", 
    ""ERROR EN MONTO""
  ), 
  ""NO ENCONTRADO EN MAESTRO""
)"),"NO ENCONTRADO EN MAESTRO")</f>
        <v>NO ENCONTRADO EN MAESTRO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ht="22.5" customHeight="1">
      <c r="A12" s="8">
        <v>46090.0</v>
      </c>
      <c r="B12" s="9">
        <v>47.0</v>
      </c>
      <c r="C12" s="10">
        <v>820035.98</v>
      </c>
      <c r="D12" s="11" t="s">
        <v>31</v>
      </c>
      <c r="E12" s="11" t="s">
        <v>32</v>
      </c>
      <c r="F12" s="11" t="s">
        <v>41</v>
      </c>
      <c r="G12" s="17">
        <v>433.1664</v>
      </c>
      <c r="H12" s="13"/>
      <c r="I12" s="14">
        <f t="shared" si="1"/>
        <v>1893.120011</v>
      </c>
      <c r="J12" s="15">
        <f t="shared" si="2"/>
        <v>0</v>
      </c>
      <c r="K12" s="14">
        <f t="shared" si="3"/>
        <v>1893.120011</v>
      </c>
      <c r="L12" s="16" t="str">
        <f>IFERROR(__xludf.DUMMYFUNCTION("IFERROR(
  IF(
    VLOOKUP(C12, IMPORTRANGE(""gid=860555792"", ""Maestro!B:C""), 2, FALSE) = D12, 
    ""CONCILIADO"", 
    ""ERROR EN MONTO""
  ), 
  ""NO ENCONTRADO EN MAESTRO""
)"),"NO ENCONTRADO EN MAESTRO")</f>
        <v>NO ENCONTRADO EN MAESTRO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ht="22.5" customHeight="1">
      <c r="A13" s="8">
        <v>46092.0</v>
      </c>
      <c r="B13" s="9">
        <v>67.0</v>
      </c>
      <c r="C13" s="10">
        <v>70112.0</v>
      </c>
      <c r="D13" s="11" t="s">
        <v>31</v>
      </c>
      <c r="E13" s="11" t="s">
        <v>36</v>
      </c>
      <c r="F13" s="11" t="s">
        <v>42</v>
      </c>
      <c r="G13" s="17">
        <v>438.205</v>
      </c>
      <c r="H13" s="13"/>
      <c r="I13" s="14">
        <f t="shared" si="1"/>
        <v>159.9981744</v>
      </c>
      <c r="J13" s="15">
        <f t="shared" si="2"/>
        <v>0</v>
      </c>
      <c r="K13" s="14">
        <f t="shared" si="3"/>
        <v>159.9981744</v>
      </c>
      <c r="L13" s="16" t="str">
        <f>IFERROR(__xludf.DUMMYFUNCTION("IFERROR(
  IF(
    VLOOKUP(C13, IMPORTRANGE(""gid=860555792"", ""Maestro!B:C""), 2, FALSE) = D13, 
    ""CONCILIADO"", 
    ""ERROR EN MONTO""
  ), 
  ""NO ENCONTRADO EN MAESTRO""
)"),"NO ENCONTRADO EN MAESTRO")</f>
        <v>NO ENCONTRADO EN MAESTRO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ht="22.5" customHeight="1">
      <c r="A14" s="8">
        <v>46093.0</v>
      </c>
      <c r="B14" s="9">
        <v>77.0</v>
      </c>
      <c r="C14" s="10">
        <v>36.0</v>
      </c>
      <c r="D14" s="11" t="s">
        <v>27</v>
      </c>
      <c r="E14" s="11" t="s">
        <v>28</v>
      </c>
      <c r="F14" s="11" t="s">
        <v>43</v>
      </c>
      <c r="G14" s="17">
        <v>440.9657</v>
      </c>
      <c r="H14" s="13"/>
      <c r="I14" s="14">
        <f t="shared" si="1"/>
        <v>36</v>
      </c>
      <c r="J14" s="15">
        <f t="shared" si="2"/>
        <v>36</v>
      </c>
      <c r="K14" s="14">
        <f t="shared" si="3"/>
        <v>36</v>
      </c>
      <c r="L14" s="16" t="str">
        <f>IFERROR(__xludf.DUMMYFUNCTION("IFERROR(
  IF(
    VLOOKUP(C14, IMPORTRANGE(""gid=860555792"", ""Maestro!B:C""), 2, FALSE) = D14, 
    ""CONCILIADO"", 
    ""ERROR EN MONTO""
  ), 
  ""NO ENCONTRADO EN MAESTRO""
)"),"NO ENCONTRADO EN MAESTRO")</f>
        <v>NO ENCONTRADO EN MAESTRO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ht="22.5" customHeight="1">
      <c r="A15" s="8">
        <v>46093.0</v>
      </c>
      <c r="B15" s="9">
        <v>20.0</v>
      </c>
      <c r="C15" s="10">
        <v>16606.59</v>
      </c>
      <c r="D15" s="11" t="s">
        <v>31</v>
      </c>
      <c r="E15" s="11" t="s">
        <v>32</v>
      </c>
      <c r="F15" s="11" t="s">
        <v>44</v>
      </c>
      <c r="G15" s="17">
        <v>440.9657</v>
      </c>
      <c r="H15" s="13"/>
      <c r="I15" s="14">
        <f t="shared" si="1"/>
        <v>37.65959575</v>
      </c>
      <c r="J15" s="15">
        <f t="shared" si="2"/>
        <v>0</v>
      </c>
      <c r="K15" s="14">
        <f t="shared" si="3"/>
        <v>37.65959575</v>
      </c>
      <c r="L15" s="16" t="str">
        <f>IFERROR(__xludf.DUMMYFUNCTION("IFERROR(
  IF(
    VLOOKUP(C15, IMPORTRANGE(""gid=860555792"", ""Maestro!B:C""), 2, FALSE) = D15, 
    ""CONCILIADO"", 
    ""ERROR EN MONTO""
  ), 
  ""NO ENCONTRADO EN MAESTRO""
)"),"NO ENCONTRADO EN MAESTRO")</f>
        <v>NO ENCONTRADO EN MAESTRO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ht="22.5" customHeight="1">
      <c r="A16" s="8">
        <v>46094.0</v>
      </c>
      <c r="B16" s="9">
        <v>23.0</v>
      </c>
      <c r="C16" s="10">
        <v>66.0</v>
      </c>
      <c r="D16" s="11" t="s">
        <v>27</v>
      </c>
      <c r="E16" s="11" t="s">
        <v>28</v>
      </c>
      <c r="F16" s="11" t="s">
        <v>45</v>
      </c>
      <c r="G16" s="17">
        <v>510.34</v>
      </c>
      <c r="H16" s="13"/>
      <c r="I16" s="14">
        <f t="shared" si="1"/>
        <v>66</v>
      </c>
      <c r="J16" s="15">
        <f t="shared" si="2"/>
        <v>66</v>
      </c>
      <c r="K16" s="14">
        <f t="shared" si="3"/>
        <v>66</v>
      </c>
      <c r="L16" s="16" t="str">
        <f>IFERROR(__xludf.DUMMYFUNCTION("IFERROR(
  IF(
    VLOOKUP(C16, IMPORTRANGE(""gid=860555792"", ""Maestro!B:C""), 2, FALSE) = D16, 
    ""CONCILIADO"", 
    ""ERROR EN MONTO""
  ), 
  ""NO ENCONTRADO EN MAESTRO""
)"),"NO ENCONTRADO EN MAESTRO")</f>
        <v>NO ENCONTRADO EN MAESTRO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ht="22.5" customHeight="1">
      <c r="A17" s="8">
        <v>46094.0</v>
      </c>
      <c r="B17" s="9">
        <v>46.0</v>
      </c>
      <c r="C17" s="10">
        <v>129.98</v>
      </c>
      <c r="D17" s="11" t="s">
        <v>27</v>
      </c>
      <c r="E17" s="11" t="s">
        <v>28</v>
      </c>
      <c r="F17" s="11" t="s">
        <v>34</v>
      </c>
      <c r="G17" s="17">
        <v>510.34</v>
      </c>
      <c r="H17" s="13"/>
      <c r="I17" s="14">
        <f t="shared" si="1"/>
        <v>129.98</v>
      </c>
      <c r="J17" s="15">
        <f t="shared" si="2"/>
        <v>129.98</v>
      </c>
      <c r="K17" s="14">
        <f t="shared" si="3"/>
        <v>129.98</v>
      </c>
      <c r="L17" s="16" t="str">
        <f>IFERROR(__xludf.DUMMYFUNCTION("IFERROR(
  IF(
    VLOOKUP(C17, IMPORTRANGE(""gid=860555792"", ""Maestro!B:C""), 2, FALSE) = D17, 
    ""CONCILIADO"", 
    ""ERROR EN MONTO""
  ), 
  ""NO ENCONTRADO EN MAESTRO""
)"),"NO ENCONTRADO EN MAESTRO")</f>
        <v>NO ENCONTRADO EN MAESTRO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ht="22.5" customHeight="1">
      <c r="A18" s="8">
        <v>46094.0</v>
      </c>
      <c r="B18" s="9">
        <v>66.0</v>
      </c>
      <c r="C18" s="10">
        <v>132.48</v>
      </c>
      <c r="D18" s="11" t="s">
        <v>27</v>
      </c>
      <c r="E18" s="11" t="s">
        <v>28</v>
      </c>
      <c r="F18" s="11" t="s">
        <v>34</v>
      </c>
      <c r="G18" s="17">
        <v>510.34</v>
      </c>
      <c r="H18" s="13"/>
      <c r="I18" s="14">
        <f t="shared" si="1"/>
        <v>132.48</v>
      </c>
      <c r="J18" s="15">
        <f t="shared" si="2"/>
        <v>132.48</v>
      </c>
      <c r="K18" s="14">
        <f t="shared" si="3"/>
        <v>132.48</v>
      </c>
      <c r="L18" s="16" t="str">
        <f>IFERROR(__xludf.DUMMYFUNCTION("IFERROR(
  IF(
    VLOOKUP(C18, IMPORTRANGE(""gid=860555792"", ""Maestro!B:C""), 2, FALSE) = D18, 
    ""CONCILIADO"", 
    ""ERROR EN MONTO""
  ), 
  ""NO ENCONTRADO EN MAESTRO""
)"),"NO ENCONTRADO EN MAESTRO")</f>
        <v>NO ENCONTRADO EN MAESTRO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ht="22.5" customHeight="1">
      <c r="A19" s="8">
        <v>46094.0</v>
      </c>
      <c r="B19" s="9">
        <v>88.0</v>
      </c>
      <c r="C19" s="10">
        <v>106455.68</v>
      </c>
      <c r="D19" s="11" t="s">
        <v>31</v>
      </c>
      <c r="E19" s="11" t="s">
        <v>32</v>
      </c>
      <c r="F19" s="11" t="s">
        <v>39</v>
      </c>
      <c r="G19" s="17">
        <v>443.2587</v>
      </c>
      <c r="H19" s="13"/>
      <c r="I19" s="14">
        <f t="shared" si="1"/>
        <v>240.1660249</v>
      </c>
      <c r="J19" s="15">
        <f t="shared" si="2"/>
        <v>0</v>
      </c>
      <c r="K19" s="14">
        <f t="shared" si="3"/>
        <v>240.1660249</v>
      </c>
      <c r="L19" s="16" t="str">
        <f>IFERROR(__xludf.DUMMYFUNCTION("IFERROR(
  IF(
    VLOOKUP(C19, IMPORTRANGE(""gid=860555792"", ""Maestro!B:C""), 2, FALSE) = D19, 
    ""CONCILIADO"", 
    ""ERROR EN MONTO""
  ), 
  ""NO ENCONTRADO EN MAESTRO""
)"),"NO ENCONTRADO EN MAESTRO")</f>
        <v>NO ENCONTRADO EN MAESTRO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ht="22.5" customHeight="1">
      <c r="A20" s="8">
        <v>46094.0</v>
      </c>
      <c r="B20" s="9">
        <v>79.0</v>
      </c>
      <c r="C20" s="10">
        <v>203899.0</v>
      </c>
      <c r="D20" s="11" t="s">
        <v>31</v>
      </c>
      <c r="E20" s="11" t="s">
        <v>32</v>
      </c>
      <c r="F20" s="11" t="s">
        <v>33</v>
      </c>
      <c r="G20" s="17">
        <v>510.34</v>
      </c>
      <c r="H20" s="13"/>
      <c r="I20" s="14">
        <f t="shared" si="1"/>
        <v>399.5356037</v>
      </c>
      <c r="J20" s="15">
        <f t="shared" si="2"/>
        <v>0</v>
      </c>
      <c r="K20" s="14">
        <f t="shared" si="3"/>
        <v>399.5356037</v>
      </c>
      <c r="L20" s="16" t="str">
        <f>IFERROR(__xludf.DUMMYFUNCTION("IFERROR(
  IF(
    VLOOKUP(C20, IMPORTRANGE(""gid=860555792"", ""Maestro!B:C""), 2, FALSE) = D20, 
    ""CONCILIADO"", 
    ""ERROR EN MONTO""
  ), 
  ""NO ENCONTRADO EN MAESTRO""
)"),"NO ENCONTRADO EN MAESTRO")</f>
        <v>NO ENCONTRADO EN MAESTRO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ht="22.5" customHeight="1">
      <c r="A21" s="8">
        <v>46097.0</v>
      </c>
      <c r="B21" s="9">
        <v>20.0</v>
      </c>
      <c r="C21" s="10">
        <v>7670.0</v>
      </c>
      <c r="D21" s="11" t="s">
        <v>31</v>
      </c>
      <c r="E21" s="11" t="s">
        <v>32</v>
      </c>
      <c r="F21" s="11" t="s">
        <v>44</v>
      </c>
      <c r="G21" s="17">
        <v>511.34</v>
      </c>
      <c r="H21" s="13"/>
      <c r="I21" s="14">
        <f t="shared" si="1"/>
        <v>14.99980444</v>
      </c>
      <c r="J21" s="15">
        <f t="shared" si="2"/>
        <v>0</v>
      </c>
      <c r="K21" s="14">
        <f t="shared" si="3"/>
        <v>14.99980444</v>
      </c>
      <c r="L21" s="16" t="str">
        <f>IFERROR(__xludf.DUMMYFUNCTION("IFERROR(
  IF(
    VLOOKUP(C21, IMPORTRANGE(""gid=860555792"", ""Maestro!B:C""), 2, FALSE) = D21, 
    ""CONCILIADO"", 
    ""ERROR EN MONTO""
  ), 
  ""NO ENCONTRADO EN MAESTRO""
)"),"NO ENCONTRADO EN MAESTRO")</f>
        <v>NO ENCONTRADO EN MAESTRO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ht="22.5" customHeight="1">
      <c r="A22" s="8">
        <v>46098.0</v>
      </c>
      <c r="B22" s="9">
        <v>30.0</v>
      </c>
      <c r="C22" s="10">
        <v>146.0</v>
      </c>
      <c r="D22" s="11" t="s">
        <v>27</v>
      </c>
      <c r="E22" s="11" t="s">
        <v>28</v>
      </c>
      <c r="F22" s="11" t="s">
        <v>46</v>
      </c>
      <c r="G22" s="17">
        <v>514.97</v>
      </c>
      <c r="H22" s="13"/>
      <c r="I22" s="14">
        <f t="shared" si="1"/>
        <v>146</v>
      </c>
      <c r="J22" s="15">
        <f t="shared" si="2"/>
        <v>146</v>
      </c>
      <c r="K22" s="14">
        <f t="shared" si="3"/>
        <v>146</v>
      </c>
      <c r="L22" s="16" t="str">
        <f>IFERROR(__xludf.DUMMYFUNCTION("IFERROR(
  IF(
    VLOOKUP(C22, IMPORTRANGE(""gid=860555792"", ""Maestro!B:C""), 2, FALSE) = D22, 
    ""CONCILIADO"", 
    ""ERROR EN MONTO""
  ), 
  ""NO ENCONTRADO EN MAESTRO""
)"),"NO ENCONTRADO EN MAESTRO")</f>
        <v>NO ENCONTRADO EN MAESTRO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ht="22.5" customHeight="1">
      <c r="A23" s="8">
        <v>46098.0</v>
      </c>
      <c r="B23" s="9">
        <v>23.0</v>
      </c>
      <c r="C23" s="10">
        <v>30.0</v>
      </c>
      <c r="D23" s="11" t="s">
        <v>27</v>
      </c>
      <c r="E23" s="11" t="s">
        <v>28</v>
      </c>
      <c r="F23" s="11" t="s">
        <v>45</v>
      </c>
      <c r="G23" s="17">
        <v>510.34</v>
      </c>
      <c r="H23" s="13"/>
      <c r="I23" s="14">
        <f t="shared" si="1"/>
        <v>30</v>
      </c>
      <c r="J23" s="15">
        <f t="shared" si="2"/>
        <v>30</v>
      </c>
      <c r="K23" s="14">
        <f t="shared" si="3"/>
        <v>30</v>
      </c>
      <c r="L23" s="16" t="str">
        <f>IFERROR(__xludf.DUMMYFUNCTION("IFERROR(
  IF(
    VLOOKUP(C23, IMPORTRANGE(""gid=860555792"", ""Maestro!B:C""), 2, FALSE) = D23, 
    ""CONCILIADO"", 
    ""ERROR EN MONTO""
  ), 
  ""NO ENCONTRADO EN MAESTRO""
)"),"NO ENCONTRADO EN MAESTRO")</f>
        <v>NO ENCONTRADO EN MAESTRO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ht="22.5" customHeight="1">
      <c r="A24" s="8">
        <v>46100.0</v>
      </c>
      <c r="B24" s="9">
        <v>92.0</v>
      </c>
      <c r="C24" s="10">
        <v>126.0</v>
      </c>
      <c r="D24" s="11" t="s">
        <v>27</v>
      </c>
      <c r="E24" s="11" t="s">
        <v>28</v>
      </c>
      <c r="F24" s="11" t="s">
        <v>34</v>
      </c>
      <c r="G24" s="17">
        <v>451.5072</v>
      </c>
      <c r="H24" s="13"/>
      <c r="I24" s="14">
        <f t="shared" si="1"/>
        <v>126</v>
      </c>
      <c r="J24" s="15">
        <f t="shared" si="2"/>
        <v>126</v>
      </c>
      <c r="K24" s="14">
        <f t="shared" si="3"/>
        <v>126</v>
      </c>
      <c r="L24" s="16" t="str">
        <f>IFERROR(__xludf.DUMMYFUNCTION("IFERROR(
  IF(
    VLOOKUP(C24, IMPORTRANGE(""gid=860555792"", ""Maestro!B:C""), 2, FALSE) = D24, 
    ""CONCILIADO"", 
    ""ERROR EN MONTO""
  ), 
  ""NO ENCONTRADO EN MAESTRO""
)"),"NO ENCONTRADO EN MAESTRO")</f>
        <v>NO ENCONTRADO EN MAESTRO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ht="22.5" customHeight="1">
      <c r="A25" s="8">
        <v>46100.0</v>
      </c>
      <c r="B25" s="9">
        <v>4.0</v>
      </c>
      <c r="C25" s="10">
        <v>175.0</v>
      </c>
      <c r="D25" s="11" t="s">
        <v>27</v>
      </c>
      <c r="E25" s="11" t="s">
        <v>28</v>
      </c>
      <c r="F25" s="11" t="s">
        <v>47</v>
      </c>
      <c r="G25" s="17">
        <v>520.64</v>
      </c>
      <c r="H25" s="13"/>
      <c r="I25" s="14">
        <f t="shared" si="1"/>
        <v>175</v>
      </c>
      <c r="J25" s="15">
        <f t="shared" si="2"/>
        <v>175</v>
      </c>
      <c r="K25" s="14">
        <f t="shared" si="3"/>
        <v>175</v>
      </c>
      <c r="L25" s="16" t="str">
        <f>IFERROR(__xludf.DUMMYFUNCTION("IFERROR(
  IF(
    VLOOKUP(C25, IMPORTRANGE(""gid=860555792"", ""Maestro!B:C""), 2, FALSE) = D25, 
    ""CONCILIADO"", 
    ""ERROR EN MONTO""
  ), 
  ""NO ENCONTRADO EN MAESTRO""
)"),"NO ENCONTRADO EN MAESTRO")</f>
        <v>NO ENCONTRADO EN MAESTRO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ht="22.5" customHeight="1">
      <c r="A26" s="8">
        <v>46100.0</v>
      </c>
      <c r="B26" s="9">
        <v>38.0</v>
      </c>
      <c r="C26" s="10">
        <v>50.0</v>
      </c>
      <c r="D26" s="11" t="s">
        <v>27</v>
      </c>
      <c r="E26" s="11" t="s">
        <v>28</v>
      </c>
      <c r="F26" s="11" t="s">
        <v>48</v>
      </c>
      <c r="G26" s="17">
        <v>520.64</v>
      </c>
      <c r="H26" s="13"/>
      <c r="I26" s="14">
        <f t="shared" si="1"/>
        <v>50</v>
      </c>
      <c r="J26" s="15">
        <f t="shared" si="2"/>
        <v>50</v>
      </c>
      <c r="K26" s="14">
        <f t="shared" si="3"/>
        <v>50</v>
      </c>
      <c r="L26" s="16" t="str">
        <f>IFERROR(__xludf.DUMMYFUNCTION("IFERROR(
  IF(
    VLOOKUP(C26, IMPORTRANGE(""gid=860555792"", ""Maestro!B:C""), 2, FALSE) = D26, 
    ""CONCILIADO"", 
    ""ERROR EN MONTO""
  ), 
  ""NO ENCONTRADO EN MAESTRO""
)"),"NO ENCONTRADO EN MAESTRO")</f>
        <v>NO ENCONTRADO EN MAESTRO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ht="22.5" customHeight="1">
      <c r="A27" s="8">
        <v>46100.0</v>
      </c>
      <c r="B27" s="9">
        <v>99.0</v>
      </c>
      <c r="C27" s="10">
        <v>36196.75</v>
      </c>
      <c r="D27" s="11" t="s">
        <v>31</v>
      </c>
      <c r="E27" s="11" t="s">
        <v>32</v>
      </c>
      <c r="F27" s="11" t="s">
        <v>30</v>
      </c>
      <c r="G27" s="17">
        <v>451.5072</v>
      </c>
      <c r="H27" s="13"/>
      <c r="I27" s="14">
        <f t="shared" si="1"/>
        <v>80.16871049</v>
      </c>
      <c r="J27" s="15">
        <f t="shared" si="2"/>
        <v>0</v>
      </c>
      <c r="K27" s="14">
        <f t="shared" si="3"/>
        <v>80.16871049</v>
      </c>
      <c r="L27" s="16" t="str">
        <f>IFERROR(__xludf.DUMMYFUNCTION("IFERROR(
  IF(
    VLOOKUP(C27, IMPORTRANGE(""gid=860555792"", ""Maestro!B:C""), 2, FALSE) = D27, 
    ""CONCILIADO"", 
    ""ERROR EN MONTO""
  ), 
  ""NO ENCONTRADO EN MAESTRO""
)"),"NO ENCONTRADO EN MAESTRO")</f>
        <v>NO ENCONTRADO EN MAESTRO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ht="22.5" customHeight="1">
      <c r="A28" s="8">
        <v>46104.0</v>
      </c>
      <c r="B28" s="9">
        <v>137.0</v>
      </c>
      <c r="C28" s="10">
        <v>129.92</v>
      </c>
      <c r="D28" s="11" t="s">
        <v>27</v>
      </c>
      <c r="E28" s="11" t="s">
        <v>28</v>
      </c>
      <c r="F28" s="11" t="s">
        <v>29</v>
      </c>
      <c r="G28" s="17">
        <v>457.0757</v>
      </c>
      <c r="H28" s="13"/>
      <c r="I28" s="14">
        <f t="shared" si="1"/>
        <v>129.92</v>
      </c>
      <c r="J28" s="15">
        <f t="shared" si="2"/>
        <v>129.92</v>
      </c>
      <c r="K28" s="14">
        <f t="shared" si="3"/>
        <v>129.92</v>
      </c>
      <c r="L28" s="16" t="str">
        <f>IFERROR(__xludf.DUMMYFUNCTION("IFERROR(
  IF(
    VLOOKUP(C28, IMPORTRANGE(""gid=860555792"", ""Maestro!B:C""), 2, FALSE) = D28, 
    ""CONCILIADO"", 
    ""ERROR EN MONTO""
  ), 
  ""NO ENCONTRADO EN MAESTRO""
)"),"NO ENCONTRADO EN MAESTRO")</f>
        <v>NO ENCONTRADO EN MAESTRO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ht="22.5" customHeight="1">
      <c r="A29" s="8">
        <v>46104.0</v>
      </c>
      <c r="B29" s="9">
        <v>48.0</v>
      </c>
      <c r="C29" s="10">
        <v>32691.98</v>
      </c>
      <c r="D29" s="11" t="s">
        <v>31</v>
      </c>
      <c r="E29" s="11" t="s">
        <v>32</v>
      </c>
      <c r="F29" s="11" t="s">
        <v>49</v>
      </c>
      <c r="G29" s="17">
        <v>527.79</v>
      </c>
      <c r="H29" s="13"/>
      <c r="I29" s="14">
        <f t="shared" si="1"/>
        <v>61.94126452</v>
      </c>
      <c r="J29" s="15">
        <f t="shared" si="2"/>
        <v>0</v>
      </c>
      <c r="K29" s="14">
        <f t="shared" si="3"/>
        <v>61.94126452</v>
      </c>
      <c r="L29" s="16" t="str">
        <f>IFERROR(__xludf.DUMMYFUNCTION("IFERROR(
  IF(
    VLOOKUP(C29, IMPORTRANGE(""gid=860555792"", ""Maestro!B:C""), 2, FALSE) = D29, 
    ""CONCILIADO"", 
    ""ERROR EN MONTO""
  ), 
  ""NO ENCONTRADO EN MAESTRO""
)"),"NO ENCONTRADO EN MAESTRO")</f>
        <v>NO ENCONTRADO EN MAESTRO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ht="22.5" customHeight="1">
      <c r="A30" s="8">
        <v>46104.0</v>
      </c>
      <c r="B30" s="9">
        <v>140.0</v>
      </c>
      <c r="C30" s="10">
        <v>24522.12</v>
      </c>
      <c r="D30" s="11" t="s">
        <v>31</v>
      </c>
      <c r="E30" s="11" t="s">
        <v>32</v>
      </c>
      <c r="F30" s="11" t="s">
        <v>50</v>
      </c>
      <c r="G30" s="17">
        <v>457.0757</v>
      </c>
      <c r="H30" s="13"/>
      <c r="I30" s="14">
        <f t="shared" si="1"/>
        <v>53.65001902</v>
      </c>
      <c r="J30" s="15">
        <f t="shared" si="2"/>
        <v>0</v>
      </c>
      <c r="K30" s="14">
        <f t="shared" si="3"/>
        <v>53.65001902</v>
      </c>
      <c r="L30" s="16" t="str">
        <f>IFERROR(__xludf.DUMMYFUNCTION("IFERROR(
  IF(
    VLOOKUP(C30, IMPORTRANGE(""gid=860555792"", ""Maestro!B:C""), 2, FALSE) = D30, 
    ""CONCILIADO"", 
    ""ERROR EN MONTO""
  ), 
  ""NO ENCONTRADO EN MAESTRO""
)"),"NO ENCONTRADO EN MAESTRO")</f>
        <v>NO ENCONTRADO EN MAESTRO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ht="22.5" customHeight="1">
      <c r="A31" s="8">
        <v>46105.0</v>
      </c>
      <c r="B31" s="9">
        <v>136.0</v>
      </c>
      <c r="C31" s="10">
        <v>42792.08</v>
      </c>
      <c r="D31" s="11" t="s">
        <v>31</v>
      </c>
      <c r="E31" s="11" t="s">
        <v>32</v>
      </c>
      <c r="F31" s="11" t="s">
        <v>30</v>
      </c>
      <c r="G31" s="19">
        <v>459.4525</v>
      </c>
      <c r="H31" s="13"/>
      <c r="I31" s="14">
        <f t="shared" si="1"/>
        <v>93.13711428</v>
      </c>
      <c r="J31" s="15">
        <f t="shared" si="2"/>
        <v>0</v>
      </c>
      <c r="K31" s="14">
        <f t="shared" si="3"/>
        <v>93.13711428</v>
      </c>
      <c r="L31" s="16" t="str">
        <f>IFERROR(__xludf.DUMMYFUNCTION("IFERROR(
  IF(
    VLOOKUP(C31, IMPORTRANGE(""gid=860555792"", ""Maestro!B:C""), 2, FALSE) = D31, 
    ""CONCILIADO"", 
    ""ERROR EN MONTO""
  ), 
  ""NO ENCONTRADO EN MAESTRO""
)"),"NO ENCONTRADO EN MAESTRO")</f>
        <v>NO ENCONTRADO EN MAESTRO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ht="22.5" customHeight="1">
      <c r="A32" s="8">
        <v>46105.0</v>
      </c>
      <c r="B32" s="9">
        <v>56.0</v>
      </c>
      <c r="C32" s="10">
        <v>30.0</v>
      </c>
      <c r="D32" s="11" t="s">
        <v>27</v>
      </c>
      <c r="E32" s="11" t="s">
        <v>28</v>
      </c>
      <c r="F32" s="11" t="s">
        <v>51</v>
      </c>
      <c r="G32" s="19">
        <v>533.4565</v>
      </c>
      <c r="H32" s="13"/>
      <c r="I32" s="14">
        <f t="shared" si="1"/>
        <v>30</v>
      </c>
      <c r="J32" s="15">
        <f t="shared" si="2"/>
        <v>30</v>
      </c>
      <c r="K32" s="14">
        <f t="shared" si="3"/>
        <v>30</v>
      </c>
      <c r="L32" s="16" t="str">
        <f>IFERROR(__xludf.DUMMYFUNCTION("IFERROR(
  IF(
    VLOOKUP(C32, IMPORTRANGE(""gid=860555792"", ""Maestro!B:C""), 2, FALSE) = D32, 
    ""CONCILIADO"", 
    ""ERROR EN MONTO""
  ), 
  ""NO ENCONTRADO EN MAESTRO""
)"),"NO ENCONTRADO EN MAESTRO")</f>
        <v>NO ENCONTRADO EN MAESTRO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ht="22.5" customHeight="1">
      <c r="A33" s="8">
        <v>46106.0</v>
      </c>
      <c r="B33" s="9">
        <v>119.0</v>
      </c>
      <c r="C33" s="10">
        <v>197.0</v>
      </c>
      <c r="D33" s="11" t="s">
        <v>27</v>
      </c>
      <c r="E33" s="11" t="s">
        <v>28</v>
      </c>
      <c r="F33" s="11" t="s">
        <v>34</v>
      </c>
      <c r="G33" s="19">
        <v>455.254</v>
      </c>
      <c r="H33" s="13"/>
      <c r="I33" s="14">
        <f t="shared" si="1"/>
        <v>197</v>
      </c>
      <c r="J33" s="15">
        <f t="shared" si="2"/>
        <v>197</v>
      </c>
      <c r="K33" s="14">
        <f t="shared" si="3"/>
        <v>197</v>
      </c>
      <c r="L33" s="16" t="str">
        <f>IFERROR(__xludf.DUMMYFUNCTION("IFERROR(
  IF(
    VLOOKUP(C33, IMPORTRANGE(""gid=860555792"", ""Maestro!B:C""), 2, FALSE) = D33, 
    ""CONCILIADO"", 
    ""ERROR EN MONTO""
  ), 
  ""NO ENCONTRADO EN MAESTRO""
)"),"NO ENCONTRADO EN MAESTRO")</f>
        <v>NO ENCONTRADO EN MAESTRO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ht="22.5" customHeight="1">
      <c r="A34" s="8">
        <v>46106.0</v>
      </c>
      <c r="B34" s="9">
        <v>108.0</v>
      </c>
      <c r="C34" s="10">
        <v>110.03</v>
      </c>
      <c r="D34" s="11" t="s">
        <v>27</v>
      </c>
      <c r="E34" s="11" t="s">
        <v>28</v>
      </c>
      <c r="F34" s="11" t="s">
        <v>46</v>
      </c>
      <c r="G34" s="19">
        <v>459.4525</v>
      </c>
      <c r="H34" s="13"/>
      <c r="I34" s="14">
        <f t="shared" si="1"/>
        <v>110.03</v>
      </c>
      <c r="J34" s="15">
        <f t="shared" si="2"/>
        <v>110.03</v>
      </c>
      <c r="K34" s="14">
        <f t="shared" si="3"/>
        <v>110.03</v>
      </c>
      <c r="L34" s="16" t="str">
        <f>IFERROR(__xludf.DUMMYFUNCTION("IFERROR(
  IF(
    VLOOKUP(C34, IMPORTRANGE(""gid=860555792"", ""Maestro!B:C""), 2, FALSE) = D34, 
    ""CONCILIADO"", 
    ""ERROR EN MONTO""
  ), 
  ""NO ENCONTRADO EN MAESTRO""
)"),"NO ENCONTRADO EN MAESTRO")</f>
        <v>NO ENCONTRADO EN MAESTRO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ht="22.5" customHeight="1">
      <c r="A35" s="8">
        <v>46106.0</v>
      </c>
      <c r="B35" s="9">
        <v>116.0</v>
      </c>
      <c r="C35" s="10">
        <v>99.01</v>
      </c>
      <c r="D35" s="11" t="s">
        <v>27</v>
      </c>
      <c r="E35" s="11" t="s">
        <v>28</v>
      </c>
      <c r="F35" s="11" t="s">
        <v>52</v>
      </c>
      <c r="G35" s="19">
        <v>462.6687</v>
      </c>
      <c r="H35" s="13"/>
      <c r="I35" s="14">
        <f t="shared" si="1"/>
        <v>99.01</v>
      </c>
      <c r="J35" s="15">
        <f t="shared" si="2"/>
        <v>99.01</v>
      </c>
      <c r="K35" s="14">
        <f t="shared" si="3"/>
        <v>99.01</v>
      </c>
      <c r="L35" s="16" t="str">
        <f>IFERROR(__xludf.DUMMYFUNCTION("IFERROR(
  IF(
    VLOOKUP(C35, IMPORTRANGE(""gid=860555792"", ""Maestro!B:C""), 2, FALSE) = D35, 
    ""CONCILIADO"", 
    ""ERROR EN MONTO""
  ), 
  ""NO ENCONTRADO EN MAESTRO""
)"),"NO ENCONTRADO EN MAESTRO")</f>
        <v>NO ENCONTRADO EN MAESTRO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ht="22.5" customHeight="1">
      <c r="A36" s="8">
        <v>46106.0</v>
      </c>
      <c r="B36" s="9">
        <v>148.0</v>
      </c>
      <c r="C36" s="10">
        <v>36.08</v>
      </c>
      <c r="D36" s="11" t="s">
        <v>27</v>
      </c>
      <c r="E36" s="11" t="s">
        <v>28</v>
      </c>
      <c r="F36" s="11" t="s">
        <v>52</v>
      </c>
      <c r="G36" s="19">
        <v>462.6687</v>
      </c>
      <c r="H36" s="13"/>
      <c r="I36" s="14">
        <f t="shared" si="1"/>
        <v>36.08</v>
      </c>
      <c r="J36" s="15">
        <f t="shared" si="2"/>
        <v>36.08</v>
      </c>
      <c r="K36" s="14">
        <f t="shared" si="3"/>
        <v>36.08</v>
      </c>
      <c r="L36" s="16" t="str">
        <f>IFERROR(__xludf.DUMMYFUNCTION("IFERROR(
  IF(
    VLOOKUP(C36, IMPORTRANGE(""gid=860555792"", ""Maestro!B:C""), 2, FALSE) = D36, 
    ""CONCILIADO"", 
    ""ERROR EN MONTO""
  ), 
  ""NO ENCONTRADO EN MAESTRO""
)"),"NO ENCONTRADO EN MAESTRO")</f>
        <v>NO ENCONTRADO EN MAESTRO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ht="22.5" customHeight="1">
      <c r="A37" s="8">
        <v>46106.0</v>
      </c>
      <c r="B37" s="9">
        <v>139.0</v>
      </c>
      <c r="C37" s="10">
        <v>972.03</v>
      </c>
      <c r="D37" s="11" t="s">
        <v>27</v>
      </c>
      <c r="E37" s="11" t="s">
        <v>28</v>
      </c>
      <c r="F37" s="11" t="s">
        <v>52</v>
      </c>
      <c r="G37" s="19">
        <v>462.6687</v>
      </c>
      <c r="H37" s="13"/>
      <c r="I37" s="14">
        <f t="shared" si="1"/>
        <v>972.03</v>
      </c>
      <c r="J37" s="15">
        <f t="shared" si="2"/>
        <v>972.03</v>
      </c>
      <c r="K37" s="14">
        <f t="shared" si="3"/>
        <v>972.03</v>
      </c>
      <c r="L37" s="16" t="str">
        <f>IFERROR(__xludf.DUMMYFUNCTION("IFERROR(
  IF(
    VLOOKUP(C37, IMPORTRANGE(""gid=860555792"", ""Maestro!B:C""), 2, FALSE) = D37, 
    ""CONCILIADO"", 
    ""ERROR EN MONTO""
  ), 
  ""NO ENCONTRADO EN MAESTRO""
)"),"NO ENCONTRADO EN MAESTRO")</f>
        <v>NO ENCONTRADO EN MAESTRO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ht="22.5" customHeight="1">
      <c r="A38" s="8">
        <v>46107.0</v>
      </c>
      <c r="B38" s="9">
        <v>157.0</v>
      </c>
      <c r="C38" s="10">
        <v>124.0</v>
      </c>
      <c r="D38" s="11" t="s">
        <v>27</v>
      </c>
      <c r="E38" s="11" t="s">
        <v>28</v>
      </c>
      <c r="F38" s="11" t="s">
        <v>53</v>
      </c>
      <c r="G38" s="19">
        <v>540.1704</v>
      </c>
      <c r="H38" s="13"/>
      <c r="I38" s="14">
        <f t="shared" si="1"/>
        <v>124</v>
      </c>
      <c r="J38" s="15">
        <f t="shared" si="2"/>
        <v>124</v>
      </c>
      <c r="K38" s="14">
        <f t="shared" si="3"/>
        <v>124</v>
      </c>
      <c r="L38" s="16" t="str">
        <f>IFERROR(__xludf.DUMMYFUNCTION("IFERROR(
  IF(
    VLOOKUP(C38, IMPORTRANGE(""gid=860555792"", ""Maestro!B:C""), 2, FALSE) = D38, 
    ""CONCILIADO"", 
    ""ERROR EN MONTO""
  ), 
  ""NO ENCONTRADO EN MAESTRO""
)"),"NO ENCONTRADO EN MAESTRO")</f>
        <v>NO ENCONTRADO EN MAESTRO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ht="22.5" customHeight="1">
      <c r="A39" s="8">
        <v>46107.0</v>
      </c>
      <c r="B39" s="9">
        <v>81.0</v>
      </c>
      <c r="C39" s="10">
        <v>72.0</v>
      </c>
      <c r="D39" s="11" t="s">
        <v>27</v>
      </c>
      <c r="E39" s="11" t="s">
        <v>28</v>
      </c>
      <c r="F39" s="11" t="s">
        <v>54</v>
      </c>
      <c r="G39" s="19">
        <v>540.1704</v>
      </c>
      <c r="H39" s="13"/>
      <c r="I39" s="14">
        <f t="shared" si="1"/>
        <v>72</v>
      </c>
      <c r="J39" s="15">
        <f t="shared" si="2"/>
        <v>72</v>
      </c>
      <c r="K39" s="14">
        <f t="shared" si="3"/>
        <v>72</v>
      </c>
      <c r="L39" s="16" t="str">
        <f>IFERROR(__xludf.DUMMYFUNCTION("IFERROR(
  IF(
    VLOOKUP(C39, IMPORTRANGE(""gid=860555792"", ""Maestro!B:C""), 2, FALSE) = D39, 
    ""CONCILIADO"", 
    ""ERROR EN MONTO""
  ), 
  ""NO ENCONTRADO EN MAESTRO""
)"),"NO ENCONTRADO EN MAESTRO")</f>
        <v>NO ENCONTRADO EN MAESTRO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ht="22.5" customHeight="1">
      <c r="A40" s="8">
        <v>46107.0</v>
      </c>
      <c r="B40" s="9">
        <v>86.0</v>
      </c>
      <c r="C40" s="10">
        <v>28000.0</v>
      </c>
      <c r="D40" s="11" t="s">
        <v>31</v>
      </c>
      <c r="E40" s="11" t="s">
        <v>32</v>
      </c>
      <c r="F40" s="11" t="s">
        <v>55</v>
      </c>
      <c r="G40" s="19">
        <v>540.1704</v>
      </c>
      <c r="H40" s="13"/>
      <c r="I40" s="14">
        <f t="shared" si="1"/>
        <v>51.83549487</v>
      </c>
      <c r="J40" s="15">
        <f t="shared" si="2"/>
        <v>0</v>
      </c>
      <c r="K40" s="14">
        <f t="shared" si="3"/>
        <v>51.83549487</v>
      </c>
      <c r="L40" s="16" t="str">
        <f>IFERROR(__xludf.DUMMYFUNCTION("IFERROR(
  IF(
    VLOOKUP(C40, IMPORTRANGE(""gid=860555792"", ""Maestro!B:C""), 2, FALSE) = D40, 
    ""CONCILIADO"", 
    ""ERROR EN MONTO""
  ), 
  ""NO ENCONTRADO EN MAESTRO""
)"),"NO ENCONTRADO EN MAESTRO")</f>
        <v>NO ENCONTRADO EN MAESTRO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ht="22.5" customHeight="1">
      <c r="A41" s="8">
        <v>46107.0</v>
      </c>
      <c r="B41" s="9">
        <v>37.0</v>
      </c>
      <c r="C41" s="10">
        <v>20.0</v>
      </c>
      <c r="D41" s="11" t="s">
        <v>27</v>
      </c>
      <c r="E41" s="11" t="s">
        <v>28</v>
      </c>
      <c r="F41" s="11" t="s">
        <v>56</v>
      </c>
      <c r="G41" s="19">
        <v>540.1704</v>
      </c>
      <c r="H41" s="13"/>
      <c r="I41" s="14">
        <f t="shared" si="1"/>
        <v>20</v>
      </c>
      <c r="J41" s="15">
        <f t="shared" si="2"/>
        <v>20</v>
      </c>
      <c r="K41" s="14">
        <f t="shared" si="3"/>
        <v>20</v>
      </c>
      <c r="L41" s="16" t="str">
        <f>IFERROR(__xludf.DUMMYFUNCTION("IFERROR(
  IF(
    VLOOKUP(C41, IMPORTRANGE(""gid=860555792"", ""Maestro!B:C""), 2, FALSE) = D41, 
    ""CONCILIADO"", 
    ""ERROR EN MONTO""
  ), 
  ""NO ENCONTRADO EN MAESTRO""
)"),"NO ENCONTRADO EN MAESTRO")</f>
        <v>NO ENCONTRADO EN MAESTRO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ht="22.5" customHeight="1">
      <c r="A42" s="8">
        <v>46108.0</v>
      </c>
      <c r="B42" s="9">
        <v>121.0</v>
      </c>
      <c r="C42" s="10">
        <v>46851.45</v>
      </c>
      <c r="D42" s="11" t="s">
        <v>31</v>
      </c>
      <c r="E42" s="11" t="s">
        <v>32</v>
      </c>
      <c r="F42" s="11" t="s">
        <v>57</v>
      </c>
      <c r="G42" s="19">
        <v>468.5145</v>
      </c>
      <c r="H42" s="13"/>
      <c r="I42" s="14">
        <f t="shared" si="1"/>
        <v>100</v>
      </c>
      <c r="J42" s="15">
        <f t="shared" si="2"/>
        <v>0</v>
      </c>
      <c r="K42" s="14">
        <f t="shared" si="3"/>
        <v>100</v>
      </c>
      <c r="L42" s="16" t="str">
        <f>IFERROR(__xludf.DUMMYFUNCTION("IFERROR(
  IF(
    VLOOKUP(C42, IMPORTRANGE(""gid=860555792"", ""Maestro!B:C""), 2, FALSE) = D42, 
    ""CONCILIADO"", 
    ""ERROR EN MONTO""
  ), 
  ""NO ENCONTRADO EN MAESTRO""
)"),"NO ENCONTRADO EN MAESTRO")</f>
        <v>NO ENCONTRADO EN MAESTRO</v>
      </c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ht="22.5" customHeight="1">
      <c r="A43" s="8">
        <v>46108.0</v>
      </c>
      <c r="B43" s="9">
        <v>51.0</v>
      </c>
      <c r="C43" s="10">
        <v>119.48</v>
      </c>
      <c r="D43" s="11" t="s">
        <v>27</v>
      </c>
      <c r="E43" s="11" t="s">
        <v>28</v>
      </c>
      <c r="F43" s="11" t="s">
        <v>58</v>
      </c>
      <c r="G43" s="19">
        <v>541.1904</v>
      </c>
      <c r="H43" s="13"/>
      <c r="I43" s="14">
        <f t="shared" si="1"/>
        <v>119.48</v>
      </c>
      <c r="J43" s="15">
        <f t="shared" si="2"/>
        <v>119.48</v>
      </c>
      <c r="K43" s="14">
        <f t="shared" si="3"/>
        <v>119.48</v>
      </c>
      <c r="L43" s="16" t="str">
        <f>IFERROR(__xludf.DUMMYFUNCTION("IFERROR(
  IF(
    VLOOKUP(C43, IMPORTRANGE(""gid=860555792"", ""Maestro!B:C""), 2, FALSE) = D43, 
    ""CONCILIADO"", 
    ""ERROR EN MONTO""
  ), 
  ""NO ENCONTRADO EN MAESTRO""
)"),"NO ENCONTRADO EN MAESTRO")</f>
        <v>NO ENCONTRADO EN MAESTRO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ht="22.5" customHeight="1">
      <c r="A44" s="8">
        <v>46108.0</v>
      </c>
      <c r="B44" s="9">
        <v>27.0</v>
      </c>
      <c r="C44" s="10">
        <v>20.0</v>
      </c>
      <c r="D44" s="11" t="s">
        <v>27</v>
      </c>
      <c r="E44" s="11" t="s">
        <v>28</v>
      </c>
      <c r="F44" s="11" t="s">
        <v>59</v>
      </c>
      <c r="G44" s="19">
        <v>541.1904</v>
      </c>
      <c r="H44" s="13"/>
      <c r="I44" s="14">
        <f t="shared" si="1"/>
        <v>20</v>
      </c>
      <c r="J44" s="15">
        <f t="shared" si="2"/>
        <v>20</v>
      </c>
      <c r="K44" s="14">
        <f t="shared" si="3"/>
        <v>20</v>
      </c>
      <c r="L44" s="16" t="str">
        <f>IFERROR(__xludf.DUMMYFUNCTION("IFERROR(
  IF(
    VLOOKUP(C44, IMPORTRANGE(""gid=860555792"", ""Maestro!B:C""), 2, FALSE) = D44, 
    ""CONCILIADO"", 
    ""ERROR EN MONTO""
  ), 
  ""NO ENCONTRADO EN MAESTRO""
)"),"NO ENCONTRADO EN MAESTRO")</f>
        <v>NO ENCONTRADO EN MAESTRO</v>
      </c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ht="22.5" customHeight="1">
      <c r="A45" s="8">
        <v>46108.0</v>
      </c>
      <c r="B45" s="9">
        <v>18.0</v>
      </c>
      <c r="C45" s="10">
        <v>50.0</v>
      </c>
      <c r="D45" s="11" t="s">
        <v>27</v>
      </c>
      <c r="E45" s="11" t="s">
        <v>28</v>
      </c>
      <c r="F45" s="11" t="s">
        <v>60</v>
      </c>
      <c r="G45" s="19">
        <v>541.1904</v>
      </c>
      <c r="H45" s="13"/>
      <c r="I45" s="14">
        <f t="shared" si="1"/>
        <v>50</v>
      </c>
      <c r="J45" s="15">
        <f t="shared" si="2"/>
        <v>50</v>
      </c>
      <c r="K45" s="14">
        <f t="shared" si="3"/>
        <v>50</v>
      </c>
      <c r="L45" s="16" t="str">
        <f>IFERROR(__xludf.DUMMYFUNCTION("IFERROR(
  IF(
    VLOOKUP(C45, IMPORTRANGE(""gid=860555792"", ""Maestro!B:C""), 2, FALSE) = D45, 
    ""CONCILIADO"", 
    ""ERROR EN MONTO""
  ), 
  ""NO ENCONTRADO EN MAESTRO""
)"),"NO ENCONTRADO EN MAESTRO")</f>
        <v>NO ENCONTRADO EN MAESTRO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ht="22.5" customHeight="1">
      <c r="A46" s="8">
        <v>46108.0</v>
      </c>
      <c r="B46" s="9">
        <v>100.0</v>
      </c>
      <c r="C46" s="10">
        <v>46800.0</v>
      </c>
      <c r="D46" s="11" t="s">
        <v>31</v>
      </c>
      <c r="E46" s="11" t="s">
        <v>32</v>
      </c>
      <c r="F46" s="11" t="s">
        <v>61</v>
      </c>
      <c r="G46" s="19">
        <v>468.5145</v>
      </c>
      <c r="H46" s="13"/>
      <c r="I46" s="14">
        <f t="shared" si="1"/>
        <v>99.89018483</v>
      </c>
      <c r="J46" s="15">
        <f t="shared" si="2"/>
        <v>0</v>
      </c>
      <c r="K46" s="14">
        <f t="shared" si="3"/>
        <v>99.89018483</v>
      </c>
      <c r="L46" s="16" t="str">
        <f>IFERROR(__xludf.DUMMYFUNCTION("IFERROR(
  IF(
    VLOOKUP(C46, IMPORTRANGE(""gid=860555792"", ""Maestro!B:C""), 2, FALSE) = D46, 
    ""CONCILIADO"", 
    ""ERROR EN MONTO""
  ), 
  ""NO ENCONTRADO EN MAESTRO""
)"),"NO ENCONTRADO EN MAESTRO")</f>
        <v>NO ENCONTRADO EN MAESTRO</v>
      </c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ht="22.5" customHeight="1">
      <c r="A47" s="8">
        <v>46108.0</v>
      </c>
      <c r="B47" s="9">
        <v>57.0</v>
      </c>
      <c r="C47" s="10">
        <v>45616.9</v>
      </c>
      <c r="D47" s="11" t="s">
        <v>31</v>
      </c>
      <c r="E47" s="11" t="s">
        <v>32</v>
      </c>
      <c r="F47" s="11" t="s">
        <v>62</v>
      </c>
      <c r="G47" s="19">
        <v>541.1904</v>
      </c>
      <c r="H47" s="13"/>
      <c r="I47" s="14">
        <f t="shared" si="1"/>
        <v>84.28992828</v>
      </c>
      <c r="J47" s="15">
        <f t="shared" si="2"/>
        <v>0</v>
      </c>
      <c r="K47" s="14">
        <f t="shared" si="3"/>
        <v>84.28992828</v>
      </c>
      <c r="L47" s="16" t="str">
        <f>IFERROR(__xludf.DUMMYFUNCTION("IFERROR(
  IF(
    VLOOKUP(C47, IMPORTRANGE(""gid=860555792"", ""Maestro!B:C""), 2, FALSE) = D47, 
    ""CONCILIADO"", 
    ""ERROR EN MONTO""
  ), 
  ""NO ENCONTRADO EN MAESTRO""
)"),"NO ENCONTRADO EN MAESTRO")</f>
        <v>NO ENCONTRADO EN MAESTRO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ht="22.5" customHeight="1">
      <c r="A48" s="8">
        <v>46111.0</v>
      </c>
      <c r="B48" s="9">
        <v>171.0</v>
      </c>
      <c r="C48" s="10">
        <v>260.0</v>
      </c>
      <c r="D48" s="11" t="s">
        <v>27</v>
      </c>
      <c r="E48" s="11" t="s">
        <v>28</v>
      </c>
      <c r="F48" s="11" t="s">
        <v>29</v>
      </c>
      <c r="G48" s="19">
        <v>471.7004</v>
      </c>
      <c r="H48" s="13"/>
      <c r="I48" s="14">
        <f t="shared" si="1"/>
        <v>260</v>
      </c>
      <c r="J48" s="15">
        <f t="shared" si="2"/>
        <v>260</v>
      </c>
      <c r="K48" s="14">
        <f t="shared" si="3"/>
        <v>260</v>
      </c>
      <c r="L48" s="16" t="str">
        <f>IFERROR(__xludf.DUMMYFUNCTION("IFERROR(
  IF(
    VLOOKUP(C48, IMPORTRANGE(""gid=860555792"", ""Maestro!B:C""), 2, FALSE) = D48, 
    ""CONCILIADO"", 
    ""ERROR EN MONTO""
  ), 
  ""NO ENCONTRADO EN MAESTRO""
)"),"NO ENCONTRADO EN MAESTRO")</f>
        <v>NO ENCONTRADO EN MAESTRO</v>
      </c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ht="22.5" customHeight="1">
      <c r="A49" s="8">
        <v>46111.0</v>
      </c>
      <c r="B49" s="9">
        <v>22.0</v>
      </c>
      <c r="C49" s="10">
        <v>96.0</v>
      </c>
      <c r="D49" s="11" t="s">
        <v>27</v>
      </c>
      <c r="E49" s="11" t="s">
        <v>28</v>
      </c>
      <c r="F49" s="11" t="s">
        <v>63</v>
      </c>
      <c r="G49" s="19">
        <v>543.9413</v>
      </c>
      <c r="H49" s="13"/>
      <c r="I49" s="14">
        <f t="shared" si="1"/>
        <v>96</v>
      </c>
      <c r="J49" s="15">
        <f t="shared" si="2"/>
        <v>96</v>
      </c>
      <c r="K49" s="14">
        <f t="shared" si="3"/>
        <v>96</v>
      </c>
      <c r="L49" s="16" t="str">
        <f>IFERROR(__xludf.DUMMYFUNCTION("IFERROR(
  IF(
    VLOOKUP(C49, IMPORTRANGE(""gid=860555792"", ""Maestro!B:C""), 2, FALSE) = D49, 
    ""CONCILIADO"", 
    ""ERROR EN MONTO""
  ), 
  ""NO ENCONTRADO EN MAESTRO""
)"),"NO ENCONTRADO EN MAESTRO")</f>
        <v>NO ENCONTRADO EN MAESTRO</v>
      </c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ht="22.5" customHeight="1">
      <c r="A50" s="8">
        <v>46111.0</v>
      </c>
      <c r="B50" s="9">
        <v>83.0</v>
      </c>
      <c r="C50" s="10">
        <v>65.0</v>
      </c>
      <c r="D50" s="11" t="s">
        <v>27</v>
      </c>
      <c r="E50" s="11" t="s">
        <v>28</v>
      </c>
      <c r="F50" s="11" t="s">
        <v>64</v>
      </c>
      <c r="G50" s="19">
        <v>527.7944</v>
      </c>
      <c r="H50" s="13"/>
      <c r="I50" s="14">
        <f t="shared" si="1"/>
        <v>65</v>
      </c>
      <c r="J50" s="15">
        <f t="shared" si="2"/>
        <v>65</v>
      </c>
      <c r="K50" s="14">
        <f t="shared" si="3"/>
        <v>65</v>
      </c>
      <c r="L50" s="16" t="str">
        <f>IFERROR(__xludf.DUMMYFUNCTION("IFERROR(
  IF(
    VLOOKUP(C50, IMPORTRANGE(""gid=860555792"", ""Maestro!B:C""), 2, FALSE) = D50, 
    ""CONCILIADO"", 
    ""ERROR EN MONTO""
  ), 
  ""NO ENCONTRADO EN MAESTRO""
)"),"NO ENCONTRADO EN MAESTRO")</f>
        <v>NO ENCONTRADO EN MAESTRO</v>
      </c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ht="22.5" customHeight="1">
      <c r="A51" s="8">
        <v>46111.0</v>
      </c>
      <c r="B51" s="9">
        <v>83.0</v>
      </c>
      <c r="C51" s="10">
        <v>1000.0</v>
      </c>
      <c r="D51" s="11" t="s">
        <v>31</v>
      </c>
      <c r="E51" s="11" t="s">
        <v>65</v>
      </c>
      <c r="F51" s="11" t="s">
        <v>64</v>
      </c>
      <c r="G51" s="19">
        <v>527.7944</v>
      </c>
      <c r="H51" s="13"/>
      <c r="I51" s="14">
        <f t="shared" si="1"/>
        <v>1.89467717</v>
      </c>
      <c r="J51" s="15">
        <f t="shared" si="2"/>
        <v>0</v>
      </c>
      <c r="K51" s="14">
        <f t="shared" si="3"/>
        <v>1.89467717</v>
      </c>
      <c r="L51" s="16" t="str">
        <f>IFERROR(__xludf.DUMMYFUNCTION("IFERROR(
  IF(
    VLOOKUP(C51, IMPORTRANGE(""gid=860555792"", ""Maestro!B:C""), 2, FALSE) = D51, 
    ""CONCILIADO"", 
    ""ERROR EN MONTO""
  ), 
  ""NO ENCONTRADO EN MAESTRO""
)"),"NO ENCONTRADO EN MAESTRO")</f>
        <v>NO ENCONTRADO EN MAESTRO</v>
      </c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ht="22.5" customHeight="1">
      <c r="A52" s="8">
        <v>46112.0</v>
      </c>
      <c r="B52" s="9">
        <v>152.0</v>
      </c>
      <c r="C52" s="10">
        <v>35.0</v>
      </c>
      <c r="D52" s="11" t="s">
        <v>27</v>
      </c>
      <c r="E52" s="11" t="s">
        <v>28</v>
      </c>
      <c r="F52" s="11" t="s">
        <v>66</v>
      </c>
      <c r="G52" s="19">
        <v>542.6382</v>
      </c>
      <c r="H52" s="13"/>
      <c r="I52" s="14">
        <f t="shared" si="1"/>
        <v>35</v>
      </c>
      <c r="J52" s="15">
        <f t="shared" si="2"/>
        <v>35</v>
      </c>
      <c r="K52" s="14">
        <f t="shared" si="3"/>
        <v>35</v>
      </c>
      <c r="L52" s="16" t="str">
        <f>IFERROR(__xludf.DUMMYFUNCTION("IFERROR(
  IF(
    VLOOKUP(C52, IMPORTRANGE(""gid=860555792"", ""Maestro!B:C""), 2, FALSE) = D52, 
    ""CONCILIADO"", 
    ""ERROR EN MONTO""
  ), 
  ""NO ENCONTRADO EN MAESTRO""
)"),"NO ENCONTRADO EN MAESTRO")</f>
        <v>NO ENCONTRADO EN MAESTRO</v>
      </c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ht="22.5" customHeight="1">
      <c r="A53" s="8">
        <v>46112.0</v>
      </c>
      <c r="B53" s="9">
        <v>132.0</v>
      </c>
      <c r="C53" s="10">
        <v>94.0</v>
      </c>
      <c r="D53" s="11" t="s">
        <v>27</v>
      </c>
      <c r="E53" s="11" t="s">
        <v>28</v>
      </c>
      <c r="F53" s="11" t="s">
        <v>67</v>
      </c>
      <c r="G53" s="19">
        <v>542.6382</v>
      </c>
      <c r="H53" s="13"/>
      <c r="I53" s="14">
        <f t="shared" si="1"/>
        <v>94</v>
      </c>
      <c r="J53" s="15">
        <f t="shared" si="2"/>
        <v>94</v>
      </c>
      <c r="K53" s="14">
        <f t="shared" si="3"/>
        <v>94</v>
      </c>
      <c r="L53" s="16" t="str">
        <f>IFERROR(__xludf.DUMMYFUNCTION("IFERROR(
  IF(
    VLOOKUP(C53, IMPORTRANGE(""gid=860555792"", ""Maestro!B:C""), 2, FALSE) = D53, 
    ""CONCILIADO"", 
    ""ERROR EN MONTO""
  ), 
  ""NO ENCONTRADO EN MAESTRO""
)"),"NO ENCONTRADO EN MAESTRO")</f>
        <v>NO ENCONTRADO EN MAESTRO</v>
      </c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ht="22.5" customHeight="1">
      <c r="A54" s="8">
        <v>46112.0</v>
      </c>
      <c r="B54" s="9">
        <v>56.0</v>
      </c>
      <c r="C54" s="10">
        <v>44.0</v>
      </c>
      <c r="D54" s="11" t="s">
        <v>27</v>
      </c>
      <c r="E54" s="11" t="s">
        <v>28</v>
      </c>
      <c r="F54" s="11" t="s">
        <v>51</v>
      </c>
      <c r="G54" s="19">
        <v>542.6382</v>
      </c>
      <c r="H54" s="13"/>
      <c r="I54" s="14">
        <f t="shared" si="1"/>
        <v>44</v>
      </c>
      <c r="J54" s="15">
        <f t="shared" si="2"/>
        <v>44</v>
      </c>
      <c r="K54" s="14">
        <f t="shared" si="3"/>
        <v>44</v>
      </c>
      <c r="L54" s="16" t="str">
        <f>IFERROR(__xludf.DUMMYFUNCTION("IFERROR(
  IF(
    VLOOKUP(C54, IMPORTRANGE(""gid=860555792"", ""Maestro!B:C""), 2, FALSE) = D54, 
    ""CONCILIADO"", 
    ""ERROR EN MONTO""
  ), 
  ""NO ENCONTRADO EN MAESTRO""
)"),"NO ENCONTRADO EN MAESTRO")</f>
        <v>NO ENCONTRADO EN MAESTRO</v>
      </c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ht="22.5" customHeight="1">
      <c r="A55" s="8">
        <v>46112.0</v>
      </c>
      <c r="B55" s="9">
        <v>27.0</v>
      </c>
      <c r="C55" s="10">
        <v>20.0</v>
      </c>
      <c r="D55" s="11" t="s">
        <v>27</v>
      </c>
      <c r="E55" s="11" t="s">
        <v>28</v>
      </c>
      <c r="F55" s="11" t="s">
        <v>59</v>
      </c>
      <c r="G55" s="19">
        <v>542.6382</v>
      </c>
      <c r="H55" s="13"/>
      <c r="I55" s="14">
        <f t="shared" si="1"/>
        <v>20</v>
      </c>
      <c r="J55" s="15">
        <f t="shared" si="2"/>
        <v>20</v>
      </c>
      <c r="K55" s="14">
        <f t="shared" si="3"/>
        <v>20</v>
      </c>
      <c r="L55" s="16" t="str">
        <f>IFERROR(__xludf.DUMMYFUNCTION("IFERROR(
  IF(
    VLOOKUP(C55, IMPORTRANGE(""gid=860555792"", ""Maestro!B:C""), 2, FALSE) = D55, 
    ""CONCILIADO"", 
    ""ERROR EN MONTO""
  ), 
  ""NO ENCONTRADO EN MAESTRO""
)"),"NO ENCONTRADO EN MAESTRO")</f>
        <v>NO ENCONTRADO EN MAESTRO</v>
      </c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ht="22.5" customHeight="1">
      <c r="A56" s="8">
        <v>46112.0</v>
      </c>
      <c r="B56" s="9">
        <v>54.0</v>
      </c>
      <c r="C56" s="10">
        <v>18954.8</v>
      </c>
      <c r="D56" s="11" t="s">
        <v>31</v>
      </c>
      <c r="E56" s="11" t="s">
        <v>32</v>
      </c>
      <c r="F56" s="11" t="s">
        <v>68</v>
      </c>
      <c r="G56" s="19">
        <v>542.6382</v>
      </c>
      <c r="H56" s="13"/>
      <c r="I56" s="14">
        <f t="shared" si="1"/>
        <v>34.930825</v>
      </c>
      <c r="J56" s="15">
        <f t="shared" si="2"/>
        <v>0</v>
      </c>
      <c r="K56" s="14">
        <f t="shared" si="3"/>
        <v>34.930825</v>
      </c>
      <c r="L56" s="16" t="str">
        <f>IFERROR(__xludf.DUMMYFUNCTION("IFERROR(
  IF(
    VLOOKUP(C56, IMPORTRANGE(""gid=860555792"", ""Maestro!B:C""), 2, FALSE) = D56, 
    ""CONCILIADO"", 
    ""ERROR EN MONTO""
  ), 
  ""NO ENCONTRADO EN MAESTRO""
)"),"NO ENCONTRADO EN MAESTRO")</f>
        <v>NO ENCONTRADO EN MAESTRO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ht="22.5" customHeight="1">
      <c r="A57" s="8">
        <v>46112.0</v>
      </c>
      <c r="B57" s="9">
        <v>131.0</v>
      </c>
      <c r="C57" s="10">
        <v>20.0</v>
      </c>
      <c r="D57" s="11" t="s">
        <v>27</v>
      </c>
      <c r="E57" s="11" t="s">
        <v>28</v>
      </c>
      <c r="F57" s="11" t="s">
        <v>69</v>
      </c>
      <c r="G57" s="19">
        <v>542.6382</v>
      </c>
      <c r="H57" s="13"/>
      <c r="I57" s="14">
        <f t="shared" si="1"/>
        <v>20</v>
      </c>
      <c r="J57" s="15">
        <f t="shared" si="2"/>
        <v>20</v>
      </c>
      <c r="K57" s="14">
        <f t="shared" si="3"/>
        <v>20</v>
      </c>
      <c r="L57" s="16" t="str">
        <f>IFERROR(__xludf.DUMMYFUNCTION("IFERROR(
  IF(
    VLOOKUP(C57, IMPORTRANGE(""gid=860555792"", ""Maestro!B:C""), 2, FALSE) = D57, 
    ""CONCILIADO"", 
    ""ERROR EN MONTO""
  ), 
  ""NO ENCONTRADO EN MAESTRO""
)"),"NO ENCONTRADO EN MAESTRO")</f>
        <v>NO ENCONTRADO EN MAESTRO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ht="22.5" customHeight="1">
      <c r="A58" s="8">
        <v>46112.0</v>
      </c>
      <c r="B58" s="9">
        <v>175.0</v>
      </c>
      <c r="C58" s="10">
        <v>108.0</v>
      </c>
      <c r="D58" s="11" t="s">
        <v>27</v>
      </c>
      <c r="E58" s="11" t="s">
        <v>28</v>
      </c>
      <c r="F58" s="11" t="s">
        <v>70</v>
      </c>
      <c r="G58" s="19">
        <v>481.6989</v>
      </c>
      <c r="H58" s="13"/>
      <c r="I58" s="14">
        <f t="shared" si="1"/>
        <v>108</v>
      </c>
      <c r="J58" s="15">
        <f t="shared" si="2"/>
        <v>108</v>
      </c>
      <c r="K58" s="14">
        <f t="shared" si="3"/>
        <v>108</v>
      </c>
      <c r="L58" s="16" t="str">
        <f>IFERROR(__xludf.DUMMYFUNCTION("IFERROR(
  IF(
    VLOOKUP(C58, IMPORTRANGE(""gid=860555792"", ""Maestro!B:C""), 2, FALSE) = D58, 
    ""CONCILIADO"", 
    ""ERROR EN MONTO""
  ), 
  ""NO ENCONTRADO EN MAESTRO""
)"),"NO ENCONTRADO EN MAESTRO")</f>
        <v>NO ENCONTRADO EN MAESTRO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ht="22.5" customHeight="1">
      <c r="A59" s="8">
        <v>46113.0</v>
      </c>
      <c r="B59" s="9">
        <v>83.0</v>
      </c>
      <c r="C59" s="10">
        <v>67.0</v>
      </c>
      <c r="D59" s="11" t="s">
        <v>27</v>
      </c>
      <c r="E59" s="11" t="s">
        <v>28</v>
      </c>
      <c r="F59" s="11" t="s">
        <v>64</v>
      </c>
      <c r="G59" s="19">
        <v>545.9483</v>
      </c>
      <c r="H59" s="13"/>
      <c r="I59" s="14">
        <f t="shared" si="1"/>
        <v>67</v>
      </c>
      <c r="J59" s="15">
        <f t="shared" si="2"/>
        <v>67</v>
      </c>
      <c r="K59" s="14">
        <f t="shared" si="3"/>
        <v>67</v>
      </c>
      <c r="L59" s="16" t="str">
        <f>IFERROR(__xludf.DUMMYFUNCTION("IFERROR(
  IF(
    VLOOKUP(C59, IMPORTRANGE(""gid=860555792"", ""Maestro!B:C""), 2, FALSE) = D59, 
    ""CONCILIADO"", 
    ""ERROR EN MONTO""
  ), 
  ""NO ENCONTRADO EN MAESTRO""
)"),"NO ENCONTRADO EN MAESTRO")</f>
        <v>NO ENCONTRADO EN MAESTRO</v>
      </c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ht="22.5" customHeight="1">
      <c r="A60" s="8">
        <v>46113.0</v>
      </c>
      <c r="B60" s="9">
        <v>170.0</v>
      </c>
      <c r="C60" s="10">
        <v>247.88</v>
      </c>
      <c r="D60" s="11" t="s">
        <v>27</v>
      </c>
      <c r="E60" s="11" t="s">
        <v>28</v>
      </c>
      <c r="F60" s="11" t="s">
        <v>34</v>
      </c>
      <c r="G60" s="19">
        <v>473.9176</v>
      </c>
      <c r="H60" s="13"/>
      <c r="I60" s="14">
        <f t="shared" si="1"/>
        <v>247.88</v>
      </c>
      <c r="J60" s="15">
        <f t="shared" si="2"/>
        <v>247.88</v>
      </c>
      <c r="K60" s="14">
        <f t="shared" si="3"/>
        <v>247.88</v>
      </c>
      <c r="L60" s="16" t="str">
        <f>IFERROR(__xludf.DUMMYFUNCTION("IFERROR(
  IF(
    VLOOKUP(C60, IMPORTRANGE(""gid=860555792"", ""Maestro!B:C""), 2, FALSE) = D60, 
    ""CONCILIADO"", 
    ""ERROR EN MONTO""
  ), 
  ""NO ENCONTRADO EN MAESTRO""
)"),"NO ENCONTRADO EN MAESTRO")</f>
        <v>NO ENCONTRADO EN MAESTRO</v>
      </c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ht="22.5" customHeight="1">
      <c r="A61" s="8">
        <v>46113.0</v>
      </c>
      <c r="B61" s="9">
        <v>106.0</v>
      </c>
      <c r="C61" s="10">
        <v>238119.78</v>
      </c>
      <c r="D61" s="11" t="s">
        <v>31</v>
      </c>
      <c r="E61" s="11" t="s">
        <v>32</v>
      </c>
      <c r="F61" s="11" t="s">
        <v>33</v>
      </c>
      <c r="G61" s="19">
        <v>473.9176</v>
      </c>
      <c r="H61" s="13"/>
      <c r="I61" s="14">
        <f t="shared" si="1"/>
        <v>502.4497508</v>
      </c>
      <c r="J61" s="15">
        <f t="shared" si="2"/>
        <v>0</v>
      </c>
      <c r="K61" s="14">
        <f t="shared" si="3"/>
        <v>502.4497508</v>
      </c>
      <c r="L61" s="16" t="str">
        <f>IFERROR(__xludf.DUMMYFUNCTION("IFERROR(
  IF(
    VLOOKUP(C61, IMPORTRANGE(""gid=860555792"", ""Maestro!B:C""), 2, FALSE) = D61, 
    ""CONCILIADO"", 
    ""ERROR EN MONTO""
  ), 
  ""NO ENCONTRADO EN MAESTRO""
)"),"NO ENCONTRADO EN MAESTRO")</f>
        <v>NO ENCONTRADO EN MAESTRO</v>
      </c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ht="22.5" customHeight="1">
      <c r="A62" s="8">
        <v>46118.0</v>
      </c>
      <c r="B62" s="9">
        <v>121.0</v>
      </c>
      <c r="C62" s="10">
        <v>47405.98</v>
      </c>
      <c r="D62" s="11" t="s">
        <v>31</v>
      </c>
      <c r="E62" s="11" t="s">
        <v>32</v>
      </c>
      <c r="F62" s="11" t="s">
        <v>57</v>
      </c>
      <c r="G62" s="19">
        <v>474.0598</v>
      </c>
      <c r="H62" s="13"/>
      <c r="I62" s="14">
        <f t="shared" si="1"/>
        <v>100</v>
      </c>
      <c r="J62" s="15">
        <f t="shared" si="2"/>
        <v>0</v>
      </c>
      <c r="K62" s="14">
        <f t="shared" si="3"/>
        <v>100</v>
      </c>
      <c r="L62" s="16" t="str">
        <f>IFERROR(__xludf.DUMMYFUNCTION("IFERROR(
  IF(
    VLOOKUP(C62, IMPORTRANGE(""gid=860555792"", ""Maestro!B:C""), 2, FALSE) = D62, 
    ""CONCILIADO"", 
    ""ERROR EN MONTO""
  ), 
  ""NO ENCONTRADO EN MAESTRO""
)"),"NO ENCONTRADO EN MAESTRO")</f>
        <v>NO ENCONTRADO EN MAESTRO</v>
      </c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ht="22.5" customHeight="1">
      <c r="A63" s="8">
        <v>46118.0</v>
      </c>
      <c r="B63" s="9">
        <v>90.0</v>
      </c>
      <c r="C63" s="10">
        <v>100.0</v>
      </c>
      <c r="D63" s="11" t="s">
        <v>27</v>
      </c>
      <c r="E63" s="11" t="s">
        <v>28</v>
      </c>
      <c r="F63" s="11" t="s">
        <v>71</v>
      </c>
      <c r="G63" s="19">
        <v>474.0598</v>
      </c>
      <c r="H63" s="13"/>
      <c r="I63" s="14">
        <f t="shared" si="1"/>
        <v>100</v>
      </c>
      <c r="J63" s="15">
        <f t="shared" si="2"/>
        <v>100</v>
      </c>
      <c r="K63" s="14">
        <f t="shared" si="3"/>
        <v>100</v>
      </c>
      <c r="L63" s="16" t="str">
        <f>IFERROR(__xludf.DUMMYFUNCTION("IFERROR(
  IF(
    VLOOKUP(C63, IMPORTRANGE(""gid=860555792"", ""Maestro!B:C""), 2, FALSE) = D63, 
    ""CONCILIADO"", 
    ""ERROR EN MONTO""
  ), 
  ""NO ENCONTRADO EN MAESTRO""
)"),"NO ENCONTRADO EN MAESTRO")</f>
        <v>NO ENCONTRADO EN MAESTRO</v>
      </c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ht="22.5" customHeight="1">
      <c r="A64" s="8">
        <v>46118.0</v>
      </c>
      <c r="B64" s="9">
        <v>176.0</v>
      </c>
      <c r="C64" s="10">
        <v>110.0</v>
      </c>
      <c r="D64" s="11" t="s">
        <v>27</v>
      </c>
      <c r="E64" s="11" t="s">
        <v>28</v>
      </c>
      <c r="F64" s="11" t="s">
        <v>72</v>
      </c>
      <c r="G64" s="19">
        <v>474.0598</v>
      </c>
      <c r="H64" s="13"/>
      <c r="I64" s="14">
        <f t="shared" si="1"/>
        <v>110</v>
      </c>
      <c r="J64" s="15">
        <f t="shared" si="2"/>
        <v>110</v>
      </c>
      <c r="K64" s="14">
        <f t="shared" si="3"/>
        <v>110</v>
      </c>
      <c r="L64" s="16" t="str">
        <f>IFERROR(__xludf.DUMMYFUNCTION("IFERROR(
  IF(
    VLOOKUP(C64, IMPORTRANGE(""gid=860555792"", ""Maestro!B:C""), 2, FALSE) = D64, 
    ""CONCILIADO"", 
    ""ERROR EN MONTO""
  ), 
  ""NO ENCONTRADO EN MAESTRO""
)"),"NO ENCONTRADO EN MAESTRO")</f>
        <v>NO ENCONTRADO EN MAESTRO</v>
      </c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ht="22.5" customHeight="1">
      <c r="A65" s="8">
        <v>46118.0</v>
      </c>
      <c r="B65" s="9">
        <v>94.0</v>
      </c>
      <c r="C65" s="10">
        <v>23705.0</v>
      </c>
      <c r="D65" s="11" t="s">
        <v>31</v>
      </c>
      <c r="E65" s="11" t="s">
        <v>36</v>
      </c>
      <c r="F65" s="11" t="s">
        <v>73</v>
      </c>
      <c r="G65" s="19">
        <v>474.0598</v>
      </c>
      <c r="H65" s="13"/>
      <c r="I65" s="14">
        <f t="shared" si="1"/>
        <v>50.00423997</v>
      </c>
      <c r="J65" s="15">
        <f t="shared" si="2"/>
        <v>0</v>
      </c>
      <c r="K65" s="14">
        <f t="shared" si="3"/>
        <v>50.00423997</v>
      </c>
      <c r="L65" s="16" t="str">
        <f>IFERROR(__xludf.DUMMYFUNCTION("IFERROR(
  IF(
    VLOOKUP(C65, IMPORTRANGE(""gid=860555792"", ""Maestro!B:C""), 2, FALSE) = D65, 
    ""CONCILIADO"", 
    ""ERROR EN MONTO""
  ), 
  ""NO ENCONTRADO EN MAESTRO""
)"),"NO ENCONTRADO EN MAESTRO")</f>
        <v>NO ENCONTRADO EN MAESTRO</v>
      </c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ht="22.5" customHeight="1">
      <c r="A66" s="8">
        <v>46118.0</v>
      </c>
      <c r="B66" s="9">
        <v>20.0</v>
      </c>
      <c r="C66" s="10">
        <v>13775.0</v>
      </c>
      <c r="D66" s="11" t="s">
        <v>31</v>
      </c>
      <c r="E66" s="11" t="s">
        <v>32</v>
      </c>
      <c r="F66" s="11" t="s">
        <v>44</v>
      </c>
      <c r="G66" s="19">
        <v>550.8954</v>
      </c>
      <c r="H66" s="13"/>
      <c r="I66" s="14">
        <f t="shared" si="1"/>
        <v>25.00474682</v>
      </c>
      <c r="J66" s="15">
        <f t="shared" si="2"/>
        <v>0</v>
      </c>
      <c r="K66" s="14">
        <f t="shared" si="3"/>
        <v>25.00474682</v>
      </c>
      <c r="L66" s="16" t="str">
        <f>IFERROR(__xludf.DUMMYFUNCTION("IFERROR(
  IF(
    VLOOKUP(C66, IMPORTRANGE(""gid=860555792"", ""Maestro!B:C""), 2, FALSE) = D66, 
    ""CONCILIADO"", 
    ""ERROR EN MONTO""
  ), 
  ""NO ENCONTRADO EN MAESTRO""
)"),"NO ENCONTRADO EN MAESTRO")</f>
        <v>NO ENCONTRADO EN MAESTRO</v>
      </c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ht="22.5" customHeight="1">
      <c r="A67" s="8">
        <v>46118.0</v>
      </c>
      <c r="B67" s="9">
        <v>2.0</v>
      </c>
      <c r="C67" s="10">
        <v>47405.98</v>
      </c>
      <c r="D67" s="11" t="s">
        <v>31</v>
      </c>
      <c r="E67" s="11" t="s">
        <v>32</v>
      </c>
      <c r="F67" s="11" t="s">
        <v>57</v>
      </c>
      <c r="G67" s="19">
        <v>550.8954</v>
      </c>
      <c r="H67" s="13"/>
      <c r="I67" s="14">
        <f t="shared" si="1"/>
        <v>86.05259728</v>
      </c>
      <c r="J67" s="15">
        <f t="shared" si="2"/>
        <v>0</v>
      </c>
      <c r="K67" s="14">
        <f t="shared" si="3"/>
        <v>86.05259728</v>
      </c>
      <c r="L67" s="16" t="str">
        <f>IFERROR(__xludf.DUMMYFUNCTION("IFERROR(
  IF(
    VLOOKUP(C67, IMPORTRANGE(""gid=860555792"", ""Maestro!B:C""), 2, FALSE) = D67, 
    ""CONCILIADO"", 
    ""ERROR EN MONTO""
  ), 
  ""NO ENCONTRADO EN MAESTRO""
)"),"NO ENCONTRADO EN MAESTRO")</f>
        <v>NO ENCONTRADO EN MAESTRO</v>
      </c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ht="22.5" customHeight="1">
      <c r="A68" s="8">
        <v>46119.0</v>
      </c>
      <c r="B68" s="9">
        <v>29.0</v>
      </c>
      <c r="C68" s="10">
        <v>100.0</v>
      </c>
      <c r="D68" s="11" t="s">
        <v>27</v>
      </c>
      <c r="E68" s="11" t="s">
        <v>28</v>
      </c>
      <c r="F68" s="11" t="s">
        <v>74</v>
      </c>
      <c r="G68" s="19">
        <v>474.5338</v>
      </c>
      <c r="H68" s="13"/>
      <c r="I68" s="14">
        <f t="shared" si="1"/>
        <v>100</v>
      </c>
      <c r="J68" s="15">
        <f t="shared" si="2"/>
        <v>100</v>
      </c>
      <c r="K68" s="14">
        <f t="shared" si="3"/>
        <v>100</v>
      </c>
      <c r="L68" s="16" t="str">
        <f>IFERROR(__xludf.DUMMYFUNCTION("IFERROR(
  IF(
    VLOOKUP(C68, IMPORTRANGE(""gid=860555792"", ""Maestro!B:C""), 2, FALSE) = D68, 
    ""CONCILIADO"", 
    ""ERROR EN MONTO""
  ), 
  ""NO ENCONTRADO EN MAESTRO""
)"),"NO ENCONTRADO EN MAESTRO")</f>
        <v>NO ENCONTRADO EN MAESTRO</v>
      </c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ht="22.5" customHeight="1">
      <c r="A69" s="8">
        <v>46119.0</v>
      </c>
      <c r="B69" s="9">
        <v>104.0</v>
      </c>
      <c r="C69" s="10">
        <v>70.0</v>
      </c>
      <c r="D69" s="11" t="s">
        <v>27</v>
      </c>
      <c r="E69" s="11" t="s">
        <v>28</v>
      </c>
      <c r="F69" s="11" t="s">
        <v>75</v>
      </c>
      <c r="G69" s="19">
        <v>474.5338</v>
      </c>
      <c r="H69" s="13"/>
      <c r="I69" s="14">
        <f t="shared" si="1"/>
        <v>70</v>
      </c>
      <c r="J69" s="15">
        <f t="shared" si="2"/>
        <v>70</v>
      </c>
      <c r="K69" s="14">
        <f t="shared" si="3"/>
        <v>70</v>
      </c>
      <c r="L69" s="16" t="str">
        <f>IFERROR(__xludf.DUMMYFUNCTION("IFERROR(
  IF(
    VLOOKUP(C69, IMPORTRANGE(""gid=860555792"", ""Maestro!B:C""), 2, FALSE) = D69, 
    ""CONCILIADO"", 
    ""ERROR EN MONTO""
  ), 
  ""NO ENCONTRADO EN MAESTRO""
)"),"NO ENCONTRADO EN MAESTRO")</f>
        <v>NO ENCONTRADO EN MAESTRO</v>
      </c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ht="22.5" customHeight="1">
      <c r="A70" s="8">
        <v>46119.0</v>
      </c>
      <c r="B70" s="9">
        <v>27.0</v>
      </c>
      <c r="C70" s="10">
        <v>20.0</v>
      </c>
      <c r="D70" s="11" t="s">
        <v>27</v>
      </c>
      <c r="E70" s="11" t="s">
        <v>28</v>
      </c>
      <c r="F70" s="11" t="s">
        <v>59</v>
      </c>
      <c r="G70" s="19">
        <v>474.5338</v>
      </c>
      <c r="H70" s="13"/>
      <c r="I70" s="14">
        <f t="shared" si="1"/>
        <v>20</v>
      </c>
      <c r="J70" s="15">
        <f t="shared" si="2"/>
        <v>20</v>
      </c>
      <c r="K70" s="14">
        <f t="shared" si="3"/>
        <v>20</v>
      </c>
      <c r="L70" s="16" t="str">
        <f>IFERROR(__xludf.DUMMYFUNCTION("IFERROR(
  IF(
    VLOOKUP(C70, IMPORTRANGE(""gid=860555792"", ""Maestro!B:C""), 2, FALSE) = D70, 
    ""CONCILIADO"", 
    ""ERROR EN MONTO""
  ), 
  ""NO ENCONTRADO EN MAESTRO""
)"),"NO ENCONTRADO EN MAESTRO")</f>
        <v>NO ENCONTRADO EN MAESTRO</v>
      </c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ht="22.5" customHeight="1">
      <c r="A71" s="8">
        <v>46119.0</v>
      </c>
      <c r="B71" s="9">
        <v>182.0</v>
      </c>
      <c r="C71" s="10">
        <v>115.92</v>
      </c>
      <c r="D71" s="11" t="s">
        <v>27</v>
      </c>
      <c r="E71" s="11" t="s">
        <v>28</v>
      </c>
      <c r="F71" s="11" t="s">
        <v>34</v>
      </c>
      <c r="G71" s="19">
        <v>474.5338</v>
      </c>
      <c r="H71" s="13"/>
      <c r="I71" s="14">
        <f t="shared" si="1"/>
        <v>115.92</v>
      </c>
      <c r="J71" s="15">
        <f t="shared" si="2"/>
        <v>115.92</v>
      </c>
      <c r="K71" s="14">
        <f t="shared" si="3"/>
        <v>115.92</v>
      </c>
      <c r="L71" s="16" t="str">
        <f>IFERROR(__xludf.DUMMYFUNCTION("IFERROR(
  IF(
    VLOOKUP(C71, IMPORTRANGE(""gid=860555792"", ""Maestro!B:C""), 2, FALSE) = D71, 
    ""CONCILIADO"", 
    ""ERROR EN MONTO""
  ), 
  ""NO ENCONTRADO EN MAESTRO""
)"),"NO ENCONTRADO EN MAESTRO")</f>
        <v>NO ENCONTRADO EN MAESTRO</v>
      </c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ht="22.5" customHeight="1">
      <c r="A72" s="8">
        <v>46119.0</v>
      </c>
      <c r="B72" s="9">
        <v>184.0</v>
      </c>
      <c r="C72" s="10">
        <v>64.8</v>
      </c>
      <c r="D72" s="11" t="s">
        <v>27</v>
      </c>
      <c r="E72" s="11" t="s">
        <v>28</v>
      </c>
      <c r="F72" s="11" t="s">
        <v>34</v>
      </c>
      <c r="G72" s="19">
        <v>474.5338</v>
      </c>
      <c r="H72" s="13"/>
      <c r="I72" s="14">
        <f t="shared" si="1"/>
        <v>64.8</v>
      </c>
      <c r="J72" s="15">
        <f t="shared" si="2"/>
        <v>64.8</v>
      </c>
      <c r="K72" s="14">
        <f t="shared" si="3"/>
        <v>64.8</v>
      </c>
      <c r="L72" s="16" t="str">
        <f>IFERROR(__xludf.DUMMYFUNCTION("IFERROR(
  IF(
    VLOOKUP(C72, IMPORTRANGE(""gid=860555792"", ""Maestro!B:C""), 2, FALSE) = D72, 
    ""CONCILIADO"", 
    ""ERROR EN MONTO""
  ), 
  ""NO ENCONTRADO EN MAESTRO""
)"),"NO ENCONTRADO EN MAESTRO")</f>
        <v>NO ENCONTRADO EN MAESTRO</v>
      </c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ht="22.5" customHeight="1">
      <c r="A73" s="8">
        <v>46119.0</v>
      </c>
      <c r="B73" s="9">
        <v>94.0</v>
      </c>
      <c r="C73" s="10">
        <v>23726.5</v>
      </c>
      <c r="D73" s="11" t="s">
        <v>31</v>
      </c>
      <c r="E73" s="11" t="s">
        <v>36</v>
      </c>
      <c r="F73" s="11" t="s">
        <v>73</v>
      </c>
      <c r="G73" s="19">
        <v>474.5338</v>
      </c>
      <c r="H73" s="13"/>
      <c r="I73" s="14">
        <f t="shared" si="1"/>
        <v>49.99959961</v>
      </c>
      <c r="J73" s="15">
        <f t="shared" si="2"/>
        <v>0</v>
      </c>
      <c r="K73" s="14">
        <f t="shared" si="3"/>
        <v>49.99959961</v>
      </c>
      <c r="L73" s="16" t="str">
        <f>IFERROR(__xludf.DUMMYFUNCTION("IFERROR(
  IF(
    VLOOKUP(C73, IMPORTRANGE(""gid=860555792"", ""Maestro!B:C""), 2, FALSE) = D73, 
    ""CONCILIADO"", 
    ""ERROR EN MONTO""
  ), 
  ""NO ENCONTRADO EN MAESTRO""
)"),"NO ENCONTRADO EN MAESTRO")</f>
        <v>NO ENCONTRADO EN MAESTRO</v>
      </c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ht="22.5" customHeight="1">
      <c r="A74" s="8">
        <v>46120.0</v>
      </c>
      <c r="B74" s="9">
        <v>185.0</v>
      </c>
      <c r="C74" s="10">
        <v>74937.81</v>
      </c>
      <c r="D74" s="11" t="s">
        <v>31</v>
      </c>
      <c r="E74" s="11" t="s">
        <v>32</v>
      </c>
      <c r="F74" s="11" t="s">
        <v>76</v>
      </c>
      <c r="G74" s="19">
        <v>475.9583</v>
      </c>
      <c r="H74" s="13"/>
      <c r="I74" s="14">
        <f t="shared" si="1"/>
        <v>157.446167</v>
      </c>
      <c r="J74" s="15">
        <f t="shared" si="2"/>
        <v>0</v>
      </c>
      <c r="K74" s="14">
        <f t="shared" si="3"/>
        <v>157.446167</v>
      </c>
      <c r="L74" s="16" t="str">
        <f>IFERROR(__xludf.DUMMYFUNCTION("IFERROR(
  IF(
    VLOOKUP(C74, IMPORTRANGE(""gid=860555792"", ""Maestro!B:C""), 2, FALSE) = D74, 
    ""CONCILIADO"", 
    ""ERROR EN MONTO""
  ), 
  ""NO ENCONTRADO EN MAESTRO""
)"),"NO ENCONTRADO EN MAESTRO")</f>
        <v>NO ENCONTRADO EN MAESTRO</v>
      </c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ht="22.5" customHeight="1">
      <c r="A75" s="8">
        <v>46120.0</v>
      </c>
      <c r="B75" s="9">
        <v>20.0</v>
      </c>
      <c r="C75" s="10">
        <v>10995.0</v>
      </c>
      <c r="D75" s="11" t="s">
        <v>31</v>
      </c>
      <c r="E75" s="11" t="s">
        <v>32</v>
      </c>
      <c r="F75" s="11" t="s">
        <v>44</v>
      </c>
      <c r="G75" s="19">
        <v>549.6986</v>
      </c>
      <c r="H75" s="13"/>
      <c r="I75" s="14">
        <f t="shared" si="1"/>
        <v>20.00187012</v>
      </c>
      <c r="J75" s="15">
        <f t="shared" si="2"/>
        <v>0</v>
      </c>
      <c r="K75" s="14">
        <f t="shared" si="3"/>
        <v>20.00187012</v>
      </c>
      <c r="L75" s="16" t="str">
        <f>IFERROR(__xludf.DUMMYFUNCTION("IFERROR(
  IF(
    VLOOKUP(C75, IMPORTRANGE(""gid=860555792"", ""Maestro!B:C""), 2, FALSE) = D75, 
    ""CONCILIADO"", 
    ""ERROR EN MONTO""
  ), 
  ""NO ENCONTRADO EN MAESTRO""
)"),"NO ENCONTRADO EN MAESTRO")</f>
        <v>NO ENCONTRADO EN MAESTRO</v>
      </c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ht="22.5" customHeight="1">
      <c r="A76" s="8">
        <v>46121.0</v>
      </c>
      <c r="B76" s="9">
        <v>131.0</v>
      </c>
      <c r="C76" s="10">
        <v>4.0</v>
      </c>
      <c r="D76" s="11" t="s">
        <v>27</v>
      </c>
      <c r="E76" s="11" t="s">
        <v>28</v>
      </c>
      <c r="F76" s="11" t="s">
        <v>77</v>
      </c>
      <c r="G76" s="19">
        <v>473.9176</v>
      </c>
      <c r="H76" s="13"/>
      <c r="I76" s="14">
        <f t="shared" si="1"/>
        <v>4</v>
      </c>
      <c r="J76" s="15">
        <f t="shared" si="2"/>
        <v>4</v>
      </c>
      <c r="K76" s="14">
        <f t="shared" si="3"/>
        <v>4</v>
      </c>
      <c r="L76" s="16" t="str">
        <f>IFERROR(__xludf.DUMMYFUNCTION("IFERROR(
  IF(
    VLOOKUP(C76, IMPORTRANGE(""gid=860555792"", ""Maestro!B:C""), 2, FALSE) = D76, 
    ""CONCILIADO"", 
    ""ERROR EN MONTO""
  ), 
  ""NO ENCONTRADO EN MAESTRO""
)"),"NO ENCONTRADO EN MAESTRO")</f>
        <v>NO ENCONTRADO EN MAESTRO</v>
      </c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ht="22.5" customHeight="1">
      <c r="A77" s="8">
        <v>46121.0</v>
      </c>
      <c r="B77" s="9">
        <v>190.0</v>
      </c>
      <c r="C77" s="10">
        <v>345.0</v>
      </c>
      <c r="D77" s="11" t="s">
        <v>27</v>
      </c>
      <c r="E77" s="11" t="s">
        <v>28</v>
      </c>
      <c r="F77" s="11" t="s">
        <v>78</v>
      </c>
      <c r="G77" s="19">
        <v>473.9176</v>
      </c>
      <c r="H77" s="13"/>
      <c r="I77" s="14">
        <f t="shared" si="1"/>
        <v>345</v>
      </c>
      <c r="J77" s="15">
        <f t="shared" si="2"/>
        <v>345</v>
      </c>
      <c r="K77" s="14">
        <f t="shared" si="3"/>
        <v>345</v>
      </c>
      <c r="L77" s="16" t="str">
        <f>IFERROR(__xludf.DUMMYFUNCTION("IFERROR(
  IF(
    VLOOKUP(C77, IMPORTRANGE(""gid=860555792"", ""Maestro!B:C""), 2, FALSE) = D77, 
    ""CONCILIADO"", 
    ""ERROR EN MONTO""
  ), 
  ""NO ENCONTRADO EN MAESTRO""
)"),"NO ENCONTRADO EN MAESTRO")</f>
        <v>NO ENCONTRADO EN MAESTRO</v>
      </c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ht="22.5" customHeight="1">
      <c r="A78" s="8">
        <v>46121.0</v>
      </c>
      <c r="B78" s="9">
        <v>190.0</v>
      </c>
      <c r="C78" s="10">
        <v>285.58</v>
      </c>
      <c r="D78" s="11" t="s">
        <v>31</v>
      </c>
      <c r="E78" s="11" t="s">
        <v>32</v>
      </c>
      <c r="F78" s="11" t="s">
        <v>78</v>
      </c>
      <c r="G78" s="19">
        <v>473.9176</v>
      </c>
      <c r="H78" s="13"/>
      <c r="I78" s="14">
        <f t="shared" si="1"/>
        <v>0.6025942063</v>
      </c>
      <c r="J78" s="15">
        <f t="shared" si="2"/>
        <v>0</v>
      </c>
      <c r="K78" s="14">
        <f t="shared" si="3"/>
        <v>0.6025942063</v>
      </c>
      <c r="L78" s="16" t="str">
        <f>IFERROR(__xludf.DUMMYFUNCTION("IFERROR(
  IF(
    VLOOKUP(C78, IMPORTRANGE(""gid=860555792"", ""Maestro!B:C""), 2, FALSE) = D78, 
    ""CONCILIADO"", 
    ""ERROR EN MONTO""
  ), 
  ""NO ENCONTRADO EN MAESTRO""
)"),"NO ENCONTRADO EN MAESTRO")</f>
        <v>NO ENCONTRADO EN MAESTRO</v>
      </c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ht="22.5" customHeight="1">
      <c r="A79" s="8">
        <v>46121.0</v>
      </c>
      <c r="B79" s="9">
        <v>176.0</v>
      </c>
      <c r="C79" s="10">
        <v>50.0</v>
      </c>
      <c r="D79" s="11" t="s">
        <v>27</v>
      </c>
      <c r="E79" s="11" t="s">
        <v>28</v>
      </c>
      <c r="F79" s="11" t="s">
        <v>72</v>
      </c>
      <c r="G79" s="19">
        <v>473.9176</v>
      </c>
      <c r="H79" s="13"/>
      <c r="I79" s="14">
        <f t="shared" si="1"/>
        <v>50</v>
      </c>
      <c r="J79" s="15">
        <f t="shared" si="2"/>
        <v>50</v>
      </c>
      <c r="K79" s="14">
        <f t="shared" si="3"/>
        <v>50</v>
      </c>
      <c r="L79" s="16" t="str">
        <f>IFERROR(__xludf.DUMMYFUNCTION("IFERROR(
  IF(
    VLOOKUP(C79, IMPORTRANGE(""gid=860555792"", ""Maestro!B:C""), 2, FALSE) = D79, 
    ""CONCILIADO"", 
    ""ERROR EN MONTO""
  ), 
  ""NO ENCONTRADO EN MAESTRO""
)"),"NO ENCONTRADO EN MAESTRO")</f>
        <v>NO ENCONTRADO EN MAESTRO</v>
      </c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ht="22.5" customHeight="1">
      <c r="A80" s="8">
        <v>46121.0</v>
      </c>
      <c r="B80" s="9">
        <v>153.0</v>
      </c>
      <c r="C80" s="10">
        <v>128.0</v>
      </c>
      <c r="D80" s="11" t="s">
        <v>27</v>
      </c>
      <c r="E80" s="11" t="s">
        <v>28</v>
      </c>
      <c r="F80" s="11" t="s">
        <v>79</v>
      </c>
      <c r="G80" s="19">
        <v>473.9176</v>
      </c>
      <c r="H80" s="13"/>
      <c r="I80" s="14">
        <f t="shared" si="1"/>
        <v>128</v>
      </c>
      <c r="J80" s="15">
        <f t="shared" si="2"/>
        <v>128</v>
      </c>
      <c r="K80" s="14">
        <f t="shared" si="3"/>
        <v>128</v>
      </c>
      <c r="L80" s="16" t="str">
        <f>IFERROR(__xludf.DUMMYFUNCTION("IFERROR(
  IF(
    VLOOKUP(C80, IMPORTRANGE(""gid=860555792"", ""Maestro!B:C""), 2, FALSE) = D80, 
    ""CONCILIADO"", 
    ""ERROR EN MONTO""
  ), 
  ""NO ENCONTRADO EN MAESTRO""
)"),"NO ENCONTRADO EN MAESTRO")</f>
        <v>NO ENCONTRADO EN MAESTRO</v>
      </c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ht="22.5" customHeight="1">
      <c r="A81" s="8">
        <v>46121.0</v>
      </c>
      <c r="B81" s="9">
        <v>89.0</v>
      </c>
      <c r="C81" s="10">
        <v>90.0</v>
      </c>
      <c r="D81" s="11" t="s">
        <v>27</v>
      </c>
      <c r="E81" s="11" t="s">
        <v>28</v>
      </c>
      <c r="F81" s="11" t="s">
        <v>80</v>
      </c>
      <c r="G81" s="19">
        <v>473.9176</v>
      </c>
      <c r="H81" s="13"/>
      <c r="I81" s="14">
        <f t="shared" si="1"/>
        <v>90</v>
      </c>
      <c r="J81" s="15">
        <f t="shared" si="2"/>
        <v>90</v>
      </c>
      <c r="K81" s="14">
        <f t="shared" si="3"/>
        <v>90</v>
      </c>
      <c r="L81" s="16" t="str">
        <f>IFERROR(__xludf.DUMMYFUNCTION("IFERROR(
  IF(
    VLOOKUP(C81, IMPORTRANGE(""gid=860555792"", ""Maestro!B:C""), 2, FALSE) = D81, 
    ""CONCILIADO"", 
    ""ERROR EN MONTO""
  ), 
  ""NO ENCONTRADO EN MAESTRO""
)"),"NO ENCONTRADO EN MAESTRO")</f>
        <v>NO ENCONTRADO EN MAESTRO</v>
      </c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ht="22.5" customHeight="1">
      <c r="A82" s="8">
        <v>46121.0</v>
      </c>
      <c r="B82" s="9">
        <v>37.0</v>
      </c>
      <c r="C82" s="10">
        <v>38.0</v>
      </c>
      <c r="D82" s="11" t="s">
        <v>27</v>
      </c>
      <c r="E82" s="11" t="s">
        <v>28</v>
      </c>
      <c r="F82" s="11" t="s">
        <v>56</v>
      </c>
      <c r="G82" s="19">
        <v>473.9176</v>
      </c>
      <c r="H82" s="13"/>
      <c r="I82" s="14">
        <f t="shared" si="1"/>
        <v>38</v>
      </c>
      <c r="J82" s="15">
        <f t="shared" si="2"/>
        <v>38</v>
      </c>
      <c r="K82" s="14">
        <f t="shared" si="3"/>
        <v>38</v>
      </c>
      <c r="L82" s="16" t="str">
        <f>IFERROR(__xludf.DUMMYFUNCTION("IFERROR(
  IF(
    VLOOKUP(C82, IMPORTRANGE(""gid=860555792"", ""Maestro!B:C""), 2, FALSE) = D82, 
    ""CONCILIADO"", 
    ""ERROR EN MONTO""
  ), 
  ""NO ENCONTRADO EN MAESTRO""
)"),"NO ENCONTRADO EN MAESTRO")</f>
        <v>NO ENCONTRADO EN MAESTRO</v>
      </c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ht="22.5" customHeight="1">
      <c r="A83" s="8">
        <v>46121.0</v>
      </c>
      <c r="B83" s="9">
        <v>188.0</v>
      </c>
      <c r="C83" s="10">
        <v>143.0</v>
      </c>
      <c r="D83" s="11" t="s">
        <v>27</v>
      </c>
      <c r="E83" s="11" t="s">
        <v>28</v>
      </c>
      <c r="F83" s="11" t="s">
        <v>34</v>
      </c>
      <c r="G83" s="19">
        <v>473.9176</v>
      </c>
      <c r="H83" s="13"/>
      <c r="I83" s="14">
        <f t="shared" si="1"/>
        <v>143</v>
      </c>
      <c r="J83" s="15">
        <f t="shared" si="2"/>
        <v>143</v>
      </c>
      <c r="K83" s="14">
        <f t="shared" si="3"/>
        <v>143</v>
      </c>
      <c r="L83" s="16" t="str">
        <f>IFERROR(__xludf.DUMMYFUNCTION("IFERROR(
  IF(
    VLOOKUP(C83, IMPORTRANGE(""gid=860555792"", ""Maestro!B:C""), 2, FALSE) = D83, 
    ""CONCILIADO"", 
    ""ERROR EN MONTO""
  ), 
  ""NO ENCONTRADO EN MAESTRO""
)"),"NO ENCONTRADO EN MAESTRO")</f>
        <v>NO ENCONTRADO EN MAESTRO</v>
      </c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ht="22.5" customHeight="1">
      <c r="A84" s="8">
        <v>46121.0</v>
      </c>
      <c r="B84" s="9">
        <v>105.0</v>
      </c>
      <c r="C84" s="10">
        <v>30000.0</v>
      </c>
      <c r="D84" s="11" t="s">
        <v>31</v>
      </c>
      <c r="E84" s="11" t="s">
        <v>32</v>
      </c>
      <c r="F84" s="11" t="s">
        <v>37</v>
      </c>
      <c r="G84" s="19">
        <v>473.9176</v>
      </c>
      <c r="H84" s="13"/>
      <c r="I84" s="14">
        <f t="shared" si="1"/>
        <v>63.30214366</v>
      </c>
      <c r="J84" s="15">
        <f t="shared" si="2"/>
        <v>0</v>
      </c>
      <c r="K84" s="14">
        <f t="shared" si="3"/>
        <v>63.30214366</v>
      </c>
      <c r="L84" s="16" t="str">
        <f>IFERROR(__xludf.DUMMYFUNCTION("IFERROR(
  IF(
    VLOOKUP(C84, IMPORTRANGE(""gid=860555792"", ""Maestro!B:C""), 2, FALSE) = D84, 
    ""CONCILIADO"", 
    ""ERROR EN MONTO""
  ), 
  ""NO ENCONTRADO EN MAESTRO""
)"),"NO ENCONTRADO EN MAESTRO")</f>
        <v>NO ENCONTRADO EN MAESTRO</v>
      </c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ht="22.5" customHeight="1">
      <c r="A85" s="8">
        <v>46121.0</v>
      </c>
      <c r="B85" s="9">
        <v>94.0</v>
      </c>
      <c r="C85" s="10">
        <v>23797.5</v>
      </c>
      <c r="D85" s="11" t="s">
        <v>31</v>
      </c>
      <c r="E85" s="11" t="s">
        <v>36</v>
      </c>
      <c r="F85" s="11" t="s">
        <v>73</v>
      </c>
      <c r="G85" s="19">
        <v>473.9176</v>
      </c>
      <c r="H85" s="13"/>
      <c r="I85" s="14">
        <f t="shared" si="1"/>
        <v>50.21442546</v>
      </c>
      <c r="J85" s="15">
        <f t="shared" si="2"/>
        <v>0</v>
      </c>
      <c r="K85" s="14">
        <f t="shared" si="3"/>
        <v>50.21442546</v>
      </c>
      <c r="L85" s="16" t="str">
        <f>IFERROR(__xludf.DUMMYFUNCTION("IFERROR(
  IF(
    VLOOKUP(C85, IMPORTRANGE(""gid=860555792"", ""Maestro!B:C""), 2, FALSE) = D85, 
    ""CONCILIADO"", 
    ""ERROR EN MONTO""
  ), 
  ""NO ENCONTRADO EN MAESTRO""
)"),"NO ENCONTRADO EN MAESTRO")</f>
        <v>NO ENCONTRADO EN MAESTRO</v>
      </c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ht="22.5" customHeight="1">
      <c r="A86" s="8">
        <v>46121.0</v>
      </c>
      <c r="B86" s="9">
        <v>195.0</v>
      </c>
      <c r="C86" s="10">
        <v>681.0</v>
      </c>
      <c r="D86" s="11" t="s">
        <v>27</v>
      </c>
      <c r="E86" s="11" t="s">
        <v>28</v>
      </c>
      <c r="F86" s="11" t="s">
        <v>81</v>
      </c>
      <c r="G86" s="19">
        <v>473.9176</v>
      </c>
      <c r="H86" s="13"/>
      <c r="I86" s="14">
        <f t="shared" si="1"/>
        <v>681</v>
      </c>
      <c r="J86" s="15">
        <f t="shared" si="2"/>
        <v>681</v>
      </c>
      <c r="K86" s="14">
        <f t="shared" si="3"/>
        <v>681</v>
      </c>
      <c r="L86" s="16" t="str">
        <f>IFERROR(__xludf.DUMMYFUNCTION("IFERROR(
  IF(
    VLOOKUP(C86, IMPORTRANGE(""gid=860555792"", ""Maestro!B:C""), 2, FALSE) = D86, 
    ""CONCILIADO"", 
    ""ERROR EN MONTO""
  ), 
  ""NO ENCONTRADO EN MAESTRO""
)"),"NO ENCONTRADO EN MAESTRO")</f>
        <v>NO ENCONTRADO EN MAESTRO</v>
      </c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ht="22.5" customHeight="1">
      <c r="A87" s="8">
        <v>46122.0</v>
      </c>
      <c r="B87" s="9">
        <v>202.0</v>
      </c>
      <c r="C87" s="10">
        <v>107.0</v>
      </c>
      <c r="D87" s="11" t="s">
        <v>27</v>
      </c>
      <c r="E87" s="11" t="s">
        <v>28</v>
      </c>
      <c r="F87" s="11" t="s">
        <v>82</v>
      </c>
      <c r="G87" s="19">
        <v>476.4342</v>
      </c>
      <c r="H87" s="13"/>
      <c r="I87" s="14">
        <f t="shared" si="1"/>
        <v>107</v>
      </c>
      <c r="J87" s="15">
        <f t="shared" si="2"/>
        <v>107</v>
      </c>
      <c r="K87" s="14">
        <f t="shared" si="3"/>
        <v>107</v>
      </c>
      <c r="L87" s="16" t="str">
        <f>IFERROR(__xludf.DUMMYFUNCTION("IFERROR(
  IF(
    VLOOKUP(C87, IMPORTRANGE(""gid=860555792"", ""Maestro!B:C""), 2, FALSE) = D87, 
    ""CONCILIADO"", 
    ""ERROR EN MONTO""
  ), 
  ""NO ENCONTRADO EN MAESTRO""
)"),"NO ENCONTRADO EN MAESTRO")</f>
        <v>NO ENCONTRADO EN MAESTRO</v>
      </c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ht="22.5" customHeight="1">
      <c r="A88" s="8">
        <v>46122.0</v>
      </c>
      <c r="B88" s="9">
        <v>159.0</v>
      </c>
      <c r="C88" s="10">
        <v>500.0</v>
      </c>
      <c r="D88" s="11" t="s">
        <v>27</v>
      </c>
      <c r="E88" s="11" t="s">
        <v>28</v>
      </c>
      <c r="F88" s="11" t="s">
        <v>83</v>
      </c>
      <c r="G88" s="19">
        <v>476.4342</v>
      </c>
      <c r="H88" s="13"/>
      <c r="I88" s="14">
        <f t="shared" si="1"/>
        <v>500</v>
      </c>
      <c r="J88" s="15">
        <f t="shared" si="2"/>
        <v>500</v>
      </c>
      <c r="K88" s="14">
        <f t="shared" si="3"/>
        <v>500</v>
      </c>
      <c r="L88" s="16" t="str">
        <f>IFERROR(__xludf.DUMMYFUNCTION("IFERROR(
  IF(
    VLOOKUP(C88, IMPORTRANGE(""gid=860555792"", ""Maestro!B:C""), 2, FALSE) = D88, 
    ""CONCILIADO"", 
    ""ERROR EN MONTO""
  ), 
  ""NO ENCONTRADO EN MAESTRO""
)"),"NO ENCONTRADO EN MAESTRO")</f>
        <v>NO ENCONTRADO EN MAESTRO</v>
      </c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ht="22.5" customHeight="1">
      <c r="A89" s="8">
        <v>46122.0</v>
      </c>
      <c r="B89" s="9">
        <v>158.0</v>
      </c>
      <c r="C89" s="10">
        <v>220.0</v>
      </c>
      <c r="D89" s="11" t="s">
        <v>27</v>
      </c>
      <c r="E89" s="11" t="s">
        <v>28</v>
      </c>
      <c r="F89" s="11" t="s">
        <v>84</v>
      </c>
      <c r="G89" s="19">
        <v>476.4342</v>
      </c>
      <c r="H89" s="13"/>
      <c r="I89" s="14">
        <f t="shared" si="1"/>
        <v>220</v>
      </c>
      <c r="J89" s="15">
        <f t="shared" si="2"/>
        <v>220</v>
      </c>
      <c r="K89" s="14">
        <f t="shared" si="3"/>
        <v>220</v>
      </c>
      <c r="L89" s="16" t="str">
        <f>IFERROR(__xludf.DUMMYFUNCTION("IFERROR(
  IF(
    VLOOKUP(C89, IMPORTRANGE(""gid=860555792"", ""Maestro!B:C""), 2, FALSE) = D89, 
    ""CONCILIADO"", 
    ""ERROR EN MONTO""
  ), 
  ""NO ENCONTRADO EN MAESTRO""
)"),"NO ENCONTRADO EN MAESTRO")</f>
        <v>NO ENCONTRADO EN MAESTRO</v>
      </c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ht="22.5" customHeight="1">
      <c r="A90" s="8">
        <v>46122.0</v>
      </c>
      <c r="B90" s="9">
        <v>56.0</v>
      </c>
      <c r="C90" s="10">
        <v>60.0</v>
      </c>
      <c r="D90" s="11" t="s">
        <v>27</v>
      </c>
      <c r="E90" s="11" t="s">
        <v>28</v>
      </c>
      <c r="F90" s="11" t="s">
        <v>51</v>
      </c>
      <c r="G90" s="19">
        <v>476.4342</v>
      </c>
      <c r="H90" s="13"/>
      <c r="I90" s="14">
        <f t="shared" si="1"/>
        <v>60</v>
      </c>
      <c r="J90" s="15">
        <f t="shared" si="2"/>
        <v>60</v>
      </c>
      <c r="K90" s="14">
        <f t="shared" si="3"/>
        <v>60</v>
      </c>
      <c r="L90" s="16" t="str">
        <f>IFERROR(__xludf.DUMMYFUNCTION("IFERROR(
  IF(
    VLOOKUP(C90, IMPORTRANGE(""gid=860555792"", ""Maestro!B:C""), 2, FALSE) = D90, 
    ""CONCILIADO"", 
    ""ERROR EN MONTO""
  ), 
  ""NO ENCONTRADO EN MAESTRO""
)"),"NO ENCONTRADO EN MAESTRO")</f>
        <v>NO ENCONTRADO EN MAESTRO</v>
      </c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ht="22.5" customHeight="1">
      <c r="A91" s="8">
        <v>46122.0</v>
      </c>
      <c r="B91" s="9">
        <v>64.0</v>
      </c>
      <c r="C91" s="10">
        <v>24860.48</v>
      </c>
      <c r="D91" s="11" t="s">
        <v>31</v>
      </c>
      <c r="E91" s="11" t="s">
        <v>32</v>
      </c>
      <c r="F91" s="11" t="s">
        <v>85</v>
      </c>
      <c r="G91" s="19">
        <v>556.6609</v>
      </c>
      <c r="H91" s="13"/>
      <c r="I91" s="14">
        <f t="shared" si="1"/>
        <v>44.66000756</v>
      </c>
      <c r="J91" s="15">
        <f t="shared" si="2"/>
        <v>0</v>
      </c>
      <c r="K91" s="14">
        <f t="shared" si="3"/>
        <v>44.66000756</v>
      </c>
      <c r="L91" s="16" t="str">
        <f>IFERROR(__xludf.DUMMYFUNCTION("IFERROR(
  IF(
    VLOOKUP(C91, IMPORTRANGE(""gid=860555792"", ""Maestro!B:C""), 2, FALSE) = D91, 
    ""CONCILIADO"", 
    ""ERROR EN MONTO""
  ), 
  ""NO ENCONTRADO EN MAESTRO""
)"),"NO ENCONTRADO EN MAESTRO")</f>
        <v>NO ENCONTRADO EN MAESTRO</v>
      </c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ht="22.5" customHeight="1">
      <c r="A92" s="8">
        <v>46122.0</v>
      </c>
      <c r="B92" s="9">
        <v>64.0</v>
      </c>
      <c r="C92" s="10">
        <v>56890.75</v>
      </c>
      <c r="D92" s="11" t="s">
        <v>31</v>
      </c>
      <c r="E92" s="11" t="s">
        <v>32</v>
      </c>
      <c r="F92" s="11" t="s">
        <v>85</v>
      </c>
      <c r="G92" s="19">
        <v>556.6609</v>
      </c>
      <c r="H92" s="13"/>
      <c r="I92" s="14">
        <f t="shared" si="1"/>
        <v>102.2000108</v>
      </c>
      <c r="J92" s="15">
        <f t="shared" si="2"/>
        <v>0</v>
      </c>
      <c r="K92" s="14">
        <f t="shared" si="3"/>
        <v>102.2000108</v>
      </c>
      <c r="L92" s="16" t="str">
        <f>IFERROR(__xludf.DUMMYFUNCTION("IFERROR(
  IF(
    VLOOKUP(C92, IMPORTRANGE(""gid=860555792"", ""Maestro!B:C""), 2, FALSE) = D92, 
    ""CONCILIADO"", 
    ""ERROR EN MONTO""
  ), 
  ""NO ENCONTRADO EN MAESTRO""
)"),"NO ENCONTRADO EN MAESTRO")</f>
        <v>NO ENCONTRADO EN MAESTRO</v>
      </c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ht="22.5" customHeight="1">
      <c r="A93" s="8">
        <v>46122.0</v>
      </c>
      <c r="B93" s="9">
        <v>94.0</v>
      </c>
      <c r="C93" s="10">
        <v>7020.0</v>
      </c>
      <c r="D93" s="11" t="s">
        <v>31</v>
      </c>
      <c r="E93" s="11" t="s">
        <v>32</v>
      </c>
      <c r="F93" s="11" t="s">
        <v>73</v>
      </c>
      <c r="G93" s="19">
        <v>476.4342</v>
      </c>
      <c r="H93" s="13"/>
      <c r="I93" s="14">
        <f t="shared" si="1"/>
        <v>14.73445861</v>
      </c>
      <c r="J93" s="15">
        <f t="shared" si="2"/>
        <v>0</v>
      </c>
      <c r="K93" s="14">
        <f t="shared" si="3"/>
        <v>14.73445861</v>
      </c>
      <c r="L93" s="16" t="str">
        <f>IFERROR(__xludf.DUMMYFUNCTION("IFERROR(
  IF(
    VLOOKUP(C93, IMPORTRANGE(""gid=860555792"", ""Maestro!B:C""), 2, FALSE) = D93, 
    ""CONCILIADO"", 
    ""ERROR EN MONTO""
  ), 
  ""NO ENCONTRADO EN MAESTRO""
)"),"NO ENCONTRADO EN MAESTRO")</f>
        <v>NO ENCONTRADO EN MAESTRO</v>
      </c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ht="22.5" customHeight="1">
      <c r="A94" s="8">
        <v>46122.0</v>
      </c>
      <c r="B94" s="9">
        <v>183.0</v>
      </c>
      <c r="C94" s="10">
        <v>560948.68</v>
      </c>
      <c r="D94" s="11" t="s">
        <v>31</v>
      </c>
      <c r="E94" s="11" t="s">
        <v>86</v>
      </c>
      <c r="F94" s="11" t="s">
        <v>87</v>
      </c>
      <c r="G94" s="19">
        <v>476.4342</v>
      </c>
      <c r="H94" s="13"/>
      <c r="I94" s="14">
        <f t="shared" si="1"/>
        <v>1177.389616</v>
      </c>
      <c r="J94" s="15">
        <f t="shared" si="2"/>
        <v>0</v>
      </c>
      <c r="K94" s="14">
        <f t="shared" si="3"/>
        <v>1177.389616</v>
      </c>
      <c r="L94" s="16" t="str">
        <f>IFERROR(__xludf.DUMMYFUNCTION("IFERROR(
  IF(
    VLOOKUP(C94, IMPORTRANGE(""gid=860555792"", ""Maestro!B:C""), 2, FALSE) = D94, 
    ""CONCILIADO"", 
    ""ERROR EN MONTO""
  ), 
  ""NO ENCONTRADO EN MAESTRO""
)"),"NO ENCONTRADO EN MAESTRO")</f>
        <v>NO ENCONTRADO EN MAESTRO</v>
      </c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ht="22.5" customHeight="1">
      <c r="A95" s="8">
        <v>46125.0</v>
      </c>
      <c r="B95" s="9">
        <v>206.0</v>
      </c>
      <c r="C95" s="10">
        <v>197.0</v>
      </c>
      <c r="D95" s="11" t="s">
        <v>27</v>
      </c>
      <c r="E95" s="11" t="s">
        <v>28</v>
      </c>
      <c r="F95" s="11" t="s">
        <v>81</v>
      </c>
      <c r="G95" s="19">
        <v>477.1488</v>
      </c>
      <c r="H95" s="13"/>
      <c r="I95" s="14">
        <f t="shared" si="1"/>
        <v>197</v>
      </c>
      <c r="J95" s="15">
        <f t="shared" si="2"/>
        <v>197</v>
      </c>
      <c r="K95" s="14">
        <f t="shared" si="3"/>
        <v>197</v>
      </c>
      <c r="L95" s="16" t="str">
        <f>IFERROR(__xludf.DUMMYFUNCTION("IFERROR(
  IF(
    VLOOKUP(C95, IMPORTRANGE(""gid=860555792"", ""Maestro!B:C""), 2, FALSE) = D95, 
    ""CONCILIADO"", 
    ""ERROR EN MONTO""
  ), 
  ""NO ENCONTRADO EN MAESTRO""
)"),"NO ENCONTRADO EN MAESTRO")</f>
        <v>NO ENCONTRADO EN MAESTRO</v>
      </c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ht="22.5" customHeight="1">
      <c r="A96" s="8">
        <v>46125.0</v>
      </c>
      <c r="B96" s="9">
        <v>82.0</v>
      </c>
      <c r="C96" s="10">
        <v>300.0</v>
      </c>
      <c r="D96" s="11" t="s">
        <v>27</v>
      </c>
      <c r="E96" s="11" t="s">
        <v>28</v>
      </c>
      <c r="F96" s="11" t="s">
        <v>88</v>
      </c>
      <c r="G96" s="19">
        <v>477.1488</v>
      </c>
      <c r="H96" s="13"/>
      <c r="I96" s="14">
        <f t="shared" si="1"/>
        <v>300</v>
      </c>
      <c r="J96" s="15">
        <f t="shared" si="2"/>
        <v>300</v>
      </c>
      <c r="K96" s="14">
        <f t="shared" si="3"/>
        <v>300</v>
      </c>
      <c r="L96" s="16" t="str">
        <f>IFERROR(__xludf.DUMMYFUNCTION("IFERROR(
  IF(
    VLOOKUP(C96, IMPORTRANGE(""gid=860555792"", ""Maestro!B:C""), 2, FALSE) = D96, 
    ""CONCILIADO"", 
    ""ERROR EN MONTO""
  ), 
  ""NO ENCONTRADO EN MAESTRO""
)"),"NO ENCONTRADO EN MAESTRO")</f>
        <v>NO ENCONTRADO EN MAESTRO</v>
      </c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ht="22.5" customHeight="1">
      <c r="A97" s="8">
        <v>46125.0</v>
      </c>
      <c r="B97" s="9">
        <v>101.0</v>
      </c>
      <c r="C97" s="10">
        <v>60.0</v>
      </c>
      <c r="D97" s="11" t="s">
        <v>27</v>
      </c>
      <c r="E97" s="11" t="s">
        <v>28</v>
      </c>
      <c r="F97" s="11" t="s">
        <v>89</v>
      </c>
      <c r="G97" s="19">
        <v>477.1488</v>
      </c>
      <c r="H97" s="13"/>
      <c r="I97" s="14">
        <f t="shared" si="1"/>
        <v>60</v>
      </c>
      <c r="J97" s="15">
        <f t="shared" si="2"/>
        <v>60</v>
      </c>
      <c r="K97" s="14">
        <f t="shared" si="3"/>
        <v>60</v>
      </c>
      <c r="L97" s="16" t="str">
        <f>IFERROR(__xludf.DUMMYFUNCTION("IFERROR(
  IF(
    VLOOKUP(C97, IMPORTRANGE(""gid=860555792"", ""Maestro!B:C""), 2, FALSE) = D97, 
    ""CONCILIADO"", 
    ""ERROR EN MONTO""
  ), 
  ""NO ENCONTRADO EN MAESTRO""
)"),"NO ENCONTRADO EN MAESTRO")</f>
        <v>NO ENCONTRADO EN MAESTRO</v>
      </c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ht="22.5" customHeight="1">
      <c r="A98" s="8">
        <v>46125.0</v>
      </c>
      <c r="B98" s="9">
        <v>83.0</v>
      </c>
      <c r="C98" s="10">
        <v>42880.0</v>
      </c>
      <c r="D98" s="11" t="s">
        <v>31</v>
      </c>
      <c r="E98" s="11" t="s">
        <v>32</v>
      </c>
      <c r="F98" s="11" t="s">
        <v>64</v>
      </c>
      <c r="G98" s="19">
        <v>560.0486</v>
      </c>
      <c r="H98" s="13"/>
      <c r="I98" s="14">
        <f t="shared" si="1"/>
        <v>76.56478384</v>
      </c>
      <c r="J98" s="15">
        <f t="shared" si="2"/>
        <v>0</v>
      </c>
      <c r="K98" s="14">
        <f t="shared" si="3"/>
        <v>76.56478384</v>
      </c>
      <c r="L98" s="16" t="str">
        <f>IFERROR(__xludf.DUMMYFUNCTION("IFERROR(
  IF(
    VLOOKUP(C98, IMPORTRANGE(""gid=860555792"", ""Maestro!B:C""), 2, FALSE) = D98, 
    ""CONCILIADO"", 
    ""ERROR EN MONTO""
  ), 
  ""NO ENCONTRADO EN MAESTRO""
)"),"NO ENCONTRADO EN MAESTRO")</f>
        <v>NO ENCONTRADO EN MAESTRO</v>
      </c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ht="22.5" customHeight="1">
      <c r="A99" s="8">
        <v>46125.0</v>
      </c>
      <c r="B99" s="9">
        <v>84.0</v>
      </c>
      <c r="C99" s="10">
        <v>27712.8</v>
      </c>
      <c r="D99" s="11" t="s">
        <v>31</v>
      </c>
      <c r="E99" s="11" t="s">
        <v>32</v>
      </c>
      <c r="F99" s="11" t="s">
        <v>90</v>
      </c>
      <c r="G99" s="19">
        <v>560.0486</v>
      </c>
      <c r="H99" s="13"/>
      <c r="I99" s="14">
        <f t="shared" si="1"/>
        <v>49.48284845</v>
      </c>
      <c r="J99" s="15">
        <f t="shared" si="2"/>
        <v>0</v>
      </c>
      <c r="K99" s="14">
        <f t="shared" si="3"/>
        <v>49.48284845</v>
      </c>
      <c r="L99" s="16" t="str">
        <f>IFERROR(__xludf.DUMMYFUNCTION("IFERROR(
  IF(
    VLOOKUP(C99, IMPORTRANGE(""gid=860555792"", ""Maestro!B:C""), 2, FALSE) = D99, 
    ""CONCILIADO"", 
    ""ERROR EN MONTO""
  ), 
  ""NO ENCONTRADO EN MAESTRO""
)"),"NO ENCONTRADO EN MAESTRO")</f>
        <v>NO ENCONTRADO EN MAESTRO</v>
      </c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ht="22.5" customHeight="1">
      <c r="A100" s="8">
        <v>46125.0</v>
      </c>
      <c r="B100" s="9">
        <v>72.0</v>
      </c>
      <c r="C100" s="10">
        <v>44031.13</v>
      </c>
      <c r="D100" s="11" t="s">
        <v>31</v>
      </c>
      <c r="E100" s="11" t="s">
        <v>32</v>
      </c>
      <c r="F100" s="11" t="s">
        <v>91</v>
      </c>
      <c r="G100" s="19">
        <v>560.0486</v>
      </c>
      <c r="H100" s="13"/>
      <c r="I100" s="14">
        <f t="shared" si="1"/>
        <v>78.62019475</v>
      </c>
      <c r="J100" s="15">
        <f t="shared" si="2"/>
        <v>0</v>
      </c>
      <c r="K100" s="14">
        <f t="shared" si="3"/>
        <v>78.62019475</v>
      </c>
      <c r="L100" s="16" t="str">
        <f>IFERROR(__xludf.DUMMYFUNCTION("IFERROR(
  IF(
    VLOOKUP(C100, IMPORTRANGE(""gid=860555792"", ""Maestro!B:C""), 2, FALSE) = D100, 
    ""CONCILIADO"", 
    ""ERROR EN MONTO""
  ), 
  ""NO ENCONTRADO EN MAESTRO""
)"),"NO ENCONTRADO EN MAESTRO")</f>
        <v>NO ENCONTRADO EN MAESTRO</v>
      </c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ht="22.5" customHeight="1">
      <c r="A101" s="8">
        <v>46125.0</v>
      </c>
      <c r="B101" s="9">
        <v>106.0</v>
      </c>
      <c r="C101" s="10">
        <v>239762.85</v>
      </c>
      <c r="D101" s="11" t="s">
        <v>31</v>
      </c>
      <c r="E101" s="11" t="s">
        <v>32</v>
      </c>
      <c r="F101" s="11" t="s">
        <v>33</v>
      </c>
      <c r="G101" s="19">
        <v>477.1488</v>
      </c>
      <c r="H101" s="13"/>
      <c r="I101" s="14">
        <f t="shared" si="1"/>
        <v>502.4907325</v>
      </c>
      <c r="J101" s="15">
        <f t="shared" si="2"/>
        <v>0</v>
      </c>
      <c r="K101" s="14">
        <f t="shared" si="3"/>
        <v>502.4907325</v>
      </c>
      <c r="L101" s="16" t="str">
        <f>IFERROR(__xludf.DUMMYFUNCTION("IFERROR(
  IF(
    VLOOKUP(C101, IMPORTRANGE(""gid=860555792"", ""Maestro!B:C""), 2, FALSE) = D101, 
    ""CONCILIADO"", 
    ""ERROR EN MONTO""
  ), 
  ""NO ENCONTRADO EN MAESTRO""
)"),"NO ENCONTRADO EN MAESTRO")</f>
        <v>NO ENCONTRADO EN MAESTRO</v>
      </c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ht="22.5" customHeight="1">
      <c r="A102" s="8">
        <v>46126.0</v>
      </c>
      <c r="B102" s="9">
        <v>104.0</v>
      </c>
      <c r="C102" s="10">
        <v>30.0</v>
      </c>
      <c r="D102" s="11" t="s">
        <v>27</v>
      </c>
      <c r="E102" s="11" t="s">
        <v>28</v>
      </c>
      <c r="F102" s="11" t="s">
        <v>75</v>
      </c>
      <c r="G102" s="19">
        <v>477.6259</v>
      </c>
      <c r="H102" s="13"/>
      <c r="I102" s="14">
        <f t="shared" si="1"/>
        <v>30</v>
      </c>
      <c r="J102" s="15">
        <f t="shared" si="2"/>
        <v>30</v>
      </c>
      <c r="K102" s="14">
        <f t="shared" si="3"/>
        <v>30</v>
      </c>
      <c r="L102" s="16" t="str">
        <f>IFERROR(__xludf.DUMMYFUNCTION("IFERROR(
  IF(
    VLOOKUP(C102, IMPORTRANGE(""gid=860555792"", ""Maestro!B:C""), 2, FALSE) = D102, 
    ""CONCILIADO"", 
    ""ERROR EN MONTO""
  ), 
  ""NO ENCONTRADO EN MAESTRO""
)"),"NO ENCONTRADO EN MAESTRO")</f>
        <v>NO ENCONTRADO EN MAESTRO</v>
      </c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ht="22.5" customHeight="1">
      <c r="A103" s="8">
        <v>46126.0</v>
      </c>
      <c r="B103" s="9">
        <v>18.0</v>
      </c>
      <c r="C103" s="10">
        <v>46.0</v>
      </c>
      <c r="D103" s="11" t="s">
        <v>27</v>
      </c>
      <c r="E103" s="11" t="s">
        <v>28</v>
      </c>
      <c r="F103" s="11" t="s">
        <v>60</v>
      </c>
      <c r="G103" s="19">
        <v>477.6259</v>
      </c>
      <c r="H103" s="13"/>
      <c r="I103" s="14">
        <f t="shared" si="1"/>
        <v>46</v>
      </c>
      <c r="J103" s="15">
        <f t="shared" si="2"/>
        <v>46</v>
      </c>
      <c r="K103" s="14">
        <f t="shared" si="3"/>
        <v>46</v>
      </c>
      <c r="L103" s="16" t="str">
        <f>IFERROR(__xludf.DUMMYFUNCTION("IFERROR(
  IF(
    VLOOKUP(C103, IMPORTRANGE(""gid=860555792"", ""Maestro!B:C""), 2, FALSE) = D103, 
    ""CONCILIADO"", 
    ""ERROR EN MONTO""
  ), 
  ""NO ENCONTRADO EN MAESTRO""
)"),"NO ENCONTRADO EN MAESTRO")</f>
        <v>NO ENCONTRADO EN MAESTRO</v>
      </c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ht="22.5" customHeight="1">
      <c r="A104" s="8">
        <v>46126.0</v>
      </c>
      <c r="B104" s="9">
        <v>105.0</v>
      </c>
      <c r="C104" s="10">
        <v>54000.0</v>
      </c>
      <c r="D104" s="11" t="s">
        <v>31</v>
      </c>
      <c r="E104" s="11" t="s">
        <v>32</v>
      </c>
      <c r="F104" s="11" t="s">
        <v>37</v>
      </c>
      <c r="G104" s="19">
        <v>477.6259</v>
      </c>
      <c r="H104" s="13"/>
      <c r="I104" s="14">
        <f t="shared" si="1"/>
        <v>113.0591955</v>
      </c>
      <c r="J104" s="15">
        <f t="shared" si="2"/>
        <v>0</v>
      </c>
      <c r="K104" s="14">
        <f t="shared" si="3"/>
        <v>113.0591955</v>
      </c>
      <c r="L104" s="16" t="str">
        <f>IFERROR(__xludf.DUMMYFUNCTION("IFERROR(
  IF(
    VLOOKUP(C104, IMPORTRANGE(""gid=860555792"", ""Maestro!B:C""), 2, FALSE) = D104, 
    ""CONCILIADO"", 
    ""ERROR EN MONTO""
  ), 
  ""NO ENCONTRADO EN MAESTRO""
)"),"NO ENCONTRADO EN MAESTRO")</f>
        <v>NO ENCONTRADO EN MAESTRO</v>
      </c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ht="22.5" customHeight="1">
      <c r="A105" s="8">
        <v>46129.0</v>
      </c>
      <c r="B105" s="9">
        <v>239.0</v>
      </c>
      <c r="C105" s="10">
        <v>65.0</v>
      </c>
      <c r="D105" s="11" t="s">
        <v>27</v>
      </c>
      <c r="E105" s="11" t="s">
        <v>28</v>
      </c>
      <c r="F105" s="11" t="s">
        <v>92</v>
      </c>
      <c r="G105" s="19">
        <v>480.2572</v>
      </c>
      <c r="H105" s="13"/>
      <c r="I105" s="14">
        <f t="shared" si="1"/>
        <v>65</v>
      </c>
      <c r="J105" s="15">
        <f t="shared" si="2"/>
        <v>65</v>
      </c>
      <c r="K105" s="14">
        <f t="shared" si="3"/>
        <v>65</v>
      </c>
      <c r="L105" s="16" t="str">
        <f>IFERROR(__xludf.DUMMYFUNCTION("IFERROR(
  IF(
    VLOOKUP(C105, IMPORTRANGE(""gid=860555792"", ""Maestro!B:C""), 2, FALSE) = D105, 
    ""CONCILIADO"", 
    ""ERROR EN MONTO""
  ), 
  ""NO ENCONTRADO EN MAESTRO""
)"),"NO ENCONTRADO EN MAESTRO")</f>
        <v>NO ENCONTRADO EN MAESTRO</v>
      </c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ht="22.5" customHeight="1">
      <c r="A106" s="8">
        <v>46182.0</v>
      </c>
      <c r="B106" s="9">
        <v>357.0</v>
      </c>
      <c r="C106" s="10">
        <v>3457.96</v>
      </c>
      <c r="D106" s="11" t="s">
        <v>27</v>
      </c>
      <c r="E106" s="11" t="s">
        <v>93</v>
      </c>
      <c r="F106" s="11" t="s">
        <v>94</v>
      </c>
      <c r="G106" s="19">
        <v>567.68</v>
      </c>
      <c r="H106" s="13"/>
      <c r="I106" s="14">
        <f t="shared" si="1"/>
        <v>3457.96</v>
      </c>
      <c r="J106" s="15">
        <f t="shared" si="2"/>
        <v>3457.96</v>
      </c>
      <c r="K106" s="14">
        <f t="shared" si="3"/>
        <v>3457.96</v>
      </c>
      <c r="L106" s="16" t="str">
        <f>IFERROR(__xludf.DUMMYFUNCTION("IFERROR(
  IF(
    VLOOKUP(C106, IMPORTRANGE(""gid=860555792"", ""Maestro!B:C""), 2, FALSE) = D106, 
    ""CONCILIADO"", 
    ""ERROR EN MONTO""
  ), 
  ""NO ENCONTRADO EN MAESTRO""
)"),"NO ENCONTRADO EN MAESTRO")</f>
        <v>NO ENCONTRADO EN MAESTRO</v>
      </c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ht="22.5" customHeight="1">
      <c r="A107" s="8">
        <v>46182.0</v>
      </c>
      <c r="B107" s="9">
        <v>328.0</v>
      </c>
      <c r="C107" s="10">
        <v>6802.37</v>
      </c>
      <c r="D107" s="11" t="s">
        <v>27</v>
      </c>
      <c r="E107" s="11" t="s">
        <v>93</v>
      </c>
      <c r="F107" s="11" t="s">
        <v>94</v>
      </c>
      <c r="G107" s="19">
        <v>567.68</v>
      </c>
      <c r="H107" s="13"/>
      <c r="I107" s="14">
        <f t="shared" si="1"/>
        <v>6802.37</v>
      </c>
      <c r="J107" s="15">
        <f t="shared" si="2"/>
        <v>6802.37</v>
      </c>
      <c r="K107" s="14">
        <f t="shared" si="3"/>
        <v>6802.37</v>
      </c>
      <c r="L107" s="16" t="str">
        <f>IFERROR(__xludf.DUMMYFUNCTION("IFERROR(
  IF(
    VLOOKUP(C107, IMPORTRANGE(""gid=860555792"", ""Maestro!B:C""), 2, FALSE) = D107, 
    ""CONCILIADO"", 
    ""ERROR EN MONTO""
  ), 
  ""NO ENCONTRADO EN MAESTRO""
)"),"NO ENCONTRADO EN MAESTRO")</f>
        <v>NO ENCONTRADO EN MAESTRO</v>
      </c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ht="22.5" customHeight="1">
      <c r="A108" s="8">
        <v>46122.0</v>
      </c>
      <c r="B108" s="9">
        <v>63.0</v>
      </c>
      <c r="C108" s="10">
        <v>40080.0</v>
      </c>
      <c r="D108" s="11" t="s">
        <v>31</v>
      </c>
      <c r="E108" s="11" t="s">
        <v>32</v>
      </c>
      <c r="F108" s="11" t="s">
        <v>95</v>
      </c>
      <c r="G108" s="19">
        <v>556.6609</v>
      </c>
      <c r="H108" s="13"/>
      <c r="I108" s="14">
        <f t="shared" si="1"/>
        <v>72.00074588</v>
      </c>
      <c r="J108" s="15">
        <f t="shared" si="2"/>
        <v>0</v>
      </c>
      <c r="K108" s="14">
        <f t="shared" si="3"/>
        <v>72.00074588</v>
      </c>
      <c r="L108" s="16" t="str">
        <f>IFERROR(__xludf.DUMMYFUNCTION("IFERROR(
  IF(
    VLOOKUP(C108, IMPORTRANGE(""gid=860555792"", ""Maestro!B:C""), 2, FALSE) = D108, 
    ""CONCILIADO"", 
    ""ERROR EN MONTO""
  ), 
  ""NO ENCONTRADO EN MAESTRO""
)"),"NO ENCONTRADO EN MAESTRO")</f>
        <v>NO ENCONTRADO EN MAESTRO</v>
      </c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ht="22.5" customHeight="1">
      <c r="A109" s="20">
        <f>IFERROR(__xludf.DUMMYFUNCTION("LET(datos, IMPORTRANGE(""1HrJJCYi2Dh1Rs15EqrAbTgnN-Nowvs56yeUzCduHY8s"", ""Respuestas de formulario 1!A2:M""), 
   filtro, FILTER(datos, INDEX(datos,, 13) = TRUE, INDEX(datos,, 2) &lt;&gt; """"),
   MAP(SEQUENCE(ROWS(filtro)), LAMBDA(i, 
     {
       IFERROR(F"&amp;"ECHA.VALOR(INDEX(filtro, i, 2)), INDEX(filtro, i, 2)), 
       INDEX(filtro, i, 3), 
       VALUE(INDEX(filtro, i, 4)), 
       INDEX(filtro, i, 5), 
       INDEX(filtro, i, 6), 
       INDEX(filtro, i, 7)
     }
   ))
)"),46127.0)</f>
        <v>46127</v>
      </c>
      <c r="B109" s="15">
        <f>IFERROR(__xludf.DUMMYFUNCTION("""COMPUTED_VALUE"""),165.0)</f>
        <v>165</v>
      </c>
      <c r="C109" s="21">
        <f>IFERROR(__xludf.DUMMYFUNCTION("""COMPUTED_VALUE"""),71787.16)</f>
        <v>71787.16</v>
      </c>
      <c r="D109" s="22" t="str">
        <f>IFERROR(__xludf.DUMMYFUNCTION("""COMPUTED_VALUE"""),"VES")</f>
        <v>VES</v>
      </c>
      <c r="E109" s="22" t="str">
        <f>IFERROR(__xludf.DUMMYFUNCTION("""COMPUTED_VALUE"""),"Bancamiga")</f>
        <v>Bancamiga</v>
      </c>
      <c r="F109" s="22" t="str">
        <f>IFERROR(__xludf.DUMMYFUNCTION("""COMPUTED_VALUE"""),"EMPRENDIMIENTO HECTOR LLAMOZA")</f>
        <v>EMPRENDIMIENTO HECTOR LLAMOZA</v>
      </c>
      <c r="G109" s="19">
        <v>478.5811</v>
      </c>
      <c r="H109" s="13"/>
      <c r="I109" s="14">
        <f t="shared" si="1"/>
        <v>149.9999896</v>
      </c>
      <c r="J109" s="15">
        <f t="shared" si="2"/>
        <v>0</v>
      </c>
      <c r="K109" s="14">
        <f t="shared" si="3"/>
        <v>149.9999896</v>
      </c>
      <c r="L109" s="16" t="str">
        <f>IFERROR(__xludf.DUMMYFUNCTION("IFERROR(
  IF(
    VLOOKUP(C109, IMPORTRANGE(""gid=860555792"", ""Maestro!B:C""), 2, FALSE) = D109, 
    ""CONCILIADO"", 
    ""ERROR EN MONTO""
  ), 
  ""NO ENCONTRADO EN MAESTRO""
)"),"NO ENCONTRADO EN MAESTRO")</f>
        <v>NO ENCONTRADO EN MAESTRO</v>
      </c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ht="22.5" customHeight="1">
      <c r="A110" s="23">
        <f>IFERROR(__xludf.DUMMYFUNCTION("""COMPUTED_VALUE"""),46127.0)</f>
        <v>46127</v>
      </c>
      <c r="B110" s="15">
        <f>IFERROR(__xludf.DUMMYFUNCTION("""COMPUTED_VALUE"""),83.0)</f>
        <v>83</v>
      </c>
      <c r="C110" s="21">
        <f>IFERROR(__xludf.DUMMYFUNCTION("""COMPUTED_VALUE"""),25.0)</f>
        <v>25</v>
      </c>
      <c r="D110" s="22" t="str">
        <f>IFERROR(__xludf.DUMMYFUNCTION("""COMPUTED_VALUE"""),"USD")</f>
        <v>USD</v>
      </c>
      <c r="E110" s="22" t="str">
        <f>IFERROR(__xludf.DUMMYFUNCTION("""COMPUTED_VALUE"""),"Efectivo USD")</f>
        <v>Efectivo USD</v>
      </c>
      <c r="F110" s="22" t="str">
        <f>IFERROR(__xludf.DUMMYFUNCTION("""COMPUTED_VALUE"""),"Inversiones Famasa, C.A")</f>
        <v>Inversiones Famasa, C.A</v>
      </c>
      <c r="G110" s="19">
        <v>478.5811</v>
      </c>
      <c r="H110" s="13"/>
      <c r="I110" s="14">
        <f t="shared" si="1"/>
        <v>25</v>
      </c>
      <c r="J110" s="15">
        <f t="shared" si="2"/>
        <v>25</v>
      </c>
      <c r="K110" s="14">
        <f t="shared" si="3"/>
        <v>25</v>
      </c>
      <c r="L110" s="16" t="str">
        <f>IFERROR(__xludf.DUMMYFUNCTION("IFERROR(
  IF(
    VLOOKUP(C110, IMPORTRANGE(""gid=860555792"", ""Maestro!B:C""), 2, FALSE) = D110, 
    ""CONCILIADO"", 
    ""ERROR EN MONTO""
  ), 
  ""NO ENCONTRADO EN MAESTRO""
)"),"NO ENCONTRADO EN MAESTRO")</f>
        <v>NO ENCONTRADO EN MAESTRO</v>
      </c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ht="22.5" customHeight="1">
      <c r="A111" s="23">
        <f>IFERROR(__xludf.DUMMYFUNCTION("""COMPUTED_VALUE"""),46127.0)</f>
        <v>46127</v>
      </c>
      <c r="B111" s="15">
        <f>IFERROR(__xludf.DUMMYFUNCTION("""COMPUTED_VALUE"""),122.0)</f>
        <v>122</v>
      </c>
      <c r="C111" s="21">
        <f>IFERROR(__xludf.DUMMYFUNCTION("""COMPUTED_VALUE"""),20.0)</f>
        <v>20</v>
      </c>
      <c r="D111" s="22" t="str">
        <f>IFERROR(__xludf.DUMMYFUNCTION("""COMPUTED_VALUE"""),"USD")</f>
        <v>USD</v>
      </c>
      <c r="E111" s="22" t="str">
        <f>IFERROR(__xludf.DUMMYFUNCTION("""COMPUTED_VALUE"""),"Efectivo USD")</f>
        <v>Efectivo USD</v>
      </c>
      <c r="F111" s="22" t="str">
        <f>IFERROR(__xludf.DUMMYFUNCTION("""COMPUTED_VALUE"""),"Emprendimiento Tomas Paz")</f>
        <v>Emprendimiento Tomas Paz</v>
      </c>
      <c r="G111" s="19">
        <v>478.5811</v>
      </c>
      <c r="H111" s="13"/>
      <c r="I111" s="14">
        <f t="shared" si="1"/>
        <v>20</v>
      </c>
      <c r="J111" s="15">
        <f t="shared" si="2"/>
        <v>20</v>
      </c>
      <c r="K111" s="14">
        <f t="shared" si="3"/>
        <v>20</v>
      </c>
      <c r="L111" s="16" t="str">
        <f>IFERROR(__xludf.DUMMYFUNCTION("IFERROR(
  IF(
    VLOOKUP(C111, IMPORTRANGE(""gid=860555792"", ""Maestro!B:C""), 2, FALSE) = D111, 
    ""CONCILIADO"", 
    ""ERROR EN MONTO""
  ), 
  ""NO ENCONTRADO EN MAESTRO""
)"),"NO ENCONTRADO EN MAESTRO")</f>
        <v>NO ENCONTRADO EN MAESTRO</v>
      </c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ht="22.5" customHeight="1">
      <c r="A112" s="23">
        <f>IFERROR(__xludf.DUMMYFUNCTION("""COMPUTED_VALUE"""),46126.0)</f>
        <v>46126</v>
      </c>
      <c r="B112" s="15">
        <f>IFERROR(__xludf.DUMMYFUNCTION("""COMPUTED_VALUE"""),159.0)</f>
        <v>159</v>
      </c>
      <c r="C112" s="21">
        <f>IFERROR(__xludf.DUMMYFUNCTION("""COMPUTED_VALUE"""),90.0)</f>
        <v>90</v>
      </c>
      <c r="D112" s="22" t="str">
        <f>IFERROR(__xludf.DUMMYFUNCTION("""COMPUTED_VALUE"""),"USD")</f>
        <v>USD</v>
      </c>
      <c r="E112" s="22" t="str">
        <f>IFERROR(__xludf.DUMMYFUNCTION("""COMPUTED_VALUE"""),"Zelle")</f>
        <v>Zelle</v>
      </c>
      <c r="F112" s="22" t="str">
        <f>IFERROR(__xludf.DUMMYFUNCTION("""COMPUTED_VALUE"""),"Grupo 3030, C.A")</f>
        <v>Grupo 3030, C.A</v>
      </c>
      <c r="G112" s="19">
        <v>478.5811</v>
      </c>
      <c r="H112" s="13"/>
      <c r="I112" s="14">
        <f t="shared" si="1"/>
        <v>90</v>
      </c>
      <c r="J112" s="15">
        <f t="shared" si="2"/>
        <v>90</v>
      </c>
      <c r="K112" s="14">
        <f t="shared" si="3"/>
        <v>90</v>
      </c>
      <c r="L112" s="16" t="str">
        <f>IFERROR(__xludf.DUMMYFUNCTION("IFERROR(
  IF(
    VLOOKUP(C112, IMPORTRANGE(""gid=860555792"", ""Maestro!B:C""), 2, FALSE) = D112, 
    ""CONCILIADO"", 
    ""ERROR EN MONTO""
  ), 
  ""NO ENCONTRADO EN MAESTRO""
)"),"NO ENCONTRADO EN MAESTRO")</f>
        <v>NO ENCONTRADO EN MAESTRO</v>
      </c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ht="22.5" customHeight="1">
      <c r="A113" s="24">
        <f>IFERROR(__xludf.DUMMYFUNCTION("""COMPUTED_VALUE"""),46126.0)</f>
        <v>46126</v>
      </c>
      <c r="B113" s="15">
        <f>IFERROR(__xludf.DUMMYFUNCTION("""COMPUTED_VALUE"""),159.0)</f>
        <v>159</v>
      </c>
      <c r="C113" s="21">
        <f>IFERROR(__xludf.DUMMYFUNCTION("""COMPUTED_VALUE"""),220.0)</f>
        <v>220</v>
      </c>
      <c r="D113" s="22" t="str">
        <f>IFERROR(__xludf.DUMMYFUNCTION("""COMPUTED_VALUE"""),"USD")</f>
        <v>USD</v>
      </c>
      <c r="E113" s="22" t="str">
        <f>IFERROR(__xludf.DUMMYFUNCTION("""COMPUTED_VALUE"""),"Zelle")</f>
        <v>Zelle</v>
      </c>
      <c r="F113" s="22" t="str">
        <f>IFERROR(__xludf.DUMMYFUNCTION("""COMPUTED_VALUE"""),"Grupo 3030, C.A")</f>
        <v>Grupo 3030, C.A</v>
      </c>
      <c r="G113" s="19">
        <v>478.5811</v>
      </c>
      <c r="H113" s="13"/>
      <c r="I113" s="14">
        <f t="shared" si="1"/>
        <v>220</v>
      </c>
      <c r="J113" s="15">
        <f t="shared" si="2"/>
        <v>220</v>
      </c>
      <c r="K113" s="14">
        <f t="shared" si="3"/>
        <v>220</v>
      </c>
      <c r="L113" s="16" t="str">
        <f>IFERROR(__xludf.DUMMYFUNCTION("IFERROR(
  IF(
    VLOOKUP(C113, IMPORTRANGE(""gid=860555792"", ""Maestro!B:C""), 2, FALSE) = D113, 
    ""CONCILIADO"", 
    ""ERROR EN MONTO""
  ), 
  ""NO ENCONTRADO EN MAESTRO""
)"),"NO ENCONTRADO EN MAESTRO")</f>
        <v>NO ENCONTRADO EN MAESTRO</v>
      </c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ht="22.5" customHeight="1">
      <c r="A114" s="25">
        <f>IFERROR(__xludf.DUMMYFUNCTION("""COMPUTED_VALUE"""),46127.0)</f>
        <v>46127</v>
      </c>
      <c r="B114" s="15">
        <f>IFERROR(__xludf.DUMMYFUNCTION("""COMPUTED_VALUE"""),114.0)</f>
        <v>114</v>
      </c>
      <c r="C114" s="21">
        <f>IFERROR(__xludf.DUMMYFUNCTION("""COMPUTED_VALUE"""),20.0)</f>
        <v>20</v>
      </c>
      <c r="D114" s="22" t="str">
        <f>IFERROR(__xludf.DUMMYFUNCTION("""COMPUTED_VALUE"""),"USD")</f>
        <v>USD</v>
      </c>
      <c r="E114" s="22" t="str">
        <f>IFERROR(__xludf.DUMMYFUNCTION("""COMPUTED_VALUE"""),"Efectivo USD")</f>
        <v>Efectivo USD</v>
      </c>
      <c r="F114" s="22" t="str">
        <f>IFERROR(__xludf.DUMMYFUNCTION("""COMPUTED_VALUE"""),"Autoasesorio maxi motor")</f>
        <v>Autoasesorio maxi motor</v>
      </c>
      <c r="G114" s="19">
        <v>478.5811</v>
      </c>
      <c r="H114" s="13"/>
      <c r="I114" s="14">
        <f t="shared" si="1"/>
        <v>20</v>
      </c>
      <c r="J114" s="15">
        <f t="shared" si="2"/>
        <v>20</v>
      </c>
      <c r="K114" s="14">
        <f t="shared" si="3"/>
        <v>20</v>
      </c>
      <c r="L114" s="16" t="str">
        <f>IFERROR(__xludf.DUMMYFUNCTION("IFERROR(
  IF(
    VLOOKUP(C114, IMPORTRANGE(""gid=860555792"", ""Maestro!B:C""), 2, FALSE) = D114, 
    ""CONCILIADO"", 
    ""ERROR EN MONTO""
  ), 
  ""NO ENCONTRADO EN MAESTRO""
)"),"NO ENCONTRADO EN MAESTRO")</f>
        <v>NO ENCONTRADO EN MAESTRO</v>
      </c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ht="22.5" customHeight="1">
      <c r="A115" s="25">
        <f>IFERROR(__xludf.DUMMYFUNCTION("""COMPUTED_VALUE"""),46127.0)</f>
        <v>46127</v>
      </c>
      <c r="B115" s="15">
        <f>IFERROR(__xludf.DUMMYFUNCTION("""COMPUTED_VALUE"""),144.0)</f>
        <v>144</v>
      </c>
      <c r="C115" s="21">
        <f>IFERROR(__xludf.DUMMYFUNCTION("""COMPUTED_VALUE"""),68.0)</f>
        <v>68</v>
      </c>
      <c r="D115" s="22" t="str">
        <f>IFERROR(__xludf.DUMMYFUNCTION("""COMPUTED_VALUE"""),"USD")</f>
        <v>USD</v>
      </c>
      <c r="E115" s="22" t="str">
        <f>IFERROR(__xludf.DUMMYFUNCTION("""COMPUTED_VALUE"""),"Efectivo USD")</f>
        <v>Efectivo USD</v>
      </c>
      <c r="F115" s="22" t="str">
        <f>IFERROR(__xludf.DUMMYFUNCTION("""COMPUTED_VALUE"""),"HIDRAULICAS CAICEDO C.A.")</f>
        <v>HIDRAULICAS CAICEDO C.A.</v>
      </c>
      <c r="G115" s="19">
        <v>478.5811</v>
      </c>
      <c r="H115" s="13"/>
      <c r="I115" s="14">
        <f t="shared" si="1"/>
        <v>68</v>
      </c>
      <c r="J115" s="15">
        <f t="shared" si="2"/>
        <v>68</v>
      </c>
      <c r="K115" s="14">
        <f t="shared" si="3"/>
        <v>68</v>
      </c>
      <c r="L115" s="16" t="str">
        <f>IFERROR(__xludf.DUMMYFUNCTION("IFERROR(
  IF(
    VLOOKUP(C115, IMPORTRANGE(""gid=860555792"", ""Maestro!B:C""), 2, FALSE) = D115, 
    ""CONCILIADO"", 
    ""ERROR EN MONTO""
  ), 
  ""NO ENCONTRADO EN MAESTRO""
)"),"NO ENCONTRADO EN MAESTRO")</f>
        <v>NO ENCONTRADO EN MAESTRO</v>
      </c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ht="22.5" customHeight="1">
      <c r="A116" s="25">
        <f>IFERROR(__xludf.DUMMYFUNCTION("""COMPUTED_VALUE"""),46127.0)</f>
        <v>46127</v>
      </c>
      <c r="B116" s="15">
        <f>IFERROR(__xludf.DUMMYFUNCTION("""COMPUTED_VALUE"""),90.0)</f>
        <v>90</v>
      </c>
      <c r="C116" s="21">
        <f>IFERROR(__xludf.DUMMYFUNCTION("""COMPUTED_VALUE"""),71.0)</f>
        <v>71</v>
      </c>
      <c r="D116" s="22" t="str">
        <f>IFERROR(__xludf.DUMMYFUNCTION("""COMPUTED_VALUE"""),"USD")</f>
        <v>USD</v>
      </c>
      <c r="E116" s="22" t="str">
        <f>IFERROR(__xludf.DUMMYFUNCTION("""COMPUTED_VALUE"""),"Efectivo USD")</f>
        <v>Efectivo USD</v>
      </c>
      <c r="F116" s="22" t="str">
        <f>IFERROR(__xludf.DUMMYFUNCTION("""COMPUTED_VALUE"""),"ACCESORIOS Y REPUESTOS MOTO CAR 20-11-C.A")</f>
        <v>ACCESORIOS Y REPUESTOS MOTO CAR 20-11-C.A</v>
      </c>
      <c r="G116" s="19">
        <v>478.5811</v>
      </c>
      <c r="H116" s="13"/>
      <c r="I116" s="14">
        <f t="shared" si="1"/>
        <v>71</v>
      </c>
      <c r="J116" s="15">
        <f t="shared" si="2"/>
        <v>71</v>
      </c>
      <c r="K116" s="14">
        <f t="shared" si="3"/>
        <v>71</v>
      </c>
      <c r="L116" s="16" t="str">
        <f>IFERROR(__xludf.DUMMYFUNCTION("IFERROR(
  IF(
    VLOOKUP(C116, IMPORTRANGE(""gid=860555792"", ""Maestro!B:C""), 2, FALSE) = D116, 
    ""CONCILIADO"", 
    ""ERROR EN MONTO""
  ), 
  ""NO ENCONTRADO EN MAESTRO""
)"),"NO ENCONTRADO EN MAESTRO")</f>
        <v>NO ENCONTRADO EN MAESTRO</v>
      </c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ht="22.5" customHeight="1">
      <c r="A117" s="25">
        <f>IFERROR(__xludf.DUMMYFUNCTION("""COMPUTED_VALUE"""),46127.0)</f>
        <v>46127</v>
      </c>
      <c r="B117" s="15">
        <f>IFERROR(__xludf.DUMMYFUNCTION("""COMPUTED_VALUE"""),219.0)</f>
        <v>219</v>
      </c>
      <c r="C117" s="21">
        <f>IFERROR(__xludf.DUMMYFUNCTION("""COMPUTED_VALUE"""),200.0)</f>
        <v>200</v>
      </c>
      <c r="D117" s="22" t="str">
        <f>IFERROR(__xludf.DUMMYFUNCTION("""COMPUTED_VALUE"""),"USD")</f>
        <v>USD</v>
      </c>
      <c r="E117" s="22" t="str">
        <f>IFERROR(__xludf.DUMMYFUNCTION("""COMPUTED_VALUE"""),"Efectivo USD")</f>
        <v>Efectivo USD</v>
      </c>
      <c r="F117" s="22" t="str">
        <f>IFERROR(__xludf.DUMMYFUNCTION("""COMPUTED_VALUE"""),"Montura de Cauchos Biondo,c.a.")</f>
        <v>Montura de Cauchos Biondo,c.a.</v>
      </c>
      <c r="G117" s="19">
        <v>478.5811</v>
      </c>
      <c r="H117" s="13"/>
      <c r="I117" s="14">
        <f t="shared" si="1"/>
        <v>200</v>
      </c>
      <c r="J117" s="15">
        <f t="shared" si="2"/>
        <v>200</v>
      </c>
      <c r="K117" s="14">
        <f t="shared" si="3"/>
        <v>200</v>
      </c>
      <c r="L117" s="16" t="str">
        <f>IFERROR(__xludf.DUMMYFUNCTION("IFERROR(
  IF(
    VLOOKUP(C117, IMPORTRANGE(""gid=860555792"", ""Maestro!B:C""), 2, FALSE) = D117, 
    ""CONCILIADO"", 
    ""ERROR EN MONTO""
  ), 
  ""NO ENCONTRADO EN MAESTRO""
)"),"NO ENCONTRADO EN MAESTRO")</f>
        <v>NO ENCONTRADO EN MAESTRO</v>
      </c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ht="22.5" customHeight="1">
      <c r="A118" s="25">
        <f>IFERROR(__xludf.DUMMYFUNCTION("""COMPUTED_VALUE"""),46127.0)</f>
        <v>46127</v>
      </c>
      <c r="B118" s="15">
        <f>IFERROR(__xludf.DUMMYFUNCTION("""COMPUTED_VALUE"""),211.0)</f>
        <v>211</v>
      </c>
      <c r="C118" s="21">
        <f>IFERROR(__xludf.DUMMYFUNCTION("""COMPUTED_VALUE"""),47379.54)</f>
        <v>47379.54</v>
      </c>
      <c r="D118" s="22" t="str">
        <f>IFERROR(__xludf.DUMMYFUNCTION("""COMPUTED_VALUE"""),"VES")</f>
        <v>VES</v>
      </c>
      <c r="E118" s="22" t="str">
        <f>IFERROR(__xludf.DUMMYFUNCTION("""COMPUTED_VALUE"""),"Bancamiga")</f>
        <v>Bancamiga</v>
      </c>
      <c r="F118" s="22" t="str">
        <f>IFERROR(__xludf.DUMMYFUNCTION("""COMPUTED_VALUE"""),"ZIP MARKET, CA")</f>
        <v>ZIP MARKET, CA</v>
      </c>
      <c r="G118" s="19">
        <v>478.5811</v>
      </c>
      <c r="H118" s="13"/>
      <c r="I118" s="14">
        <f t="shared" si="1"/>
        <v>99.00002319</v>
      </c>
      <c r="J118" s="15">
        <f t="shared" si="2"/>
        <v>0</v>
      </c>
      <c r="K118" s="14">
        <f t="shared" si="3"/>
        <v>99.00002319</v>
      </c>
      <c r="L118" s="16" t="str">
        <f>IFERROR(__xludf.DUMMYFUNCTION("IFERROR(
  IF(
    VLOOKUP(C118, IMPORTRANGE(""gid=860555792"", ""Maestro!B:C""), 2, FALSE) = D118, 
    ""CONCILIADO"", 
    ""ERROR EN MONTO""
  ), 
  ""NO ENCONTRADO EN MAESTRO""
)"),"NO ENCONTRADO EN MAESTRO")</f>
        <v>NO ENCONTRADO EN MAESTRO</v>
      </c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ht="22.5" customHeight="1">
      <c r="A119" s="25">
        <f>IFERROR(__xludf.DUMMYFUNCTION("""COMPUTED_VALUE"""),46127.0)</f>
        <v>46127</v>
      </c>
      <c r="B119" s="15">
        <f>IFERROR(__xludf.DUMMYFUNCTION("""COMPUTED_VALUE"""),64.0)</f>
        <v>64</v>
      </c>
      <c r="C119" s="21">
        <f>IFERROR(__xludf.DUMMYFUNCTION("""COMPUTED_VALUE"""),10200.18)</f>
        <v>10200.18</v>
      </c>
      <c r="D119" s="22" t="str">
        <f>IFERROR(__xludf.DUMMYFUNCTION("""COMPUTED_VALUE"""),"VES")</f>
        <v>VES</v>
      </c>
      <c r="E119" s="22" t="str">
        <f>IFERROR(__xludf.DUMMYFUNCTION("""COMPUTED_VALUE"""),"Bancamiga")</f>
        <v>Bancamiga</v>
      </c>
      <c r="F119" s="22" t="str">
        <f>IFERROR(__xludf.DUMMYFUNCTION("""COMPUTED_VALUE"""),"VAL VAL 16 C.A")</f>
        <v>VAL VAL 16 C.A</v>
      </c>
      <c r="G119" s="19">
        <v>479.7775</v>
      </c>
      <c r="H119" s="13"/>
      <c r="I119" s="14">
        <f t="shared" si="1"/>
        <v>21.26023</v>
      </c>
      <c r="J119" s="15">
        <f t="shared" si="2"/>
        <v>0</v>
      </c>
      <c r="K119" s="14">
        <f t="shared" si="3"/>
        <v>21.26023</v>
      </c>
      <c r="L119" s="16" t="str">
        <f>IFERROR(__xludf.DUMMYFUNCTION("IFERROR(
  IF(
    VLOOKUP(C119, IMPORTRANGE(""gid=860555792"", ""Maestro!B:C""), 2, FALSE) = D119, 
    ""CONCILIADO"", 
    ""ERROR EN MONTO""
  ), 
  ""NO ENCONTRADO EN MAESTRO""
)"),"NO ENCONTRADO EN MAESTRO")</f>
        <v>NO ENCONTRADO EN MAESTRO</v>
      </c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ht="22.5" customHeight="1">
      <c r="A120" s="25">
        <f>IFERROR(__xludf.DUMMYFUNCTION("""COMPUTED_VALUE"""),46128.0)</f>
        <v>46128</v>
      </c>
      <c r="B120" s="15">
        <f>IFERROR(__xludf.DUMMYFUNCTION("""COMPUTED_VALUE"""),159.0)</f>
        <v>159</v>
      </c>
      <c r="C120" s="21">
        <f>IFERROR(__xludf.DUMMYFUNCTION("""COMPUTED_VALUE"""),200.0)</f>
        <v>200</v>
      </c>
      <c r="D120" s="22" t="str">
        <f>IFERROR(__xludf.DUMMYFUNCTION("""COMPUTED_VALUE"""),"USD")</f>
        <v>USD</v>
      </c>
      <c r="E120" s="22" t="str">
        <f>IFERROR(__xludf.DUMMYFUNCTION("""COMPUTED_VALUE"""),"Efectivo USD")</f>
        <v>Efectivo USD</v>
      </c>
      <c r="F120" s="22" t="str">
        <f>IFERROR(__xludf.DUMMYFUNCTION("""COMPUTED_VALUE"""),"Grupo 3030, C.A")</f>
        <v>Grupo 3030, C.A</v>
      </c>
      <c r="G120" s="19">
        <v>479.7775</v>
      </c>
      <c r="H120" s="13"/>
      <c r="I120" s="14">
        <f t="shared" si="1"/>
        <v>200</v>
      </c>
      <c r="J120" s="15">
        <f t="shared" si="2"/>
        <v>200</v>
      </c>
      <c r="K120" s="14">
        <f t="shared" si="3"/>
        <v>200</v>
      </c>
      <c r="L120" s="16" t="str">
        <f>IFERROR(__xludf.DUMMYFUNCTION("IFERROR(
  IF(
    VLOOKUP(C120, IMPORTRANGE(""gid=860555792"", ""Maestro!B:C""), 2, FALSE) = D120, 
    ""CONCILIADO"", 
    ""ERROR EN MONTO""
  ), 
  ""NO ENCONTRADO EN MAESTRO""
)"),"NO ENCONTRADO EN MAESTRO")</f>
        <v>NO ENCONTRADO EN MAESTRO</v>
      </c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ht="22.5" customHeight="1">
      <c r="A121" s="25">
        <f>IFERROR(__xludf.DUMMYFUNCTION("""COMPUTED_VALUE"""),46128.0)</f>
        <v>46128</v>
      </c>
      <c r="B121" s="15">
        <f>IFERROR(__xludf.DUMMYFUNCTION("""COMPUTED_VALUE"""),121.0)</f>
        <v>121</v>
      </c>
      <c r="C121" s="21">
        <f>IFERROR(__xludf.DUMMYFUNCTION("""COMPUTED_VALUE"""),47977.75)</f>
        <v>47977.75</v>
      </c>
      <c r="D121" s="22" t="str">
        <f>IFERROR(__xludf.DUMMYFUNCTION("""COMPUTED_VALUE"""),"VES")</f>
        <v>VES</v>
      </c>
      <c r="E121" s="22" t="str">
        <f>IFERROR(__xludf.DUMMYFUNCTION("""COMPUTED_VALUE"""),"Bancamiga")</f>
        <v>Bancamiga</v>
      </c>
      <c r="F121" s="22" t="str">
        <f>IFERROR(__xludf.DUMMYFUNCTION("""COMPUTED_VALUE"""),"Jose Lopez Espinoza")</f>
        <v>Jose Lopez Espinoza</v>
      </c>
      <c r="G121" s="19">
        <v>479.7775</v>
      </c>
      <c r="H121" s="13"/>
      <c r="I121" s="14">
        <f t="shared" si="1"/>
        <v>100</v>
      </c>
      <c r="J121" s="15">
        <f t="shared" si="2"/>
        <v>0</v>
      </c>
      <c r="K121" s="14">
        <f t="shared" si="3"/>
        <v>100</v>
      </c>
      <c r="L121" s="16" t="str">
        <f>IFERROR(__xludf.DUMMYFUNCTION("IFERROR(
  IF(
    VLOOKUP(C121, IMPORTRANGE(""gid=860555792"", ""Maestro!B:C""), 2, FALSE) = D121, 
    ""CONCILIADO"", 
    ""ERROR EN MONTO""
  ), 
  ""NO ENCONTRADO EN MAESTRO""
)"),"NO ENCONTRADO EN MAESTRO")</f>
        <v>NO ENCONTRADO EN MAESTRO</v>
      </c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ht="22.5" customHeight="1">
      <c r="A122" s="25">
        <f>IFERROR(__xludf.DUMMYFUNCTION("""COMPUTED_VALUE"""),46129.0)</f>
        <v>46129</v>
      </c>
      <c r="B122" s="15">
        <f>IFERROR(__xludf.DUMMYFUNCTION("""COMPUTED_VALUE"""),141.0)</f>
        <v>141</v>
      </c>
      <c r="C122" s="21">
        <f>IFERROR(__xludf.DUMMYFUNCTION("""COMPUTED_VALUE"""),50.0)</f>
        <v>50</v>
      </c>
      <c r="D122" s="22" t="str">
        <f>IFERROR(__xludf.DUMMYFUNCTION("""COMPUTED_VALUE"""),"USD")</f>
        <v>USD</v>
      </c>
      <c r="E122" s="22" t="str">
        <f>IFERROR(__xludf.DUMMYFUNCTION("""COMPUTED_VALUE"""),"Efectivo USD")</f>
        <v>Efectivo USD</v>
      </c>
      <c r="F122" s="22" t="str">
        <f>IFERROR(__xludf.DUMMYFUNCTION("""COMPUTED_VALUE"""),"Yulendri Carolina Pineda Blanco")</f>
        <v>Yulendri Carolina Pineda Blanco</v>
      </c>
      <c r="G122" s="19">
        <v>480.2572</v>
      </c>
      <c r="H122" s="13"/>
      <c r="I122" s="14">
        <f t="shared" si="1"/>
        <v>50</v>
      </c>
      <c r="J122" s="15">
        <f t="shared" si="2"/>
        <v>50</v>
      </c>
      <c r="K122" s="14">
        <f t="shared" si="3"/>
        <v>50</v>
      </c>
      <c r="L122" s="16" t="str">
        <f>IFERROR(__xludf.DUMMYFUNCTION("IFERROR(
  IF(
    VLOOKUP(C122, IMPORTRANGE(""gid=860555792"", ""Maestro!B:C""), 2, FALSE) = D122, 
    ""CONCILIADO"", 
    ""ERROR EN MONTO""
  ), 
  ""NO ENCONTRADO EN MAESTRO""
)"),"NO ENCONTRADO EN MAESTRO")</f>
        <v>NO ENCONTRADO EN MAESTRO</v>
      </c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ht="22.5" customHeight="1">
      <c r="A123" s="25">
        <f>IFERROR(__xludf.DUMMYFUNCTION("""COMPUTED_VALUE"""),46129.0)</f>
        <v>46129</v>
      </c>
      <c r="B123" s="15">
        <f>IFERROR(__xludf.DUMMYFUNCTION("""COMPUTED_VALUE"""),62.0)</f>
        <v>62</v>
      </c>
      <c r="C123" s="21">
        <f>IFERROR(__xludf.DUMMYFUNCTION("""COMPUTED_VALUE"""),210.0)</f>
        <v>210</v>
      </c>
      <c r="D123" s="22" t="str">
        <f>IFERROR(__xludf.DUMMYFUNCTION("""COMPUTED_VALUE"""),"USD")</f>
        <v>USD</v>
      </c>
      <c r="E123" s="22" t="str">
        <f>IFERROR(__xludf.DUMMYFUNCTION("""COMPUTED_VALUE"""),"Zelle")</f>
        <v>Zelle</v>
      </c>
      <c r="F123" s="22" t="str">
        <f>IFERROR(__xludf.DUMMYFUNCTION("""COMPUTED_VALUE"""),"SJMG 2012 C.A")</f>
        <v>SJMG 2012 C.A</v>
      </c>
      <c r="G123" s="19">
        <v>480.2572</v>
      </c>
      <c r="H123" s="13"/>
      <c r="I123" s="14">
        <f t="shared" si="1"/>
        <v>210</v>
      </c>
      <c r="J123" s="15">
        <f t="shared" si="2"/>
        <v>210</v>
      </c>
      <c r="K123" s="14">
        <f t="shared" si="3"/>
        <v>210</v>
      </c>
      <c r="L123" s="16" t="str">
        <f>IFERROR(__xludf.DUMMYFUNCTION("IFERROR(
  IF(
    VLOOKUP(C123, IMPORTRANGE(""gid=860555792"", ""Maestro!B:C""), 2, FALSE) = D123, 
    ""CONCILIADO"", 
    ""ERROR EN MONTO""
  ), 
  ""NO ENCONTRADO EN MAESTRO""
)"),"NO ENCONTRADO EN MAESTRO")</f>
        <v>NO ENCONTRADO EN MAESTRO</v>
      </c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ht="22.5" customHeight="1">
      <c r="A124" s="25">
        <f>IFERROR(__xludf.DUMMYFUNCTION("""COMPUTED_VALUE"""),46129.0)</f>
        <v>46129</v>
      </c>
      <c r="B124" s="15">
        <f>IFERROR(__xludf.DUMMYFUNCTION("""COMPUTED_VALUE"""),229.0)</f>
        <v>229</v>
      </c>
      <c r="C124" s="21">
        <f>IFERROR(__xludf.DUMMYFUNCTION("""COMPUTED_VALUE"""),514.93)</f>
        <v>514.93</v>
      </c>
      <c r="D124" s="22" t="str">
        <f>IFERROR(__xludf.DUMMYFUNCTION("""COMPUTED_VALUE"""),"USD")</f>
        <v>USD</v>
      </c>
      <c r="E124" s="22" t="str">
        <f>IFERROR(__xludf.DUMMYFUNCTION("""COMPUTED_VALUE"""),"Zelle")</f>
        <v>Zelle</v>
      </c>
      <c r="F124" s="22" t="str">
        <f>IFERROR(__xludf.DUMMYFUNCTION("""COMPUTED_VALUE"""),"Devenalsa Deshidratadora Venezolana de Alimentos, S.A.")</f>
        <v>Devenalsa Deshidratadora Venezolana de Alimentos, S.A.</v>
      </c>
      <c r="G124" s="19">
        <v>480.2572</v>
      </c>
      <c r="H124" s="13"/>
      <c r="I124" s="14">
        <f t="shared" si="1"/>
        <v>514.93</v>
      </c>
      <c r="J124" s="15">
        <f t="shared" si="2"/>
        <v>514.93</v>
      </c>
      <c r="K124" s="14">
        <f t="shared" si="3"/>
        <v>514.93</v>
      </c>
      <c r="L124" s="16" t="str">
        <f>IFERROR(__xludf.DUMMYFUNCTION("IFERROR(
  IF(
    VLOOKUP(C124, IMPORTRANGE(""gid=860555792"", ""Maestro!B:C""), 2, FALSE) = D124, 
    ""CONCILIADO"", 
    ""ERROR EN MONTO""
  ), 
  ""NO ENCONTRADO EN MAESTRO""
)"),"NO ENCONTRADO EN MAESTRO")</f>
        <v>NO ENCONTRADO EN MAESTRO</v>
      </c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ht="22.5" customHeight="1">
      <c r="A125" s="25">
        <f>IFERROR(__xludf.DUMMYFUNCTION("""COMPUTED_VALUE"""),46129.0)</f>
        <v>46129</v>
      </c>
      <c r="B125" s="15">
        <f>IFERROR(__xludf.DUMMYFUNCTION("""COMPUTED_VALUE"""),93.0)</f>
        <v>93</v>
      </c>
      <c r="C125" s="21">
        <f>IFERROR(__xludf.DUMMYFUNCTION("""COMPUTED_VALUE"""),40.0)</f>
        <v>40</v>
      </c>
      <c r="D125" s="22" t="str">
        <f>IFERROR(__xludf.DUMMYFUNCTION("""COMPUTED_VALUE"""),"USD")</f>
        <v>USD</v>
      </c>
      <c r="E125" s="22" t="str">
        <f>IFERROR(__xludf.DUMMYFUNCTION("""COMPUTED_VALUE"""),"Efectivo USD")</f>
        <v>Efectivo USD</v>
      </c>
      <c r="F125" s="22" t="str">
        <f>IFERROR(__xludf.DUMMYFUNCTION("""COMPUTED_VALUE"""),"Emprendimiento YSKRA")</f>
        <v>Emprendimiento YSKRA</v>
      </c>
      <c r="G125" s="19">
        <v>480.2572</v>
      </c>
      <c r="H125" s="13"/>
      <c r="I125" s="14">
        <f t="shared" si="1"/>
        <v>40</v>
      </c>
      <c r="J125" s="15">
        <f t="shared" si="2"/>
        <v>40</v>
      </c>
      <c r="K125" s="14">
        <f t="shared" si="3"/>
        <v>40</v>
      </c>
      <c r="L125" s="16" t="str">
        <f>IFERROR(__xludf.DUMMYFUNCTION("IFERROR(
  IF(
    VLOOKUP(C125, IMPORTRANGE(""gid=860555792"", ""Maestro!B:C""), 2, FALSE) = D125, 
    ""CONCILIADO"", 
    ""ERROR EN MONTO""
  ), 
  ""NO ENCONTRADO EN MAESTRO""
)"),"NO ENCONTRADO EN MAESTRO")</f>
        <v>NO ENCONTRADO EN MAESTRO</v>
      </c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ht="22.5" customHeight="1">
      <c r="A126" s="25">
        <f>IFERROR(__xludf.DUMMYFUNCTION("""COMPUTED_VALUE"""),46129.0)</f>
        <v>46129</v>
      </c>
      <c r="B126" s="15">
        <f>IFERROR(__xludf.DUMMYFUNCTION("""COMPUTED_VALUE"""),125.0)</f>
        <v>125</v>
      </c>
      <c r="C126" s="21">
        <f>IFERROR(__xludf.DUMMYFUNCTION("""COMPUTED_VALUE"""),30.0)</f>
        <v>30</v>
      </c>
      <c r="D126" s="22" t="str">
        <f>IFERROR(__xludf.DUMMYFUNCTION("""COMPUTED_VALUE"""),"USD")</f>
        <v>USD</v>
      </c>
      <c r="E126" s="22" t="str">
        <f>IFERROR(__xludf.DUMMYFUNCTION("""COMPUTED_VALUE"""),"Efectivo USD")</f>
        <v>Efectivo USD</v>
      </c>
      <c r="F126" s="22" t="str">
        <f>IFERROR(__xludf.DUMMYFUNCTION("""COMPUTED_VALUE"""),"Megacar2020.c.a")</f>
        <v>Megacar2020.c.a</v>
      </c>
      <c r="G126" s="19">
        <v>480.2572</v>
      </c>
      <c r="H126" s="13"/>
      <c r="I126" s="14">
        <f t="shared" si="1"/>
        <v>30</v>
      </c>
      <c r="J126" s="15">
        <f t="shared" si="2"/>
        <v>30</v>
      </c>
      <c r="K126" s="14">
        <f t="shared" si="3"/>
        <v>30</v>
      </c>
      <c r="L126" s="16" t="str">
        <f>IFERROR(__xludf.DUMMYFUNCTION("IFERROR(
  IF(
    VLOOKUP(C126, IMPORTRANGE(""gid=860555792"", ""Maestro!B:C""), 2, FALSE) = D126, 
    ""CONCILIADO"", 
    ""ERROR EN MONTO""
  ), 
  ""NO ENCONTRADO EN MAESTRO""
)"),"NO ENCONTRADO EN MAESTRO")</f>
        <v>NO ENCONTRADO EN MAESTRO</v>
      </c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ht="22.5" customHeight="1">
      <c r="A127" s="25">
        <f>IFERROR(__xludf.DUMMYFUNCTION("""COMPUTED_VALUE"""),46129.0)</f>
        <v>46129</v>
      </c>
      <c r="B127" s="15">
        <f>IFERROR(__xludf.DUMMYFUNCTION("""COMPUTED_VALUE"""),38.0)</f>
        <v>38</v>
      </c>
      <c r="C127" s="21">
        <f>IFERROR(__xludf.DUMMYFUNCTION("""COMPUTED_VALUE"""),22.0)</f>
        <v>22</v>
      </c>
      <c r="D127" s="22" t="str">
        <f>IFERROR(__xludf.DUMMYFUNCTION("""COMPUTED_VALUE"""),"USD")</f>
        <v>USD</v>
      </c>
      <c r="E127" s="22" t="str">
        <f>IFERROR(__xludf.DUMMYFUNCTION("""COMPUTED_VALUE"""),"Efectivo USD")</f>
        <v>Efectivo USD</v>
      </c>
      <c r="F127" s="22" t="str">
        <f>IFERROR(__xludf.DUMMYFUNCTION("""COMPUTED_VALUE"""),"Auto repuestos Fontalvo")</f>
        <v>Auto repuestos Fontalvo</v>
      </c>
      <c r="G127" s="19">
        <v>480.2572</v>
      </c>
      <c r="H127" s="13"/>
      <c r="I127" s="14">
        <f t="shared" si="1"/>
        <v>22</v>
      </c>
      <c r="J127" s="15">
        <f t="shared" si="2"/>
        <v>22</v>
      </c>
      <c r="K127" s="14">
        <f t="shared" si="3"/>
        <v>22</v>
      </c>
      <c r="L127" s="16" t="str">
        <f>IFERROR(__xludf.DUMMYFUNCTION("IFERROR(
  IF(
    VLOOKUP(C127, IMPORTRANGE(""gid=860555792"", ""Maestro!B:C""), 2, FALSE) = D127, 
    ""CONCILIADO"", 
    ""ERROR EN MONTO""
  ), 
  ""NO ENCONTRADO EN MAESTRO""
)"),"NO ENCONTRADO EN MAESTRO")</f>
        <v>NO ENCONTRADO EN MAESTRO</v>
      </c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ht="22.5" customHeight="1">
      <c r="A128" s="25">
        <f>IFERROR(__xludf.DUMMYFUNCTION("""COMPUTED_VALUE"""),46129.0)</f>
        <v>46129</v>
      </c>
      <c r="B128" s="15">
        <f>IFERROR(__xludf.DUMMYFUNCTION("""COMPUTED_VALUE"""),133.0)</f>
        <v>133</v>
      </c>
      <c r="C128" s="21">
        <f>IFERROR(__xludf.DUMMYFUNCTION("""COMPUTED_VALUE"""),250.0)</f>
        <v>250</v>
      </c>
      <c r="D128" s="22" t="str">
        <f>IFERROR(__xludf.DUMMYFUNCTION("""COMPUTED_VALUE"""),"USD")</f>
        <v>USD</v>
      </c>
      <c r="E128" s="22" t="str">
        <f>IFERROR(__xludf.DUMMYFUNCTION("""COMPUTED_VALUE"""),"Efectivo USD")</f>
        <v>Efectivo USD</v>
      </c>
      <c r="F128" s="22" t="str">
        <f>IFERROR(__xludf.DUMMYFUNCTION("""COMPUTED_VALUE"""),"Inversiones La Bendición del Nazareno, C.A")</f>
        <v>Inversiones La Bendición del Nazareno, C.A</v>
      </c>
      <c r="G128" s="19">
        <v>480.2572</v>
      </c>
      <c r="H128" s="13"/>
      <c r="I128" s="14">
        <f t="shared" si="1"/>
        <v>250</v>
      </c>
      <c r="J128" s="15">
        <f t="shared" si="2"/>
        <v>250</v>
      </c>
      <c r="K128" s="14">
        <f t="shared" si="3"/>
        <v>250</v>
      </c>
      <c r="L128" s="16" t="str">
        <f>IFERROR(__xludf.DUMMYFUNCTION("IFERROR(
  IF(
    VLOOKUP(C128, IMPORTRANGE(""gid=860555792"", ""Maestro!B:C""), 2, FALSE) = D128, 
    ""CONCILIADO"", 
    ""ERROR EN MONTO""
  ), 
  ""NO ENCONTRADO EN MAESTRO""
)"),"NO ENCONTRADO EN MAESTRO")</f>
        <v>NO ENCONTRADO EN MAESTRO</v>
      </c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ht="22.5" customHeight="1">
      <c r="A129" s="25">
        <f>IFERROR(__xludf.DUMMYFUNCTION("""COMPUTED_VALUE"""),46132.0)</f>
        <v>46132</v>
      </c>
      <c r="B129" s="15">
        <f>IFERROR(__xludf.DUMMYFUNCTION("""COMPUTED_VALUE"""),169.0)</f>
        <v>169</v>
      </c>
      <c r="C129" s="21">
        <f>IFERROR(__xludf.DUMMYFUNCTION("""COMPUTED_VALUE"""),24.0)</f>
        <v>24</v>
      </c>
      <c r="D129" s="22" t="str">
        <f>IFERROR(__xludf.DUMMYFUNCTION("""COMPUTED_VALUE"""),"USD")</f>
        <v>USD</v>
      </c>
      <c r="E129" s="22" t="str">
        <f>IFERROR(__xludf.DUMMYFUNCTION("""COMPUTED_VALUE"""),"Efectivo USD")</f>
        <v>Efectivo USD</v>
      </c>
      <c r="F129" s="22" t="str">
        <f>IFERROR(__xludf.DUMMYFUNCTION("""COMPUTED_VALUE"""),"ALI ALEXANDER MORENO FIGUEREDO")</f>
        <v>ALI ALEXANDER MORENO FIGUEREDO</v>
      </c>
      <c r="G129" s="19">
        <v>481.2177</v>
      </c>
      <c r="H129" s="13"/>
      <c r="I129" s="14">
        <f t="shared" si="1"/>
        <v>24</v>
      </c>
      <c r="J129" s="15">
        <f t="shared" si="2"/>
        <v>24</v>
      </c>
      <c r="K129" s="14">
        <f t="shared" si="3"/>
        <v>24</v>
      </c>
      <c r="L129" s="16" t="str">
        <f>IFERROR(__xludf.DUMMYFUNCTION("IFERROR(
  IF(
    VLOOKUP(C129, IMPORTRANGE(""gid=860555792"", ""Maestro!B:C""), 2, FALSE) = D129, 
    ""CONCILIADO"", 
    ""ERROR EN MONTO""
  ), 
  ""NO ENCONTRADO EN MAESTRO""
)"),"NO ENCONTRADO EN MAESTRO")</f>
        <v>NO ENCONTRADO EN MAESTRO</v>
      </c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ht="22.5" customHeight="1">
      <c r="A130" s="25">
        <f>IFERROR(__xludf.DUMMYFUNCTION("""COMPUTED_VALUE"""),46132.0)</f>
        <v>46132</v>
      </c>
      <c r="B130" s="15">
        <f>IFERROR(__xludf.DUMMYFUNCTION("""COMPUTED_VALUE"""),138.0)</f>
        <v>138</v>
      </c>
      <c r="C130" s="21">
        <f>IFERROR(__xludf.DUMMYFUNCTION("""COMPUTED_VALUE"""),60.0)</f>
        <v>60</v>
      </c>
      <c r="D130" s="22" t="str">
        <f>IFERROR(__xludf.DUMMYFUNCTION("""COMPUTED_VALUE"""),"USD")</f>
        <v>USD</v>
      </c>
      <c r="E130" s="22" t="str">
        <f>IFERROR(__xludf.DUMMYFUNCTION("""COMPUTED_VALUE"""),"Efectivo USD")</f>
        <v>Efectivo USD</v>
      </c>
      <c r="F130" s="22" t="str">
        <f>IFERROR(__xludf.DUMMYFUNCTION("""COMPUTED_VALUE"""),"Benefit c.a")</f>
        <v>Benefit c.a</v>
      </c>
      <c r="G130" s="19">
        <v>481.2177</v>
      </c>
      <c r="H130" s="13"/>
      <c r="I130" s="14">
        <f t="shared" si="1"/>
        <v>60</v>
      </c>
      <c r="J130" s="15">
        <f t="shared" si="2"/>
        <v>60</v>
      </c>
      <c r="K130" s="14">
        <f t="shared" si="3"/>
        <v>60</v>
      </c>
      <c r="L130" s="16" t="str">
        <f>IFERROR(__xludf.DUMMYFUNCTION("IFERROR(
  IF(
    VLOOKUP(C130, IMPORTRANGE(""gid=860555792"", ""Maestro!B:C""), 2, FALSE) = D130, 
    ""CONCILIADO"", 
    ""ERROR EN MONTO""
  ), 
  ""NO ENCONTRADO EN MAESTRO""
)"),"NO ENCONTRADO EN MAESTRO")</f>
        <v>NO ENCONTRADO EN MAESTRO</v>
      </c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ht="22.5" customHeight="1">
      <c r="A131" s="25">
        <f>IFERROR(__xludf.DUMMYFUNCTION("""COMPUTED_VALUE"""),46132.0)</f>
        <v>46132</v>
      </c>
      <c r="B131" s="15">
        <f>IFERROR(__xludf.DUMMYFUNCTION("""COMPUTED_VALUE"""),62.0)</f>
        <v>62</v>
      </c>
      <c r="C131" s="21">
        <f>IFERROR(__xludf.DUMMYFUNCTION("""COMPUTED_VALUE"""),150.0)</f>
        <v>150</v>
      </c>
      <c r="D131" s="22" t="str">
        <f>IFERROR(__xludf.DUMMYFUNCTION("""COMPUTED_VALUE"""),"USD")</f>
        <v>USD</v>
      </c>
      <c r="E131" s="22" t="str">
        <f>IFERROR(__xludf.DUMMYFUNCTION("""COMPUTED_VALUE"""),"Efectivo USD")</f>
        <v>Efectivo USD</v>
      </c>
      <c r="F131" s="22" t="str">
        <f>IFERROR(__xludf.DUMMYFUNCTION("""COMPUTED_VALUE"""),"SJMG 2012 C.A")</f>
        <v>SJMG 2012 C.A</v>
      </c>
      <c r="G131" s="19">
        <v>481.2177</v>
      </c>
      <c r="H131" s="13"/>
      <c r="I131" s="14">
        <f t="shared" si="1"/>
        <v>150</v>
      </c>
      <c r="J131" s="15">
        <f t="shared" si="2"/>
        <v>150</v>
      </c>
      <c r="K131" s="14">
        <f t="shared" si="3"/>
        <v>150</v>
      </c>
      <c r="L131" s="16" t="str">
        <f>IFERROR(__xludf.DUMMYFUNCTION("IFERROR(
  IF(
    VLOOKUP(C131, IMPORTRANGE(""gid=860555792"", ""Maestro!B:C""), 2, FALSE) = D131, 
    ""CONCILIADO"", 
    ""ERROR EN MONTO""
  ), 
  ""NO ENCONTRADO EN MAESTRO""
)"),"NO ENCONTRADO EN MAESTRO")</f>
        <v>NO ENCONTRADO EN MAESTRO</v>
      </c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ht="22.5" customHeight="1">
      <c r="A132" s="25">
        <f>IFERROR(__xludf.DUMMYFUNCTION("""COMPUTED_VALUE"""),46132.0)</f>
        <v>46132</v>
      </c>
      <c r="B132" s="15">
        <f>IFERROR(__xludf.DUMMYFUNCTION("""COMPUTED_VALUE"""),55.0)</f>
        <v>55</v>
      </c>
      <c r="C132" s="21">
        <f>IFERROR(__xludf.DUMMYFUNCTION("""COMPUTED_VALUE"""),72.0)</f>
        <v>72</v>
      </c>
      <c r="D132" s="22" t="str">
        <f>IFERROR(__xludf.DUMMYFUNCTION("""COMPUTED_VALUE"""),"USD")</f>
        <v>USD</v>
      </c>
      <c r="E132" s="22" t="str">
        <f>IFERROR(__xludf.DUMMYFUNCTION("""COMPUTED_VALUE"""),"Efectivo USD")</f>
        <v>Efectivo USD</v>
      </c>
      <c r="F132" s="22" t="str">
        <f>IFERROR(__xludf.DUMMYFUNCTION("""COMPUTED_VALUE"""),"Barrios Rodríguez Marlon Enrique")</f>
        <v>Barrios Rodríguez Marlon Enrique</v>
      </c>
      <c r="G132" s="19">
        <v>481.2177</v>
      </c>
      <c r="H132" s="13"/>
      <c r="I132" s="14">
        <f t="shared" si="1"/>
        <v>72</v>
      </c>
      <c r="J132" s="15">
        <f t="shared" si="2"/>
        <v>72</v>
      </c>
      <c r="K132" s="14">
        <f t="shared" si="3"/>
        <v>72</v>
      </c>
      <c r="L132" s="16" t="str">
        <f>IFERROR(__xludf.DUMMYFUNCTION("IFERROR(
  IF(
    VLOOKUP(C132, IMPORTRANGE(""gid=860555792"", ""Maestro!B:C""), 2, FALSE) = D132, 
    ""CONCILIADO"", 
    ""ERROR EN MONTO""
  ), 
  ""NO ENCONTRADO EN MAESTRO""
)"),"NO ENCONTRADO EN MAESTRO")</f>
        <v>NO ENCONTRADO EN MAESTRO</v>
      </c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ht="22.5" customHeight="1">
      <c r="A133" s="25">
        <f>IFERROR(__xludf.DUMMYFUNCTION("""COMPUTED_VALUE"""),46132.0)</f>
        <v>46132</v>
      </c>
      <c r="B133" s="15">
        <f>IFERROR(__xludf.DUMMYFUNCTION("""COMPUTED_VALUE"""),234.0)</f>
        <v>234</v>
      </c>
      <c r="C133" s="21">
        <f>IFERROR(__xludf.DUMMYFUNCTION("""COMPUTED_VALUE"""),252.0)</f>
        <v>252</v>
      </c>
      <c r="D133" s="22" t="str">
        <f>IFERROR(__xludf.DUMMYFUNCTION("""COMPUTED_VALUE"""),"USD")</f>
        <v>USD</v>
      </c>
      <c r="E133" s="22" t="str">
        <f>IFERROR(__xludf.DUMMYFUNCTION("""COMPUTED_VALUE"""),"Efectivo USD")</f>
        <v>Efectivo USD</v>
      </c>
      <c r="F133" s="22" t="str">
        <f>IFERROR(__xludf.DUMMYFUNCTION("""COMPUTED_VALUE"""),"Cauchos California, C.A")</f>
        <v>Cauchos California, C.A</v>
      </c>
      <c r="G133" s="19">
        <v>481.2177</v>
      </c>
      <c r="H133" s="13"/>
      <c r="I133" s="14">
        <f t="shared" si="1"/>
        <v>252</v>
      </c>
      <c r="J133" s="15">
        <f t="shared" si="2"/>
        <v>252</v>
      </c>
      <c r="K133" s="14">
        <f t="shared" si="3"/>
        <v>252</v>
      </c>
      <c r="L133" s="16" t="str">
        <f>IFERROR(__xludf.DUMMYFUNCTION("IFERROR(
  IF(
    VLOOKUP(C133, IMPORTRANGE(""gid=860555792"", ""Maestro!B:C""), 2, FALSE) = D133, 
    ""CONCILIADO"", 
    ""ERROR EN MONTO""
  ), 
  ""NO ENCONTRADO EN MAESTRO""
)"),"NO ENCONTRADO EN MAESTRO")</f>
        <v>NO ENCONTRADO EN MAESTRO</v>
      </c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ht="22.5" customHeight="1">
      <c r="A134" s="25">
        <f>IFERROR(__xludf.DUMMYFUNCTION("""COMPUTED_VALUE"""),46129.0)</f>
        <v>46129</v>
      </c>
      <c r="B134" s="15">
        <f>IFERROR(__xludf.DUMMYFUNCTION("""COMPUTED_VALUE"""),238.0)</f>
        <v>238</v>
      </c>
      <c r="C134" s="21">
        <f>IFERROR(__xludf.DUMMYFUNCTION("""COMPUTED_VALUE"""),75.0)</f>
        <v>75</v>
      </c>
      <c r="D134" s="22" t="str">
        <f>IFERROR(__xludf.DUMMYFUNCTION("""COMPUTED_VALUE"""),"USD")</f>
        <v>USD</v>
      </c>
      <c r="E134" s="22" t="str">
        <f>IFERROR(__xludf.DUMMYFUNCTION("""COMPUTED_VALUE"""),"Efectivo USD")</f>
        <v>Efectivo USD</v>
      </c>
      <c r="F134" s="22" t="str">
        <f>IFERROR(__xludf.DUMMYFUNCTION("""COMPUTED_VALUE"""),"Jose Brea")</f>
        <v>Jose Brea</v>
      </c>
      <c r="G134" s="19">
        <v>480.2572</v>
      </c>
      <c r="H134" s="13"/>
      <c r="I134" s="14">
        <f t="shared" si="1"/>
        <v>75</v>
      </c>
      <c r="J134" s="15">
        <f t="shared" si="2"/>
        <v>75</v>
      </c>
      <c r="K134" s="14">
        <f t="shared" si="3"/>
        <v>75</v>
      </c>
      <c r="L134" s="16" t="str">
        <f>IFERROR(__xludf.DUMMYFUNCTION("IFERROR(
  IF(
    VLOOKUP(C134, IMPORTRANGE(""gid=860555792"", ""Maestro!B:C""), 2, FALSE) = D134, 
    ""CONCILIADO"", 
    ""ERROR EN MONTO""
  ), 
  ""NO ENCONTRADO EN MAESTRO""
)"),"NO ENCONTRADO EN MAESTRO")</f>
        <v>NO ENCONTRADO EN MAESTRO</v>
      </c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ht="22.5" customHeight="1">
      <c r="A135" s="25">
        <f>IFERROR(__xludf.DUMMYFUNCTION("""COMPUTED_VALUE"""),46127.0)</f>
        <v>46127</v>
      </c>
      <c r="B135" s="15">
        <f>IFERROR(__xludf.DUMMYFUNCTION("""COMPUTED_VALUE"""),225.0)</f>
        <v>225</v>
      </c>
      <c r="C135" s="21">
        <f>IFERROR(__xludf.DUMMYFUNCTION("""COMPUTED_VALUE"""),1910285.18)</f>
        <v>1910285.18</v>
      </c>
      <c r="D135" s="22" t="str">
        <f>IFERROR(__xludf.DUMMYFUNCTION("""COMPUTED_VALUE"""),"VES")</f>
        <v>VES</v>
      </c>
      <c r="E135" s="22" t="str">
        <f>IFERROR(__xludf.DUMMYFUNCTION("""COMPUTED_VALUE"""),"Bancamiga")</f>
        <v>Bancamiga</v>
      </c>
      <c r="F135" s="22" t="str">
        <f>IFERROR(__xludf.DUMMYFUNCTION("""COMPUTED_VALUE"""),"CONSTRUCTORA GRANO AGREGADO, C.A")</f>
        <v>CONSTRUCTORA GRANO AGREGADO, C.A</v>
      </c>
      <c r="G135" s="19">
        <v>478.5811</v>
      </c>
      <c r="H135" s="13"/>
      <c r="I135" s="14">
        <f t="shared" si="1"/>
        <v>3991.560009</v>
      </c>
      <c r="J135" s="15">
        <f t="shared" si="2"/>
        <v>0</v>
      </c>
      <c r="K135" s="14">
        <f t="shared" si="3"/>
        <v>3991.560009</v>
      </c>
      <c r="L135" s="16" t="str">
        <f>IFERROR(__xludf.DUMMYFUNCTION("IFERROR(
  IF(
    VLOOKUP(C135, IMPORTRANGE(""gid=860555792"", ""Maestro!B:C""), 2, FALSE) = D135, 
    ""CONCILIADO"", 
    ""ERROR EN MONTO""
  ), 
  ""NO ENCONTRADO EN MAESTRO""
)"),"NO ENCONTRADO EN MAESTRO")</f>
        <v>NO ENCONTRADO EN MAESTRO</v>
      </c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ht="22.5" customHeight="1">
      <c r="A136" s="25">
        <f>IFERROR(__xludf.DUMMYFUNCTION("""COMPUTED_VALUE"""),46133.0)</f>
        <v>46133</v>
      </c>
      <c r="B136" s="15">
        <f>IFERROR(__xludf.DUMMYFUNCTION("""COMPUTED_VALUE"""),143.0)</f>
        <v>143</v>
      </c>
      <c r="C136" s="21">
        <f>IFERROR(__xludf.DUMMYFUNCTION("""COMPUTED_VALUE"""),100.0)</f>
        <v>100</v>
      </c>
      <c r="D136" s="22" t="str">
        <f>IFERROR(__xludf.DUMMYFUNCTION("""COMPUTED_VALUE"""),"USD")</f>
        <v>USD</v>
      </c>
      <c r="E136" s="22" t="str">
        <f>IFERROR(__xludf.DUMMYFUNCTION("""COMPUTED_VALUE"""),"Efectivo USD")</f>
        <v>Efectivo USD</v>
      </c>
      <c r="F136" s="22" t="str">
        <f>IFERROR(__xludf.DUMMYFUNCTION("""COMPUTED_VALUE"""),"MOTOREPUESTOS EL GUANÁBANO YRM C.A.")</f>
        <v>MOTOREPUESTOS EL GUANÁBANO YRM C.A.</v>
      </c>
      <c r="G136" s="19">
        <v>481.6989</v>
      </c>
      <c r="H136" s="13"/>
      <c r="I136" s="14">
        <f t="shared" si="1"/>
        <v>100</v>
      </c>
      <c r="J136" s="15">
        <f t="shared" si="2"/>
        <v>100</v>
      </c>
      <c r="K136" s="14">
        <f t="shared" si="3"/>
        <v>100</v>
      </c>
      <c r="L136" s="16" t="str">
        <f>IFERROR(__xludf.DUMMYFUNCTION("IFERROR(
  IF(
    VLOOKUP(C136, IMPORTRANGE(""gid=860555792"", ""Maestro!B:C""), 2, FALSE) = D136, 
    ""CONCILIADO"", 
    ""ERROR EN MONTO""
  ), 
  ""NO ENCONTRADO EN MAESTRO""
)"),"NO ENCONTRADO EN MAESTRO")</f>
        <v>NO ENCONTRADO EN MAESTRO</v>
      </c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ht="22.5" customHeight="1">
      <c r="A137" s="25">
        <f>IFERROR(__xludf.DUMMYFUNCTION("""COMPUTED_VALUE"""),46133.0)</f>
        <v>46133</v>
      </c>
      <c r="B137" s="15">
        <f>IFERROR(__xludf.DUMMYFUNCTION("""COMPUTED_VALUE"""),95.0)</f>
        <v>95</v>
      </c>
      <c r="C137" s="21">
        <f>IFERROR(__xludf.DUMMYFUNCTION("""COMPUTED_VALUE"""),153023.28)</f>
        <v>153023.28</v>
      </c>
      <c r="D137" s="22" t="str">
        <f>IFERROR(__xludf.DUMMYFUNCTION("""COMPUTED_VALUE"""),"VES")</f>
        <v>VES</v>
      </c>
      <c r="E137" s="22" t="str">
        <f>IFERROR(__xludf.DUMMYFUNCTION("""COMPUTED_VALUE"""),"Venezuela")</f>
        <v>Venezuela</v>
      </c>
      <c r="F137" s="22" t="str">
        <f>IFERROR(__xludf.DUMMYFUNCTION("""COMPUTED_VALUE"""),"Multiservicios Arizona, C.A.")</f>
        <v>Multiservicios Arizona, C.A.</v>
      </c>
      <c r="G137" s="19">
        <v>481.6989</v>
      </c>
      <c r="H137" s="13"/>
      <c r="I137" s="14">
        <f t="shared" si="1"/>
        <v>317.6741321</v>
      </c>
      <c r="J137" s="15">
        <f t="shared" si="2"/>
        <v>0</v>
      </c>
      <c r="K137" s="14">
        <f t="shared" si="3"/>
        <v>317.6741321</v>
      </c>
      <c r="L137" s="16" t="str">
        <f>IFERROR(__xludf.DUMMYFUNCTION("IFERROR(
  IF(
    VLOOKUP(C137, IMPORTRANGE(""gid=860555792"", ""Maestro!B:C""), 2, FALSE) = D137, 
    ""CONCILIADO"", 
    ""ERROR EN MONTO""
  ), 
  ""NO ENCONTRADO EN MAESTRO""
)"),"NO ENCONTRADO EN MAESTRO")</f>
        <v>NO ENCONTRADO EN MAESTRO</v>
      </c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ht="22.5" customHeight="1">
      <c r="A138" s="25">
        <f>IFERROR(__xludf.DUMMYFUNCTION("""COMPUTED_VALUE"""),46133.0)</f>
        <v>46133</v>
      </c>
      <c r="B138" s="15">
        <f>IFERROR(__xludf.DUMMYFUNCTION("""COMPUTED_VALUE"""),145.0)</f>
        <v>145</v>
      </c>
      <c r="C138" s="21">
        <f>IFERROR(__xludf.DUMMYFUNCTION("""COMPUTED_VALUE"""),100.0)</f>
        <v>100</v>
      </c>
      <c r="D138" s="22" t="str">
        <f>IFERROR(__xludf.DUMMYFUNCTION("""COMPUTED_VALUE"""),"USD")</f>
        <v>USD</v>
      </c>
      <c r="E138" s="22" t="str">
        <f>IFERROR(__xludf.DUMMYFUNCTION("""COMPUTED_VALUE"""),"Efectivo USD")</f>
        <v>Efectivo USD</v>
      </c>
      <c r="F138" s="22" t="str">
        <f>IFERROR(__xludf.DUMMYFUNCTION("""COMPUTED_VALUE"""),"La cámara perfecta")</f>
        <v>La cámara perfecta</v>
      </c>
      <c r="G138" s="19">
        <v>481.6989</v>
      </c>
      <c r="H138" s="13"/>
      <c r="I138" s="14">
        <f t="shared" si="1"/>
        <v>100</v>
      </c>
      <c r="J138" s="15">
        <f t="shared" si="2"/>
        <v>100</v>
      </c>
      <c r="K138" s="14">
        <f t="shared" si="3"/>
        <v>100</v>
      </c>
      <c r="L138" s="16" t="str">
        <f>IFERROR(__xludf.DUMMYFUNCTION("IFERROR(
  IF(
    VLOOKUP(C138, IMPORTRANGE(""gid=860555792"", ""Maestro!B:C""), 2, FALSE) = D138, 
    ""CONCILIADO"", 
    ""ERROR EN MONTO""
  ), 
  ""NO ENCONTRADO EN MAESTRO""
)"),"NO ENCONTRADO EN MAESTRO")</f>
        <v>NO ENCONTRADO EN MAESTRO</v>
      </c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ht="22.5" customHeight="1">
      <c r="A139" s="25">
        <f>IFERROR(__xludf.DUMMYFUNCTION("""COMPUTED_VALUE"""),46133.0)</f>
        <v>46133</v>
      </c>
      <c r="B139" s="15">
        <f>IFERROR(__xludf.DUMMYFUNCTION("""COMPUTED_VALUE"""),104.0)</f>
        <v>104</v>
      </c>
      <c r="C139" s="21">
        <f>IFERROR(__xludf.DUMMYFUNCTION("""COMPUTED_VALUE"""),50.0)</f>
        <v>50</v>
      </c>
      <c r="D139" s="22" t="str">
        <f>IFERROR(__xludf.DUMMYFUNCTION("""COMPUTED_VALUE"""),"USD")</f>
        <v>USD</v>
      </c>
      <c r="E139" s="22" t="str">
        <f>IFERROR(__xludf.DUMMYFUNCTION("""COMPUTED_VALUE"""),"Efectivo USD")</f>
        <v>Efectivo USD</v>
      </c>
      <c r="F139" s="22" t="str">
        <f>IFERROR(__xludf.DUMMYFUNCTION("""COMPUTED_VALUE"""),"Inversiones Brayan CT C.A")</f>
        <v>Inversiones Brayan CT C.A</v>
      </c>
      <c r="G139" s="19">
        <v>481.6989</v>
      </c>
      <c r="H139" s="13"/>
      <c r="I139" s="14">
        <f t="shared" si="1"/>
        <v>50</v>
      </c>
      <c r="J139" s="15">
        <f t="shared" si="2"/>
        <v>50</v>
      </c>
      <c r="K139" s="14">
        <f t="shared" si="3"/>
        <v>50</v>
      </c>
      <c r="L139" s="16" t="str">
        <f>IFERROR(__xludf.DUMMYFUNCTION("IFERROR(
  IF(
    VLOOKUP(C139, IMPORTRANGE(""gid=860555792"", ""Maestro!B:C""), 2, FALSE) = D139, 
    ""CONCILIADO"", 
    ""ERROR EN MONTO""
  ), 
  ""NO ENCONTRADO EN MAESTRO""
)"),"NO ENCONTRADO EN MAESTRO")</f>
        <v>NO ENCONTRADO EN MAESTRO</v>
      </c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ht="22.5" customHeight="1">
      <c r="A140" s="25">
        <f>IFERROR(__xludf.DUMMYFUNCTION("""COMPUTED_VALUE"""),46133.0)</f>
        <v>46133</v>
      </c>
      <c r="B140" s="15">
        <f>IFERROR(__xludf.DUMMYFUNCTION("""COMPUTED_VALUE"""),27.0)</f>
        <v>27</v>
      </c>
      <c r="C140" s="21">
        <f>IFERROR(__xludf.DUMMYFUNCTION("""COMPUTED_VALUE"""),20.0)</f>
        <v>20</v>
      </c>
      <c r="D140" s="22" t="str">
        <f>IFERROR(__xludf.DUMMYFUNCTION("""COMPUTED_VALUE"""),"USD")</f>
        <v>USD</v>
      </c>
      <c r="E140" s="22" t="str">
        <f>IFERROR(__xludf.DUMMYFUNCTION("""COMPUTED_VALUE"""),"Efectivo USD")</f>
        <v>Efectivo USD</v>
      </c>
      <c r="F140" s="22" t="str">
        <f>IFERROR(__xludf.DUMMYFUNCTION("""COMPUTED_VALUE"""),"Moises Alejandro Mares")</f>
        <v>Moises Alejandro Mares</v>
      </c>
      <c r="G140" s="19">
        <v>481.6989</v>
      </c>
      <c r="H140" s="13"/>
      <c r="I140" s="14">
        <f t="shared" si="1"/>
        <v>20</v>
      </c>
      <c r="J140" s="15">
        <f t="shared" si="2"/>
        <v>20</v>
      </c>
      <c r="K140" s="14">
        <f t="shared" si="3"/>
        <v>20</v>
      </c>
      <c r="L140" s="16" t="str">
        <f>IFERROR(__xludf.DUMMYFUNCTION("IFERROR(
  IF(
    VLOOKUP(C140, IMPORTRANGE(""gid=860555792"", ""Maestro!B:C""), 2, FALSE) = D140, 
    ""CONCILIADO"", 
    ""ERROR EN MONTO""
  ), 
  ""NO ENCONTRADO EN MAESTRO""
)"),"NO ENCONTRADO EN MAESTRO")</f>
        <v>NO ENCONTRADO EN MAESTRO</v>
      </c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ht="22.5" customHeight="1">
      <c r="A141" s="25">
        <f>IFERROR(__xludf.DUMMYFUNCTION("""COMPUTED_VALUE"""),46133.0)</f>
        <v>46133</v>
      </c>
      <c r="B141" s="15">
        <f>IFERROR(__xludf.DUMMYFUNCTION("""COMPUTED_VALUE"""),24.0)</f>
        <v>24</v>
      </c>
      <c r="C141" s="21">
        <f>IFERROR(__xludf.DUMMYFUNCTION("""COMPUTED_VALUE"""),48767.0)</f>
        <v>48767</v>
      </c>
      <c r="D141" s="22" t="str">
        <f>IFERROR(__xludf.DUMMYFUNCTION("""COMPUTED_VALUE"""),"VES")</f>
        <v>VES</v>
      </c>
      <c r="E141" s="22" t="str">
        <f>IFERROR(__xludf.DUMMYFUNCTION("""COMPUTED_VALUE"""),"Bancamiga")</f>
        <v>Bancamiga</v>
      </c>
      <c r="F141" s="22" t="str">
        <f>IFERROR(__xludf.DUMMYFUNCTION("""COMPUTED_VALUE"""),"Encamotors Catia C.A")</f>
        <v>Encamotors Catia C.A</v>
      </c>
      <c r="G141" s="19">
        <v>481.6989</v>
      </c>
      <c r="H141" s="13"/>
      <c r="I141" s="14">
        <f t="shared" si="1"/>
        <v>101.2395918</v>
      </c>
      <c r="J141" s="15">
        <f t="shared" si="2"/>
        <v>0</v>
      </c>
      <c r="K141" s="14">
        <f t="shared" si="3"/>
        <v>101.2395918</v>
      </c>
      <c r="L141" s="16" t="str">
        <f>IFERROR(__xludf.DUMMYFUNCTION("IFERROR(
  IF(
    VLOOKUP(C141, IMPORTRANGE(""gid=860555792"", ""Maestro!B:C""), 2, FALSE) = D141, 
    ""CONCILIADO"", 
    ""ERROR EN MONTO""
  ), 
  ""NO ENCONTRADO EN MAESTRO""
)"),"NO ENCONTRADO EN MAESTRO")</f>
        <v>NO ENCONTRADO EN MAESTRO</v>
      </c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ht="22.5" customHeight="1">
      <c r="A142" s="25">
        <f>IFERROR(__xludf.DUMMYFUNCTION("""COMPUTED_VALUE"""),46133.0)</f>
        <v>46133</v>
      </c>
      <c r="B142" s="15">
        <f>IFERROR(__xludf.DUMMYFUNCTION("""COMPUTED_VALUE"""),34.0)</f>
        <v>34</v>
      </c>
      <c r="C142" s="21">
        <f>IFERROR(__xludf.DUMMYFUNCTION("""COMPUTED_VALUE"""),48245.0)</f>
        <v>48245</v>
      </c>
      <c r="D142" s="22" t="str">
        <f>IFERROR(__xludf.DUMMYFUNCTION("""COMPUTED_VALUE"""),"VES")</f>
        <v>VES</v>
      </c>
      <c r="E142" s="22" t="str">
        <f>IFERROR(__xludf.DUMMYFUNCTION("""COMPUTED_VALUE"""),"Bancamiga")</f>
        <v>Bancamiga</v>
      </c>
      <c r="F142" s="22" t="str">
        <f>IFERROR(__xludf.DUMMYFUNCTION("""COMPUTED_VALUE"""),"Miguel Antonio Chacon")</f>
        <v>Miguel Antonio Chacon</v>
      </c>
      <c r="G142" s="19">
        <v>481.6989</v>
      </c>
      <c r="H142" s="13"/>
      <c r="I142" s="14">
        <f t="shared" si="1"/>
        <v>100.1559273</v>
      </c>
      <c r="J142" s="15">
        <f t="shared" si="2"/>
        <v>0</v>
      </c>
      <c r="K142" s="14">
        <f t="shared" si="3"/>
        <v>100.1559273</v>
      </c>
      <c r="L142" s="16" t="str">
        <f>IFERROR(__xludf.DUMMYFUNCTION("IFERROR(
  IF(
    VLOOKUP(C142, IMPORTRANGE(""gid=860555792"", ""Maestro!B:C""), 2, FALSE) = D142, 
    ""CONCILIADO"", 
    ""ERROR EN MONTO""
  ), 
  ""NO ENCONTRADO EN MAESTRO""
)"),"NO ENCONTRADO EN MAESTRO")</f>
        <v>NO ENCONTRADO EN MAESTRO</v>
      </c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ht="22.5" customHeight="1">
      <c r="A143" s="25">
        <f>IFERROR(__xludf.DUMMYFUNCTION("""COMPUTED_VALUE"""),46133.0)</f>
        <v>46133</v>
      </c>
      <c r="B143" s="15">
        <f>IFERROR(__xludf.DUMMYFUNCTION("""COMPUTED_VALUE"""),17.0)</f>
        <v>17</v>
      </c>
      <c r="C143" s="21">
        <f>IFERROR(__xludf.DUMMYFUNCTION("""COMPUTED_VALUE"""),56271.01)</f>
        <v>56271.01</v>
      </c>
      <c r="D143" s="22" t="str">
        <f>IFERROR(__xludf.DUMMYFUNCTION("""COMPUTED_VALUE"""),"VES")</f>
        <v>VES</v>
      </c>
      <c r="E143" s="22" t="str">
        <f>IFERROR(__xludf.DUMMYFUNCTION("""COMPUTED_VALUE"""),"Bancamiga")</f>
        <v>Bancamiga</v>
      </c>
      <c r="F143" s="22" t="str">
        <f>IFERROR(__xludf.DUMMYFUNCTION("""COMPUTED_VALUE"""),"MOTO REPUESTOS LA FLECHA, C.A.")</f>
        <v>MOTO REPUESTOS LA FLECHA, C.A.</v>
      </c>
      <c r="G143" s="19">
        <v>481.6989</v>
      </c>
      <c r="H143" s="13"/>
      <c r="I143" s="14">
        <f t="shared" si="1"/>
        <v>116.8178088</v>
      </c>
      <c r="J143" s="15">
        <f t="shared" si="2"/>
        <v>0</v>
      </c>
      <c r="K143" s="14">
        <f t="shared" si="3"/>
        <v>116.8178088</v>
      </c>
      <c r="L143" s="16" t="str">
        <f>IFERROR(__xludf.DUMMYFUNCTION("IFERROR(
  IF(
    VLOOKUP(C143, IMPORTRANGE(""gid=860555792"", ""Maestro!B:C""), 2, FALSE) = D143, 
    ""CONCILIADO"", 
    ""ERROR EN MONTO""
  ), 
  ""NO ENCONTRADO EN MAESTRO""
)"),"NO ENCONTRADO EN MAESTRO")</f>
        <v>NO ENCONTRADO EN MAESTRO</v>
      </c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ht="22.5" customHeight="1">
      <c r="A144" s="25">
        <f>IFERROR(__xludf.DUMMYFUNCTION("""COMPUTED_VALUE"""),46134.0)</f>
        <v>46134</v>
      </c>
      <c r="B144" s="15">
        <f>IFERROR(__xludf.DUMMYFUNCTION("""COMPUTED_VALUE"""),41.0)</f>
        <v>41</v>
      </c>
      <c r="C144" s="21">
        <f>IFERROR(__xludf.DUMMYFUNCTION("""COMPUTED_VALUE"""),160.0)</f>
        <v>160</v>
      </c>
      <c r="D144" s="22" t="str">
        <f>IFERROR(__xludf.DUMMYFUNCTION("""COMPUTED_VALUE"""),"USD")</f>
        <v>USD</v>
      </c>
      <c r="E144" s="22" t="str">
        <f>IFERROR(__xludf.DUMMYFUNCTION("""COMPUTED_VALUE"""),"Efectivo USD")</f>
        <v>Efectivo USD</v>
      </c>
      <c r="F144" s="22" t="str">
        <f>IFERROR(__xludf.DUMMYFUNCTION("""COMPUTED_VALUE"""),"Inversiones Trip K, c.a.")</f>
        <v>Inversiones Trip K, c.a.</v>
      </c>
      <c r="G144" s="19">
        <v>481.6989</v>
      </c>
      <c r="H144" s="13"/>
      <c r="I144" s="14">
        <f t="shared" si="1"/>
        <v>160</v>
      </c>
      <c r="J144" s="15">
        <f t="shared" si="2"/>
        <v>160</v>
      </c>
      <c r="K144" s="14">
        <f t="shared" si="3"/>
        <v>160</v>
      </c>
      <c r="L144" s="16" t="str">
        <f>IFERROR(__xludf.DUMMYFUNCTION("IFERROR(
  IF(
    VLOOKUP(C144, IMPORTRANGE(""gid=860555792"", ""Maestro!B:C""), 2, FALSE) = D144, 
    ""CONCILIADO"", 
    ""ERROR EN MONTO""
  ), 
  ""NO ENCONTRADO EN MAESTRO""
)"),"NO ENCONTRADO EN MAESTRO")</f>
        <v>NO ENCONTRADO EN MAESTRO</v>
      </c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ht="22.5" customHeight="1">
      <c r="A145" s="25">
        <f>IFERROR(__xludf.DUMMYFUNCTION("""COMPUTED_VALUE"""),46134.0)</f>
        <v>46134</v>
      </c>
      <c r="B145" s="15">
        <f>IFERROR(__xludf.DUMMYFUNCTION("""COMPUTED_VALUE"""),41.0)</f>
        <v>41</v>
      </c>
      <c r="C145" s="21">
        <f>IFERROR(__xludf.DUMMYFUNCTION("""COMPUTED_VALUE"""),483.0)</f>
        <v>483</v>
      </c>
      <c r="D145" s="22" t="str">
        <f>IFERROR(__xludf.DUMMYFUNCTION("""COMPUTED_VALUE"""),"VES")</f>
        <v>VES</v>
      </c>
      <c r="E145" s="22" t="str">
        <f>IFERROR(__xludf.DUMMYFUNCTION("""COMPUTED_VALUE"""),"Bancamiga")</f>
        <v>Bancamiga</v>
      </c>
      <c r="F145" s="22" t="str">
        <f>IFERROR(__xludf.DUMMYFUNCTION("""COMPUTED_VALUE"""),"Inversiones Trip K, c.a.")</f>
        <v>Inversiones Trip K, c.a.</v>
      </c>
      <c r="G145" s="19">
        <v>482.7586</v>
      </c>
      <c r="H145" s="13"/>
      <c r="I145" s="14">
        <f t="shared" si="1"/>
        <v>1.000500043</v>
      </c>
      <c r="J145" s="15">
        <f t="shared" si="2"/>
        <v>0</v>
      </c>
      <c r="K145" s="14">
        <f t="shared" si="3"/>
        <v>1.000500043</v>
      </c>
      <c r="L145" s="16" t="str">
        <f>IFERROR(__xludf.DUMMYFUNCTION("IFERROR(
  IF(
    VLOOKUP(C145, IMPORTRANGE(""gid=860555792"", ""Maestro!B:C""), 2, FALSE) = D145, 
    ""CONCILIADO"", 
    ""ERROR EN MONTO""
  ), 
  ""NO ENCONTRADO EN MAESTRO""
)"),"NO ENCONTRADO EN MAESTRO")</f>
        <v>NO ENCONTRADO EN MAESTRO</v>
      </c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ht="22.5" customHeight="1">
      <c r="A146" s="25">
        <f>IFERROR(__xludf.DUMMYFUNCTION("""COMPUTED_VALUE"""),46134.0)</f>
        <v>46134</v>
      </c>
      <c r="B146" s="15">
        <f>IFERROR(__xludf.DUMMYFUNCTION("""COMPUTED_VALUE"""),241.0)</f>
        <v>241</v>
      </c>
      <c r="C146" s="21">
        <f>IFERROR(__xludf.DUMMYFUNCTION("""COMPUTED_VALUE"""),161.0)</f>
        <v>161</v>
      </c>
      <c r="D146" s="22" t="str">
        <f>IFERROR(__xludf.DUMMYFUNCTION("""COMPUTED_VALUE"""),"USD")</f>
        <v>USD</v>
      </c>
      <c r="E146" s="22" t="str">
        <f>IFERROR(__xludf.DUMMYFUNCTION("""COMPUTED_VALUE"""),"Efectivo USD")</f>
        <v>Efectivo USD</v>
      </c>
      <c r="F146" s="22" t="str">
        <f>IFERROR(__xludf.DUMMYFUNCTION("""COMPUTED_VALUE"""),"EMPRENDIMIENTO IRMA RODRIGUEZ 6")</f>
        <v>EMPRENDIMIENTO IRMA RODRIGUEZ 6</v>
      </c>
      <c r="G146" s="19">
        <v>482.7586</v>
      </c>
      <c r="H146" s="13"/>
      <c r="I146" s="14">
        <f t="shared" si="1"/>
        <v>161</v>
      </c>
      <c r="J146" s="15">
        <f t="shared" si="2"/>
        <v>161</v>
      </c>
      <c r="K146" s="14">
        <f t="shared" si="3"/>
        <v>161</v>
      </c>
      <c r="L146" s="16" t="str">
        <f>IFERROR(__xludf.DUMMYFUNCTION("IFERROR(
  IF(
    VLOOKUP(C146, IMPORTRANGE(""gid=860555792"", ""Maestro!B:C""), 2, FALSE) = D146, 
    ""CONCILIADO"", 
    ""ERROR EN MONTO""
  ), 
  ""NO ENCONTRADO EN MAESTRO""
)"),"NO ENCONTRADO EN MAESTRO")</f>
        <v>NO ENCONTRADO EN MAESTRO</v>
      </c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ht="22.5" customHeight="1">
      <c r="A147" s="25">
        <f>IFERROR(__xludf.DUMMYFUNCTION("""COMPUTED_VALUE"""),46134.0)</f>
        <v>46134</v>
      </c>
      <c r="B147" s="15">
        <f>IFERROR(__xludf.DUMMYFUNCTION("""COMPUTED_VALUE"""),114.0)</f>
        <v>114</v>
      </c>
      <c r="C147" s="21">
        <f>IFERROR(__xludf.DUMMYFUNCTION("""COMPUTED_VALUE"""),50.0)</f>
        <v>50</v>
      </c>
      <c r="D147" s="22" t="str">
        <f>IFERROR(__xludf.DUMMYFUNCTION("""COMPUTED_VALUE"""),"USD")</f>
        <v>USD</v>
      </c>
      <c r="E147" s="22" t="str">
        <f>IFERROR(__xludf.DUMMYFUNCTION("""COMPUTED_VALUE"""),"Efectivo USD")</f>
        <v>Efectivo USD</v>
      </c>
      <c r="F147" s="22" t="str">
        <f>IFERROR(__xludf.DUMMYFUNCTION("""COMPUTED_VALUE"""),"Autoasesorio maxi motor")</f>
        <v>Autoasesorio maxi motor</v>
      </c>
      <c r="G147" s="19">
        <v>482.7586</v>
      </c>
      <c r="H147" s="13"/>
      <c r="I147" s="14">
        <f t="shared" si="1"/>
        <v>50</v>
      </c>
      <c r="J147" s="15">
        <f t="shared" si="2"/>
        <v>50</v>
      </c>
      <c r="K147" s="14">
        <f t="shared" si="3"/>
        <v>50</v>
      </c>
      <c r="L147" s="16" t="str">
        <f>IFERROR(__xludf.DUMMYFUNCTION("IFERROR(
  IF(
    VLOOKUP(C147, IMPORTRANGE(""gid=860555792"", ""Maestro!B:C""), 2, FALSE) = D147, 
    ""CONCILIADO"", 
    ""ERROR EN MONTO""
  ), 
  ""NO ENCONTRADO EN MAESTRO""
)"),"NO ENCONTRADO EN MAESTRO")</f>
        <v>NO ENCONTRADO EN MAESTRO</v>
      </c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ht="22.5" customHeight="1">
      <c r="A148" s="25">
        <f>IFERROR(__xludf.DUMMYFUNCTION("""COMPUTED_VALUE"""),46134.0)</f>
        <v>46134</v>
      </c>
      <c r="B148" s="15">
        <f>IFERROR(__xludf.DUMMYFUNCTION("""COMPUTED_VALUE"""),29.0)</f>
        <v>29</v>
      </c>
      <c r="C148" s="21">
        <f>IFERROR(__xludf.DUMMYFUNCTION("""COMPUTED_VALUE"""),98.0)</f>
        <v>98</v>
      </c>
      <c r="D148" s="22" t="str">
        <f>IFERROR(__xludf.DUMMYFUNCTION("""COMPUTED_VALUE"""),"USD")</f>
        <v>USD</v>
      </c>
      <c r="E148" s="22" t="str">
        <f>IFERROR(__xludf.DUMMYFUNCTION("""COMPUTED_VALUE"""),"Efectivo USD")</f>
        <v>Efectivo USD</v>
      </c>
      <c r="F148" s="22" t="str">
        <f>IFERROR(__xludf.DUMMYFUNCTION("""COMPUTED_VALUE"""),"AUTOREPUESTOS SION C.A.")</f>
        <v>AUTOREPUESTOS SION C.A.</v>
      </c>
      <c r="G148" s="19">
        <v>482.7586</v>
      </c>
      <c r="H148" s="13"/>
      <c r="I148" s="14">
        <f t="shared" si="1"/>
        <v>98</v>
      </c>
      <c r="J148" s="15">
        <f t="shared" si="2"/>
        <v>98</v>
      </c>
      <c r="K148" s="14">
        <f t="shared" si="3"/>
        <v>98</v>
      </c>
      <c r="L148" s="16" t="str">
        <f>IFERROR(__xludf.DUMMYFUNCTION("IFERROR(
  IF(
    VLOOKUP(C148, IMPORTRANGE(""gid=860555792"", ""Maestro!B:C""), 2, FALSE) = D148, 
    ""CONCILIADO"", 
    ""ERROR EN MONTO""
  ), 
  ""NO ENCONTRADO EN MAESTRO""
)"),"NO ENCONTRADO EN MAESTRO")</f>
        <v>NO ENCONTRADO EN MAESTRO</v>
      </c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ht="22.5" customHeight="1">
      <c r="A149" s="25">
        <f>IFERROR(__xludf.DUMMYFUNCTION("""COMPUTED_VALUE"""),46134.0)</f>
        <v>46134</v>
      </c>
      <c r="B149" s="15">
        <f>IFERROR(__xludf.DUMMYFUNCTION("""COMPUTED_VALUE"""),83.0)</f>
        <v>83</v>
      </c>
      <c r="C149" s="21">
        <f>IFERROR(__xludf.DUMMYFUNCTION("""COMPUTED_VALUE"""),100.0)</f>
        <v>100</v>
      </c>
      <c r="D149" s="22" t="str">
        <f>IFERROR(__xludf.DUMMYFUNCTION("""COMPUTED_VALUE"""),"USD")</f>
        <v>USD</v>
      </c>
      <c r="E149" s="22" t="str">
        <f>IFERROR(__xludf.DUMMYFUNCTION("""COMPUTED_VALUE"""),"Efectivo USD")</f>
        <v>Efectivo USD</v>
      </c>
      <c r="F149" s="22" t="str">
        <f>IFERROR(__xludf.DUMMYFUNCTION("""COMPUTED_VALUE"""),"Inversiones Famasa, C.A")</f>
        <v>Inversiones Famasa, C.A</v>
      </c>
      <c r="G149" s="19">
        <v>482.7586</v>
      </c>
      <c r="H149" s="13"/>
      <c r="I149" s="14">
        <f t="shared" si="1"/>
        <v>100</v>
      </c>
      <c r="J149" s="15">
        <f t="shared" si="2"/>
        <v>100</v>
      </c>
      <c r="K149" s="14">
        <f t="shared" si="3"/>
        <v>100</v>
      </c>
      <c r="L149" s="16" t="str">
        <f>IFERROR(__xludf.DUMMYFUNCTION("IFERROR(
  IF(
    VLOOKUP(C149, IMPORTRANGE(""gid=860555792"", ""Maestro!B:C""), 2, FALSE) = D149, 
    ""CONCILIADO"", 
    ""ERROR EN MONTO""
  ), 
  ""NO ENCONTRADO EN MAESTRO""
)"),"NO ENCONTRADO EN MAESTRO")</f>
        <v>NO ENCONTRADO EN MAESTRO</v>
      </c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ht="22.5" customHeight="1">
      <c r="A150" s="25">
        <f>IFERROR(__xludf.DUMMYFUNCTION("""COMPUTED_VALUE"""),46134.0)</f>
        <v>46134</v>
      </c>
      <c r="B150" s="15">
        <f>IFERROR(__xludf.DUMMYFUNCTION("""COMPUTED_VALUE"""),121.0)</f>
        <v>121</v>
      </c>
      <c r="C150" s="21">
        <f>IFERROR(__xludf.DUMMYFUNCTION("""COMPUTED_VALUE"""),34386.9)</f>
        <v>34386.9</v>
      </c>
      <c r="D150" s="22" t="str">
        <f>IFERROR(__xludf.DUMMYFUNCTION("""COMPUTED_VALUE"""),"VES")</f>
        <v>VES</v>
      </c>
      <c r="E150" s="22" t="str">
        <f>IFERROR(__xludf.DUMMYFUNCTION("""COMPUTED_VALUE"""),"Bancamiga")</f>
        <v>Bancamiga</v>
      </c>
      <c r="F150" s="22" t="str">
        <f>IFERROR(__xludf.DUMMYFUNCTION("""COMPUTED_VALUE"""),"Jose Lopez Espinoza")</f>
        <v>Jose Lopez Espinoza</v>
      </c>
      <c r="G150" s="19">
        <v>482.7586</v>
      </c>
      <c r="H150" s="13"/>
      <c r="I150" s="14">
        <f t="shared" si="1"/>
        <v>71.2300102</v>
      </c>
      <c r="J150" s="15">
        <f t="shared" si="2"/>
        <v>0</v>
      </c>
      <c r="K150" s="14">
        <f t="shared" si="3"/>
        <v>71.2300102</v>
      </c>
      <c r="L150" s="16" t="str">
        <f>IFERROR(__xludf.DUMMYFUNCTION("IFERROR(
  IF(
    VLOOKUP(C150, IMPORTRANGE(""gid=860555792"", ""Maestro!B:C""), 2, FALSE) = D150, 
    ""CONCILIADO"", 
    ""ERROR EN MONTO""
  ), 
  ""NO ENCONTRADO EN MAESTRO""
)"),"NO ENCONTRADO EN MAESTRO")</f>
        <v>NO ENCONTRADO EN MAESTRO</v>
      </c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ht="22.5" customHeight="1">
      <c r="A151" s="25">
        <f>IFERROR(__xludf.DUMMYFUNCTION("""COMPUTED_VALUE"""),46135.0)</f>
        <v>46135</v>
      </c>
      <c r="B151" s="15">
        <f>IFERROR(__xludf.DUMMYFUNCTION("""COMPUTED_VALUE"""),110.0)</f>
        <v>110</v>
      </c>
      <c r="C151" s="21">
        <f>IFERROR(__xludf.DUMMYFUNCTION("""COMPUTED_VALUE"""),85.0)</f>
        <v>85</v>
      </c>
      <c r="D151" s="22" t="str">
        <f>IFERROR(__xludf.DUMMYFUNCTION("""COMPUTED_VALUE"""),"USD")</f>
        <v>USD</v>
      </c>
      <c r="E151" s="22" t="str">
        <f>IFERROR(__xludf.DUMMYFUNCTION("""COMPUTED_VALUE"""),"Efectivo USD")</f>
        <v>Efectivo USD</v>
      </c>
      <c r="F151" s="22" t="str">
        <f>IFERROR(__xludf.DUMMYFUNCTION("""COMPUTED_VALUE"""),"Emprendimiento José Sánchez 203 c.a")</f>
        <v>Emprendimiento José Sánchez 203 c.a</v>
      </c>
      <c r="G151" s="19">
        <v>482.7586</v>
      </c>
      <c r="H151" s="13"/>
      <c r="I151" s="14">
        <f t="shared" si="1"/>
        <v>85</v>
      </c>
      <c r="J151" s="15">
        <f t="shared" si="2"/>
        <v>85</v>
      </c>
      <c r="K151" s="14">
        <f t="shared" si="3"/>
        <v>85</v>
      </c>
      <c r="L151" s="16" t="str">
        <f>IFERROR(__xludf.DUMMYFUNCTION("IFERROR(
  IF(
    VLOOKUP(C151, IMPORTRANGE(""gid=860555792"", ""Maestro!B:C""), 2, FALSE) = D151, 
    ""CONCILIADO"", 
    ""ERROR EN MONTO""
  ), 
  ""NO ENCONTRADO EN MAESTRO""
)"),"NO ENCONTRADO EN MAESTRO")</f>
        <v>NO ENCONTRADO EN MAESTRO</v>
      </c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ht="22.5" customHeight="1">
      <c r="A152" s="25">
        <f>IFERROR(__xludf.DUMMYFUNCTION("""COMPUTED_VALUE"""),46135.0)</f>
        <v>46135</v>
      </c>
      <c r="B152" s="15">
        <f>IFERROR(__xludf.DUMMYFUNCTION("""COMPUTED_VALUE"""),62.0)</f>
        <v>62</v>
      </c>
      <c r="C152" s="21">
        <f>IFERROR(__xludf.DUMMYFUNCTION("""COMPUTED_VALUE"""),500.0)</f>
        <v>500</v>
      </c>
      <c r="D152" s="22" t="str">
        <f>IFERROR(__xludf.DUMMYFUNCTION("""COMPUTED_VALUE"""),"USD")</f>
        <v>USD</v>
      </c>
      <c r="E152" s="22" t="str">
        <f>IFERROR(__xludf.DUMMYFUNCTION("""COMPUTED_VALUE"""),"Zelle")</f>
        <v>Zelle</v>
      </c>
      <c r="F152" s="22" t="str">
        <f>IFERROR(__xludf.DUMMYFUNCTION("""COMPUTED_VALUE"""),"SJMG 2012 C.A")</f>
        <v>SJMG 2012 C.A</v>
      </c>
      <c r="G152" s="19">
        <v>483.3379</v>
      </c>
      <c r="H152" s="13"/>
      <c r="I152" s="14">
        <f t="shared" si="1"/>
        <v>500</v>
      </c>
      <c r="J152" s="15">
        <f t="shared" si="2"/>
        <v>500</v>
      </c>
      <c r="K152" s="14">
        <f t="shared" si="3"/>
        <v>500</v>
      </c>
      <c r="L152" s="16" t="str">
        <f>IFERROR(__xludf.DUMMYFUNCTION("IFERROR(
  IF(
    VLOOKUP(C152, IMPORTRANGE(""gid=860555792"", ""Maestro!B:C""), 2, FALSE) = D152, 
    ""CONCILIADO"", 
    ""ERROR EN MONTO""
  ), 
  ""NO ENCONTRADO EN MAESTRO""
)"),"NO ENCONTRADO EN MAESTRO")</f>
        <v>NO ENCONTRADO EN MAESTRO</v>
      </c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ht="22.5" customHeight="1">
      <c r="A153" s="25">
        <f>IFERROR(__xludf.DUMMYFUNCTION("""COMPUTED_VALUE"""),46135.0)</f>
        <v>46135</v>
      </c>
      <c r="B153" s="15">
        <f>IFERROR(__xludf.DUMMYFUNCTION("""COMPUTED_VALUE"""),181.0)</f>
        <v>181</v>
      </c>
      <c r="C153" s="21">
        <f>IFERROR(__xludf.DUMMYFUNCTION("""COMPUTED_VALUE"""),141.0)</f>
        <v>141</v>
      </c>
      <c r="D153" s="22" t="str">
        <f>IFERROR(__xludf.DUMMYFUNCTION("""COMPUTED_VALUE"""),"USD")</f>
        <v>USD</v>
      </c>
      <c r="E153" s="22" t="str">
        <f>IFERROR(__xludf.DUMMYFUNCTION("""COMPUTED_VALUE"""),"Efectivo USD")</f>
        <v>Efectivo USD</v>
      </c>
      <c r="F153" s="22" t="str">
        <f>IFERROR(__xludf.DUMMYFUNCTION("""COMPUTED_VALUE"""),"Multiservicios Sanahuja 36 C.A")</f>
        <v>Multiservicios Sanahuja 36 C.A</v>
      </c>
      <c r="G153" s="19">
        <v>483.3379</v>
      </c>
      <c r="H153" s="13"/>
      <c r="I153" s="14">
        <f t="shared" si="1"/>
        <v>141</v>
      </c>
      <c r="J153" s="15">
        <f t="shared" si="2"/>
        <v>141</v>
      </c>
      <c r="K153" s="14">
        <f t="shared" si="3"/>
        <v>141</v>
      </c>
      <c r="L153" s="16" t="str">
        <f>IFERROR(__xludf.DUMMYFUNCTION("IFERROR(
  IF(
    VLOOKUP(C153, IMPORTRANGE(""gid=860555792"", ""Maestro!B:C""), 2, FALSE) = D153, 
    ""CONCILIADO"", 
    ""ERROR EN MONTO""
  ), 
  ""NO ENCONTRADO EN MAESTRO""
)"),"NO ENCONTRADO EN MAESTRO")</f>
        <v>NO ENCONTRADO EN MAESTRO</v>
      </c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ht="22.5" customHeight="1">
      <c r="A154" s="25">
        <f>IFERROR(__xludf.DUMMYFUNCTION("""COMPUTED_VALUE"""),46135.0)</f>
        <v>46135</v>
      </c>
      <c r="B154" s="15">
        <f>IFERROR(__xludf.DUMMYFUNCTION("""COMPUTED_VALUE"""),168.0)</f>
        <v>168</v>
      </c>
      <c r="C154" s="21">
        <f>IFERROR(__xludf.DUMMYFUNCTION("""COMPUTED_VALUE"""),250.0)</f>
        <v>250</v>
      </c>
      <c r="D154" s="22" t="str">
        <f>IFERROR(__xludf.DUMMYFUNCTION("""COMPUTED_VALUE"""),"USD")</f>
        <v>USD</v>
      </c>
      <c r="E154" s="22" t="str">
        <f>IFERROR(__xludf.DUMMYFUNCTION("""COMPUTED_VALUE"""),"Efectivo USD")</f>
        <v>Efectivo USD</v>
      </c>
      <c r="F154" s="22" t="str">
        <f>IFERROR(__xludf.DUMMYFUNCTION("""COMPUTED_VALUE"""),"ADS SERVICE C.A")</f>
        <v>ADS SERVICE C.A</v>
      </c>
      <c r="G154" s="19">
        <v>483.3379</v>
      </c>
      <c r="H154" s="13"/>
      <c r="I154" s="14">
        <f t="shared" si="1"/>
        <v>250</v>
      </c>
      <c r="J154" s="15">
        <f t="shared" si="2"/>
        <v>250</v>
      </c>
      <c r="K154" s="14">
        <f t="shared" si="3"/>
        <v>250</v>
      </c>
      <c r="L154" s="16" t="str">
        <f>IFERROR(__xludf.DUMMYFUNCTION("IFERROR(
  IF(
    VLOOKUP(C154, IMPORTRANGE(""gid=860555792"", ""Maestro!B:C""), 2, FALSE) = D154, 
    ""CONCILIADO"", 
    ""ERROR EN MONTO""
  ), 
  ""NO ENCONTRADO EN MAESTRO""
)"),"NO ENCONTRADO EN MAESTRO")</f>
        <v>NO ENCONTRADO EN MAESTRO</v>
      </c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ht="22.5" customHeight="1">
      <c r="A155" s="25">
        <f>IFERROR(__xludf.DUMMYFUNCTION("""COMPUTED_VALUE"""),46135.0)</f>
        <v>46135</v>
      </c>
      <c r="B155" s="15">
        <f>IFERROR(__xludf.DUMMYFUNCTION("""COMPUTED_VALUE"""),86.0)</f>
        <v>86</v>
      </c>
      <c r="C155" s="21">
        <f>IFERROR(__xludf.DUMMYFUNCTION("""COMPUTED_VALUE"""),30000.0)</f>
        <v>30000</v>
      </c>
      <c r="D155" s="22" t="str">
        <f>IFERROR(__xludf.DUMMYFUNCTION("""COMPUTED_VALUE"""),"VES")</f>
        <v>VES</v>
      </c>
      <c r="E155" s="22" t="str">
        <f>IFERROR(__xludf.DUMMYFUNCTION("""COMPUTED_VALUE"""),"Bancamiga")</f>
        <v>Bancamiga</v>
      </c>
      <c r="F155" s="22" t="str">
        <f>IFERROR(__xludf.DUMMYFUNCTION("""COMPUTED_VALUE"""),"Wuilliams bastidas")</f>
        <v>Wuilliams bastidas</v>
      </c>
      <c r="G155" s="19">
        <v>483.3379</v>
      </c>
      <c r="H155" s="13"/>
      <c r="I155" s="14">
        <f t="shared" si="1"/>
        <v>62.06837908</v>
      </c>
      <c r="J155" s="15">
        <f t="shared" si="2"/>
        <v>0</v>
      </c>
      <c r="K155" s="14">
        <f t="shared" si="3"/>
        <v>62.06837908</v>
      </c>
      <c r="L155" s="16" t="str">
        <f>IFERROR(__xludf.DUMMYFUNCTION("IFERROR(
  IF(
    VLOOKUP(C155, IMPORTRANGE(""gid=860555792"", ""Maestro!B:C""), 2, FALSE) = D155, 
    ""CONCILIADO"", 
    ""ERROR EN MONTO""
  ), 
  ""NO ENCONTRADO EN MAESTRO""
)"),"NO ENCONTRADO EN MAESTRO")</f>
        <v>NO ENCONTRADO EN MAESTRO</v>
      </c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ht="22.5" customHeight="1">
      <c r="A156" s="25">
        <f>IFERROR(__xludf.DUMMYFUNCTION("""COMPUTED_VALUE"""),46135.0)</f>
        <v>46135</v>
      </c>
      <c r="B156" s="15">
        <f>IFERROR(__xludf.DUMMYFUNCTION("""COMPUTED_VALUE"""),197.0)</f>
        <v>197</v>
      </c>
      <c r="C156" s="21">
        <f>IFERROR(__xludf.DUMMYFUNCTION("""COMPUTED_VALUE"""),50.0)</f>
        <v>50</v>
      </c>
      <c r="D156" s="22" t="str">
        <f>IFERROR(__xludf.DUMMYFUNCTION("""COMPUTED_VALUE"""),"USD")</f>
        <v>USD</v>
      </c>
      <c r="E156" s="22" t="str">
        <f>IFERROR(__xludf.DUMMYFUNCTION("""COMPUTED_VALUE"""),"Efectivo USD")</f>
        <v>Efectivo USD</v>
      </c>
      <c r="F156" s="22" t="str">
        <f>IFERROR(__xludf.DUMMYFUNCTION("""COMPUTED_VALUE"""),"Auto Repuestos Acal C.A")</f>
        <v>Auto Repuestos Acal C.A</v>
      </c>
      <c r="G156" s="19">
        <v>483.3379</v>
      </c>
      <c r="H156" s="13"/>
      <c r="I156" s="14">
        <f t="shared" si="1"/>
        <v>50</v>
      </c>
      <c r="J156" s="15">
        <f t="shared" si="2"/>
        <v>50</v>
      </c>
      <c r="K156" s="14">
        <f t="shared" si="3"/>
        <v>50</v>
      </c>
      <c r="L156" s="16" t="str">
        <f>IFERROR(__xludf.DUMMYFUNCTION("IFERROR(
  IF(
    VLOOKUP(C156, IMPORTRANGE(""gid=860555792"", ""Maestro!B:C""), 2, FALSE) = D156, 
    ""CONCILIADO"", 
    ""ERROR EN MONTO""
  ), 
  ""NO ENCONTRADO EN MAESTRO""
)"),"NO ENCONTRADO EN MAESTRO")</f>
        <v>NO ENCONTRADO EN MAESTRO</v>
      </c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ht="22.5" customHeight="1">
      <c r="A157" s="25">
        <f>IFERROR(__xludf.DUMMYFUNCTION("""COMPUTED_VALUE"""),46136.0)</f>
        <v>46136</v>
      </c>
      <c r="B157" s="15">
        <f>IFERROR(__xludf.DUMMYFUNCTION("""COMPUTED_VALUE"""),100.0)</f>
        <v>100</v>
      </c>
      <c r="C157" s="21">
        <f>IFERROR(__xludf.DUMMYFUNCTION("""COMPUTED_VALUE"""),45448.27)</f>
        <v>45448.27</v>
      </c>
      <c r="D157" s="22" t="str">
        <f>IFERROR(__xludf.DUMMYFUNCTION("""COMPUTED_VALUE"""),"VES")</f>
        <v>VES</v>
      </c>
      <c r="E157" s="22" t="str">
        <f>IFERROR(__xludf.DUMMYFUNCTION("""COMPUTED_VALUE"""),"Bancamiga")</f>
        <v>Bancamiga</v>
      </c>
      <c r="F157" s="22" t="str">
        <f>IFERROR(__xludf.DUMMYFUNCTION("""COMPUTED_VALUE"""),"Diana Carolina Torres")</f>
        <v>Diana Carolina Torres</v>
      </c>
      <c r="G157" s="19">
        <v>483.3379</v>
      </c>
      <c r="H157" s="13"/>
      <c r="I157" s="14">
        <f t="shared" si="1"/>
        <v>94.03001503</v>
      </c>
      <c r="J157" s="15">
        <f t="shared" si="2"/>
        <v>0</v>
      </c>
      <c r="K157" s="14">
        <f t="shared" si="3"/>
        <v>94.03001503</v>
      </c>
      <c r="L157" s="16" t="str">
        <f>IFERROR(__xludf.DUMMYFUNCTION("IFERROR(
  IF(
    VLOOKUP(C157, IMPORTRANGE(""gid=860555792"", ""Maestro!B:C""), 2, FALSE) = D157, 
    ""CONCILIADO"", 
    ""ERROR EN MONTO""
  ), 
  ""NO ENCONTRADO EN MAESTRO""
)"),"NO ENCONTRADO EN MAESTRO")</f>
        <v>NO ENCONTRADO EN MAESTRO</v>
      </c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ht="22.5" customHeight="1">
      <c r="A158" s="25">
        <f>IFERROR(__xludf.DUMMYFUNCTION("""COMPUTED_VALUE"""),46136.0)</f>
        <v>46136</v>
      </c>
      <c r="B158" s="15">
        <f>IFERROR(__xludf.DUMMYFUNCTION("""COMPUTED_VALUE"""),82.0)</f>
        <v>82</v>
      </c>
      <c r="C158" s="21">
        <f>IFERROR(__xludf.DUMMYFUNCTION("""COMPUTED_VALUE"""),300.0)</f>
        <v>300</v>
      </c>
      <c r="D158" s="22" t="str">
        <f>IFERROR(__xludf.DUMMYFUNCTION("""COMPUTED_VALUE"""),"USD")</f>
        <v>USD</v>
      </c>
      <c r="E158" s="22" t="str">
        <f>IFERROR(__xludf.DUMMYFUNCTION("""COMPUTED_VALUE"""),"Efectivo USD")</f>
        <v>Efectivo USD</v>
      </c>
      <c r="F158" s="22" t="str">
        <f>IFERROR(__xludf.DUMMYFUNCTION("""COMPUTED_VALUE"""),"Pedro Castro")</f>
        <v>Pedro Castro</v>
      </c>
      <c r="G158" s="19">
        <v>483.8695</v>
      </c>
      <c r="H158" s="13"/>
      <c r="I158" s="14">
        <f t="shared" si="1"/>
        <v>300</v>
      </c>
      <c r="J158" s="15">
        <f t="shared" si="2"/>
        <v>300</v>
      </c>
      <c r="K158" s="14">
        <f t="shared" si="3"/>
        <v>300</v>
      </c>
      <c r="L158" s="16" t="str">
        <f>IFERROR(__xludf.DUMMYFUNCTION("IFERROR(
  IF(
    VLOOKUP(C158, IMPORTRANGE(""gid=860555792"", ""Maestro!B:C""), 2, FALSE) = D158, 
    ""CONCILIADO"", 
    ""ERROR EN MONTO""
  ), 
  ""NO ENCONTRADO EN MAESTRO""
)"),"NO ENCONTRADO EN MAESTRO")</f>
        <v>NO ENCONTRADO EN MAESTRO</v>
      </c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ht="22.5" customHeight="1">
      <c r="A159" s="25">
        <f>IFERROR(__xludf.DUMMYFUNCTION("""COMPUTED_VALUE"""),46136.0)</f>
        <v>46136</v>
      </c>
      <c r="B159" s="15">
        <f>IFERROR(__xludf.DUMMYFUNCTION("""COMPUTED_VALUE"""),126.0)</f>
        <v>126</v>
      </c>
      <c r="C159" s="21">
        <f>IFERROR(__xludf.DUMMYFUNCTION("""COMPUTED_VALUE"""),200.0)</f>
        <v>200</v>
      </c>
      <c r="D159" s="22" t="str">
        <f>IFERROR(__xludf.DUMMYFUNCTION("""COMPUTED_VALUE"""),"USD")</f>
        <v>USD</v>
      </c>
      <c r="E159" s="22" t="str">
        <f>IFERROR(__xludf.DUMMYFUNCTION("""COMPUTED_VALUE"""),"Efectivo USD")</f>
        <v>Efectivo USD</v>
      </c>
      <c r="F159" s="22" t="str">
        <f>IFERROR(__xludf.DUMMYFUNCTION("""COMPUTED_VALUE"""),"Victor Ordaz")</f>
        <v>Victor Ordaz</v>
      </c>
      <c r="G159" s="19">
        <v>483.8695</v>
      </c>
      <c r="H159" s="13"/>
      <c r="I159" s="14">
        <f t="shared" si="1"/>
        <v>200</v>
      </c>
      <c r="J159" s="15">
        <f t="shared" si="2"/>
        <v>200</v>
      </c>
      <c r="K159" s="14">
        <f t="shared" si="3"/>
        <v>200</v>
      </c>
      <c r="L159" s="16" t="str">
        <f>IFERROR(__xludf.DUMMYFUNCTION("IFERROR(
  IF(
    VLOOKUP(C159, IMPORTRANGE(""gid=860555792"", ""Maestro!B:C""), 2, FALSE) = D159, 
    ""CONCILIADO"", 
    ""ERROR EN MONTO""
  ), 
  ""NO ENCONTRADO EN MAESTRO""
)"),"NO ENCONTRADO EN MAESTRO")</f>
        <v>NO ENCONTRADO EN MAESTRO</v>
      </c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ht="22.5" customHeight="1">
      <c r="A160" s="25">
        <f>IFERROR(__xludf.DUMMYFUNCTION("""COMPUTED_VALUE"""),46136.0)</f>
        <v>46136</v>
      </c>
      <c r="B160" s="15">
        <f>IFERROR(__xludf.DUMMYFUNCTION("""COMPUTED_VALUE"""),210.0)</f>
        <v>210</v>
      </c>
      <c r="C160" s="21">
        <f>IFERROR(__xludf.DUMMYFUNCTION("""COMPUTED_VALUE"""),119.0)</f>
        <v>119</v>
      </c>
      <c r="D160" s="22" t="str">
        <f>IFERROR(__xludf.DUMMYFUNCTION("""COMPUTED_VALUE"""),"USD")</f>
        <v>USD</v>
      </c>
      <c r="E160" s="22" t="str">
        <f>IFERROR(__xludf.DUMMYFUNCTION("""COMPUTED_VALUE"""),"Binance")</f>
        <v>Binance</v>
      </c>
      <c r="F160" s="22" t="str">
        <f>IFERROR(__xludf.DUMMYFUNCTION("""COMPUTED_VALUE"""),"AREA58 2022, C.A.")</f>
        <v>AREA58 2022, C.A.</v>
      </c>
      <c r="G160" s="19">
        <v>483.8695</v>
      </c>
      <c r="H160" s="13"/>
      <c r="I160" s="14">
        <f t="shared" si="1"/>
        <v>119</v>
      </c>
      <c r="J160" s="15">
        <f t="shared" si="2"/>
        <v>119</v>
      </c>
      <c r="K160" s="14">
        <f t="shared" si="3"/>
        <v>119</v>
      </c>
      <c r="L160" s="16" t="str">
        <f>IFERROR(__xludf.DUMMYFUNCTION("IFERROR(
  IF(
    VLOOKUP(C160, IMPORTRANGE(""gid=860555792"", ""Maestro!B:C""), 2, FALSE) = D160, 
    ""CONCILIADO"", 
    ""ERROR EN MONTO""
  ), 
  ""NO ENCONTRADO EN MAESTRO""
)"),"NO ENCONTRADO EN MAESTRO")</f>
        <v>NO ENCONTRADO EN MAESTRO</v>
      </c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ht="22.5" customHeight="1">
      <c r="A161" s="25">
        <f>IFERROR(__xludf.DUMMYFUNCTION("""COMPUTED_VALUE"""),46136.0)</f>
        <v>46136</v>
      </c>
      <c r="B161" s="15">
        <f>IFERROR(__xludf.DUMMYFUNCTION("""COMPUTED_VALUE"""),93.0)</f>
        <v>93</v>
      </c>
      <c r="C161" s="21">
        <f>IFERROR(__xludf.DUMMYFUNCTION("""COMPUTED_VALUE"""),50.0)</f>
        <v>50</v>
      </c>
      <c r="D161" s="22" t="str">
        <f>IFERROR(__xludf.DUMMYFUNCTION("""COMPUTED_VALUE"""),"USD")</f>
        <v>USD</v>
      </c>
      <c r="E161" s="22" t="str">
        <f>IFERROR(__xludf.DUMMYFUNCTION("""COMPUTED_VALUE"""),"Efectivo USD")</f>
        <v>Efectivo USD</v>
      </c>
      <c r="F161" s="22" t="str">
        <f>IFERROR(__xludf.DUMMYFUNCTION("""COMPUTED_VALUE"""),"Emprendimiento YSKRA")</f>
        <v>Emprendimiento YSKRA</v>
      </c>
      <c r="G161" s="19">
        <v>483.8695</v>
      </c>
      <c r="H161" s="13"/>
      <c r="I161" s="14">
        <f t="shared" si="1"/>
        <v>50</v>
      </c>
      <c r="J161" s="15">
        <f t="shared" si="2"/>
        <v>50</v>
      </c>
      <c r="K161" s="14">
        <f t="shared" si="3"/>
        <v>50</v>
      </c>
      <c r="L161" s="16" t="str">
        <f>IFERROR(__xludf.DUMMYFUNCTION("IFERROR(
  IF(
    VLOOKUP(C161, IMPORTRANGE(""gid=860555792"", ""Maestro!B:C""), 2, FALSE) = D161, 
    ""CONCILIADO"", 
    ""ERROR EN MONTO""
  ), 
  ""NO ENCONTRADO EN MAESTRO""
)"),"NO ENCONTRADO EN MAESTRO")</f>
        <v>NO ENCONTRADO EN MAESTRO</v>
      </c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ht="22.5" customHeight="1">
      <c r="A162" s="25">
        <f>IFERROR(__xludf.DUMMYFUNCTION("""COMPUTED_VALUE"""),46136.0)</f>
        <v>46136</v>
      </c>
      <c r="B162" s="15">
        <f>IFERROR(__xludf.DUMMYFUNCTION("""COMPUTED_VALUE"""),196.0)</f>
        <v>196</v>
      </c>
      <c r="C162" s="21">
        <f>IFERROR(__xludf.DUMMYFUNCTION("""COMPUTED_VALUE"""),105483.55)</f>
        <v>105483.55</v>
      </c>
      <c r="D162" s="22" t="str">
        <f>IFERROR(__xludf.DUMMYFUNCTION("""COMPUTED_VALUE"""),"VES")</f>
        <v>VES</v>
      </c>
      <c r="E162" s="22" t="str">
        <f>IFERROR(__xludf.DUMMYFUNCTION("""COMPUTED_VALUE"""),"Bancamiga")</f>
        <v>Bancamiga</v>
      </c>
      <c r="F162" s="22" t="str">
        <f>IFERROR(__xludf.DUMMYFUNCTION("""COMPUTED_VALUE"""),"Comercial los de faria,c.a.")</f>
        <v>Comercial los de faria,c.a.</v>
      </c>
      <c r="G162" s="19">
        <v>483.8695</v>
      </c>
      <c r="H162" s="13"/>
      <c r="I162" s="14">
        <f t="shared" si="1"/>
        <v>217.9999979</v>
      </c>
      <c r="J162" s="15">
        <f t="shared" si="2"/>
        <v>0</v>
      </c>
      <c r="K162" s="14">
        <f t="shared" si="3"/>
        <v>217.9999979</v>
      </c>
      <c r="L162" s="16" t="str">
        <f>IFERROR(__xludf.DUMMYFUNCTION("IFERROR(
  IF(
    VLOOKUP(C162, IMPORTRANGE(""gid=860555792"", ""Maestro!B:C""), 2, FALSE) = D162, 
    ""CONCILIADO"", 
    ""ERROR EN MONTO""
  ), 
  ""NO ENCONTRADO EN MAESTRO""
)"),"NO ENCONTRADO EN MAESTRO")</f>
        <v>NO ENCONTRADO EN MAESTRO</v>
      </c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ht="22.5" customHeight="1">
      <c r="A163" s="25">
        <f>IFERROR(__xludf.DUMMYFUNCTION("""COMPUTED_VALUE"""),46136.0)</f>
        <v>46136</v>
      </c>
      <c r="B163" s="15">
        <f>IFERROR(__xludf.DUMMYFUNCTION("""COMPUTED_VALUE"""),117.0)</f>
        <v>117</v>
      </c>
      <c r="C163" s="21">
        <f>IFERROR(__xludf.DUMMYFUNCTION("""COMPUTED_VALUE"""),140.0)</f>
        <v>140</v>
      </c>
      <c r="D163" s="22" t="str">
        <f>IFERROR(__xludf.DUMMYFUNCTION("""COMPUTED_VALUE"""),"USD")</f>
        <v>USD</v>
      </c>
      <c r="E163" s="22" t="str">
        <f>IFERROR(__xludf.DUMMYFUNCTION("""COMPUTED_VALUE"""),"Efectivo USD")</f>
        <v>Efectivo USD</v>
      </c>
      <c r="F163" s="22" t="str">
        <f>IFERROR(__xludf.DUMMYFUNCTION("""COMPUTED_VALUE"""),"Jose Becerra")</f>
        <v>Jose Becerra</v>
      </c>
      <c r="G163" s="19">
        <v>483.8695</v>
      </c>
      <c r="H163" s="13"/>
      <c r="I163" s="14">
        <f t="shared" si="1"/>
        <v>140</v>
      </c>
      <c r="J163" s="15">
        <f t="shared" si="2"/>
        <v>140</v>
      </c>
      <c r="K163" s="14">
        <f t="shared" si="3"/>
        <v>140</v>
      </c>
      <c r="L163" s="16" t="str">
        <f>IFERROR(__xludf.DUMMYFUNCTION("IFERROR(
  IF(
    VLOOKUP(C163, IMPORTRANGE(""gid=860555792"", ""Maestro!B:C""), 2, FALSE) = D163, 
    ""CONCILIADO"", 
    ""ERROR EN MONTO""
  ), 
  ""NO ENCONTRADO EN MAESTRO""
)"),"NO ENCONTRADO EN MAESTRO")</f>
        <v>NO ENCONTRADO EN MAESTRO</v>
      </c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ht="22.5" customHeight="1">
      <c r="A164" s="25">
        <f>IFERROR(__xludf.DUMMYFUNCTION("""COMPUTED_VALUE"""),46136.0)</f>
        <v>46136</v>
      </c>
      <c r="B164" s="15">
        <f>IFERROR(__xludf.DUMMYFUNCTION("""COMPUTED_VALUE"""),65.0)</f>
        <v>65</v>
      </c>
      <c r="C164" s="21">
        <f>IFERROR(__xludf.DUMMYFUNCTION("""COMPUTED_VALUE"""),82257.9)</f>
        <v>82257.9</v>
      </c>
      <c r="D164" s="22" t="str">
        <f>IFERROR(__xludf.DUMMYFUNCTION("""COMPUTED_VALUE"""),"VES")</f>
        <v>VES</v>
      </c>
      <c r="E164" s="22" t="str">
        <f>IFERROR(__xludf.DUMMYFUNCTION("""COMPUTED_VALUE"""),"Bancamiga")</f>
        <v>Bancamiga</v>
      </c>
      <c r="F164" s="22" t="str">
        <f>IFERROR(__xludf.DUMMYFUNCTION("""COMPUTED_VALUE"""),"Auto Servicios HN 6972, C.A")</f>
        <v>Auto Servicios HN 6972, C.A</v>
      </c>
      <c r="G164" s="19">
        <v>483.8695</v>
      </c>
      <c r="H164" s="13"/>
      <c r="I164" s="14">
        <f t="shared" si="1"/>
        <v>170.0001757</v>
      </c>
      <c r="J164" s="15">
        <f t="shared" si="2"/>
        <v>0</v>
      </c>
      <c r="K164" s="14">
        <f t="shared" si="3"/>
        <v>170.0001757</v>
      </c>
      <c r="L164" s="16" t="str">
        <f>IFERROR(__xludf.DUMMYFUNCTION("IFERROR(
  IF(
    VLOOKUP(C164, IMPORTRANGE(""gid=860555792"", ""Maestro!B:C""), 2, FALSE) = D164, 
    ""CONCILIADO"", 
    ""ERROR EN MONTO""
  ), 
  ""NO ENCONTRADO EN MAESTRO""
)"),"NO ENCONTRADO EN MAESTRO")</f>
        <v>NO ENCONTRADO EN MAESTRO</v>
      </c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ht="22.5" customHeight="1">
      <c r="A165" s="25">
        <f>IFERROR(__xludf.DUMMYFUNCTION("""COMPUTED_VALUE"""),46136.0)</f>
        <v>46136</v>
      </c>
      <c r="B165" s="15">
        <f>IFERROR(__xludf.DUMMYFUNCTION("""COMPUTED_VALUE"""),263.0)</f>
        <v>263</v>
      </c>
      <c r="C165" s="21">
        <f>IFERROR(__xludf.DUMMYFUNCTION("""COMPUTED_VALUE"""),255.0)</f>
        <v>255</v>
      </c>
      <c r="D165" s="22" t="str">
        <f>IFERROR(__xludf.DUMMYFUNCTION("""COMPUTED_VALUE"""),"USD")</f>
        <v>USD</v>
      </c>
      <c r="E165" s="22" t="str">
        <f>IFERROR(__xludf.DUMMYFUNCTION("""COMPUTED_VALUE"""),"Efectivo USD")</f>
        <v>Efectivo USD</v>
      </c>
      <c r="F165" s="22" t="str">
        <f>IFERROR(__xludf.DUMMYFUNCTION("""COMPUTED_VALUE"""),"Katiuska Alejandra Curvelo")</f>
        <v>Katiuska Alejandra Curvelo</v>
      </c>
      <c r="G165" s="19">
        <v>483.8695</v>
      </c>
      <c r="H165" s="13"/>
      <c r="I165" s="14">
        <f t="shared" si="1"/>
        <v>255</v>
      </c>
      <c r="J165" s="15">
        <f t="shared" si="2"/>
        <v>255</v>
      </c>
      <c r="K165" s="14">
        <f t="shared" si="3"/>
        <v>255</v>
      </c>
      <c r="L165" s="16" t="str">
        <f>IFERROR(__xludf.DUMMYFUNCTION("IFERROR(
  IF(
    VLOOKUP(C165, IMPORTRANGE(""gid=860555792"", ""Maestro!B:C""), 2, FALSE) = D165, 
    ""CONCILIADO"", 
    ""ERROR EN MONTO""
  ), 
  ""NO ENCONTRADO EN MAESTRO""
)"),"NO ENCONTRADO EN MAESTRO")</f>
        <v>NO ENCONTRADO EN MAESTRO</v>
      </c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ht="22.5" customHeight="1">
      <c r="A166" s="25">
        <f>IFERROR(__xludf.DUMMYFUNCTION("""COMPUTED_VALUE"""),46136.0)</f>
        <v>46136</v>
      </c>
      <c r="B166" s="15">
        <f>IFERROR(__xludf.DUMMYFUNCTION("""COMPUTED_VALUE"""),83.0)</f>
        <v>83</v>
      </c>
      <c r="C166" s="21">
        <f>IFERROR(__xludf.DUMMYFUNCTION("""COMPUTED_VALUE"""),100.0)</f>
        <v>100</v>
      </c>
      <c r="D166" s="22" t="str">
        <f>IFERROR(__xludf.DUMMYFUNCTION("""COMPUTED_VALUE"""),"USD")</f>
        <v>USD</v>
      </c>
      <c r="E166" s="22" t="str">
        <f>IFERROR(__xludf.DUMMYFUNCTION("""COMPUTED_VALUE"""),"Efectivo USD")</f>
        <v>Efectivo USD</v>
      </c>
      <c r="F166" s="22" t="str">
        <f>IFERROR(__xludf.DUMMYFUNCTION("""COMPUTED_VALUE"""),"Inversiones Famasa, C.A")</f>
        <v>Inversiones Famasa, C.A</v>
      </c>
      <c r="G166" s="19">
        <v>483.8695</v>
      </c>
      <c r="H166" s="13"/>
      <c r="I166" s="14">
        <f t="shared" si="1"/>
        <v>100</v>
      </c>
      <c r="J166" s="15">
        <f t="shared" si="2"/>
        <v>100</v>
      </c>
      <c r="K166" s="14">
        <f t="shared" si="3"/>
        <v>100</v>
      </c>
      <c r="L166" s="16" t="str">
        <f>IFERROR(__xludf.DUMMYFUNCTION("IFERROR(
  IF(
    VLOOKUP(C166, IMPORTRANGE(""gid=860555792"", ""Maestro!B:C""), 2, FALSE) = D166, 
    ""CONCILIADO"", 
    ""ERROR EN MONTO""
  ), 
  ""NO ENCONTRADO EN MAESTRO""
)"),"NO ENCONTRADO EN MAESTRO")</f>
        <v>NO ENCONTRADO EN MAESTRO</v>
      </c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ht="22.5" customHeight="1">
      <c r="A167" s="25">
        <f>IFERROR(__xludf.DUMMYFUNCTION("""COMPUTED_VALUE"""),46136.0)</f>
        <v>46136</v>
      </c>
      <c r="B167" s="15">
        <f>IFERROR(__xludf.DUMMYFUNCTION("""COMPUTED_VALUE"""),74.0)</f>
        <v>74</v>
      </c>
      <c r="C167" s="21">
        <f>IFERROR(__xludf.DUMMYFUNCTION("""COMPUTED_VALUE"""),39678.8)</f>
        <v>39678.8</v>
      </c>
      <c r="D167" s="22" t="str">
        <f>IFERROR(__xludf.DUMMYFUNCTION("""COMPUTED_VALUE"""),"VES")</f>
        <v>VES</v>
      </c>
      <c r="E167" s="22" t="str">
        <f>IFERROR(__xludf.DUMMYFUNCTION("""COMPUTED_VALUE"""),"Bancamiga")</f>
        <v>Bancamiga</v>
      </c>
      <c r="F167" s="22" t="str">
        <f>IFERROR(__xludf.DUMMYFUNCTION("""COMPUTED_VALUE"""),"Servicios Nicolazzo 97, C.A")</f>
        <v>Servicios Nicolazzo 97, C.A</v>
      </c>
      <c r="G167" s="19">
        <v>483.8695</v>
      </c>
      <c r="H167" s="13"/>
      <c r="I167" s="14">
        <f t="shared" si="1"/>
        <v>82.00310208</v>
      </c>
      <c r="J167" s="15">
        <f t="shared" si="2"/>
        <v>0</v>
      </c>
      <c r="K167" s="14">
        <f t="shared" si="3"/>
        <v>82.00310208</v>
      </c>
      <c r="L167" s="16" t="str">
        <f>IFERROR(__xludf.DUMMYFUNCTION("IFERROR(
  IF(
    VLOOKUP(C167, IMPORTRANGE(""gid=860555792"", ""Maestro!B:C""), 2, FALSE) = D167, 
    ""CONCILIADO"", 
    ""ERROR EN MONTO""
  ), 
  ""NO ENCONTRADO EN MAESTRO""
)"),"NO ENCONTRADO EN MAESTRO")</f>
        <v>NO ENCONTRADO EN MAESTRO</v>
      </c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ht="22.5" customHeight="1">
      <c r="A168" s="25">
        <f>IFERROR(__xludf.DUMMYFUNCTION("""COMPUTED_VALUE"""),46136.0)</f>
        <v>46136</v>
      </c>
      <c r="B168" s="15">
        <f>IFERROR(__xludf.DUMMYFUNCTION("""COMPUTED_VALUE"""),279.0)</f>
        <v>279</v>
      </c>
      <c r="C168" s="21">
        <f>IFERROR(__xludf.DUMMYFUNCTION("""COMPUTED_VALUE"""),134.0)</f>
        <v>134</v>
      </c>
      <c r="D168" s="22" t="str">
        <f>IFERROR(__xludf.DUMMYFUNCTION("""COMPUTED_VALUE"""),"USD")</f>
        <v>USD</v>
      </c>
      <c r="E168" s="22" t="str">
        <f>IFERROR(__xludf.DUMMYFUNCTION("""COMPUTED_VALUE"""),"Efectivo USD")</f>
        <v>Efectivo USD</v>
      </c>
      <c r="F168" s="22" t="str">
        <f>IFERROR(__xludf.DUMMYFUNCTION("""COMPUTED_VALUE"""),"Anthony Jose Quijada Diaz.")</f>
        <v>Anthony Jose Quijada Diaz.</v>
      </c>
      <c r="G168" s="19">
        <v>483.8695</v>
      </c>
      <c r="H168" s="13"/>
      <c r="I168" s="14">
        <f t="shared" si="1"/>
        <v>134</v>
      </c>
      <c r="J168" s="15">
        <f t="shared" si="2"/>
        <v>134</v>
      </c>
      <c r="K168" s="14">
        <f t="shared" si="3"/>
        <v>134</v>
      </c>
      <c r="L168" s="16" t="str">
        <f>IFERROR(__xludf.DUMMYFUNCTION("IFERROR(
  IF(
    VLOOKUP(C168, IMPORTRANGE(""gid=860555792"", ""Maestro!B:C""), 2, FALSE) = D168, 
    ""CONCILIADO"", 
    ""ERROR EN MONTO""
  ), 
  ""NO ENCONTRADO EN MAESTRO""
)"),"NO ENCONTRADO EN MAESTRO")</f>
        <v>NO ENCONTRADO EN MAESTRO</v>
      </c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ht="22.5" customHeight="1">
      <c r="A169" s="25">
        <f>IFERROR(__xludf.DUMMYFUNCTION("""COMPUTED_VALUE"""),46136.0)</f>
        <v>46136</v>
      </c>
      <c r="B169" s="15">
        <f>IFERROR(__xludf.DUMMYFUNCTION("""COMPUTED_VALUE"""),289.0)</f>
        <v>289</v>
      </c>
      <c r="C169" s="21">
        <f>IFERROR(__xludf.DUMMYFUNCTION("""COMPUTED_VALUE"""),81.0)</f>
        <v>81</v>
      </c>
      <c r="D169" s="22" t="str">
        <f>IFERROR(__xludf.DUMMYFUNCTION("""COMPUTED_VALUE"""),"USD")</f>
        <v>USD</v>
      </c>
      <c r="E169" s="22" t="str">
        <f>IFERROR(__xludf.DUMMYFUNCTION("""COMPUTED_VALUE"""),"Efectivo USD")</f>
        <v>Efectivo USD</v>
      </c>
      <c r="F169" s="22" t="str">
        <f>IFERROR(__xludf.DUMMYFUNCTION("""COMPUTED_VALUE"""),"Paola M. Aguilera Z.")</f>
        <v>Paola M. Aguilera Z.</v>
      </c>
      <c r="G169" s="19">
        <v>483.8695</v>
      </c>
      <c r="H169" s="13"/>
      <c r="I169" s="14">
        <f t="shared" si="1"/>
        <v>81</v>
      </c>
      <c r="J169" s="15">
        <f t="shared" si="2"/>
        <v>81</v>
      </c>
      <c r="K169" s="14">
        <f t="shared" si="3"/>
        <v>81</v>
      </c>
      <c r="L169" s="16" t="str">
        <f>IFERROR(__xludf.DUMMYFUNCTION("IFERROR(
  IF(
    VLOOKUP(C169, IMPORTRANGE(""gid=860555792"", ""Maestro!B:C""), 2, FALSE) = D169, 
    ""CONCILIADO"", 
    ""ERROR EN MONTO""
  ), 
  ""NO ENCONTRADO EN MAESTRO""
)"),"NO ENCONTRADO EN MAESTRO")</f>
        <v>NO ENCONTRADO EN MAESTRO</v>
      </c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ht="22.5" customHeight="1">
      <c r="A170" s="25">
        <f>IFERROR(__xludf.DUMMYFUNCTION("""COMPUTED_VALUE"""),46139.0)</f>
        <v>46139</v>
      </c>
      <c r="B170" s="15">
        <f>IFERROR(__xludf.DUMMYFUNCTION("""COMPUTED_VALUE"""),65.0)</f>
        <v>65</v>
      </c>
      <c r="C170" s="21">
        <f>IFERROR(__xludf.DUMMYFUNCTION("""COMPUTED_VALUE"""),128940.84)</f>
        <v>128940.84</v>
      </c>
      <c r="D170" s="22" t="str">
        <f>IFERROR(__xludf.DUMMYFUNCTION("""COMPUTED_VALUE"""),"VES")</f>
        <v>VES</v>
      </c>
      <c r="E170" s="22" t="str">
        <f>IFERROR(__xludf.DUMMYFUNCTION("""COMPUTED_VALUE"""),"Bancamiga")</f>
        <v>Bancamiga</v>
      </c>
      <c r="F170" s="22" t="str">
        <f>IFERROR(__xludf.DUMMYFUNCTION("""COMPUTED_VALUE"""),"Auto Servicios HN 6972, C.A")</f>
        <v>Auto Servicios HN 6972, C.A</v>
      </c>
      <c r="G170" s="19">
        <v>483.8695</v>
      </c>
      <c r="H170" s="13"/>
      <c r="I170" s="14">
        <f t="shared" si="1"/>
        <v>266.4785443</v>
      </c>
      <c r="J170" s="15">
        <f t="shared" si="2"/>
        <v>0</v>
      </c>
      <c r="K170" s="14">
        <f t="shared" si="3"/>
        <v>266.4785443</v>
      </c>
      <c r="L170" s="16" t="str">
        <f>IFERROR(__xludf.DUMMYFUNCTION("IFERROR(
  IF(
    VLOOKUP(C170, IMPORTRANGE(""gid=860555792"", ""Maestro!B:C""), 2, FALSE) = D170, 
    ""CONCILIADO"", 
    ""ERROR EN MONTO""
  ), 
  ""NO ENCONTRADO EN MAESTRO""
)"),"NO ENCONTRADO EN MAESTRO")</f>
        <v>NO ENCONTRADO EN MAESTRO</v>
      </c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ht="22.5" customHeight="1">
      <c r="A171" s="25">
        <f>IFERROR(__xludf.DUMMYFUNCTION("""COMPUTED_VALUE"""),46139.0)</f>
        <v>46139</v>
      </c>
      <c r="B171" s="15">
        <f>IFERROR(__xludf.DUMMYFUNCTION("""COMPUTED_VALUE"""),167.0)</f>
        <v>167</v>
      </c>
      <c r="C171" s="21">
        <f>IFERROR(__xludf.DUMMYFUNCTION("""COMPUTED_VALUE"""),24237.0)</f>
        <v>24237</v>
      </c>
      <c r="D171" s="22" t="str">
        <f>IFERROR(__xludf.DUMMYFUNCTION("""COMPUTED_VALUE"""),"VES")</f>
        <v>VES</v>
      </c>
      <c r="E171" s="22" t="str">
        <f>IFERROR(__xludf.DUMMYFUNCTION("""COMPUTED_VALUE"""),"Bancamiga")</f>
        <v>Bancamiga</v>
      </c>
      <c r="F171" s="22" t="str">
        <f>IFERROR(__xludf.DUMMYFUNCTION("""COMPUTED_VALUE"""),"Frenos Elite, C.A")</f>
        <v>Frenos Elite, C.A</v>
      </c>
      <c r="G171" s="19">
        <v>484.7404</v>
      </c>
      <c r="H171" s="13"/>
      <c r="I171" s="14">
        <f t="shared" si="1"/>
        <v>49.99995874</v>
      </c>
      <c r="J171" s="15">
        <f t="shared" si="2"/>
        <v>0</v>
      </c>
      <c r="K171" s="14">
        <f t="shared" si="3"/>
        <v>49.99995874</v>
      </c>
      <c r="L171" s="16" t="str">
        <f>IFERROR(__xludf.DUMMYFUNCTION("IFERROR(
  IF(
    VLOOKUP(C171, IMPORTRANGE(""gid=860555792"", ""Maestro!B:C""), 2, FALSE) = D171, 
    ""CONCILIADO"", 
    ""ERROR EN MONTO""
  ), 
  ""NO ENCONTRADO EN MAESTRO""
)"),"NO ENCONTRADO EN MAESTRO")</f>
        <v>NO ENCONTRADO EN MAESTRO</v>
      </c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ht="22.5" customHeight="1">
      <c r="A172" s="25">
        <f>IFERROR(__xludf.DUMMYFUNCTION("""COMPUTED_VALUE"""),46139.0)</f>
        <v>46139</v>
      </c>
      <c r="B172" s="15">
        <f>IFERROR(__xludf.DUMMYFUNCTION("""COMPUTED_VALUE"""),165.0)</f>
        <v>165</v>
      </c>
      <c r="C172" s="21">
        <f>IFERROR(__xludf.DUMMYFUNCTION("""COMPUTED_VALUE"""),72711.06)</f>
        <v>72711.06</v>
      </c>
      <c r="D172" s="22" t="str">
        <f>IFERROR(__xludf.DUMMYFUNCTION("""COMPUTED_VALUE"""),"VES")</f>
        <v>VES</v>
      </c>
      <c r="E172" s="22" t="str">
        <f>IFERROR(__xludf.DUMMYFUNCTION("""COMPUTED_VALUE"""),"Bancamiga")</f>
        <v>Bancamiga</v>
      </c>
      <c r="F172" s="22" t="str">
        <f>IFERROR(__xludf.DUMMYFUNCTION("""COMPUTED_VALUE"""),"EMPRENDIMIENTO HECTOR LLAMOZA")</f>
        <v>EMPRENDIMIENTO HECTOR LLAMOZA</v>
      </c>
      <c r="G172" s="19">
        <v>484.7404</v>
      </c>
      <c r="H172" s="13"/>
      <c r="I172" s="14">
        <f t="shared" si="1"/>
        <v>150</v>
      </c>
      <c r="J172" s="15">
        <f t="shared" si="2"/>
        <v>0</v>
      </c>
      <c r="K172" s="14">
        <f t="shared" si="3"/>
        <v>150</v>
      </c>
      <c r="L172" s="16" t="str">
        <f>IFERROR(__xludf.DUMMYFUNCTION("IFERROR(
  IF(
    VLOOKUP(C172, IMPORTRANGE(""gid=860555792"", ""Maestro!B:C""), 2, FALSE) = D172, 
    ""CONCILIADO"", 
    ""ERROR EN MONTO""
  ), 
  ""NO ENCONTRADO EN MAESTRO""
)"),"NO ENCONTRADO EN MAESTRO")</f>
        <v>NO ENCONTRADO EN MAESTRO</v>
      </c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ht="22.5" customHeight="1">
      <c r="A173" s="25">
        <f>IFERROR(__xludf.DUMMYFUNCTION("""COMPUTED_VALUE"""),46139.0)</f>
        <v>46139</v>
      </c>
      <c r="B173" s="15">
        <f>IFERROR(__xludf.DUMMYFUNCTION("""COMPUTED_VALUE"""),44.0)</f>
        <v>44</v>
      </c>
      <c r="C173" s="21">
        <f>IFERROR(__xludf.DUMMYFUNCTION("""COMPUTED_VALUE"""),100.0)</f>
        <v>100</v>
      </c>
      <c r="D173" s="22" t="str">
        <f>IFERROR(__xludf.DUMMYFUNCTION("""COMPUTED_VALUE"""),"USD")</f>
        <v>USD</v>
      </c>
      <c r="E173" s="22" t="str">
        <f>IFERROR(__xludf.DUMMYFUNCTION("""COMPUTED_VALUE"""),"Efectivo USD")</f>
        <v>Efectivo USD</v>
      </c>
      <c r="F173" s="22" t="str">
        <f>IFERROR(__xludf.DUMMYFUNCTION("""COMPUTED_VALUE"""),"Comercializadora Garabote")</f>
        <v>Comercializadora Garabote</v>
      </c>
      <c r="G173" s="19">
        <v>484.7404</v>
      </c>
      <c r="H173" s="13"/>
      <c r="I173" s="14">
        <f t="shared" si="1"/>
        <v>100</v>
      </c>
      <c r="J173" s="15">
        <f t="shared" si="2"/>
        <v>100</v>
      </c>
      <c r="K173" s="14">
        <f t="shared" si="3"/>
        <v>100</v>
      </c>
      <c r="L173" s="16" t="str">
        <f>IFERROR(__xludf.DUMMYFUNCTION("IFERROR(
  IF(
    VLOOKUP(C173, IMPORTRANGE(""gid=860555792"", ""Maestro!B:C""), 2, FALSE) = D173, 
    ""CONCILIADO"", 
    ""ERROR EN MONTO""
  ), 
  ""NO ENCONTRADO EN MAESTRO""
)"),"NO ENCONTRADO EN MAESTRO")</f>
        <v>NO ENCONTRADO EN MAESTRO</v>
      </c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ht="22.5" customHeight="1">
      <c r="A174" s="25">
        <f>IFERROR(__xludf.DUMMYFUNCTION("""COMPUTED_VALUE"""),46139.0)</f>
        <v>46139</v>
      </c>
      <c r="B174" s="15">
        <f>IFERROR(__xludf.DUMMYFUNCTION("""COMPUTED_VALUE"""),227.0)</f>
        <v>227</v>
      </c>
      <c r="C174" s="21">
        <f>IFERROR(__xludf.DUMMYFUNCTION("""COMPUTED_VALUE"""),293907.53)</f>
        <v>293907.53</v>
      </c>
      <c r="D174" s="22" t="str">
        <f>IFERROR(__xludf.DUMMYFUNCTION("""COMPUTED_VALUE"""),"VES")</f>
        <v>VES</v>
      </c>
      <c r="E174" s="22" t="str">
        <f>IFERROR(__xludf.DUMMYFUNCTION("""COMPUTED_VALUE"""),"Efectivo VES")</f>
        <v>Efectivo VES</v>
      </c>
      <c r="F174" s="22" t="str">
        <f>IFERROR(__xludf.DUMMYFUNCTION("""COMPUTED_VALUE"""),"EN LA VIA 2023 C.A")</f>
        <v>EN LA VIA 2023 C.A</v>
      </c>
      <c r="G174" s="19">
        <v>484.7404</v>
      </c>
      <c r="H174" s="13"/>
      <c r="I174" s="14">
        <f t="shared" si="1"/>
        <v>606.3194444</v>
      </c>
      <c r="J174" s="15">
        <f t="shared" si="2"/>
        <v>0</v>
      </c>
      <c r="K174" s="14">
        <f t="shared" si="3"/>
        <v>606.3194444</v>
      </c>
      <c r="L174" s="16" t="str">
        <f>IFERROR(__xludf.DUMMYFUNCTION("IFERROR(
  IF(
    VLOOKUP(C174, IMPORTRANGE(""gid=860555792"", ""Maestro!B:C""), 2, FALSE) = D174, 
    ""CONCILIADO"", 
    ""ERROR EN MONTO""
  ), 
  ""NO ENCONTRADO EN MAESTRO""
)"),"NO ENCONTRADO EN MAESTRO")</f>
        <v>NO ENCONTRADO EN MAESTRO</v>
      </c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ht="22.5" customHeight="1">
      <c r="A175" s="25">
        <f>IFERROR(__xludf.DUMMYFUNCTION("""COMPUTED_VALUE"""),46139.0)</f>
        <v>46139</v>
      </c>
      <c r="B175" s="15">
        <f>IFERROR(__xludf.DUMMYFUNCTION("""COMPUTED_VALUE"""),284.0)</f>
        <v>284</v>
      </c>
      <c r="C175" s="21">
        <f>IFERROR(__xludf.DUMMYFUNCTION("""COMPUTED_VALUE"""),25092.97)</f>
        <v>25092.97</v>
      </c>
      <c r="D175" s="22" t="str">
        <f>IFERROR(__xludf.DUMMYFUNCTION("""COMPUTED_VALUE"""),"VES")</f>
        <v>VES</v>
      </c>
      <c r="E175" s="22" t="str">
        <f>IFERROR(__xludf.DUMMYFUNCTION("""COMPUTED_VALUE"""),"Bancamiga")</f>
        <v>Bancamiga</v>
      </c>
      <c r="F175" s="22" t="str">
        <f>IFERROR(__xludf.DUMMYFUNCTION("""COMPUTED_VALUE"""),"SUPLIPARTES PARAISO, C.A")</f>
        <v>SUPLIPARTES PARAISO, C.A</v>
      </c>
      <c r="G175" s="19">
        <v>484.7404</v>
      </c>
      <c r="H175" s="13"/>
      <c r="I175" s="14">
        <f t="shared" si="1"/>
        <v>51.76579051</v>
      </c>
      <c r="J175" s="15">
        <f t="shared" si="2"/>
        <v>0</v>
      </c>
      <c r="K175" s="14">
        <f t="shared" si="3"/>
        <v>51.76579051</v>
      </c>
      <c r="L175" s="16" t="str">
        <f>IFERROR(__xludf.DUMMYFUNCTION("IFERROR(
  IF(
    VLOOKUP(C175, IMPORTRANGE(""gid=860555792"", ""Maestro!B:C""), 2, FALSE) = D175, 
    ""CONCILIADO"", 
    ""ERROR EN MONTO""
  ), 
  ""NO ENCONTRADO EN MAESTRO""
)"),"NO ENCONTRADO EN MAESTRO")</f>
        <v>NO ENCONTRADO EN MAESTRO</v>
      </c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ht="22.5" customHeight="1">
      <c r="A176" s="25">
        <f>IFERROR(__xludf.DUMMYFUNCTION("""COMPUTED_VALUE"""),46139.0)</f>
        <v>46139</v>
      </c>
      <c r="B176" s="15">
        <f>IFERROR(__xludf.DUMMYFUNCTION("""COMPUTED_VALUE"""),87.0)</f>
        <v>87</v>
      </c>
      <c r="C176" s="21">
        <f>IFERROR(__xludf.DUMMYFUNCTION("""COMPUTED_VALUE"""),150.0)</f>
        <v>150</v>
      </c>
      <c r="D176" s="22" t="str">
        <f>IFERROR(__xludf.DUMMYFUNCTION("""COMPUTED_VALUE"""),"USD")</f>
        <v>USD</v>
      </c>
      <c r="E176" s="22" t="str">
        <f>IFERROR(__xludf.DUMMYFUNCTION("""COMPUTED_VALUE"""),"Efectivo USD")</f>
        <v>Efectivo USD</v>
      </c>
      <c r="F176" s="22" t="str">
        <f>IFERROR(__xludf.DUMMYFUNCTION("""COMPUTED_VALUE"""),"Javier Cardenas Prato.")</f>
        <v>Javier Cardenas Prato.</v>
      </c>
      <c r="G176" s="19">
        <v>484.7404</v>
      </c>
      <c r="H176" s="13"/>
      <c r="I176" s="14">
        <f t="shared" si="1"/>
        <v>150</v>
      </c>
      <c r="J176" s="15">
        <f t="shared" si="2"/>
        <v>150</v>
      </c>
      <c r="K176" s="14">
        <f t="shared" si="3"/>
        <v>150</v>
      </c>
      <c r="L176" s="16" t="str">
        <f>IFERROR(__xludf.DUMMYFUNCTION("IFERROR(
  IF(
    VLOOKUP(C176, IMPORTRANGE(""gid=860555792"", ""Maestro!B:C""), 2, FALSE) = D176, 
    ""CONCILIADO"", 
    ""ERROR EN MONTO""
  ), 
  ""NO ENCONTRADO EN MAESTRO""
)"),"NO ENCONTRADO EN MAESTRO")</f>
        <v>NO ENCONTRADO EN MAESTRO</v>
      </c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ht="22.5" customHeight="1">
      <c r="A177" s="25">
        <f>IFERROR(__xludf.DUMMYFUNCTION("""COMPUTED_VALUE"""),46140.0)</f>
        <v>46140</v>
      </c>
      <c r="B177" s="15">
        <f>IFERROR(__xludf.DUMMYFUNCTION("""COMPUTED_VALUE"""),19.0)</f>
        <v>19</v>
      </c>
      <c r="C177" s="21">
        <f>IFERROR(__xludf.DUMMYFUNCTION("""COMPUTED_VALUE"""),44546.94)</f>
        <v>44546.94</v>
      </c>
      <c r="D177" s="22" t="str">
        <f>IFERROR(__xludf.DUMMYFUNCTION("""COMPUTED_VALUE"""),"VES")</f>
        <v>VES</v>
      </c>
      <c r="E177" s="22" t="str">
        <f>IFERROR(__xludf.DUMMYFUNCTION("""COMPUTED_VALUE"""),"Bancamiga")</f>
        <v>Bancamiga</v>
      </c>
      <c r="F177" s="22" t="str">
        <f>IFERROR(__xludf.DUMMYFUNCTION("""COMPUTED_VALUE"""),"Ruta 8 Autopartes,c.a.")</f>
        <v>Ruta 8 Autopartes,c.a.</v>
      </c>
      <c r="G177" s="19">
        <v>484.7404</v>
      </c>
      <c r="H177" s="13"/>
      <c r="I177" s="14">
        <f t="shared" si="1"/>
        <v>91.89855023</v>
      </c>
      <c r="J177" s="15">
        <f t="shared" si="2"/>
        <v>0</v>
      </c>
      <c r="K177" s="14">
        <f t="shared" si="3"/>
        <v>91.89855023</v>
      </c>
      <c r="L177" s="16" t="str">
        <f>IFERROR(__xludf.DUMMYFUNCTION("IFERROR(
  IF(
    VLOOKUP(C177, IMPORTRANGE(""gid=860555792"", ""Maestro!B:C""), 2, FALSE) = D177, 
    ""CONCILIADO"", 
    ""ERROR EN MONTO""
  ), 
  ""NO ENCONTRADO EN MAESTRO""
)"),"NO ENCONTRADO EN MAESTRO")</f>
        <v>NO ENCONTRADO EN MAESTRO</v>
      </c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ht="22.5" customHeight="1">
      <c r="A178" s="25">
        <f>IFERROR(__xludf.DUMMYFUNCTION("""COMPUTED_VALUE"""),46140.0)</f>
        <v>46140</v>
      </c>
      <c r="B178" s="15">
        <f>IFERROR(__xludf.DUMMYFUNCTION("""COMPUTED_VALUE"""),145.0)</f>
        <v>145</v>
      </c>
      <c r="C178" s="21">
        <f>IFERROR(__xludf.DUMMYFUNCTION("""COMPUTED_VALUE"""),150000.0)</f>
        <v>150000</v>
      </c>
      <c r="D178" s="22" t="str">
        <f>IFERROR(__xludf.DUMMYFUNCTION("""COMPUTED_VALUE"""),"VES")</f>
        <v>VES</v>
      </c>
      <c r="E178" s="22" t="str">
        <f>IFERROR(__xludf.DUMMYFUNCTION("""COMPUTED_VALUE"""),"Bancamiga")</f>
        <v>Bancamiga</v>
      </c>
      <c r="F178" s="22" t="str">
        <f>IFERROR(__xludf.DUMMYFUNCTION("""COMPUTED_VALUE"""),"La cámara perfecta")</f>
        <v>La cámara perfecta</v>
      </c>
      <c r="G178" s="19">
        <v>485.2251</v>
      </c>
      <c r="H178" s="13"/>
      <c r="I178" s="14">
        <f t="shared" si="1"/>
        <v>309.1348737</v>
      </c>
      <c r="J178" s="15">
        <f t="shared" si="2"/>
        <v>0</v>
      </c>
      <c r="K178" s="14">
        <f t="shared" si="3"/>
        <v>309.1348737</v>
      </c>
      <c r="L178" s="16" t="str">
        <f>IFERROR(__xludf.DUMMYFUNCTION("IFERROR(
  IF(
    VLOOKUP(C178, IMPORTRANGE(""gid=860555792"", ""Maestro!B:C""), 2, FALSE) = D178, 
    ""CONCILIADO"", 
    ""ERROR EN MONTO""
  ), 
  ""NO ENCONTRADO EN MAESTRO""
)"),"NO ENCONTRADO EN MAESTRO")</f>
        <v>NO ENCONTRADO EN MAESTRO</v>
      </c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ht="22.5" customHeight="1">
      <c r="A179" s="25">
        <f>IFERROR(__xludf.DUMMYFUNCTION("""COMPUTED_VALUE"""),46140.0)</f>
        <v>46140</v>
      </c>
      <c r="B179" s="15">
        <f>IFERROR(__xludf.DUMMYFUNCTION("""COMPUTED_VALUE"""),300.0)</f>
        <v>300</v>
      </c>
      <c r="C179" s="21">
        <f>IFERROR(__xludf.DUMMYFUNCTION("""COMPUTED_VALUE"""),61739.4)</f>
        <v>61739.4</v>
      </c>
      <c r="D179" s="22" t="str">
        <f>IFERROR(__xludf.DUMMYFUNCTION("""COMPUTED_VALUE"""),"VES")</f>
        <v>VES</v>
      </c>
      <c r="E179" s="22" t="str">
        <f>IFERROR(__xludf.DUMMYFUNCTION("""COMPUTED_VALUE"""),"Bancamiga")</f>
        <v>Bancamiga</v>
      </c>
      <c r="F179" s="22" t="str">
        <f>IFERROR(__xludf.DUMMYFUNCTION("""COMPUTED_VALUE"""),"INVERSIONES ARCOSOL 21, C.A.")</f>
        <v>INVERSIONES ARCOSOL 21, C.A.</v>
      </c>
      <c r="G179" s="19">
        <v>485.2251</v>
      </c>
      <c r="H179" s="13"/>
      <c r="I179" s="14">
        <f t="shared" si="1"/>
        <v>127.2386775</v>
      </c>
      <c r="J179" s="15">
        <f t="shared" si="2"/>
        <v>0</v>
      </c>
      <c r="K179" s="14">
        <f t="shared" si="3"/>
        <v>127.2386775</v>
      </c>
      <c r="L179" s="16" t="str">
        <f>IFERROR(__xludf.DUMMYFUNCTION("IFERROR(
  IF(
    VLOOKUP(C179, IMPORTRANGE(""gid=860555792"", ""Maestro!B:C""), 2, FALSE) = D179, 
    ""CONCILIADO"", 
    ""ERROR EN MONTO""
  ), 
  ""NO ENCONTRADO EN MAESTRO""
)"),"NO ENCONTRADO EN MAESTRO")</f>
        <v>NO ENCONTRADO EN MAESTRO</v>
      </c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ht="22.5" customHeight="1">
      <c r="A180" s="25">
        <f>IFERROR(__xludf.DUMMYFUNCTION("""COMPUTED_VALUE"""),46140.0)</f>
        <v>46140</v>
      </c>
      <c r="B180" s="15">
        <f>IFERROR(__xludf.DUMMYFUNCTION("""COMPUTED_VALUE"""),34.0)</f>
        <v>34</v>
      </c>
      <c r="C180" s="21">
        <f>IFERROR(__xludf.DUMMYFUNCTION("""COMPUTED_VALUE"""),50867.0)</f>
        <v>50867</v>
      </c>
      <c r="D180" s="22" t="str">
        <f>IFERROR(__xludf.DUMMYFUNCTION("""COMPUTED_VALUE"""),"VES")</f>
        <v>VES</v>
      </c>
      <c r="E180" s="22" t="str">
        <f>IFERROR(__xludf.DUMMYFUNCTION("""COMPUTED_VALUE"""),"Bancamiga")</f>
        <v>Bancamiga</v>
      </c>
      <c r="F180" s="22" t="str">
        <f>IFERROR(__xludf.DUMMYFUNCTION("""COMPUTED_VALUE"""),"Miguel Antonio Chacon")</f>
        <v>Miguel Antonio Chacon</v>
      </c>
      <c r="G180" s="19">
        <v>485.2251</v>
      </c>
      <c r="H180" s="13"/>
      <c r="I180" s="14">
        <f t="shared" si="1"/>
        <v>104.8317575</v>
      </c>
      <c r="J180" s="15">
        <f t="shared" si="2"/>
        <v>0</v>
      </c>
      <c r="K180" s="14">
        <f t="shared" si="3"/>
        <v>104.8317575</v>
      </c>
      <c r="L180" s="16" t="str">
        <f>IFERROR(__xludf.DUMMYFUNCTION("IFERROR(
  IF(
    VLOOKUP(C180, IMPORTRANGE(""gid=860555792"", ""Maestro!B:C""), 2, FALSE) = D180, 
    ""CONCILIADO"", 
    ""ERROR EN MONTO""
  ), 
  ""NO ENCONTRADO EN MAESTRO""
)"),"NO ENCONTRADO EN MAESTRO")</f>
        <v>NO ENCONTRADO EN MAESTRO</v>
      </c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ht="22.5" customHeight="1">
      <c r="A181" s="25">
        <f>IFERROR(__xludf.DUMMYFUNCTION("""COMPUTED_VALUE"""),46140.0)</f>
        <v>46140</v>
      </c>
      <c r="B181" s="15">
        <f>IFERROR(__xludf.DUMMYFUNCTION("""COMPUTED_VALUE"""),79.0)</f>
        <v>79</v>
      </c>
      <c r="C181" s="21">
        <f>IFERROR(__xludf.DUMMYFUNCTION("""COMPUTED_VALUE"""),60.0)</f>
        <v>60</v>
      </c>
      <c r="D181" s="22" t="str">
        <f>IFERROR(__xludf.DUMMYFUNCTION("""COMPUTED_VALUE"""),"USD")</f>
        <v>USD</v>
      </c>
      <c r="E181" s="22" t="str">
        <f>IFERROR(__xludf.DUMMYFUNCTION("""COMPUTED_VALUE"""),"Efectivo USD")</f>
        <v>Efectivo USD</v>
      </c>
      <c r="F181" s="22" t="str">
        <f>IFERROR(__xludf.DUMMYFUNCTION("""COMPUTED_VALUE"""),"Inversiones Vercris 17 C.A")</f>
        <v>Inversiones Vercris 17 C.A</v>
      </c>
      <c r="G181" s="19">
        <v>485.2251</v>
      </c>
      <c r="H181" s="13"/>
      <c r="I181" s="14">
        <f t="shared" si="1"/>
        <v>60</v>
      </c>
      <c r="J181" s="15">
        <f t="shared" si="2"/>
        <v>60</v>
      </c>
      <c r="K181" s="14">
        <f t="shared" si="3"/>
        <v>60</v>
      </c>
      <c r="L181" s="16" t="str">
        <f>IFERROR(__xludf.DUMMYFUNCTION("IFERROR(
  IF(
    VLOOKUP(C181, IMPORTRANGE(""gid=860555792"", ""Maestro!B:C""), 2, FALSE) = D181, 
    ""CONCILIADO"", 
    ""ERROR EN MONTO""
  ), 
  ""NO ENCONTRADO EN MAESTRO""
)"),"NO ENCONTRADO EN MAESTRO")</f>
        <v>NO ENCONTRADO EN MAESTRO</v>
      </c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ht="22.5" customHeight="1">
      <c r="A182" s="25">
        <f>IFERROR(__xludf.DUMMYFUNCTION("""COMPUTED_VALUE"""),46140.0)</f>
        <v>46140</v>
      </c>
      <c r="B182" s="15">
        <f>IFERROR(__xludf.DUMMYFUNCTION("""COMPUTED_VALUE"""),204.0)</f>
        <v>204</v>
      </c>
      <c r="C182" s="21">
        <f>IFERROR(__xludf.DUMMYFUNCTION("""COMPUTED_VALUE"""),100.0)</f>
        <v>100</v>
      </c>
      <c r="D182" s="22" t="str">
        <f>IFERROR(__xludf.DUMMYFUNCTION("""COMPUTED_VALUE"""),"USD")</f>
        <v>USD</v>
      </c>
      <c r="E182" s="22" t="str">
        <f>IFERROR(__xludf.DUMMYFUNCTION("""COMPUTED_VALUE"""),"Efectivo USD")</f>
        <v>Efectivo USD</v>
      </c>
      <c r="F182" s="22" t="str">
        <f>IFERROR(__xludf.DUMMYFUNCTION("""COMPUTED_VALUE"""),"Motolavado Yahir")</f>
        <v>Motolavado Yahir</v>
      </c>
      <c r="G182" s="19">
        <v>485.2251</v>
      </c>
      <c r="H182" s="13"/>
      <c r="I182" s="14">
        <f t="shared" si="1"/>
        <v>100</v>
      </c>
      <c r="J182" s="15">
        <f t="shared" si="2"/>
        <v>100</v>
      </c>
      <c r="K182" s="14">
        <f t="shared" si="3"/>
        <v>100</v>
      </c>
      <c r="L182" s="16" t="str">
        <f>IFERROR(__xludf.DUMMYFUNCTION("IFERROR(
  IF(
    VLOOKUP(C182, IMPORTRANGE(""gid=860555792"", ""Maestro!B:C""), 2, FALSE) = D182, 
    ""CONCILIADO"", 
    ""ERROR EN MONTO""
  ), 
  ""NO ENCONTRADO EN MAESTRO""
)"),"NO ENCONTRADO EN MAESTRO")</f>
        <v>NO ENCONTRADO EN MAESTRO</v>
      </c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ht="22.5" customHeight="1">
      <c r="A183" s="25">
        <f>IFERROR(__xludf.DUMMYFUNCTION("""COMPUTED_VALUE"""),46140.0)</f>
        <v>46140</v>
      </c>
      <c r="B183" s="15">
        <f>IFERROR(__xludf.DUMMYFUNCTION("""COMPUTED_VALUE"""),104.0)</f>
        <v>104</v>
      </c>
      <c r="C183" s="21">
        <f>IFERROR(__xludf.DUMMYFUNCTION("""COMPUTED_VALUE"""),48.0)</f>
        <v>48</v>
      </c>
      <c r="D183" s="22" t="str">
        <f>IFERROR(__xludf.DUMMYFUNCTION("""COMPUTED_VALUE"""),"USD")</f>
        <v>USD</v>
      </c>
      <c r="E183" s="22" t="str">
        <f>IFERROR(__xludf.DUMMYFUNCTION("""COMPUTED_VALUE"""),"Efectivo USD")</f>
        <v>Efectivo USD</v>
      </c>
      <c r="F183" s="22" t="str">
        <f>IFERROR(__xludf.DUMMYFUNCTION("""COMPUTED_VALUE"""),"Inversiones Brayan CT C.A")</f>
        <v>Inversiones Brayan CT C.A</v>
      </c>
      <c r="G183" s="19">
        <v>485.2251</v>
      </c>
      <c r="H183" s="13"/>
      <c r="I183" s="14">
        <f t="shared" si="1"/>
        <v>48</v>
      </c>
      <c r="J183" s="15">
        <f t="shared" si="2"/>
        <v>48</v>
      </c>
      <c r="K183" s="14">
        <f t="shared" si="3"/>
        <v>48</v>
      </c>
      <c r="L183" s="16" t="str">
        <f>IFERROR(__xludf.DUMMYFUNCTION("IFERROR(
  IF(
    VLOOKUP(C183, IMPORTRANGE(""gid=860555792"", ""Maestro!B:C""), 2, FALSE) = D183, 
    ""CONCILIADO"", 
    ""ERROR EN MONTO""
  ), 
  ""NO ENCONTRADO EN MAESTRO""
)"),"NO ENCONTRADO EN MAESTRO")</f>
        <v>NO ENCONTRADO EN MAESTRO</v>
      </c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ht="22.5" customHeight="1">
      <c r="A184" s="25">
        <f>IFERROR(__xludf.DUMMYFUNCTION("""COMPUTED_VALUE"""),46141.0)</f>
        <v>46141</v>
      </c>
      <c r="B184" s="15">
        <f>IFERROR(__xludf.DUMMYFUNCTION("""COMPUTED_VALUE"""),149.0)</f>
        <v>149</v>
      </c>
      <c r="C184" s="21">
        <f>IFERROR(__xludf.DUMMYFUNCTION("""COMPUTED_VALUE"""),300.0)</f>
        <v>300</v>
      </c>
      <c r="D184" s="22" t="str">
        <f>IFERROR(__xludf.DUMMYFUNCTION("""COMPUTED_VALUE"""),"USD")</f>
        <v>USD</v>
      </c>
      <c r="E184" s="22" t="str">
        <f>IFERROR(__xludf.DUMMYFUNCTION("""COMPUTED_VALUE"""),"Binance")</f>
        <v>Binance</v>
      </c>
      <c r="F184" s="22">
        <f>IFERROR(__xludf.DUMMYFUNCTION("""COMPUTED_VALUE"""),8.0)</f>
        <v>8</v>
      </c>
      <c r="G184" s="19">
        <v>485.2251</v>
      </c>
      <c r="H184" s="13"/>
      <c r="I184" s="14">
        <f t="shared" si="1"/>
        <v>300</v>
      </c>
      <c r="J184" s="15">
        <f t="shared" si="2"/>
        <v>300</v>
      </c>
      <c r="K184" s="14">
        <f t="shared" si="3"/>
        <v>300</v>
      </c>
      <c r="L184" s="16" t="str">
        <f>IFERROR(__xludf.DUMMYFUNCTION("IFERROR(
  IF(
    VLOOKUP(C184, IMPORTRANGE(""gid=860555792"", ""Maestro!B:C""), 2, FALSE) = D184, 
    ""CONCILIADO"", 
    ""ERROR EN MONTO""
  ), 
  ""NO ENCONTRADO EN MAESTRO""
)"),"NO ENCONTRADO EN MAESTRO")</f>
        <v>NO ENCONTRADO EN MAESTRO</v>
      </c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ht="22.5" customHeight="1">
      <c r="A185" s="25">
        <f>IFERROR(__xludf.DUMMYFUNCTION("""COMPUTED_VALUE"""),46141.0)</f>
        <v>46141</v>
      </c>
      <c r="B185" s="15">
        <f>IFERROR(__xludf.DUMMYFUNCTION("""COMPUTED_VALUE"""),62.0)</f>
        <v>62</v>
      </c>
      <c r="C185" s="21">
        <f>IFERROR(__xludf.DUMMYFUNCTION("""COMPUTED_VALUE"""),300.0)</f>
        <v>300</v>
      </c>
      <c r="D185" s="22" t="str">
        <f>IFERROR(__xludf.DUMMYFUNCTION("""COMPUTED_VALUE"""),"USD")</f>
        <v>USD</v>
      </c>
      <c r="E185" s="22" t="str">
        <f>IFERROR(__xludf.DUMMYFUNCTION("""COMPUTED_VALUE"""),"Zelle")</f>
        <v>Zelle</v>
      </c>
      <c r="F185" s="22" t="str">
        <f>IFERROR(__xludf.DUMMYFUNCTION("""COMPUTED_VALUE"""),"SJMG 2012 C.A")</f>
        <v>SJMG 2012 C.A</v>
      </c>
      <c r="G185" s="19">
        <v>486.1955</v>
      </c>
      <c r="H185" s="13"/>
      <c r="I185" s="14">
        <f t="shared" si="1"/>
        <v>300</v>
      </c>
      <c r="J185" s="15">
        <f t="shared" si="2"/>
        <v>300</v>
      </c>
      <c r="K185" s="14">
        <f t="shared" si="3"/>
        <v>300</v>
      </c>
      <c r="L185" s="16" t="str">
        <f>IFERROR(__xludf.DUMMYFUNCTION("IFERROR(
  IF(
    VLOOKUP(C185, IMPORTRANGE(""gid=860555792"", ""Maestro!B:C""), 2, FALSE) = D185, 
    ""CONCILIADO"", 
    ""ERROR EN MONTO""
  ), 
  ""NO ENCONTRADO EN MAESTRO""
)"),"NO ENCONTRADO EN MAESTRO")</f>
        <v>NO ENCONTRADO EN MAESTRO</v>
      </c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ht="22.5" customHeight="1">
      <c r="A186" s="25">
        <f>IFERROR(__xludf.DUMMYFUNCTION("""COMPUTED_VALUE"""),46135.0)</f>
        <v>46135</v>
      </c>
      <c r="B186" s="15">
        <f>IFERROR(__xludf.DUMMYFUNCTION("""COMPUTED_VALUE"""),86.0)</f>
        <v>86</v>
      </c>
      <c r="C186" s="21">
        <f>IFERROR(__xludf.DUMMYFUNCTION("""COMPUTED_VALUE"""),30000.0)</f>
        <v>30000</v>
      </c>
      <c r="D186" s="22" t="str">
        <f>IFERROR(__xludf.DUMMYFUNCTION("""COMPUTED_VALUE"""),"VES")</f>
        <v>VES</v>
      </c>
      <c r="E186" s="22" t="str">
        <f>IFERROR(__xludf.DUMMYFUNCTION("""COMPUTED_VALUE"""),"Bancamiga")</f>
        <v>Bancamiga</v>
      </c>
      <c r="F186" s="22" t="str">
        <f>IFERROR(__xludf.DUMMYFUNCTION("""COMPUTED_VALUE"""),"Wuilliams bastidas")</f>
        <v>Wuilliams bastidas</v>
      </c>
      <c r="G186" s="19">
        <v>486.1955</v>
      </c>
      <c r="H186" s="13"/>
      <c r="I186" s="14">
        <f t="shared" si="1"/>
        <v>61.70357397</v>
      </c>
      <c r="J186" s="15">
        <f t="shared" si="2"/>
        <v>0</v>
      </c>
      <c r="K186" s="14">
        <f t="shared" si="3"/>
        <v>61.70357397</v>
      </c>
      <c r="L186" s="16" t="str">
        <f>IFERROR(__xludf.DUMMYFUNCTION("IFERROR(
  IF(
    VLOOKUP(C186, IMPORTRANGE(""gid=860555792"", ""Maestro!B:C""), 2, FALSE) = D186, 
    ""CONCILIADO"", 
    ""ERROR EN MONTO""
  ), 
  ""NO ENCONTRADO EN MAESTRO""
)"),"NO ENCONTRADO EN MAESTRO")</f>
        <v>NO ENCONTRADO EN MAESTRO</v>
      </c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ht="22.5" customHeight="1">
      <c r="A187" s="25">
        <f>IFERROR(__xludf.DUMMYFUNCTION("""COMPUTED_VALUE"""),46141.0)</f>
        <v>46141</v>
      </c>
      <c r="B187" s="15">
        <f>IFERROR(__xludf.DUMMYFUNCTION("""COMPUTED_VALUE"""),230.0)</f>
        <v>230</v>
      </c>
      <c r="C187" s="21">
        <f>IFERROR(__xludf.DUMMYFUNCTION("""COMPUTED_VALUE"""),260112.0)</f>
        <v>260112</v>
      </c>
      <c r="D187" s="22" t="str">
        <f>IFERROR(__xludf.DUMMYFUNCTION("""COMPUTED_VALUE"""),"VES")</f>
        <v>VES</v>
      </c>
      <c r="E187" s="22" t="str">
        <f>IFERROR(__xludf.DUMMYFUNCTION("""COMPUTED_VALUE"""),"Bancamiga")</f>
        <v>Bancamiga</v>
      </c>
      <c r="F187" s="22" t="str">
        <f>IFERROR(__xludf.DUMMYFUNCTION("""COMPUTED_VALUE"""),"E&amp;M CAR SHOP C.A")</f>
        <v>E&amp;M CAR SHOP C.A</v>
      </c>
      <c r="G187" s="19">
        <v>483.3397</v>
      </c>
      <c r="H187" s="13"/>
      <c r="I187" s="14">
        <f t="shared" si="1"/>
        <v>538.1556698</v>
      </c>
      <c r="J187" s="15">
        <f t="shared" si="2"/>
        <v>0</v>
      </c>
      <c r="K187" s="14">
        <f t="shared" si="3"/>
        <v>538.1556698</v>
      </c>
      <c r="L187" s="16" t="str">
        <f>IFERROR(__xludf.DUMMYFUNCTION("IFERROR(
  IF(
    VLOOKUP(C187, IMPORTRANGE(""gid=860555792"", ""Maestro!B:C""), 2, FALSE) = D187, 
    ""CONCILIADO"", 
    ""ERROR EN MONTO""
  ), 
  ""NO ENCONTRADO EN MAESTRO""
)"),"NO ENCONTRADO EN MAESTRO")</f>
        <v>NO ENCONTRADO EN MAESTRO</v>
      </c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ht="22.5" customHeight="1">
      <c r="A188" s="25">
        <f>IFERROR(__xludf.DUMMYFUNCTION("""COMPUTED_VALUE"""),46141.0)</f>
        <v>46141</v>
      </c>
      <c r="B188" s="15">
        <f>IFERROR(__xludf.DUMMYFUNCTION("""COMPUTED_VALUE"""),164.0)</f>
        <v>164</v>
      </c>
      <c r="C188" s="21">
        <f>IFERROR(__xludf.DUMMYFUNCTION("""COMPUTED_VALUE"""),180.0)</f>
        <v>180</v>
      </c>
      <c r="D188" s="22" t="str">
        <f>IFERROR(__xludf.DUMMYFUNCTION("""COMPUTED_VALUE"""),"USD")</f>
        <v>USD</v>
      </c>
      <c r="E188" s="22" t="str">
        <f>IFERROR(__xludf.DUMMYFUNCTION("""COMPUTED_VALUE"""),"Efectivo USD")</f>
        <v>Efectivo USD</v>
      </c>
      <c r="F188" s="22" t="str">
        <f>IFERROR(__xludf.DUMMYFUNCTION("""COMPUTED_VALUE"""),"INVERSIONES IRETE SUKA, C.A")</f>
        <v>INVERSIONES IRETE SUKA, C.A</v>
      </c>
      <c r="G188" s="19">
        <v>486.1955</v>
      </c>
      <c r="H188" s="13"/>
      <c r="I188" s="14">
        <f t="shared" si="1"/>
        <v>180</v>
      </c>
      <c r="J188" s="15">
        <f t="shared" si="2"/>
        <v>180</v>
      </c>
      <c r="K188" s="14">
        <f t="shared" si="3"/>
        <v>180</v>
      </c>
      <c r="L188" s="16" t="str">
        <f>IFERROR(__xludf.DUMMYFUNCTION("IFERROR(
  IF(
    VLOOKUP(C188, IMPORTRANGE(""gid=860555792"", ""Maestro!B:C""), 2, FALSE) = D188, 
    ""CONCILIADO"", 
    ""ERROR EN MONTO""
  ), 
  ""NO ENCONTRADO EN MAESTRO""
)"),"NO ENCONTRADO EN MAESTRO")</f>
        <v>NO ENCONTRADO EN MAESTRO</v>
      </c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ht="22.5" customHeight="1">
      <c r="A189" s="25">
        <f>IFERROR(__xludf.DUMMYFUNCTION("""COMPUTED_VALUE"""),46141.0)</f>
        <v>46141</v>
      </c>
      <c r="B189" s="26">
        <f>IFERROR(__xludf.DUMMYFUNCTION("""COMPUTED_VALUE"""),130.0)</f>
        <v>130</v>
      </c>
      <c r="C189" s="21">
        <f>IFERROR(__xludf.DUMMYFUNCTION("""COMPUTED_VALUE"""),565.0)</f>
        <v>565</v>
      </c>
      <c r="D189" s="22" t="str">
        <f>IFERROR(__xludf.DUMMYFUNCTION("""COMPUTED_VALUE"""),"USD")</f>
        <v>USD</v>
      </c>
      <c r="E189" s="22" t="str">
        <f>IFERROR(__xludf.DUMMYFUNCTION("""COMPUTED_VALUE"""),"Efectivo USD")</f>
        <v>Efectivo USD</v>
      </c>
      <c r="F189" s="22" t="str">
        <f>IFERROR(__xludf.DUMMYFUNCTION("""COMPUTED_VALUE"""),"TALLER TNMCAR, C.A")</f>
        <v>TALLER TNMCAR, C.A</v>
      </c>
      <c r="G189" s="19">
        <v>486.1955</v>
      </c>
      <c r="H189" s="13"/>
      <c r="I189" s="14">
        <f t="shared" si="1"/>
        <v>565</v>
      </c>
      <c r="J189" s="15">
        <f t="shared" si="2"/>
        <v>565</v>
      </c>
      <c r="K189" s="14">
        <f t="shared" si="3"/>
        <v>565</v>
      </c>
      <c r="L189" s="16" t="str">
        <f>IFERROR(__xludf.DUMMYFUNCTION("IFERROR(
  IF(
    VLOOKUP(C189, IMPORTRANGE(""gid=860555792"", ""Maestro!B:C""), 2, FALSE) = D189, 
    ""CONCILIADO"", 
    ""ERROR EN MONTO""
  ), 
  ""NO ENCONTRADO EN MAESTRO""
)"),"NO ENCONTRADO EN MAESTRO")</f>
        <v>NO ENCONTRADO EN MAESTRO</v>
      </c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ht="22.5" customHeight="1">
      <c r="A190" s="25">
        <f>IFERROR(__xludf.DUMMYFUNCTION("""COMPUTED_VALUE"""),46141.0)</f>
        <v>46141</v>
      </c>
      <c r="B190" s="15">
        <f>IFERROR(__xludf.DUMMYFUNCTION("""COMPUTED_VALUE"""),141.0)</f>
        <v>141</v>
      </c>
      <c r="C190" s="21">
        <f>IFERROR(__xludf.DUMMYFUNCTION("""COMPUTED_VALUE"""),50.0)</f>
        <v>50</v>
      </c>
      <c r="D190" s="22" t="str">
        <f>IFERROR(__xludf.DUMMYFUNCTION("""COMPUTED_VALUE"""),"USD")</f>
        <v>USD</v>
      </c>
      <c r="E190" s="22" t="str">
        <f>IFERROR(__xludf.DUMMYFUNCTION("""COMPUTED_VALUE"""),"Efectivo USD")</f>
        <v>Efectivo USD</v>
      </c>
      <c r="F190" s="22" t="str">
        <f>IFERROR(__xludf.DUMMYFUNCTION("""COMPUTED_VALUE"""),"Yulendri Carolina Pineda Blanco")</f>
        <v>Yulendri Carolina Pineda Blanco</v>
      </c>
      <c r="G190" s="19">
        <v>486.1955</v>
      </c>
      <c r="H190" s="13"/>
      <c r="I190" s="14">
        <f t="shared" si="1"/>
        <v>50</v>
      </c>
      <c r="J190" s="15">
        <f t="shared" si="2"/>
        <v>50</v>
      </c>
      <c r="K190" s="14">
        <f t="shared" si="3"/>
        <v>50</v>
      </c>
      <c r="L190" s="16" t="str">
        <f>IFERROR(__xludf.DUMMYFUNCTION("IFERROR(
  IF(
    VLOOKUP(C190, IMPORTRANGE(""gid=860555792"", ""Maestro!B:C""), 2, FALSE) = D190, 
    ""CONCILIADO"", 
    ""ERROR EN MONTO""
  ), 
  ""NO ENCONTRADO EN MAESTRO""
)"),"NO ENCONTRADO EN MAESTRO")</f>
        <v>NO ENCONTRADO EN MAESTRO</v>
      </c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ht="22.5" customHeight="1">
      <c r="A191" s="25">
        <f>IFERROR(__xludf.DUMMYFUNCTION("""COMPUTED_VALUE"""),46141.0)</f>
        <v>46141</v>
      </c>
      <c r="B191" s="15">
        <f>IFERROR(__xludf.DUMMYFUNCTION("""COMPUTED_VALUE"""),153.0)</f>
        <v>153</v>
      </c>
      <c r="C191" s="21">
        <f>IFERROR(__xludf.DUMMYFUNCTION("""COMPUTED_VALUE"""),26.0)</f>
        <v>26</v>
      </c>
      <c r="D191" s="22" t="str">
        <f>IFERROR(__xludf.DUMMYFUNCTION("""COMPUTED_VALUE"""),"USD")</f>
        <v>USD</v>
      </c>
      <c r="E191" s="22" t="str">
        <f>IFERROR(__xludf.DUMMYFUNCTION("""COMPUTED_VALUE"""),"Efectivo USD")</f>
        <v>Efectivo USD</v>
      </c>
      <c r="F191" s="22" t="str">
        <f>IFERROR(__xludf.DUMMYFUNCTION("""COMPUTED_VALUE"""),"Emprendimiento Yeizon Villaroel")</f>
        <v>Emprendimiento Yeizon Villaroel</v>
      </c>
      <c r="G191" s="19">
        <v>486.1955</v>
      </c>
      <c r="H191" s="13"/>
      <c r="I191" s="14">
        <f t="shared" si="1"/>
        <v>26</v>
      </c>
      <c r="J191" s="15">
        <f t="shared" si="2"/>
        <v>26</v>
      </c>
      <c r="K191" s="14">
        <f t="shared" si="3"/>
        <v>26</v>
      </c>
      <c r="L191" s="16" t="str">
        <f>IFERROR(__xludf.DUMMYFUNCTION("IFERROR(
  IF(
    VLOOKUP(C191, IMPORTRANGE(""gid=860555792"", ""Maestro!B:C""), 2, FALSE) = D191, 
    ""CONCILIADO"", 
    ""ERROR EN MONTO""
  ), 
  ""NO ENCONTRADO EN MAESTRO""
)"),"NO ENCONTRADO EN MAESTRO")</f>
        <v>NO ENCONTRADO EN MAESTRO</v>
      </c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ht="22.5" customHeight="1">
      <c r="A192" s="25">
        <f>IFERROR(__xludf.DUMMYFUNCTION("""COMPUTED_VALUE"""),46141.0)</f>
        <v>46141</v>
      </c>
      <c r="B192" s="15">
        <f>IFERROR(__xludf.DUMMYFUNCTION("""COMPUTED_VALUE"""),101.0)</f>
        <v>101</v>
      </c>
      <c r="C192" s="21">
        <f>IFERROR(__xludf.DUMMYFUNCTION("""COMPUTED_VALUE"""),20.0)</f>
        <v>20</v>
      </c>
      <c r="D192" s="22" t="str">
        <f>IFERROR(__xludf.DUMMYFUNCTION("""COMPUTED_VALUE"""),"USD")</f>
        <v>USD</v>
      </c>
      <c r="E192" s="22" t="str">
        <f>IFERROR(__xludf.DUMMYFUNCTION("""COMPUTED_VALUE"""),"Efectivo USD")</f>
        <v>Efectivo USD</v>
      </c>
      <c r="F192" s="22" t="str">
        <f>IFERROR(__xludf.DUMMYFUNCTION("""COMPUTED_VALUE"""),"INVERSIONES JOSCAR XXI, S.A.")</f>
        <v>INVERSIONES JOSCAR XXI, S.A.</v>
      </c>
      <c r="G192" s="19">
        <v>486.1955</v>
      </c>
      <c r="H192" s="13"/>
      <c r="I192" s="14">
        <f t="shared" si="1"/>
        <v>20</v>
      </c>
      <c r="J192" s="15">
        <f t="shared" si="2"/>
        <v>20</v>
      </c>
      <c r="K192" s="14">
        <f t="shared" si="3"/>
        <v>20</v>
      </c>
      <c r="L192" s="16" t="str">
        <f>IFERROR(__xludf.DUMMYFUNCTION("IFERROR(
  IF(
    VLOOKUP(C192, IMPORTRANGE(""gid=860555792"", ""Maestro!B:C""), 2, FALSE) = D192, 
    ""CONCILIADO"", 
    ""ERROR EN MONTO""
  ), 
  ""NO ENCONTRADO EN MAESTRO""
)"),"NO ENCONTRADO EN MAESTRO")</f>
        <v>NO ENCONTRADO EN MAESTRO</v>
      </c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ht="22.5" customHeight="1">
      <c r="A193" s="25">
        <f>IFERROR(__xludf.DUMMYFUNCTION("""COMPUTED_VALUE"""),46141.0)</f>
        <v>46141</v>
      </c>
      <c r="B193" s="15">
        <f>IFERROR(__xludf.DUMMYFUNCTION("""COMPUTED_VALUE"""),126.0)</f>
        <v>126</v>
      </c>
      <c r="C193" s="21">
        <f>IFERROR(__xludf.DUMMYFUNCTION("""COMPUTED_VALUE"""),250.0)</f>
        <v>250</v>
      </c>
      <c r="D193" s="22" t="str">
        <f>IFERROR(__xludf.DUMMYFUNCTION("""COMPUTED_VALUE"""),"USD")</f>
        <v>USD</v>
      </c>
      <c r="E193" s="22" t="str">
        <f>IFERROR(__xludf.DUMMYFUNCTION("""COMPUTED_VALUE"""),"Efectivo USD")</f>
        <v>Efectivo USD</v>
      </c>
      <c r="F193" s="22" t="str">
        <f>IFERROR(__xludf.DUMMYFUNCTION("""COMPUTED_VALUE"""),"Victor Ordaz")</f>
        <v>Victor Ordaz</v>
      </c>
      <c r="G193" s="19">
        <v>486.1955</v>
      </c>
      <c r="H193" s="13"/>
      <c r="I193" s="14">
        <f t="shared" si="1"/>
        <v>250</v>
      </c>
      <c r="J193" s="15">
        <f t="shared" si="2"/>
        <v>250</v>
      </c>
      <c r="K193" s="14">
        <f t="shared" si="3"/>
        <v>250</v>
      </c>
      <c r="L193" s="16" t="str">
        <f>IFERROR(__xludf.DUMMYFUNCTION("IFERROR(
  IF(
    VLOOKUP(C193, IMPORTRANGE(""gid=860555792"", ""Maestro!B:C""), 2, FALSE) = D193, 
    ""CONCILIADO"", 
    ""ERROR EN MONTO""
  ), 
  ""NO ENCONTRADO EN MAESTRO""
)"),"NO ENCONTRADO EN MAESTRO")</f>
        <v>NO ENCONTRADO EN MAESTRO</v>
      </c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ht="22.5" customHeight="1">
      <c r="A194" s="25">
        <f>IFERROR(__xludf.DUMMYFUNCTION("""COMPUTED_VALUE"""),46141.0)</f>
        <v>46141</v>
      </c>
      <c r="B194" s="15">
        <f>IFERROR(__xludf.DUMMYFUNCTION("""COMPUTED_VALUE"""),82.0)</f>
        <v>82</v>
      </c>
      <c r="C194" s="21">
        <f>IFERROR(__xludf.DUMMYFUNCTION("""COMPUTED_VALUE"""),140.0)</f>
        <v>140</v>
      </c>
      <c r="D194" s="22" t="str">
        <f>IFERROR(__xludf.DUMMYFUNCTION("""COMPUTED_VALUE"""),"USD")</f>
        <v>USD</v>
      </c>
      <c r="E194" s="22" t="str">
        <f>IFERROR(__xludf.DUMMYFUNCTION("""COMPUTED_VALUE"""),"Efectivo USD")</f>
        <v>Efectivo USD</v>
      </c>
      <c r="F194" s="22" t="str">
        <f>IFERROR(__xludf.DUMMYFUNCTION("""COMPUTED_VALUE"""),"Pedro Castro")</f>
        <v>Pedro Castro</v>
      </c>
      <c r="G194" s="19">
        <v>486.1955</v>
      </c>
      <c r="H194" s="13"/>
      <c r="I194" s="14">
        <f t="shared" si="1"/>
        <v>140</v>
      </c>
      <c r="J194" s="15">
        <f t="shared" si="2"/>
        <v>140</v>
      </c>
      <c r="K194" s="14">
        <f t="shared" si="3"/>
        <v>140</v>
      </c>
      <c r="L194" s="16" t="str">
        <f>IFERROR(__xludf.DUMMYFUNCTION("IFERROR(
  IF(
    VLOOKUP(C194, IMPORTRANGE(""gid=860555792"", ""Maestro!B:C""), 2, FALSE) = D194, 
    ""CONCILIADO"", 
    ""ERROR EN MONTO""
  ), 
  ""NO ENCONTRADO EN MAESTRO""
)"),"NO ENCONTRADO EN MAESTRO")</f>
        <v>NO ENCONTRADO EN MAESTRO</v>
      </c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ht="22.5" customHeight="1">
      <c r="A195" s="25">
        <f>IFERROR(__xludf.DUMMYFUNCTION("""COMPUTED_VALUE"""),46129.0)</f>
        <v>46129</v>
      </c>
      <c r="B195" s="15">
        <f>IFERROR(__xludf.DUMMYFUNCTION("""COMPUTED_VALUE"""),15.0)</f>
        <v>15</v>
      </c>
      <c r="C195" s="21">
        <f>IFERROR(__xludf.DUMMYFUNCTION("""COMPUTED_VALUE"""),346682.53)</f>
        <v>346682.53</v>
      </c>
      <c r="D195" s="22" t="str">
        <f>IFERROR(__xludf.DUMMYFUNCTION("""COMPUTED_VALUE"""),"VES")</f>
        <v>VES</v>
      </c>
      <c r="E195" s="22" t="str">
        <f>IFERROR(__xludf.DUMMYFUNCTION("""COMPUTED_VALUE"""),"Bancamiga")</f>
        <v>Bancamiga</v>
      </c>
      <c r="F195" s="22" t="str">
        <f>IFERROR(__xludf.DUMMYFUNCTION("""COMPUTED_VALUE"""),"SERVICIOS Y MANTENIMIENTO SPACARS, C.A")</f>
        <v>SERVICIOS Y MANTENIMIENTO SPACARS, C.A</v>
      </c>
      <c r="G195" s="19">
        <v>486.1955</v>
      </c>
      <c r="H195" s="13"/>
      <c r="I195" s="14">
        <f t="shared" si="1"/>
        <v>713.0517045</v>
      </c>
      <c r="J195" s="15">
        <f t="shared" si="2"/>
        <v>0</v>
      </c>
      <c r="K195" s="14">
        <f t="shared" si="3"/>
        <v>713.0517045</v>
      </c>
      <c r="L195" s="16" t="str">
        <f>IFERROR(__xludf.DUMMYFUNCTION("IFERROR(
  IF(
    VLOOKUP(C195, IMPORTRANGE(""gid=860555792"", ""Maestro!B:C""), 2, FALSE) = D195, 
    ""CONCILIADO"", 
    ""ERROR EN MONTO""
  ), 
  ""NO ENCONTRADO EN MAESTRO""
)"),"NO ENCONTRADO EN MAESTRO")</f>
        <v>NO ENCONTRADO EN MAESTRO</v>
      </c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ht="22.5" customHeight="1">
      <c r="A196" s="25">
        <f>IFERROR(__xludf.DUMMYFUNCTION("""COMPUTED_VALUE"""),46142.0)</f>
        <v>46142</v>
      </c>
      <c r="B196" s="15">
        <f>IFERROR(__xludf.DUMMYFUNCTION("""COMPUTED_VALUE"""),54.0)</f>
        <v>54</v>
      </c>
      <c r="C196" s="21">
        <f>IFERROR(__xludf.DUMMYFUNCTION("""COMPUTED_VALUE"""),22790.4)</f>
        <v>22790.4</v>
      </c>
      <c r="D196" s="22" t="str">
        <f>IFERROR(__xludf.DUMMYFUNCTION("""COMPUTED_VALUE"""),"VES")</f>
        <v>VES</v>
      </c>
      <c r="E196" s="22" t="str">
        <f>IFERROR(__xludf.DUMMYFUNCTION("""COMPUTED_VALUE"""),"Bancamiga")</f>
        <v>Bancamiga</v>
      </c>
      <c r="F196" s="22" t="str">
        <f>IFERROR(__xludf.DUMMYFUNCTION("""COMPUTED_VALUE"""),"Corporación Lubricantes 7ma Av.C.A")</f>
        <v>Corporación Lubricantes 7ma Av.C.A</v>
      </c>
      <c r="G196" s="19">
        <v>480.2572</v>
      </c>
      <c r="H196" s="13"/>
      <c r="I196" s="14">
        <f t="shared" si="1"/>
        <v>47.45457226</v>
      </c>
      <c r="J196" s="15">
        <f t="shared" si="2"/>
        <v>0</v>
      </c>
      <c r="K196" s="14">
        <f t="shared" si="3"/>
        <v>47.45457226</v>
      </c>
      <c r="L196" s="16" t="str">
        <f>IFERROR(__xludf.DUMMYFUNCTION("IFERROR(
  IF(
    VLOOKUP(C196, IMPORTRANGE(""gid=860555792"", ""Maestro!B:C""), 2, FALSE) = D196, 
    ""CONCILIADO"", 
    ""ERROR EN MONTO""
  ), 
  ""NO ENCONTRADO EN MAESTRO""
)"),"NO ENCONTRADO EN MAESTRO")</f>
        <v>NO ENCONTRADO EN MAESTRO</v>
      </c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ht="22.5" customHeight="1">
      <c r="A197" s="25">
        <f>IFERROR(__xludf.DUMMYFUNCTION("""COMPUTED_VALUE"""),46142.0)</f>
        <v>46142</v>
      </c>
      <c r="B197" s="15">
        <f>IFERROR(__xludf.DUMMYFUNCTION("""COMPUTED_VALUE"""),53.0)</f>
        <v>53</v>
      </c>
      <c r="C197" s="27">
        <f>IFERROR(__xludf.DUMMYFUNCTION("""COMPUTED_VALUE"""),56976.38)</f>
        <v>56976.38</v>
      </c>
      <c r="D197" s="22" t="str">
        <f>IFERROR(__xludf.DUMMYFUNCTION("""COMPUTED_VALUE"""),"VES")</f>
        <v>VES</v>
      </c>
      <c r="E197" s="22" t="str">
        <f>IFERROR(__xludf.DUMMYFUNCTION("""COMPUTED_VALUE"""),"Bancamiga")</f>
        <v>Bancamiga</v>
      </c>
      <c r="F197" s="22" t="str">
        <f>IFERROR(__xludf.DUMMYFUNCTION("""COMPUTED_VALUE"""),"INVERSIONES MI 'LINDA YEMAIRE 2019, C.A")</f>
        <v>INVERSIONES MI 'LINDA YEMAIRE 2019, C.A</v>
      </c>
      <c r="G197" s="19">
        <v>487.1192</v>
      </c>
      <c r="H197" s="13"/>
      <c r="I197" s="14">
        <f t="shared" si="1"/>
        <v>116.9659911</v>
      </c>
      <c r="J197" s="15">
        <f t="shared" si="2"/>
        <v>0</v>
      </c>
      <c r="K197" s="14">
        <f t="shared" si="3"/>
        <v>116.9659911</v>
      </c>
      <c r="L197" s="16" t="str">
        <f>IFERROR(__xludf.DUMMYFUNCTION("IFERROR(
  IF(
    VLOOKUP(C197, IMPORTRANGE(""gid=860555792"", ""Maestro!B:C""), 2, FALSE) = D197, 
    ""CONCILIADO"", 
    ""ERROR EN MONTO""
  ), 
  ""NO ENCONTRADO EN MAESTRO""
)"),"NO ENCONTRADO EN MAESTRO")</f>
        <v>NO ENCONTRADO EN MAESTRO</v>
      </c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ht="22.5" customHeight="1">
      <c r="A198" s="25">
        <f>IFERROR(__xludf.DUMMYFUNCTION("""COMPUTED_VALUE"""),46142.0)</f>
        <v>46142</v>
      </c>
      <c r="B198" s="15">
        <f>IFERROR(__xludf.DUMMYFUNCTION("""COMPUTED_VALUE"""),101.0)</f>
        <v>101</v>
      </c>
      <c r="C198" s="21">
        <f>IFERROR(__xludf.DUMMYFUNCTION("""COMPUTED_VALUE"""),35.0)</f>
        <v>35</v>
      </c>
      <c r="D198" s="22" t="str">
        <f>IFERROR(__xludf.DUMMYFUNCTION("""COMPUTED_VALUE"""),"USD")</f>
        <v>USD</v>
      </c>
      <c r="E198" s="22" t="str">
        <f>IFERROR(__xludf.DUMMYFUNCTION("""COMPUTED_VALUE"""),"Efectivo USD")</f>
        <v>Efectivo USD</v>
      </c>
      <c r="F198" s="22" t="str">
        <f>IFERROR(__xludf.DUMMYFUNCTION("""COMPUTED_VALUE"""),"INVERSIONES JOSCAR XXI, S.A.")</f>
        <v>INVERSIONES JOSCAR XXI, S.A.</v>
      </c>
      <c r="G198" s="19">
        <v>487.1192</v>
      </c>
      <c r="H198" s="13"/>
      <c r="I198" s="14">
        <f t="shared" si="1"/>
        <v>35</v>
      </c>
      <c r="J198" s="15">
        <f t="shared" si="2"/>
        <v>35</v>
      </c>
      <c r="K198" s="14">
        <f t="shared" si="3"/>
        <v>35</v>
      </c>
      <c r="L198" s="16" t="str">
        <f>IFERROR(__xludf.DUMMYFUNCTION("IFERROR(
  IF(
    VLOOKUP(C198, IMPORTRANGE(""gid=860555792"", ""Maestro!B:C""), 2, FALSE) = D198, 
    ""CONCILIADO"", 
    ""ERROR EN MONTO""
  ), 
  ""NO ENCONTRADO EN MAESTRO""
)"),"NO ENCONTRADO EN MAESTRO")</f>
        <v>NO ENCONTRADO EN MAESTRO</v>
      </c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ht="22.5" customHeight="1">
      <c r="A199" s="25">
        <f>IFERROR(__xludf.DUMMYFUNCTION("""COMPUTED_VALUE"""),46142.0)</f>
        <v>46142</v>
      </c>
      <c r="B199" s="15">
        <f>IFERROR(__xludf.DUMMYFUNCTION("""COMPUTED_VALUE"""),303.0)</f>
        <v>303</v>
      </c>
      <c r="C199" s="21">
        <f>IFERROR(__xludf.DUMMYFUNCTION("""COMPUTED_VALUE"""),188.0)</f>
        <v>188</v>
      </c>
      <c r="D199" s="22" t="str">
        <f>IFERROR(__xludf.DUMMYFUNCTION("""COMPUTED_VALUE"""),"USD")</f>
        <v>USD</v>
      </c>
      <c r="E199" s="22" t="str">
        <f>IFERROR(__xludf.DUMMYFUNCTION("""COMPUTED_VALUE"""),"Efectivo USD")</f>
        <v>Efectivo USD</v>
      </c>
      <c r="F199" s="22" t="str">
        <f>IFERROR(__xludf.DUMMYFUNCTION("""COMPUTED_VALUE"""),"EMPRENDIMIENTO IRMA RODRIGUEZ 6")</f>
        <v>EMPRENDIMIENTO IRMA RODRIGUEZ 6</v>
      </c>
      <c r="G199" s="19">
        <v>569.7638</v>
      </c>
      <c r="H199" s="13"/>
      <c r="I199" s="14">
        <f t="shared" si="1"/>
        <v>188</v>
      </c>
      <c r="J199" s="15">
        <f t="shared" si="2"/>
        <v>188</v>
      </c>
      <c r="K199" s="14">
        <f t="shared" si="3"/>
        <v>188</v>
      </c>
      <c r="L199" s="16" t="str">
        <f>IFERROR(__xludf.DUMMYFUNCTION("IFERROR(
  IF(
    VLOOKUP(C199, IMPORTRANGE(""gid=860555792"", ""Maestro!B:C""), 2, FALSE) = D199, 
    ""CONCILIADO"", 
    ""ERROR EN MONTO""
  ), 
  ""NO ENCONTRADO EN MAESTRO""
)"),"NO ENCONTRADO EN MAESTRO")</f>
        <v>NO ENCONTRADO EN MAESTRO</v>
      </c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ht="22.5" customHeight="1">
      <c r="A200" s="25">
        <f>IFERROR(__xludf.DUMMYFUNCTION("""COMPUTED_VALUE"""),46142.0)</f>
        <v>46142</v>
      </c>
      <c r="B200" s="15">
        <f>IFERROR(__xludf.DUMMYFUNCTION("""COMPUTED_VALUE"""),220.0)</f>
        <v>220</v>
      </c>
      <c r="C200" s="21">
        <f>IFERROR(__xludf.DUMMYFUNCTION("""COMPUTED_VALUE"""),111.0)</f>
        <v>111</v>
      </c>
      <c r="D200" s="22" t="str">
        <f>IFERROR(__xludf.DUMMYFUNCTION("""COMPUTED_VALUE"""),"USD")</f>
        <v>USD</v>
      </c>
      <c r="E200" s="22" t="str">
        <f>IFERROR(__xludf.DUMMYFUNCTION("""COMPUTED_VALUE"""),"Efectivo USD")</f>
        <v>Efectivo USD</v>
      </c>
      <c r="F200" s="22" t="str">
        <f>IFERROR(__xludf.DUMMYFUNCTION("""COMPUTED_VALUE"""),"HIDRAULICAS CAICEDO C.A.")</f>
        <v>HIDRAULICAS CAICEDO C.A.</v>
      </c>
      <c r="G200" s="19">
        <v>487.1192</v>
      </c>
      <c r="H200" s="13"/>
      <c r="I200" s="14">
        <f t="shared" si="1"/>
        <v>111</v>
      </c>
      <c r="J200" s="15">
        <f t="shared" si="2"/>
        <v>111</v>
      </c>
      <c r="K200" s="14">
        <f t="shared" si="3"/>
        <v>111</v>
      </c>
      <c r="L200" s="16" t="str">
        <f>IFERROR(__xludf.DUMMYFUNCTION("IFERROR(
  IF(
    VLOOKUP(C200, IMPORTRANGE(""gid=860555792"", ""Maestro!B:C""), 2, FALSE) = D200, 
    ""CONCILIADO"", 
    ""ERROR EN MONTO""
  ), 
  ""NO ENCONTRADO EN MAESTRO""
)"),"NO ENCONTRADO EN MAESTRO")</f>
        <v>NO ENCONTRADO EN MAESTRO</v>
      </c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ht="22.5" customHeight="1">
      <c r="A201" s="25">
        <f>IFERROR(__xludf.DUMMYFUNCTION("""COMPUTED_VALUE"""),46142.0)</f>
        <v>46142</v>
      </c>
      <c r="B201" s="15">
        <f>IFERROR(__xludf.DUMMYFUNCTION("""COMPUTED_VALUE"""),156.0)</f>
        <v>156</v>
      </c>
      <c r="C201" s="21">
        <f>IFERROR(__xludf.DUMMYFUNCTION("""COMPUTED_VALUE"""),39.0)</f>
        <v>39</v>
      </c>
      <c r="D201" s="22" t="str">
        <f>IFERROR(__xludf.DUMMYFUNCTION("""COMPUTED_VALUE"""),"USD")</f>
        <v>USD</v>
      </c>
      <c r="E201" s="22" t="str">
        <f>IFERROR(__xludf.DUMMYFUNCTION("""COMPUTED_VALUE"""),"Efectivo USD")</f>
        <v>Efectivo USD</v>
      </c>
      <c r="F201" s="22" t="str">
        <f>IFERROR(__xludf.DUMMYFUNCTION("""COMPUTED_VALUE"""),"EMPRENDIMIENTO MARTIN BASTIDAS 2")</f>
        <v>EMPRENDIMIENTO MARTIN BASTIDAS 2</v>
      </c>
      <c r="G201" s="19">
        <v>487.1192</v>
      </c>
      <c r="H201" s="13"/>
      <c r="I201" s="14">
        <f t="shared" si="1"/>
        <v>39</v>
      </c>
      <c r="J201" s="15">
        <f t="shared" si="2"/>
        <v>39</v>
      </c>
      <c r="K201" s="14">
        <f t="shared" si="3"/>
        <v>39</v>
      </c>
      <c r="L201" s="16" t="str">
        <f>IFERROR(__xludf.DUMMYFUNCTION("IFERROR(
  IF(
    VLOOKUP(C201, IMPORTRANGE(""gid=860555792"", ""Maestro!B:C""), 2, FALSE) = D201, 
    ""CONCILIADO"", 
    ""ERROR EN MONTO""
  ), 
  ""NO ENCONTRADO EN MAESTRO""
)"),"NO ENCONTRADO EN MAESTRO")</f>
        <v>NO ENCONTRADO EN MAESTRO</v>
      </c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ht="22.5" customHeight="1">
      <c r="A202" s="25">
        <f>IFERROR(__xludf.DUMMYFUNCTION("""COMPUTED_VALUE"""),46142.0)</f>
        <v>46142</v>
      </c>
      <c r="B202" s="15">
        <f>IFERROR(__xludf.DUMMYFUNCTION("""COMPUTED_VALUE"""),163.0)</f>
        <v>163</v>
      </c>
      <c r="C202" s="21">
        <f>IFERROR(__xludf.DUMMYFUNCTION("""COMPUTED_VALUE"""),226.0)</f>
        <v>226</v>
      </c>
      <c r="D202" s="22" t="str">
        <f>IFERROR(__xludf.DUMMYFUNCTION("""COMPUTED_VALUE"""),"USD")</f>
        <v>USD</v>
      </c>
      <c r="E202" s="22" t="str">
        <f>IFERROR(__xludf.DUMMYFUNCTION("""COMPUTED_VALUE"""),"Efectivo USD")</f>
        <v>Efectivo USD</v>
      </c>
      <c r="F202" s="22" t="str">
        <f>IFERROR(__xludf.DUMMYFUNCTION("""COMPUTED_VALUE"""),"DISTRIBUIDORA MULTIAHORRO C.A.")</f>
        <v>DISTRIBUIDORA MULTIAHORRO C.A.</v>
      </c>
      <c r="G202" s="19">
        <v>487.1192</v>
      </c>
      <c r="H202" s="13"/>
      <c r="I202" s="14">
        <f t="shared" si="1"/>
        <v>226</v>
      </c>
      <c r="J202" s="15">
        <f t="shared" si="2"/>
        <v>226</v>
      </c>
      <c r="K202" s="14">
        <f t="shared" si="3"/>
        <v>226</v>
      </c>
      <c r="L202" s="16" t="str">
        <f>IFERROR(__xludf.DUMMYFUNCTION("IFERROR(
  IF(
    VLOOKUP(C202, IMPORTRANGE(""gid=860555792"", ""Maestro!B:C""), 2, FALSE) = D202, 
    ""CONCILIADO"", 
    ""ERROR EN MONTO""
  ), 
  ""NO ENCONTRADO EN MAESTRO""
)"),"NO ENCONTRADO EN MAESTRO")</f>
        <v>NO ENCONTRADO EN MAESTRO</v>
      </c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ht="22.5" customHeight="1">
      <c r="A203" s="25">
        <f>IFERROR(__xludf.DUMMYFUNCTION("""COMPUTED_VALUE"""),46142.0)</f>
        <v>46142</v>
      </c>
      <c r="B203" s="15">
        <f>IFERROR(__xludf.DUMMYFUNCTION("""COMPUTED_VALUE"""),62.0)</f>
        <v>62</v>
      </c>
      <c r="C203" s="21">
        <f>IFERROR(__xludf.DUMMYFUNCTION("""COMPUTED_VALUE"""),360.0)</f>
        <v>360</v>
      </c>
      <c r="D203" s="22" t="str">
        <f>IFERROR(__xludf.DUMMYFUNCTION("""COMPUTED_VALUE"""),"USD")</f>
        <v>USD</v>
      </c>
      <c r="E203" s="22" t="str">
        <f>IFERROR(__xludf.DUMMYFUNCTION("""COMPUTED_VALUE"""),"Efectivo USD")</f>
        <v>Efectivo USD</v>
      </c>
      <c r="F203" s="22" t="str">
        <f>IFERROR(__xludf.DUMMYFUNCTION("""COMPUTED_VALUE"""),"SJMG 2012 C.A")</f>
        <v>SJMG 2012 C.A</v>
      </c>
      <c r="G203" s="19">
        <v>487.1192</v>
      </c>
      <c r="H203" s="13"/>
      <c r="I203" s="14">
        <f t="shared" si="1"/>
        <v>360</v>
      </c>
      <c r="J203" s="15">
        <f t="shared" si="2"/>
        <v>360</v>
      </c>
      <c r="K203" s="14">
        <f t="shared" si="3"/>
        <v>360</v>
      </c>
      <c r="L203" s="16" t="str">
        <f>IFERROR(__xludf.DUMMYFUNCTION("IFERROR(
  IF(
    VLOOKUP(C203, IMPORTRANGE(""gid=860555792"", ""Maestro!B:C""), 2, FALSE) = D203, 
    ""CONCILIADO"", 
    ""ERROR EN MONTO""
  ), 
  ""NO ENCONTRADO EN MAESTRO""
)"),"NO ENCONTRADO EN MAESTRO")</f>
        <v>NO ENCONTRADO EN MAESTRO</v>
      </c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ht="22.5" customHeight="1">
      <c r="A204" s="25">
        <f>IFERROR(__xludf.DUMMYFUNCTION("""COMPUTED_VALUE"""),46142.0)</f>
        <v>46142</v>
      </c>
      <c r="B204" s="15">
        <f>IFERROR(__xludf.DUMMYFUNCTION("""COMPUTED_VALUE"""),203.0)</f>
        <v>203</v>
      </c>
      <c r="C204" s="21">
        <f>IFERROR(__xludf.DUMMYFUNCTION("""COMPUTED_VALUE"""),150.0)</f>
        <v>150</v>
      </c>
      <c r="D204" s="22" t="str">
        <f>IFERROR(__xludf.DUMMYFUNCTION("""COMPUTED_VALUE"""),"USD")</f>
        <v>USD</v>
      </c>
      <c r="E204" s="22" t="str">
        <f>IFERROR(__xludf.DUMMYFUNCTION("""COMPUTED_VALUE"""),"Efectivo USD")</f>
        <v>Efectivo USD</v>
      </c>
      <c r="F204" s="22" t="str">
        <f>IFERROR(__xludf.DUMMYFUNCTION("""COMPUTED_VALUE"""),"Emprendimiento José Sánchez 203 c.a")</f>
        <v>Emprendimiento José Sánchez 203 c.a</v>
      </c>
      <c r="G204" s="19">
        <v>487.1192</v>
      </c>
      <c r="H204" s="13"/>
      <c r="I204" s="14">
        <f t="shared" si="1"/>
        <v>150</v>
      </c>
      <c r="J204" s="15">
        <f t="shared" si="2"/>
        <v>150</v>
      </c>
      <c r="K204" s="14">
        <f t="shared" si="3"/>
        <v>150</v>
      </c>
      <c r="L204" s="16" t="str">
        <f>IFERROR(__xludf.DUMMYFUNCTION("IFERROR(
  IF(
    VLOOKUP(C204, IMPORTRANGE(""gid=860555792"", ""Maestro!B:C""), 2, FALSE) = D204, 
    ""CONCILIADO"", 
    ""ERROR EN MONTO""
  ), 
  ""NO ENCONTRADO EN MAESTRO""
)"),"NO ENCONTRADO EN MAESTRO")</f>
        <v>NO ENCONTRADO EN MAESTRO</v>
      </c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ht="22.5" customHeight="1">
      <c r="A205" s="25">
        <f>IFERROR(__xludf.DUMMYFUNCTION("""COMPUTED_VALUE"""),46142.0)</f>
        <v>46142</v>
      </c>
      <c r="B205" s="15">
        <f>IFERROR(__xludf.DUMMYFUNCTION("""COMPUTED_VALUE"""),178.0)</f>
        <v>178</v>
      </c>
      <c r="C205" s="21">
        <f>IFERROR(__xludf.DUMMYFUNCTION("""COMPUTED_VALUE"""),30000.0)</f>
        <v>30000</v>
      </c>
      <c r="D205" s="22" t="str">
        <f>IFERROR(__xludf.DUMMYFUNCTION("""COMPUTED_VALUE"""),"VES")</f>
        <v>VES</v>
      </c>
      <c r="E205" s="22" t="str">
        <f>IFERROR(__xludf.DUMMYFUNCTION("""COMPUTED_VALUE"""),"Bancamiga")</f>
        <v>Bancamiga</v>
      </c>
      <c r="F205" s="22" t="str">
        <f>IFERROR(__xludf.DUMMYFUNCTION("""COMPUTED_VALUE"""),"Distribuidora Nesmari 2050 c.a")</f>
        <v>Distribuidora Nesmari 2050 c.a</v>
      </c>
      <c r="G205" s="19">
        <v>487.1192</v>
      </c>
      <c r="H205" s="13"/>
      <c r="I205" s="14">
        <f t="shared" si="1"/>
        <v>61.58656854</v>
      </c>
      <c r="J205" s="15">
        <f t="shared" si="2"/>
        <v>0</v>
      </c>
      <c r="K205" s="14">
        <f t="shared" si="3"/>
        <v>61.58656854</v>
      </c>
      <c r="L205" s="16" t="str">
        <f>IFERROR(__xludf.DUMMYFUNCTION("IFERROR(
  IF(
    VLOOKUP(C205, IMPORTRANGE(""gid=860555792"", ""Maestro!B:C""), 2, FALSE) = D205, 
    ""CONCILIADO"", 
    ""ERROR EN MONTO""
  ), 
  ""NO ENCONTRADO EN MAESTRO""
)"),"NO ENCONTRADO EN MAESTRO")</f>
        <v>NO ENCONTRADO EN MAESTRO</v>
      </c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ht="22.5" customHeight="1">
      <c r="A206" s="25">
        <f>IFERROR(__xludf.DUMMYFUNCTION("""COMPUTED_VALUE"""),46142.0)</f>
        <v>46142</v>
      </c>
      <c r="B206" s="26">
        <f>IFERROR(__xludf.DUMMYFUNCTION("""COMPUTED_VALUE"""),53.0)</f>
        <v>53</v>
      </c>
      <c r="C206" s="21">
        <f>IFERROR(__xludf.DUMMYFUNCTION("""COMPUTED_VALUE"""),56976.38)</f>
        <v>56976.38</v>
      </c>
      <c r="D206" s="22" t="str">
        <f>IFERROR(__xludf.DUMMYFUNCTION("""COMPUTED_VALUE"""),"VES")</f>
        <v>VES</v>
      </c>
      <c r="E206" s="22" t="str">
        <f>IFERROR(__xludf.DUMMYFUNCTION("""COMPUTED_VALUE"""),"Bancamiga")</f>
        <v>Bancamiga</v>
      </c>
      <c r="F206" s="22" t="str">
        <f>IFERROR(__xludf.DUMMYFUNCTION("""COMPUTED_VALUE"""),"INVERSIONES MI 'LINDA YEMAIRE 2019, C.A")</f>
        <v>INVERSIONES MI 'LINDA YEMAIRE 2019, C.A</v>
      </c>
      <c r="G206" s="19">
        <v>487.1192</v>
      </c>
      <c r="H206" s="13"/>
      <c r="I206" s="14">
        <f t="shared" si="1"/>
        <v>116.9659911</v>
      </c>
      <c r="J206" s="15">
        <f t="shared" si="2"/>
        <v>0</v>
      </c>
      <c r="K206" s="14">
        <f t="shared" si="3"/>
        <v>116.9659911</v>
      </c>
      <c r="L206" s="16" t="str">
        <f>IFERROR(__xludf.DUMMYFUNCTION("IFERROR(
  IF(
    VLOOKUP(C206, IMPORTRANGE(""gid=860555792"", ""Maestro!B:C""), 2, FALSE) = D206, 
    ""CONCILIADO"", 
    ""ERROR EN MONTO""
  ), 
  ""NO ENCONTRADO EN MAESTRO""
)"),"NO ENCONTRADO EN MAESTRO")</f>
        <v>NO ENCONTRADO EN MAESTRO</v>
      </c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ht="22.5" customHeight="1">
      <c r="A207" s="25">
        <f>IFERROR(__xludf.DUMMYFUNCTION("""COMPUTED_VALUE"""),46146.0)</f>
        <v>46146</v>
      </c>
      <c r="B207" s="15">
        <f>IFERROR(__xludf.DUMMYFUNCTION("""COMPUTED_VALUE"""),53.0)</f>
        <v>53</v>
      </c>
      <c r="C207" s="21">
        <f>IFERROR(__xludf.DUMMYFUNCTION("""COMPUTED_VALUE"""),126322.64)</f>
        <v>126322.64</v>
      </c>
      <c r="D207" s="22" t="str">
        <f>IFERROR(__xludf.DUMMYFUNCTION("""COMPUTED_VALUE"""),"VES")</f>
        <v>VES</v>
      </c>
      <c r="E207" s="22" t="str">
        <f>IFERROR(__xludf.DUMMYFUNCTION("""COMPUTED_VALUE"""),"Bancamiga")</f>
        <v>Bancamiga</v>
      </c>
      <c r="F207" s="22" t="str">
        <f>IFERROR(__xludf.DUMMYFUNCTION("""COMPUTED_VALUE"""),"INVERSIONES MI  'LINDA YEMAIRE 2019, C.A")</f>
        <v>INVERSIONES MI  'LINDA YEMAIRE 2019, C.A</v>
      </c>
      <c r="G207" s="19">
        <v>487.1192</v>
      </c>
      <c r="H207" s="13"/>
      <c r="I207" s="14">
        <f t="shared" si="1"/>
        <v>259.3259309</v>
      </c>
      <c r="J207" s="15">
        <f t="shared" si="2"/>
        <v>0</v>
      </c>
      <c r="K207" s="14">
        <f t="shared" si="3"/>
        <v>259.3259309</v>
      </c>
      <c r="L207" s="16" t="str">
        <f>IFERROR(__xludf.DUMMYFUNCTION("IFERROR(
  IF(
    VLOOKUP(C207, IMPORTRANGE(""gid=860555792"", ""Maestro!B:C""), 2, FALSE) = D207, 
    ""CONCILIADO"", 
    ""ERROR EN MONTO""
  ), 
  ""NO ENCONTRADO EN MAESTRO""
)"),"NO ENCONTRADO EN MAESTRO")</f>
        <v>NO ENCONTRADO EN MAESTRO</v>
      </c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ht="22.5" customHeight="1">
      <c r="A208" s="25">
        <f>IFERROR(__xludf.DUMMYFUNCTION("""COMPUTED_VALUE"""),46146.0)</f>
        <v>46146</v>
      </c>
      <c r="B208" s="15">
        <f>IFERROR(__xludf.DUMMYFUNCTION("""COMPUTED_VALUE"""),20.0)</f>
        <v>20</v>
      </c>
      <c r="C208" s="21">
        <f>IFERROR(__xludf.DUMMYFUNCTION("""COMPUTED_VALUE"""),11396.0)</f>
        <v>11396</v>
      </c>
      <c r="D208" s="22" t="str">
        <f>IFERROR(__xludf.DUMMYFUNCTION("""COMPUTED_VALUE"""),"VES")</f>
        <v>VES</v>
      </c>
      <c r="E208" s="22" t="str">
        <f>IFERROR(__xludf.DUMMYFUNCTION("""COMPUTED_VALUE"""),"Bancamiga")</f>
        <v>Bancamiga</v>
      </c>
      <c r="F208" s="22" t="str">
        <f>IFERROR(__xludf.DUMMYFUNCTION("""COMPUTED_VALUE"""),"EMPRENDIMIENTO TOMAS MARCANO 5")</f>
        <v>EMPRENDIMIENTO TOMAS MARCANO 5</v>
      </c>
      <c r="G208" s="19">
        <v>569.7638</v>
      </c>
      <c r="H208" s="13"/>
      <c r="I208" s="14">
        <f t="shared" si="1"/>
        <v>20.0012707</v>
      </c>
      <c r="J208" s="15">
        <f t="shared" si="2"/>
        <v>0</v>
      </c>
      <c r="K208" s="14">
        <f t="shared" si="3"/>
        <v>20.0012707</v>
      </c>
      <c r="L208" s="16" t="str">
        <f>IFERROR(__xludf.DUMMYFUNCTION("IFERROR(
  IF(
    VLOOKUP(C208, IMPORTRANGE(""gid=860555792"", ""Maestro!B:C""), 2, FALSE) = D208, 
    ""CONCILIADO"", 
    ""ERROR EN MONTO""
  ), 
  ""NO ENCONTRADO EN MAESTRO""
)"),"NO ENCONTRADO EN MAESTRO")</f>
        <v>NO ENCONTRADO EN MAESTRO</v>
      </c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ht="22.5" customHeight="1">
      <c r="A209" s="25">
        <f>IFERROR(__xludf.DUMMYFUNCTION("""COMPUTED_VALUE"""),46146.0)</f>
        <v>46146</v>
      </c>
      <c r="B209" s="15">
        <f>IFERROR(__xludf.DUMMYFUNCTION("""COMPUTED_VALUE"""),221.0)</f>
        <v>221</v>
      </c>
      <c r="C209" s="21">
        <f>IFERROR(__xludf.DUMMYFUNCTION("""COMPUTED_VALUE"""),133.0)</f>
        <v>133</v>
      </c>
      <c r="D209" s="22" t="str">
        <f>IFERROR(__xludf.DUMMYFUNCTION("""COMPUTED_VALUE"""),"USD")</f>
        <v>USD</v>
      </c>
      <c r="E209" s="22" t="str">
        <f>IFERROR(__xludf.DUMMYFUNCTION("""COMPUTED_VALUE"""),"Efectivo USD")</f>
        <v>Efectivo USD</v>
      </c>
      <c r="F209" s="22" t="str">
        <f>IFERROR(__xludf.DUMMYFUNCTION("""COMPUTED_VALUE"""),"ACCESORIOS Y REPUESTOS MOTO CAR 20-11-C.A")</f>
        <v>ACCESORIOS Y REPUESTOS MOTO CAR 20-11-C.A</v>
      </c>
      <c r="G209" s="19">
        <v>574.0377</v>
      </c>
      <c r="H209" s="13"/>
      <c r="I209" s="14">
        <f t="shared" si="1"/>
        <v>133</v>
      </c>
      <c r="J209" s="15">
        <f t="shared" si="2"/>
        <v>133</v>
      </c>
      <c r="K209" s="14">
        <f t="shared" si="3"/>
        <v>133</v>
      </c>
      <c r="L209" s="16" t="str">
        <f>IFERROR(__xludf.DUMMYFUNCTION("IFERROR(
  IF(
    VLOOKUP(C209, IMPORTRANGE(""gid=860555792"", ""Maestro!B:C""), 2, FALSE) = D209, 
    ""CONCILIADO"", 
    ""ERROR EN MONTO""
  ), 
  ""NO ENCONTRADO EN MAESTRO""
)"),"NO ENCONTRADO EN MAESTRO")</f>
        <v>NO ENCONTRADO EN MAESTRO</v>
      </c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ht="22.5" customHeight="1">
      <c r="A210" s="25">
        <f>IFERROR(__xludf.DUMMYFUNCTION("""COMPUTED_VALUE"""),46146.0)</f>
        <v>46146</v>
      </c>
      <c r="B210" s="15">
        <f>IFERROR(__xludf.DUMMYFUNCTION("""COMPUTED_VALUE"""),86.0)</f>
        <v>86</v>
      </c>
      <c r="C210" s="21">
        <f>IFERROR(__xludf.DUMMYFUNCTION("""COMPUTED_VALUE"""),25125.61)</f>
        <v>25125.61</v>
      </c>
      <c r="D210" s="22" t="str">
        <f>IFERROR(__xludf.DUMMYFUNCTION("""COMPUTED_VALUE"""),"VES")</f>
        <v>VES</v>
      </c>
      <c r="E210" s="22" t="str">
        <f>IFERROR(__xludf.DUMMYFUNCTION("""COMPUTED_VALUE"""),"Bancamiga")</f>
        <v>Bancamiga</v>
      </c>
      <c r="F210" s="22" t="str">
        <f>IFERROR(__xludf.DUMMYFUNCTION("""COMPUTED_VALUE"""),"Wuilliams bastidas")</f>
        <v>Wuilliams bastidas</v>
      </c>
      <c r="G210" s="19">
        <v>489.5547</v>
      </c>
      <c r="H210" s="13"/>
      <c r="I210" s="14">
        <f t="shared" si="1"/>
        <v>51.32339655</v>
      </c>
      <c r="J210" s="15">
        <f t="shared" si="2"/>
        <v>0</v>
      </c>
      <c r="K210" s="14">
        <f t="shared" si="3"/>
        <v>51.32339655</v>
      </c>
      <c r="L210" s="16" t="str">
        <f>IFERROR(__xludf.DUMMYFUNCTION("IFERROR(
  IF(
    VLOOKUP(C210, IMPORTRANGE(""gid=860555792"", ""Maestro!B:C""), 2, FALSE) = D210, 
    ""CONCILIADO"", 
    ""ERROR EN MONTO""
  ), 
  ""NO ENCONTRADO EN MAESTRO""
)"),"NO ENCONTRADO EN MAESTRO")</f>
        <v>NO ENCONTRADO EN MAESTRO</v>
      </c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ht="22.5" customHeight="1">
      <c r="A211" s="25">
        <f>IFERROR(__xludf.DUMMYFUNCTION("""COMPUTED_VALUE"""),46146.0)</f>
        <v>46146</v>
      </c>
      <c r="B211" s="15">
        <f>IFERROR(__xludf.DUMMYFUNCTION("""COMPUTED_VALUE"""),78.0)</f>
        <v>78</v>
      </c>
      <c r="C211" s="21">
        <f>IFERROR(__xludf.DUMMYFUNCTION("""COMPUTED_VALUE"""),19582.0)</f>
        <v>19582</v>
      </c>
      <c r="D211" s="22" t="str">
        <f>IFERROR(__xludf.DUMMYFUNCTION("""COMPUTED_VALUE"""),"VES")</f>
        <v>VES</v>
      </c>
      <c r="E211" s="22" t="str">
        <f>IFERROR(__xludf.DUMMYFUNCTION("""COMPUTED_VALUE"""),"Bancamiga")</f>
        <v>Bancamiga</v>
      </c>
      <c r="F211" s="22" t="str">
        <f>IFERROR(__xludf.DUMMYFUNCTION("""COMPUTED_VALUE"""),"MULTISERVICIOS RECAM13, C.A.")</f>
        <v>MULTISERVICIOS RECAM13, C.A.</v>
      </c>
      <c r="G211" s="19">
        <v>489.5547</v>
      </c>
      <c r="H211" s="13"/>
      <c r="I211" s="14">
        <f t="shared" si="1"/>
        <v>39.99961598</v>
      </c>
      <c r="J211" s="15">
        <f t="shared" si="2"/>
        <v>0</v>
      </c>
      <c r="K211" s="14">
        <f t="shared" si="3"/>
        <v>39.99961598</v>
      </c>
      <c r="L211" s="16" t="str">
        <f>IFERROR(__xludf.DUMMYFUNCTION("IFERROR(
  IF(
    VLOOKUP(C211, IMPORTRANGE(""gid=860555792"", ""Maestro!B:C""), 2, FALSE) = D211, 
    ""CONCILIADO"", 
    ""ERROR EN MONTO""
  ), 
  ""NO ENCONTRADO EN MAESTRO""
)"),"NO ENCONTRADO EN MAESTRO")</f>
        <v>NO ENCONTRADO EN MAESTRO</v>
      </c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ht="22.5" customHeight="1">
      <c r="A212" s="25">
        <f>IFERROR(__xludf.DUMMYFUNCTION("""COMPUTED_VALUE"""),46146.0)</f>
        <v>46146</v>
      </c>
      <c r="B212" s="15">
        <f>IFERROR(__xludf.DUMMYFUNCTION("""COMPUTED_VALUE"""),65.0)</f>
        <v>65</v>
      </c>
      <c r="C212" s="21">
        <f>IFERROR(__xludf.DUMMYFUNCTION("""COMPUTED_VALUE"""),128940.84)</f>
        <v>128940.84</v>
      </c>
      <c r="D212" s="22" t="str">
        <f>IFERROR(__xludf.DUMMYFUNCTION("""COMPUTED_VALUE"""),"VES")</f>
        <v>VES</v>
      </c>
      <c r="E212" s="22" t="str">
        <f>IFERROR(__xludf.DUMMYFUNCTION("""COMPUTED_VALUE"""),"Bancamiga")</f>
        <v>Bancamiga</v>
      </c>
      <c r="F212" s="22" t="str">
        <f>IFERROR(__xludf.DUMMYFUNCTION("""COMPUTED_VALUE"""),"Auto Servicios HN 6972, C.A")</f>
        <v>Auto Servicios HN 6972, C.A</v>
      </c>
      <c r="G212" s="19">
        <v>489.5547</v>
      </c>
      <c r="H212" s="13"/>
      <c r="I212" s="14">
        <f t="shared" si="1"/>
        <v>263.3839283</v>
      </c>
      <c r="J212" s="15">
        <f t="shared" si="2"/>
        <v>0</v>
      </c>
      <c r="K212" s="14">
        <f t="shared" si="3"/>
        <v>263.3839283</v>
      </c>
      <c r="L212" s="16" t="str">
        <f>IFERROR(__xludf.DUMMYFUNCTION("IFERROR(
  IF(
    VLOOKUP(C212, IMPORTRANGE(""gid=860555792"", ""Maestro!B:C""), 2, FALSE) = D212, 
    ""CONCILIADO"", 
    ""ERROR EN MONTO""
  ), 
  ""NO ENCONTRADO EN MAESTRO""
)"),"NO ENCONTRADO EN MAESTRO")</f>
        <v>NO ENCONTRADO EN MAESTRO</v>
      </c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ht="22.5" customHeight="1">
      <c r="A213" s="25">
        <f>IFERROR(__xludf.DUMMYFUNCTION("""COMPUTED_VALUE"""),46146.0)</f>
        <v>46146</v>
      </c>
      <c r="B213" s="15">
        <f>IFERROR(__xludf.DUMMYFUNCTION("""COMPUTED_VALUE"""),294.0)</f>
        <v>294</v>
      </c>
      <c r="C213" s="21">
        <f>IFERROR(__xludf.DUMMYFUNCTION("""COMPUTED_VALUE"""),1000000.0)</f>
        <v>1000000</v>
      </c>
      <c r="D213" s="22" t="str">
        <f>IFERROR(__xludf.DUMMYFUNCTION("""COMPUTED_VALUE"""),"VES")</f>
        <v>VES</v>
      </c>
      <c r="E213" s="22" t="str">
        <f>IFERROR(__xludf.DUMMYFUNCTION("""COMPUTED_VALUE"""),"Bancamiga")</f>
        <v>Bancamiga</v>
      </c>
      <c r="F213" s="22" t="str">
        <f>IFERROR(__xludf.DUMMYFUNCTION("""COMPUTED_VALUE"""),"CONSTRUCTORA GRANO AGREGADO, C.A")</f>
        <v>CONSTRUCTORA GRANO AGREGADO, C.A</v>
      </c>
      <c r="G213" s="19">
        <v>489.5547</v>
      </c>
      <c r="H213" s="13"/>
      <c r="I213" s="14">
        <f t="shared" si="1"/>
        <v>2042.672657</v>
      </c>
      <c r="J213" s="15">
        <f t="shared" si="2"/>
        <v>0</v>
      </c>
      <c r="K213" s="14">
        <f t="shared" si="3"/>
        <v>2042.672657</v>
      </c>
      <c r="L213" s="16" t="str">
        <f>IFERROR(__xludf.DUMMYFUNCTION("IFERROR(
  IF(
    VLOOKUP(C213, IMPORTRANGE(""gid=860555792"", ""Maestro!B:C""), 2, FALSE) = D213, 
    ""CONCILIADO"", 
    ""ERROR EN MONTO""
  ), 
  ""NO ENCONTRADO EN MAESTRO""
)"),"NO ENCONTRADO EN MAESTRO")</f>
        <v>NO ENCONTRADO EN MAESTRO</v>
      </c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ht="22.5" customHeight="1">
      <c r="A214" s="25">
        <f>IFERROR(__xludf.DUMMYFUNCTION("""COMPUTED_VALUE"""),46146.0)</f>
        <v>46146</v>
      </c>
      <c r="B214" s="15">
        <f>IFERROR(__xludf.DUMMYFUNCTION("""COMPUTED_VALUE"""),294.0)</f>
        <v>294</v>
      </c>
      <c r="C214" s="21">
        <f>IFERROR(__xludf.DUMMYFUNCTION("""COMPUTED_VALUE"""),621789.96)</f>
        <v>621789.96</v>
      </c>
      <c r="D214" s="22" t="str">
        <f>IFERROR(__xludf.DUMMYFUNCTION("""COMPUTED_VALUE"""),"VES")</f>
        <v>VES</v>
      </c>
      <c r="E214" s="22" t="str">
        <f>IFERROR(__xludf.DUMMYFUNCTION("""COMPUTED_VALUE"""),"Bancamiga")</f>
        <v>Bancamiga</v>
      </c>
      <c r="F214" s="22" t="str">
        <f>IFERROR(__xludf.DUMMYFUNCTION("""COMPUTED_VALUE"""),"CONSTRUCTORA GRANO AGREGADO, C.A")</f>
        <v>CONSTRUCTORA GRANO AGREGADO, C.A</v>
      </c>
      <c r="G214" s="19">
        <v>489.5547</v>
      </c>
      <c r="H214" s="13"/>
      <c r="I214" s="14">
        <f t="shared" si="1"/>
        <v>1270.11335</v>
      </c>
      <c r="J214" s="15">
        <f t="shared" si="2"/>
        <v>0</v>
      </c>
      <c r="K214" s="14">
        <f t="shared" si="3"/>
        <v>1270.11335</v>
      </c>
      <c r="L214" s="16" t="str">
        <f>IFERROR(__xludf.DUMMYFUNCTION("IFERROR(
  IF(
    VLOOKUP(C214, IMPORTRANGE(""gid=860555792"", ""Maestro!B:C""), 2, FALSE) = D214, 
    ""CONCILIADO"", 
    ""ERROR EN MONTO""
  ), 
  ""NO ENCONTRADO EN MAESTRO""
)"),"NO ENCONTRADO EN MAESTRO")</f>
        <v>NO ENCONTRADO EN MAESTRO</v>
      </c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ht="22.5" customHeight="1">
      <c r="A215" s="25">
        <f>IFERROR(__xludf.DUMMYFUNCTION("""COMPUTED_VALUE"""),46146.0)</f>
        <v>46146</v>
      </c>
      <c r="B215" s="15">
        <f>IFERROR(__xludf.DUMMYFUNCTION("""COMPUTED_VALUE"""),62.0)</f>
        <v>62</v>
      </c>
      <c r="C215" s="21">
        <f>IFERROR(__xludf.DUMMYFUNCTION("""COMPUTED_VALUE"""),800.0)</f>
        <v>800</v>
      </c>
      <c r="D215" s="22" t="str">
        <f>IFERROR(__xludf.DUMMYFUNCTION("""COMPUTED_VALUE"""),"USD")</f>
        <v>USD</v>
      </c>
      <c r="E215" s="22" t="str">
        <f>IFERROR(__xludf.DUMMYFUNCTION("""COMPUTED_VALUE"""),"Zelle")</f>
        <v>Zelle</v>
      </c>
      <c r="F215" s="22" t="str">
        <f>IFERROR(__xludf.DUMMYFUNCTION("""COMPUTED_VALUE"""),"SJMG 2012 C.A")</f>
        <v>SJMG 2012 C.A</v>
      </c>
      <c r="G215" s="19">
        <v>489.5547</v>
      </c>
      <c r="H215" s="13"/>
      <c r="I215" s="14">
        <f t="shared" si="1"/>
        <v>800</v>
      </c>
      <c r="J215" s="15">
        <f t="shared" si="2"/>
        <v>800</v>
      </c>
      <c r="K215" s="14">
        <f t="shared" si="3"/>
        <v>800</v>
      </c>
      <c r="L215" s="16" t="str">
        <f>IFERROR(__xludf.DUMMYFUNCTION("IFERROR(
  IF(
    VLOOKUP(C215, IMPORTRANGE(""gid=860555792"", ""Maestro!B:C""), 2, FALSE) = D215, 
    ""CONCILIADO"", 
    ""ERROR EN MONTO""
  ), 
  ""NO ENCONTRADO EN MAESTRO""
)"),"NO ENCONTRADO EN MAESTRO")</f>
        <v>NO ENCONTRADO EN MAESTRO</v>
      </c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ht="22.5" customHeight="1">
      <c r="A216" s="25">
        <f>IFERROR(__xludf.DUMMYFUNCTION("""COMPUTED_VALUE"""),46146.0)</f>
        <v>46146</v>
      </c>
      <c r="B216" s="15">
        <f>IFERROR(__xludf.DUMMYFUNCTION("""COMPUTED_VALUE"""),62.0)</f>
        <v>62</v>
      </c>
      <c r="C216" s="21">
        <f>IFERROR(__xludf.DUMMYFUNCTION("""COMPUTED_VALUE"""),172.0)</f>
        <v>172</v>
      </c>
      <c r="D216" s="22" t="str">
        <f>IFERROR(__xludf.DUMMYFUNCTION("""COMPUTED_VALUE"""),"USD")</f>
        <v>USD</v>
      </c>
      <c r="E216" s="22" t="str">
        <f>IFERROR(__xludf.DUMMYFUNCTION("""COMPUTED_VALUE"""),"Efectivo USD")</f>
        <v>Efectivo USD</v>
      </c>
      <c r="F216" s="22" t="str">
        <f>IFERROR(__xludf.DUMMYFUNCTION("""COMPUTED_VALUE"""),"SJMG 2012 C.A")</f>
        <v>SJMG 2012 C.A</v>
      </c>
      <c r="G216" s="19">
        <v>489.5547</v>
      </c>
      <c r="H216" s="13"/>
      <c r="I216" s="14">
        <f t="shared" si="1"/>
        <v>172</v>
      </c>
      <c r="J216" s="15">
        <f t="shared" si="2"/>
        <v>172</v>
      </c>
      <c r="K216" s="14">
        <f t="shared" si="3"/>
        <v>172</v>
      </c>
      <c r="L216" s="16" t="str">
        <f>IFERROR(__xludf.DUMMYFUNCTION("IFERROR(
  IF(
    VLOOKUP(C216, IMPORTRANGE(""gid=860555792"", ""Maestro!B:C""), 2, FALSE) = D216, 
    ""CONCILIADO"", 
    ""ERROR EN MONTO""
  ), 
  ""NO ENCONTRADO EN MAESTRO""
)"),"NO ENCONTRADO EN MAESTRO")</f>
        <v>NO ENCONTRADO EN MAESTRO</v>
      </c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ht="22.5" customHeight="1">
      <c r="A217" s="25">
        <f>IFERROR(__xludf.DUMMYFUNCTION("""COMPUTED_VALUE"""),46146.0)</f>
        <v>46146</v>
      </c>
      <c r="B217" s="15">
        <f>IFERROR(__xludf.DUMMYFUNCTION("""COMPUTED_VALUE"""),61.0)</f>
        <v>61</v>
      </c>
      <c r="C217" s="21">
        <f>IFERROR(__xludf.DUMMYFUNCTION("""COMPUTED_VALUE"""),28.0)</f>
        <v>28</v>
      </c>
      <c r="D217" s="22" t="str">
        <f>IFERROR(__xludf.DUMMYFUNCTION("""COMPUTED_VALUE"""),"USD")</f>
        <v>USD</v>
      </c>
      <c r="E217" s="22" t="str">
        <f>IFERROR(__xludf.DUMMYFUNCTION("""COMPUTED_VALUE"""),"Efectivo USD")</f>
        <v>Efectivo USD</v>
      </c>
      <c r="F217" s="22" t="str">
        <f>IFERROR(__xludf.DUMMYFUNCTION("""COMPUTED_VALUE"""),"SJMG 2012 C.A")</f>
        <v>SJMG 2012 C.A</v>
      </c>
      <c r="G217" s="19">
        <v>489.5547</v>
      </c>
      <c r="H217" s="13"/>
      <c r="I217" s="14">
        <f t="shared" si="1"/>
        <v>28</v>
      </c>
      <c r="J217" s="15">
        <f t="shared" si="2"/>
        <v>28</v>
      </c>
      <c r="K217" s="14">
        <f t="shared" si="3"/>
        <v>28</v>
      </c>
      <c r="L217" s="16" t="str">
        <f>IFERROR(__xludf.DUMMYFUNCTION("IFERROR(
  IF(
    VLOOKUP(C217, IMPORTRANGE(""gid=860555792"", ""Maestro!B:C""), 2, FALSE) = D217, 
    ""CONCILIADO"", 
    ""ERROR EN MONTO""
  ), 
  ""NO ENCONTRADO EN MAESTRO""
)"),"NO ENCONTRADO EN MAESTRO")</f>
        <v>NO ENCONTRADO EN MAESTRO</v>
      </c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ht="22.5" customHeight="1">
      <c r="A218" s="25">
        <f>IFERROR(__xludf.DUMMYFUNCTION("""COMPUTED_VALUE"""),46146.0)</f>
        <v>46146</v>
      </c>
      <c r="B218" s="15">
        <f>IFERROR(__xludf.DUMMYFUNCTION("""COMPUTED_VALUE"""),295.0)</f>
        <v>295</v>
      </c>
      <c r="C218" s="21">
        <f>IFERROR(__xludf.DUMMYFUNCTION("""COMPUTED_VALUE"""),76.0)</f>
        <v>76</v>
      </c>
      <c r="D218" s="22" t="str">
        <f>IFERROR(__xludf.DUMMYFUNCTION("""COMPUTED_VALUE"""),"USD")</f>
        <v>USD</v>
      </c>
      <c r="E218" s="22" t="str">
        <f>IFERROR(__xludf.DUMMYFUNCTION("""COMPUTED_VALUE"""),"Efectivo USD")</f>
        <v>Efectivo USD</v>
      </c>
      <c r="F218" s="22" t="str">
        <f>IFERROR(__xludf.DUMMYFUNCTION("""COMPUTED_VALUE"""),"MOTOS Y REPUESTOS DOS RUEDAS, C.A.")</f>
        <v>MOTOS Y REPUESTOS DOS RUEDAS, C.A.</v>
      </c>
      <c r="G218" s="19">
        <v>489.5547</v>
      </c>
      <c r="H218" s="13"/>
      <c r="I218" s="14">
        <f t="shared" si="1"/>
        <v>76</v>
      </c>
      <c r="J218" s="15">
        <f t="shared" si="2"/>
        <v>76</v>
      </c>
      <c r="K218" s="14">
        <f t="shared" si="3"/>
        <v>76</v>
      </c>
      <c r="L218" s="16" t="str">
        <f>IFERROR(__xludf.DUMMYFUNCTION("IFERROR(
  IF(
    VLOOKUP(C218, IMPORTRANGE(""gid=860555792"", ""Maestro!B:C""), 2, FALSE) = D218, 
    ""CONCILIADO"", 
    ""ERROR EN MONTO""
  ), 
  ""NO ENCONTRADO EN MAESTRO""
)"),"NO ENCONTRADO EN MAESTRO")</f>
        <v>NO ENCONTRADO EN MAESTRO</v>
      </c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ht="22.5" customHeight="1">
      <c r="A219" s="25">
        <f>IFERROR(__xludf.DUMMYFUNCTION("""COMPUTED_VALUE"""),46146.0)</f>
        <v>46146</v>
      </c>
      <c r="B219" s="15">
        <f>IFERROR(__xludf.DUMMYFUNCTION("""COMPUTED_VALUE"""),208.0)</f>
        <v>208</v>
      </c>
      <c r="C219" s="21">
        <f>IFERROR(__xludf.DUMMYFUNCTION("""COMPUTED_VALUE"""),150.0)</f>
        <v>150</v>
      </c>
      <c r="D219" s="22" t="str">
        <f>IFERROR(__xludf.DUMMYFUNCTION("""COMPUTED_VALUE"""),"USD")</f>
        <v>USD</v>
      </c>
      <c r="E219" s="22" t="str">
        <f>IFERROR(__xludf.DUMMYFUNCTION("""COMPUTED_VALUE"""),"Efectivo USD")</f>
        <v>Efectivo USD</v>
      </c>
      <c r="F219" s="22" t="str">
        <f>IFERROR(__xludf.DUMMYFUNCTION("""COMPUTED_VALUE"""),"GARAJE Y TALLERES FRIDELBA, C.A")</f>
        <v>GARAJE Y TALLERES FRIDELBA, C.A</v>
      </c>
      <c r="G219" s="19">
        <v>489.5547</v>
      </c>
      <c r="H219" s="13"/>
      <c r="I219" s="14">
        <f t="shared" si="1"/>
        <v>150</v>
      </c>
      <c r="J219" s="15">
        <f t="shared" si="2"/>
        <v>150</v>
      </c>
      <c r="K219" s="14">
        <f t="shared" si="3"/>
        <v>150</v>
      </c>
      <c r="L219" s="16" t="str">
        <f>IFERROR(__xludf.DUMMYFUNCTION("IFERROR(
  IF(
    VLOOKUP(C219, IMPORTRANGE(""gid=860555792"", ""Maestro!B:C""), 2, FALSE) = D219, 
    ""CONCILIADO"", 
    ""ERROR EN MONTO""
  ), 
  ""NO ENCONTRADO EN MAESTRO""
)"),"NO ENCONTRADO EN MAESTRO")</f>
        <v>NO ENCONTRADO EN MAESTRO</v>
      </c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ht="22.5" customHeight="1">
      <c r="A220" s="25">
        <f>IFERROR(__xludf.DUMMYFUNCTION("""COMPUTED_VALUE"""),46146.0)</f>
        <v>46146</v>
      </c>
      <c r="B220" s="15">
        <f>IFERROR(__xludf.DUMMYFUNCTION("""COMPUTED_VALUE"""),122.0)</f>
        <v>122</v>
      </c>
      <c r="C220" s="21">
        <f>IFERROR(__xludf.DUMMYFUNCTION("""COMPUTED_VALUE"""),20.0)</f>
        <v>20</v>
      </c>
      <c r="D220" s="22" t="str">
        <f>IFERROR(__xludf.DUMMYFUNCTION("""COMPUTED_VALUE"""),"USD")</f>
        <v>USD</v>
      </c>
      <c r="E220" s="22" t="str">
        <f>IFERROR(__xludf.DUMMYFUNCTION("""COMPUTED_VALUE"""),"Efectivo USD")</f>
        <v>Efectivo USD</v>
      </c>
      <c r="F220" s="22" t="str">
        <f>IFERROR(__xludf.DUMMYFUNCTION("""COMPUTED_VALUE"""),"Emprendimiento Tomas Paz")</f>
        <v>Emprendimiento Tomas Paz</v>
      </c>
      <c r="G220" s="19">
        <v>489.5547</v>
      </c>
      <c r="H220" s="13"/>
      <c r="I220" s="14">
        <f t="shared" si="1"/>
        <v>20</v>
      </c>
      <c r="J220" s="15">
        <f t="shared" si="2"/>
        <v>20</v>
      </c>
      <c r="K220" s="14">
        <f t="shared" si="3"/>
        <v>20</v>
      </c>
      <c r="L220" s="16" t="str">
        <f>IFERROR(__xludf.DUMMYFUNCTION("IFERROR(
  IF(
    VLOOKUP(C220, IMPORTRANGE(""gid=860555792"", ""Maestro!B:C""), 2, FALSE) = D220, 
    ""CONCILIADO"", 
    ""ERROR EN MONTO""
  ), 
  ""NO ENCONTRADO EN MAESTRO""
)"),"NO ENCONTRADO EN MAESTRO")</f>
        <v>NO ENCONTRADO EN MAESTRO</v>
      </c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ht="22.5" customHeight="1">
      <c r="A221" s="25">
        <f>IFERROR(__xludf.DUMMYFUNCTION("""COMPUTED_VALUE"""),46146.0)</f>
        <v>46146</v>
      </c>
      <c r="B221" s="15">
        <f>IFERROR(__xludf.DUMMYFUNCTION("""COMPUTED_VALUE"""),129.0)</f>
        <v>129</v>
      </c>
      <c r="C221" s="21">
        <f>IFERROR(__xludf.DUMMYFUNCTION("""COMPUTED_VALUE"""),110.0)</f>
        <v>110</v>
      </c>
      <c r="D221" s="22" t="str">
        <f>IFERROR(__xludf.DUMMYFUNCTION("""COMPUTED_VALUE"""),"USD")</f>
        <v>USD</v>
      </c>
      <c r="E221" s="22" t="str">
        <f>IFERROR(__xludf.DUMMYFUNCTION("""COMPUTED_VALUE"""),"Efectivo USD")</f>
        <v>Efectivo USD</v>
      </c>
      <c r="F221" s="22" t="str">
        <f>IFERROR(__xludf.DUMMYFUNCTION("""COMPUTED_VALUE"""),"Emprendimiento Jordy Valencia")</f>
        <v>Emprendimiento Jordy Valencia</v>
      </c>
      <c r="G221" s="19">
        <v>489.5547</v>
      </c>
      <c r="H221" s="13"/>
      <c r="I221" s="14">
        <f t="shared" si="1"/>
        <v>110</v>
      </c>
      <c r="J221" s="15">
        <f t="shared" si="2"/>
        <v>110</v>
      </c>
      <c r="K221" s="14">
        <f t="shared" si="3"/>
        <v>110</v>
      </c>
      <c r="L221" s="16" t="str">
        <f>IFERROR(__xludf.DUMMYFUNCTION("IFERROR(
  IF(
    VLOOKUP(C221, IMPORTRANGE(""gid=860555792"", ""Maestro!B:C""), 2, FALSE) = D221, 
    ""CONCILIADO"", 
    ""ERROR EN MONTO""
  ), 
  ""NO ENCONTRADO EN MAESTRO""
)"),"NO ENCONTRADO EN MAESTRO")</f>
        <v>NO ENCONTRADO EN MAESTRO</v>
      </c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ht="22.5" customHeight="1">
      <c r="A222" s="25">
        <f>IFERROR(__xludf.DUMMYFUNCTION("""COMPUTED_VALUE"""),46142.0)</f>
        <v>46142</v>
      </c>
      <c r="B222" s="15">
        <f>IFERROR(__xludf.DUMMYFUNCTION("""COMPUTED_VALUE"""),311.0)</f>
        <v>311</v>
      </c>
      <c r="C222" s="21">
        <f>IFERROR(__xludf.DUMMYFUNCTION("""COMPUTED_VALUE"""),65.0)</f>
        <v>65</v>
      </c>
      <c r="D222" s="22" t="str">
        <f>IFERROR(__xludf.DUMMYFUNCTION("""COMPUTED_VALUE"""),"USD")</f>
        <v>USD</v>
      </c>
      <c r="E222" s="22" t="str">
        <f>IFERROR(__xludf.DUMMYFUNCTION("""COMPUTED_VALUE"""),"Efectivo USD")</f>
        <v>Efectivo USD</v>
      </c>
      <c r="F222" s="22" t="str">
        <f>IFERROR(__xludf.DUMMYFUNCTION("""COMPUTED_VALUE"""),"Jose Alzolay")</f>
        <v>Jose Alzolay</v>
      </c>
      <c r="G222" s="19">
        <v>489.5547</v>
      </c>
      <c r="H222" s="13"/>
      <c r="I222" s="14">
        <f t="shared" si="1"/>
        <v>65</v>
      </c>
      <c r="J222" s="15">
        <f t="shared" si="2"/>
        <v>65</v>
      </c>
      <c r="K222" s="14">
        <f t="shared" si="3"/>
        <v>65</v>
      </c>
      <c r="L222" s="16" t="str">
        <f>IFERROR(__xludf.DUMMYFUNCTION("IFERROR(
  IF(
    VLOOKUP(C222, IMPORTRANGE(""gid=860555792"", ""Maestro!B:C""), 2, FALSE) = D222, 
    ""CONCILIADO"", 
    ""ERROR EN MONTO""
  ), 
  ""NO ENCONTRADO EN MAESTRO""
)"),"NO ENCONTRADO EN MAESTRO")</f>
        <v>NO ENCONTRADO EN MAESTRO</v>
      </c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ht="22.5" customHeight="1">
      <c r="A223" s="25">
        <f>IFERROR(__xludf.DUMMYFUNCTION("""COMPUTED_VALUE"""),46142.0)</f>
        <v>46142</v>
      </c>
      <c r="B223" s="15">
        <f>IFERROR(__xludf.DUMMYFUNCTION("""COMPUTED_VALUE"""),311.0)</f>
        <v>311</v>
      </c>
      <c r="C223" s="21">
        <f>IFERROR(__xludf.DUMMYFUNCTION("""COMPUTED_VALUE"""),68.0)</f>
        <v>68</v>
      </c>
      <c r="D223" s="22" t="str">
        <f>IFERROR(__xludf.DUMMYFUNCTION("""COMPUTED_VALUE"""),"USD")</f>
        <v>USD</v>
      </c>
      <c r="E223" s="22" t="str">
        <f>IFERROR(__xludf.DUMMYFUNCTION("""COMPUTED_VALUE"""),"Efectivo USD")</f>
        <v>Efectivo USD</v>
      </c>
      <c r="F223" s="22" t="str">
        <f>IFERROR(__xludf.DUMMYFUNCTION("""COMPUTED_VALUE"""),"Carlos Bravo")</f>
        <v>Carlos Bravo</v>
      </c>
      <c r="G223" s="19">
        <v>487.1192</v>
      </c>
      <c r="H223" s="13"/>
      <c r="I223" s="14">
        <f t="shared" si="1"/>
        <v>68</v>
      </c>
      <c r="J223" s="15">
        <f t="shared" si="2"/>
        <v>68</v>
      </c>
      <c r="K223" s="14">
        <f t="shared" si="3"/>
        <v>68</v>
      </c>
      <c r="L223" s="16" t="str">
        <f>IFERROR(__xludf.DUMMYFUNCTION("IFERROR(
  IF(
    VLOOKUP(C223, IMPORTRANGE(""gid=860555792"", ""Maestro!B:C""), 2, FALSE) = D223, 
    ""CONCILIADO"", 
    ""ERROR EN MONTO""
  ), 
  ""NO ENCONTRADO EN MAESTRO""
)"),"NO ENCONTRADO EN MAESTRO")</f>
        <v>NO ENCONTRADO EN MAESTRO</v>
      </c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ht="22.5" customHeight="1">
      <c r="A224" s="25">
        <f>IFERROR(__xludf.DUMMYFUNCTION("""COMPUTED_VALUE"""),46142.0)</f>
        <v>46142</v>
      </c>
      <c r="B224" s="15">
        <f>IFERROR(__xludf.DUMMYFUNCTION("""COMPUTED_VALUE"""),313.0)</f>
        <v>313</v>
      </c>
      <c r="C224" s="21">
        <f>IFERROR(__xludf.DUMMYFUNCTION("""COMPUTED_VALUE"""),40.0)</f>
        <v>40</v>
      </c>
      <c r="D224" s="22" t="str">
        <f>IFERROR(__xludf.DUMMYFUNCTION("""COMPUTED_VALUE"""),"USD")</f>
        <v>USD</v>
      </c>
      <c r="E224" s="22" t="str">
        <f>IFERROR(__xludf.DUMMYFUNCTION("""COMPUTED_VALUE"""),"Efectivo USD")</f>
        <v>Efectivo USD</v>
      </c>
      <c r="F224" s="22" t="str">
        <f>IFERROR(__xludf.DUMMYFUNCTION("""COMPUTED_VALUE"""),"Edgar salas")</f>
        <v>Edgar salas</v>
      </c>
      <c r="G224" s="19">
        <v>487.1192</v>
      </c>
      <c r="H224" s="13"/>
      <c r="I224" s="14">
        <f t="shared" si="1"/>
        <v>40</v>
      </c>
      <c r="J224" s="15">
        <f t="shared" si="2"/>
        <v>40</v>
      </c>
      <c r="K224" s="14">
        <f t="shared" si="3"/>
        <v>40</v>
      </c>
      <c r="L224" s="16" t="str">
        <f>IFERROR(__xludf.DUMMYFUNCTION("IFERROR(
  IF(
    VLOOKUP(C224, IMPORTRANGE(""gid=860555792"", ""Maestro!B:C""), 2, FALSE) = D224, 
    ""CONCILIADO"", 
    ""ERROR EN MONTO""
  ), 
  ""NO ENCONTRADO EN MAESTRO""
)"),"NO ENCONTRADO EN MAESTRO")</f>
        <v>NO ENCONTRADO EN MAESTRO</v>
      </c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ht="22.5" customHeight="1">
      <c r="A225" s="25">
        <f>IFERROR(__xludf.DUMMYFUNCTION("""COMPUTED_VALUE"""),46147.0)</f>
        <v>46147</v>
      </c>
      <c r="B225" s="15">
        <f>IFERROR(__xludf.DUMMYFUNCTION("""COMPUTED_VALUE"""),323.0)</f>
        <v>323</v>
      </c>
      <c r="C225" s="21">
        <f>IFERROR(__xludf.DUMMYFUNCTION("""COMPUTED_VALUE"""),135.0)</f>
        <v>135</v>
      </c>
      <c r="D225" s="22" t="str">
        <f>IFERROR(__xludf.DUMMYFUNCTION("""COMPUTED_VALUE"""),"USD")</f>
        <v>USD</v>
      </c>
      <c r="E225" s="22" t="str">
        <f>IFERROR(__xludf.DUMMYFUNCTION("""COMPUTED_VALUE"""),"Efectivo USD")</f>
        <v>Efectivo USD</v>
      </c>
      <c r="F225" s="22" t="str">
        <f>IFERROR(__xludf.DUMMYFUNCTION("""COMPUTED_VALUE"""),"FREDI MARQUEZ")</f>
        <v>FREDI MARQUEZ</v>
      </c>
      <c r="G225" s="19">
        <v>487.1192</v>
      </c>
      <c r="H225" s="13"/>
      <c r="I225" s="14">
        <f t="shared" si="1"/>
        <v>135</v>
      </c>
      <c r="J225" s="15">
        <f t="shared" si="2"/>
        <v>135</v>
      </c>
      <c r="K225" s="14">
        <f t="shared" si="3"/>
        <v>135</v>
      </c>
      <c r="L225" s="16" t="str">
        <f>IFERROR(__xludf.DUMMYFUNCTION("IFERROR(
  IF(
    VLOOKUP(C225, IMPORTRANGE(""gid=860555792"", ""Maestro!B:C""), 2, FALSE) = D225, 
    ""CONCILIADO"", 
    ""ERROR EN MONTO""
  ), 
  ""NO ENCONTRADO EN MAESTRO""
)"),"NO ENCONTRADO EN MAESTRO")</f>
        <v>NO ENCONTRADO EN MAESTRO</v>
      </c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ht="22.5" customHeight="1">
      <c r="A226" s="25">
        <f>IFERROR(__xludf.DUMMYFUNCTION("""COMPUTED_VALUE"""),46147.0)</f>
        <v>46147</v>
      </c>
      <c r="B226" s="15">
        <f>IFERROR(__xludf.DUMMYFUNCTION("""COMPUTED_VALUE"""),141.0)</f>
        <v>141</v>
      </c>
      <c r="C226" s="21">
        <f>IFERROR(__xludf.DUMMYFUNCTION("""COMPUTED_VALUE"""),100.0)</f>
        <v>100</v>
      </c>
      <c r="D226" s="22" t="str">
        <f>IFERROR(__xludf.DUMMYFUNCTION("""COMPUTED_VALUE"""),"USD")</f>
        <v>USD</v>
      </c>
      <c r="E226" s="22" t="str">
        <f>IFERROR(__xludf.DUMMYFUNCTION("""COMPUTED_VALUE"""),"Efectivo USD")</f>
        <v>Efectivo USD</v>
      </c>
      <c r="F226" s="22" t="str">
        <f>IFERROR(__xludf.DUMMYFUNCTION("""COMPUTED_VALUE"""),"Yulendri Carolina Pineda Blanco")</f>
        <v>Yulendri Carolina Pineda Blanco</v>
      </c>
      <c r="G226" s="19">
        <v>490.0442</v>
      </c>
      <c r="H226" s="13"/>
      <c r="I226" s="14">
        <f t="shared" si="1"/>
        <v>100</v>
      </c>
      <c r="J226" s="15">
        <f t="shared" si="2"/>
        <v>100</v>
      </c>
      <c r="K226" s="14">
        <f t="shared" si="3"/>
        <v>100</v>
      </c>
      <c r="L226" s="16" t="str">
        <f>IFERROR(__xludf.DUMMYFUNCTION("IFERROR(
  IF(
    VLOOKUP(C226, IMPORTRANGE(""gid=860555792"", ""Maestro!B:C""), 2, FALSE) = D226, 
    ""CONCILIADO"", 
    ""ERROR EN MONTO""
  ), 
  ""NO ENCONTRADO EN MAESTRO""
)"),"NO ENCONTRADO EN MAESTRO")</f>
        <v>NO ENCONTRADO EN MAESTRO</v>
      </c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ht="22.5" customHeight="1">
      <c r="A227" s="25">
        <f>IFERROR(__xludf.DUMMYFUNCTION("""COMPUTED_VALUE"""),46147.0)</f>
        <v>46147</v>
      </c>
      <c r="B227" s="15">
        <f>IFERROR(__xludf.DUMMYFUNCTION("""COMPUTED_VALUE"""),69.0)</f>
        <v>69</v>
      </c>
      <c r="C227" s="21">
        <f>IFERROR(__xludf.DUMMYFUNCTION("""COMPUTED_VALUE"""),100.0)</f>
        <v>100</v>
      </c>
      <c r="D227" s="22" t="str">
        <f>IFERROR(__xludf.DUMMYFUNCTION("""COMPUTED_VALUE"""),"USD")</f>
        <v>USD</v>
      </c>
      <c r="E227" s="22" t="str">
        <f>IFERROR(__xludf.DUMMYFUNCTION("""COMPUTED_VALUE"""),"Efectivo USD")</f>
        <v>Efectivo USD</v>
      </c>
      <c r="F227" s="22" t="str">
        <f>IFERROR(__xludf.DUMMYFUNCTION("""COMPUTED_VALUE"""),"Katiuska Alejandra Curvelo")</f>
        <v>Katiuska Alejandra Curvelo</v>
      </c>
      <c r="G227" s="19">
        <v>490.0442</v>
      </c>
      <c r="H227" s="13"/>
      <c r="I227" s="14">
        <f t="shared" si="1"/>
        <v>100</v>
      </c>
      <c r="J227" s="15">
        <f t="shared" si="2"/>
        <v>100</v>
      </c>
      <c r="K227" s="14">
        <f t="shared" si="3"/>
        <v>100</v>
      </c>
      <c r="L227" s="16" t="str">
        <f>IFERROR(__xludf.DUMMYFUNCTION("IFERROR(
  IF(
    VLOOKUP(C227, IMPORTRANGE(""gid=860555792"", ""Maestro!B:C""), 2, FALSE) = D227, 
    ""CONCILIADO"", 
    ""ERROR EN MONTO""
  ), 
  ""NO ENCONTRADO EN MAESTRO""
)"),"NO ENCONTRADO EN MAESTRO")</f>
        <v>NO ENCONTRADO EN MAESTRO</v>
      </c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ht="22.5" customHeight="1">
      <c r="A228" s="25">
        <f>IFERROR(__xludf.DUMMYFUNCTION("""COMPUTED_VALUE"""),46147.0)</f>
        <v>46147</v>
      </c>
      <c r="B228" s="15">
        <f>IFERROR(__xludf.DUMMYFUNCTION("""COMPUTED_VALUE"""),314.0)</f>
        <v>314</v>
      </c>
      <c r="C228" s="21">
        <f>IFERROR(__xludf.DUMMYFUNCTION("""COMPUTED_VALUE"""),226.0)</f>
        <v>226</v>
      </c>
      <c r="D228" s="22" t="str">
        <f>IFERROR(__xludf.DUMMYFUNCTION("""COMPUTED_VALUE"""),"USD")</f>
        <v>USD</v>
      </c>
      <c r="E228" s="22" t="str">
        <f>IFERROR(__xludf.DUMMYFUNCTION("""COMPUTED_VALUE"""),"Efectivo USD")</f>
        <v>Efectivo USD</v>
      </c>
      <c r="F228" s="22" t="str">
        <f>IFERROR(__xludf.DUMMYFUNCTION("""COMPUTED_VALUE"""),"EMPRENDIMIENTO IRMA RODRIGUEZ 6")</f>
        <v>EMPRENDIMIENTO IRMA RODRIGUEZ 6</v>
      </c>
      <c r="G228" s="19">
        <v>490.0442</v>
      </c>
      <c r="H228" s="13"/>
      <c r="I228" s="14">
        <f t="shared" si="1"/>
        <v>226</v>
      </c>
      <c r="J228" s="15">
        <f t="shared" si="2"/>
        <v>226</v>
      </c>
      <c r="K228" s="14">
        <f t="shared" si="3"/>
        <v>226</v>
      </c>
      <c r="L228" s="16" t="str">
        <f>IFERROR(__xludf.DUMMYFUNCTION("IFERROR(
  IF(
    VLOOKUP(C228, IMPORTRANGE(""gid=860555792"", ""Maestro!B:C""), 2, FALSE) = D228, 
    ""CONCILIADO"", 
    ""ERROR EN MONTO""
  ), 
  ""NO ENCONTRADO EN MAESTRO""
)"),"NO ENCONTRADO EN MAESTRO")</f>
        <v>NO ENCONTRADO EN MAESTRO</v>
      </c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ht="22.5" customHeight="1">
      <c r="A229" s="25">
        <f>IFERROR(__xludf.DUMMYFUNCTION("""COMPUTED_VALUE"""),46147.0)</f>
        <v>46147</v>
      </c>
      <c r="B229" s="15">
        <f>IFERROR(__xludf.DUMMYFUNCTION("""COMPUTED_VALUE"""),142.0)</f>
        <v>142</v>
      </c>
      <c r="C229" s="21">
        <f>IFERROR(__xludf.DUMMYFUNCTION("""COMPUTED_VALUE"""),90.0)</f>
        <v>90</v>
      </c>
      <c r="D229" s="22" t="str">
        <f>IFERROR(__xludf.DUMMYFUNCTION("""COMPUTED_VALUE"""),"USD")</f>
        <v>USD</v>
      </c>
      <c r="E229" s="22" t="str">
        <f>IFERROR(__xludf.DUMMYFUNCTION("""COMPUTED_VALUE"""),"Zelle")</f>
        <v>Zelle</v>
      </c>
      <c r="F229" s="22" t="str">
        <f>IFERROR(__xludf.DUMMYFUNCTION("""COMPUTED_VALUE"""),"LOGISTICA Y CONSULTORIA VINCARS, C.A.")</f>
        <v>LOGISTICA Y CONSULTORIA VINCARS, C.A.</v>
      </c>
      <c r="G229" s="19">
        <v>490.0442</v>
      </c>
      <c r="H229" s="13"/>
      <c r="I229" s="14">
        <f t="shared" si="1"/>
        <v>90</v>
      </c>
      <c r="J229" s="15">
        <f t="shared" si="2"/>
        <v>90</v>
      </c>
      <c r="K229" s="14">
        <f t="shared" si="3"/>
        <v>90</v>
      </c>
      <c r="L229" s="16" t="str">
        <f>IFERROR(__xludf.DUMMYFUNCTION("IFERROR(
  IF(
    VLOOKUP(C229, IMPORTRANGE(""gid=860555792"", ""Maestro!B:C""), 2, FALSE) = D229, 
    ""CONCILIADO"", 
    ""ERROR EN MONTO""
  ), 
  ""NO ENCONTRADO EN MAESTRO""
)"),"NO ENCONTRADO EN MAESTRO")</f>
        <v>NO ENCONTRADO EN MAESTRO</v>
      </c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ht="22.5" customHeight="1">
      <c r="A230" s="25">
        <f>IFERROR(__xludf.DUMMYFUNCTION("""COMPUTED_VALUE"""),46147.0)</f>
        <v>46147</v>
      </c>
      <c r="B230" s="15">
        <f>IFERROR(__xludf.DUMMYFUNCTION("""COMPUTED_VALUE"""),142.0)</f>
        <v>142</v>
      </c>
      <c r="C230" s="21">
        <f>IFERROR(__xludf.DUMMYFUNCTION("""COMPUTED_VALUE"""),49.0)</f>
        <v>49</v>
      </c>
      <c r="D230" s="22" t="str">
        <f>IFERROR(__xludf.DUMMYFUNCTION("""COMPUTED_VALUE"""),"USD")</f>
        <v>USD</v>
      </c>
      <c r="E230" s="22" t="str">
        <f>IFERROR(__xludf.DUMMYFUNCTION("""COMPUTED_VALUE"""),"Zelle")</f>
        <v>Zelle</v>
      </c>
      <c r="F230" s="22" t="str">
        <f>IFERROR(__xludf.DUMMYFUNCTION("""COMPUTED_VALUE"""),"LOGISTICA Y CONSULTORIA VINCARS, C.A.")</f>
        <v>LOGISTICA Y CONSULTORIA VINCARS, C.A.</v>
      </c>
      <c r="G230" s="19">
        <v>490.0442</v>
      </c>
      <c r="H230" s="13"/>
      <c r="I230" s="14">
        <f t="shared" si="1"/>
        <v>49</v>
      </c>
      <c r="J230" s="15">
        <f t="shared" si="2"/>
        <v>49</v>
      </c>
      <c r="K230" s="14">
        <f t="shared" si="3"/>
        <v>49</v>
      </c>
      <c r="L230" s="16" t="str">
        <f>IFERROR(__xludf.DUMMYFUNCTION("IFERROR(
  IF(
    VLOOKUP(C230, IMPORTRANGE(""gid=860555792"", ""Maestro!B:C""), 2, FALSE) = D230, 
    ""CONCILIADO"", 
    ""ERROR EN MONTO""
  ), 
  ""NO ENCONTRADO EN MAESTRO""
)"),"NO ENCONTRADO EN MAESTRO")</f>
        <v>NO ENCONTRADO EN MAESTRO</v>
      </c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ht="22.5" customHeight="1">
      <c r="A231" s="25">
        <f>IFERROR(__xludf.DUMMYFUNCTION("""COMPUTED_VALUE"""),46147.0)</f>
        <v>46147</v>
      </c>
      <c r="B231" s="15">
        <f>IFERROR(__xludf.DUMMYFUNCTION("""COMPUTED_VALUE"""),60.0)</f>
        <v>60</v>
      </c>
      <c r="C231" s="21">
        <f>IFERROR(__xludf.DUMMYFUNCTION("""COMPUTED_VALUE"""),190.0)</f>
        <v>190</v>
      </c>
      <c r="D231" s="22" t="str">
        <f>IFERROR(__xludf.DUMMYFUNCTION("""COMPUTED_VALUE"""),"USD")</f>
        <v>USD</v>
      </c>
      <c r="E231" s="22" t="str">
        <f>IFERROR(__xludf.DUMMYFUNCTION("""COMPUTED_VALUE"""),"Efectivo USD")</f>
        <v>Efectivo USD</v>
      </c>
      <c r="F231" s="22" t="str">
        <f>IFERROR(__xludf.DUMMYFUNCTION("""COMPUTED_VALUE"""),"INVERSIONES R&amp;C 1817,  c.a.")</f>
        <v>INVERSIONES R&amp;C 1817,  c.a.</v>
      </c>
      <c r="G231" s="19">
        <v>490.0442</v>
      </c>
      <c r="H231" s="13"/>
      <c r="I231" s="14">
        <f t="shared" si="1"/>
        <v>190</v>
      </c>
      <c r="J231" s="15">
        <f t="shared" si="2"/>
        <v>190</v>
      </c>
      <c r="K231" s="14">
        <f t="shared" si="3"/>
        <v>190</v>
      </c>
      <c r="L231" s="16" t="str">
        <f>IFERROR(__xludf.DUMMYFUNCTION("IFERROR(
  IF(
    VLOOKUP(C231, IMPORTRANGE(""gid=860555792"", ""Maestro!B:C""), 2, FALSE) = D231, 
    ""CONCILIADO"", 
    ""ERROR EN MONTO""
  ), 
  ""NO ENCONTRADO EN MAESTRO""
)"),"NO ENCONTRADO EN MAESTRO")</f>
        <v>NO ENCONTRADO EN MAESTRO</v>
      </c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ht="22.5" customHeight="1">
      <c r="A232" s="25">
        <f>IFERROR(__xludf.DUMMYFUNCTION("""COMPUTED_VALUE"""),46147.0)</f>
        <v>46147</v>
      </c>
      <c r="B232" s="15">
        <f>IFERROR(__xludf.DUMMYFUNCTION("""COMPUTED_VALUE"""),82.0)</f>
        <v>82</v>
      </c>
      <c r="C232" s="21">
        <f>IFERROR(__xludf.DUMMYFUNCTION("""COMPUTED_VALUE"""),100.0)</f>
        <v>100</v>
      </c>
      <c r="D232" s="22" t="str">
        <f>IFERROR(__xludf.DUMMYFUNCTION("""COMPUTED_VALUE"""),"USD")</f>
        <v>USD</v>
      </c>
      <c r="E232" s="22" t="str">
        <f>IFERROR(__xludf.DUMMYFUNCTION("""COMPUTED_VALUE"""),"Efectivo USD")</f>
        <v>Efectivo USD</v>
      </c>
      <c r="F232" s="22" t="str">
        <f>IFERROR(__xludf.DUMMYFUNCTION("""COMPUTED_VALUE"""),"Pedro Castro")</f>
        <v>Pedro Castro</v>
      </c>
      <c r="G232" s="19">
        <v>490.0442</v>
      </c>
      <c r="H232" s="13"/>
      <c r="I232" s="14">
        <f t="shared" si="1"/>
        <v>100</v>
      </c>
      <c r="J232" s="15">
        <f t="shared" si="2"/>
        <v>100</v>
      </c>
      <c r="K232" s="14">
        <f t="shared" si="3"/>
        <v>100</v>
      </c>
      <c r="L232" s="16" t="str">
        <f>IFERROR(__xludf.DUMMYFUNCTION("IFERROR(
  IF(
    VLOOKUP(C232, IMPORTRANGE(""gid=860555792"", ""Maestro!B:C""), 2, FALSE) = D232, 
    ""CONCILIADO"", 
    ""ERROR EN MONTO""
  ), 
  ""NO ENCONTRADO EN MAESTRO""
)"),"NO ENCONTRADO EN MAESTRO")</f>
        <v>NO ENCONTRADO EN MAESTRO</v>
      </c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ht="22.5" customHeight="1">
      <c r="A233" s="25">
        <f>IFERROR(__xludf.DUMMYFUNCTION("""COMPUTED_VALUE"""),46148.0)</f>
        <v>46148</v>
      </c>
      <c r="B233" s="15">
        <f>IFERROR(__xludf.DUMMYFUNCTION("""COMPUTED_VALUE"""),186.0)</f>
        <v>186</v>
      </c>
      <c r="C233" s="21">
        <f>IFERROR(__xludf.DUMMYFUNCTION("""COMPUTED_VALUE"""),40.0)</f>
        <v>40</v>
      </c>
      <c r="D233" s="22" t="str">
        <f>IFERROR(__xludf.DUMMYFUNCTION("""COMPUTED_VALUE"""),"USD")</f>
        <v>USD</v>
      </c>
      <c r="E233" s="22" t="str">
        <f>IFERROR(__xludf.DUMMYFUNCTION("""COMPUTED_VALUE"""),"Efectivo USD")</f>
        <v>Efectivo USD</v>
      </c>
      <c r="F233" s="22" t="str">
        <f>IFERROR(__xludf.DUMMYFUNCTION("""COMPUTED_VALUE"""),"Cauchos y Suministros Camacho C.A")</f>
        <v>Cauchos y Suministros Camacho C.A</v>
      </c>
      <c r="G233" s="19">
        <v>490.0442</v>
      </c>
      <c r="H233" s="13"/>
      <c r="I233" s="14">
        <f t="shared" si="1"/>
        <v>40</v>
      </c>
      <c r="J233" s="15">
        <f t="shared" si="2"/>
        <v>40</v>
      </c>
      <c r="K233" s="14">
        <f t="shared" si="3"/>
        <v>40</v>
      </c>
      <c r="L233" s="16" t="str">
        <f>IFERROR(__xludf.DUMMYFUNCTION("IFERROR(
  IF(
    VLOOKUP(C233, IMPORTRANGE(""gid=860555792"", ""Maestro!B:C""), 2, FALSE) = D233, 
    ""CONCILIADO"", 
    ""ERROR EN MONTO""
  ), 
  ""NO ENCONTRADO EN MAESTRO""
)"),"NO ENCONTRADO EN MAESTRO")</f>
        <v>NO ENCONTRADO EN MAESTRO</v>
      </c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ht="22.5" customHeight="1">
      <c r="A234" s="25">
        <f>IFERROR(__xludf.DUMMYFUNCTION("""COMPUTED_VALUE"""),46148.0)</f>
        <v>46148</v>
      </c>
      <c r="B234" s="15">
        <f>IFERROR(__xludf.DUMMYFUNCTION("""COMPUTED_VALUE"""),145.0)</f>
        <v>145</v>
      </c>
      <c r="C234" s="21">
        <f>IFERROR(__xludf.DUMMYFUNCTION("""COMPUTED_VALUE"""),100.0)</f>
        <v>100</v>
      </c>
      <c r="D234" s="22" t="str">
        <f>IFERROR(__xludf.DUMMYFUNCTION("""COMPUTED_VALUE"""),"USD")</f>
        <v>USD</v>
      </c>
      <c r="E234" s="28" t="str">
        <f>IFERROR(__xludf.DUMMYFUNCTION("""COMPUTED_VALUE"""),"Efectivo")</f>
        <v>Efectivo</v>
      </c>
      <c r="F234" s="22" t="str">
        <f>IFERROR(__xludf.DUMMYFUNCTION("""COMPUTED_VALUE"""),"La cámara perfecta")</f>
        <v>La cámara perfecta</v>
      </c>
      <c r="G234" s="19">
        <v>490.0442</v>
      </c>
      <c r="H234" s="13"/>
      <c r="I234" s="14">
        <f t="shared" si="1"/>
        <v>100</v>
      </c>
      <c r="J234" s="15">
        <f t="shared" si="2"/>
        <v>100</v>
      </c>
      <c r="K234" s="14">
        <f t="shared" si="3"/>
        <v>100</v>
      </c>
      <c r="L234" s="16" t="str">
        <f>IFERROR(__xludf.DUMMYFUNCTION("IFERROR(
  IF(
    VLOOKUP(C234, IMPORTRANGE(""gid=860555792"", ""Maestro!B:C""), 2, FALSE) = D234, 
    ""CONCILIADO"", 
    ""ERROR EN MONTO""
  ), 
  ""NO ENCONTRADO EN MAESTRO""
)"),"NO ENCONTRADO EN MAESTRO")</f>
        <v>NO ENCONTRADO EN MAESTRO</v>
      </c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ht="22.5" customHeight="1">
      <c r="A235" s="25">
        <f>IFERROR(__xludf.DUMMYFUNCTION("""COMPUTED_VALUE"""),46148.0)</f>
        <v>46148</v>
      </c>
      <c r="B235" s="15">
        <f>IFERROR(__xludf.DUMMYFUNCTION("""COMPUTED_VALUE"""),146.0)</f>
        <v>146</v>
      </c>
      <c r="C235" s="21">
        <f>IFERROR(__xludf.DUMMYFUNCTION("""COMPUTED_VALUE"""),900.0)</f>
        <v>900</v>
      </c>
      <c r="D235" s="22" t="str">
        <f>IFERROR(__xludf.DUMMYFUNCTION("""COMPUTED_VALUE"""),"USD")</f>
        <v>USD</v>
      </c>
      <c r="E235" s="22" t="str">
        <f>IFERROR(__xludf.DUMMYFUNCTION("""COMPUTED_VALUE"""),"Efectivo USD")</f>
        <v>Efectivo USD</v>
      </c>
      <c r="F235" s="22" t="str">
        <f>IFERROR(__xludf.DUMMYFUNCTION("""COMPUTED_VALUE"""),"Alexander Quiroz")</f>
        <v>Alexander Quiroz</v>
      </c>
      <c r="G235" s="19">
        <v>493.3765</v>
      </c>
      <c r="H235" s="13"/>
      <c r="I235" s="14">
        <f t="shared" si="1"/>
        <v>900</v>
      </c>
      <c r="J235" s="15">
        <f t="shared" si="2"/>
        <v>900</v>
      </c>
      <c r="K235" s="14">
        <f t="shared" si="3"/>
        <v>900</v>
      </c>
      <c r="L235" s="16" t="str">
        <f>IFERROR(__xludf.DUMMYFUNCTION("IFERROR(
  IF(
    VLOOKUP(C235, IMPORTRANGE(""gid=860555792"", ""Maestro!B:C""), 2, FALSE) = D235, 
    ""CONCILIADO"", 
    ""ERROR EN MONTO""
  ), 
  ""NO ENCONTRADO EN MAESTRO""
)"),"NO ENCONTRADO EN MAESTRO")</f>
        <v>NO ENCONTRADO EN MAESTRO</v>
      </c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ht="22.5" customHeight="1">
      <c r="A236" s="25">
        <f>IFERROR(__xludf.DUMMYFUNCTION("""COMPUTED_VALUE"""),46148.0)</f>
        <v>46148</v>
      </c>
      <c r="B236" s="15">
        <f>IFERROR(__xludf.DUMMYFUNCTION("""COMPUTED_VALUE"""),322.0)</f>
        <v>322</v>
      </c>
      <c r="C236" s="21">
        <f>IFERROR(__xludf.DUMMYFUNCTION("""COMPUTED_VALUE"""),48318.36)</f>
        <v>48318.36</v>
      </c>
      <c r="D236" s="22" t="str">
        <f>IFERROR(__xludf.DUMMYFUNCTION("""COMPUTED_VALUE"""),"VES")</f>
        <v>VES</v>
      </c>
      <c r="E236" s="22" t="str">
        <f>IFERROR(__xludf.DUMMYFUNCTION("""COMPUTED_VALUE"""),"Bancamiga")</f>
        <v>Bancamiga</v>
      </c>
      <c r="F236" s="22" t="str">
        <f>IFERROR(__xludf.DUMMYFUNCTION("""COMPUTED_VALUE"""),"ZIP MARKET, CA")</f>
        <v>ZIP MARKET, CA</v>
      </c>
      <c r="G236" s="19">
        <v>493.3765</v>
      </c>
      <c r="H236" s="13"/>
      <c r="I236" s="14">
        <f t="shared" si="1"/>
        <v>97.93405239</v>
      </c>
      <c r="J236" s="15">
        <f t="shared" si="2"/>
        <v>0</v>
      </c>
      <c r="K236" s="14">
        <f t="shared" si="3"/>
        <v>97.93405239</v>
      </c>
      <c r="L236" s="16" t="str">
        <f>IFERROR(__xludf.DUMMYFUNCTION("IFERROR(
  IF(
    VLOOKUP(C236, IMPORTRANGE(""gid=860555792"", ""Maestro!B:C""), 2, FALSE) = D236, 
    ""CONCILIADO"", 
    ""ERROR EN MONTO""
  ), 
  ""NO ENCONTRADO EN MAESTRO""
)"),"NO ENCONTRADO EN MAESTRO")</f>
        <v>NO ENCONTRADO EN MAESTRO</v>
      </c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ht="22.5" customHeight="1">
      <c r="A237" s="25">
        <f>IFERROR(__xludf.DUMMYFUNCTION("""COMPUTED_VALUE"""),46149.0)</f>
        <v>46149</v>
      </c>
      <c r="B237" s="15">
        <f>IFERROR(__xludf.DUMMYFUNCTION("""COMPUTED_VALUE"""),231.0)</f>
        <v>231</v>
      </c>
      <c r="C237" s="21">
        <f>IFERROR(__xludf.DUMMYFUNCTION("""COMPUTED_VALUE"""),100.0)</f>
        <v>100</v>
      </c>
      <c r="D237" s="22" t="str">
        <f>IFERROR(__xludf.DUMMYFUNCTION("""COMPUTED_VALUE"""),"USD")</f>
        <v>USD</v>
      </c>
      <c r="E237" s="22" t="str">
        <f>IFERROR(__xludf.DUMMYFUNCTION("""COMPUTED_VALUE"""),"Efectivo USD")</f>
        <v>Efectivo USD</v>
      </c>
      <c r="F237" s="22" t="str">
        <f>IFERROR(__xludf.DUMMYFUNCTION("""COMPUTED_VALUE"""),"Constructora  Campo Urbano,c.a.")</f>
        <v>Constructora  Campo Urbano,c.a.</v>
      </c>
      <c r="G237" s="19">
        <v>493.3765</v>
      </c>
      <c r="H237" s="13"/>
      <c r="I237" s="14">
        <f t="shared" si="1"/>
        <v>100</v>
      </c>
      <c r="J237" s="15">
        <f t="shared" si="2"/>
        <v>100</v>
      </c>
      <c r="K237" s="14">
        <f t="shared" si="3"/>
        <v>100</v>
      </c>
      <c r="L237" s="16" t="str">
        <f>IFERROR(__xludf.DUMMYFUNCTION("IFERROR(
  IF(
    VLOOKUP(C237, IMPORTRANGE(""gid=860555792"", ""Maestro!B:C""), 2, FALSE) = D237, 
    ""CONCILIADO"", 
    ""ERROR EN MONTO""
  ), 
  ""NO ENCONTRADO EN MAESTRO""
)"),"NO ENCONTRADO EN MAESTRO")</f>
        <v>NO ENCONTRADO EN MAESTRO</v>
      </c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ht="22.5" customHeight="1">
      <c r="A238" s="25">
        <f>IFERROR(__xludf.DUMMYFUNCTION("""COMPUTED_VALUE"""),46149.0)</f>
        <v>46149</v>
      </c>
      <c r="B238" s="15">
        <f>IFERROR(__xludf.DUMMYFUNCTION("""COMPUTED_VALUE"""),36.0)</f>
        <v>36</v>
      </c>
      <c r="C238" s="21">
        <f>IFERROR(__xludf.DUMMYFUNCTION("""COMPUTED_VALUE"""),2870.89)</f>
        <v>2870.89</v>
      </c>
      <c r="D238" s="22" t="str">
        <f>IFERROR(__xludf.DUMMYFUNCTION("""COMPUTED_VALUE"""),"VES")</f>
        <v>VES</v>
      </c>
      <c r="E238" s="22" t="str">
        <f>IFERROR(__xludf.DUMMYFUNCTION("""COMPUTED_VALUE"""),"Bancamiga")</f>
        <v>Bancamiga</v>
      </c>
      <c r="F238" s="22" t="str">
        <f>IFERROR(__xludf.DUMMYFUNCTION("""COMPUTED_VALUE"""),"inversiones El Gran Charles C.A")</f>
        <v>inversiones El Gran Charles C.A</v>
      </c>
      <c r="G238" s="19">
        <v>493.3765</v>
      </c>
      <c r="H238" s="13"/>
      <c r="I238" s="14">
        <f t="shared" si="1"/>
        <v>5.818862471</v>
      </c>
      <c r="J238" s="15">
        <f t="shared" si="2"/>
        <v>0</v>
      </c>
      <c r="K238" s="14">
        <f t="shared" si="3"/>
        <v>5.818862471</v>
      </c>
      <c r="L238" s="16" t="str">
        <f>IFERROR(__xludf.DUMMYFUNCTION("IFERROR(
  IF(
    VLOOKUP(C238, IMPORTRANGE(""gid=860555792"", ""Maestro!B:C""), 2, FALSE) = D238, 
    ""CONCILIADO"", 
    ""ERROR EN MONTO""
  ), 
  ""NO ENCONTRADO EN MAESTRO""
)"),"NO ENCONTRADO EN MAESTRO")</f>
        <v>NO ENCONTRADO EN MAESTRO</v>
      </c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ht="22.5" customHeight="1">
      <c r="A239" s="25">
        <f>IFERROR(__xludf.DUMMYFUNCTION("""COMPUTED_VALUE"""),46149.0)</f>
        <v>46149</v>
      </c>
      <c r="B239" s="15">
        <f>IFERROR(__xludf.DUMMYFUNCTION("""COMPUTED_VALUE"""),36.0)</f>
        <v>36</v>
      </c>
      <c r="C239" s="21">
        <f>IFERROR(__xludf.DUMMYFUNCTION("""COMPUTED_VALUE"""),25831.0)</f>
        <v>25831</v>
      </c>
      <c r="D239" s="22" t="str">
        <f>IFERROR(__xludf.DUMMYFUNCTION("""COMPUTED_VALUE"""),"VES")</f>
        <v>VES</v>
      </c>
      <c r="E239" s="22" t="str">
        <f>IFERROR(__xludf.DUMMYFUNCTION("""COMPUTED_VALUE"""),"Bancamiga")</f>
        <v>Bancamiga</v>
      </c>
      <c r="F239" s="22" t="str">
        <f>IFERROR(__xludf.DUMMYFUNCTION("""COMPUTED_VALUE"""),"inversiones El Gran Charles C.A")</f>
        <v>inversiones El Gran Charles C.A</v>
      </c>
      <c r="G239" s="19">
        <v>496.8301</v>
      </c>
      <c r="H239" s="13"/>
      <c r="I239" s="14">
        <f t="shared" si="1"/>
        <v>51.99161645</v>
      </c>
      <c r="J239" s="15">
        <f t="shared" si="2"/>
        <v>0</v>
      </c>
      <c r="K239" s="14">
        <f t="shared" si="3"/>
        <v>51.99161645</v>
      </c>
      <c r="L239" s="16" t="str">
        <f>IFERROR(__xludf.DUMMYFUNCTION("IFERROR(
  IF(
    VLOOKUP(C239, IMPORTRANGE(""gid=860555792"", ""Maestro!B:C""), 2, FALSE) = D239, 
    ""CONCILIADO"", 
    ""ERROR EN MONTO""
  ), 
  ""NO ENCONTRADO EN MAESTRO""
)"),"NO ENCONTRADO EN MAESTRO")</f>
        <v>NO ENCONTRADO EN MAESTRO</v>
      </c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ht="22.5" customHeight="1">
      <c r="A240" s="25">
        <f>IFERROR(__xludf.DUMMYFUNCTION("""COMPUTED_VALUE"""),46149.0)</f>
        <v>46149</v>
      </c>
      <c r="B240" s="15">
        <f>IFERROR(__xludf.DUMMYFUNCTION("""COMPUTED_VALUE"""),145.0)</f>
        <v>145</v>
      </c>
      <c r="C240" s="21">
        <f>IFERROR(__xludf.DUMMYFUNCTION("""COMPUTED_VALUE"""),131208.0)</f>
        <v>131208</v>
      </c>
      <c r="D240" s="22" t="str">
        <f>IFERROR(__xludf.DUMMYFUNCTION("""COMPUTED_VALUE"""),"VES")</f>
        <v>VES</v>
      </c>
      <c r="E240" s="22" t="str">
        <f>IFERROR(__xludf.DUMMYFUNCTION("""COMPUTED_VALUE"""),"Bancamiga")</f>
        <v>Bancamiga</v>
      </c>
      <c r="F240" s="22" t="str">
        <f>IFERROR(__xludf.DUMMYFUNCTION("""COMPUTED_VALUE"""),"La cámara perfecta")</f>
        <v>La cámara perfecta</v>
      </c>
      <c r="G240" s="19">
        <v>496.8301</v>
      </c>
      <c r="H240" s="13"/>
      <c r="I240" s="14">
        <f t="shared" si="1"/>
        <v>264.0902796</v>
      </c>
      <c r="J240" s="15">
        <f t="shared" si="2"/>
        <v>0</v>
      </c>
      <c r="K240" s="14">
        <f t="shared" si="3"/>
        <v>264.0902796</v>
      </c>
      <c r="L240" s="16" t="str">
        <f>IFERROR(__xludf.DUMMYFUNCTION("IFERROR(
  IF(
    VLOOKUP(C240, IMPORTRANGE(""gid=860555792"", ""Maestro!B:C""), 2, FALSE) = D240, 
    ""CONCILIADO"", 
    ""ERROR EN MONTO""
  ), 
  ""NO ENCONTRADO EN MAESTRO""
)"),"NO ENCONTRADO EN MAESTRO")</f>
        <v>NO ENCONTRADO EN MAESTRO</v>
      </c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ht="22.5" customHeight="1">
      <c r="A241" s="25">
        <f>IFERROR(__xludf.DUMMYFUNCTION("""COMPUTED_VALUE"""),46149.0)</f>
        <v>46149</v>
      </c>
      <c r="B241" s="15">
        <f>IFERROR(__xludf.DUMMYFUNCTION("""COMPUTED_VALUE"""),128.0)</f>
        <v>128</v>
      </c>
      <c r="C241" s="21">
        <f>IFERROR(__xludf.DUMMYFUNCTION("""COMPUTED_VALUE"""),50.0)</f>
        <v>50</v>
      </c>
      <c r="D241" s="22" t="str">
        <f>IFERROR(__xludf.DUMMYFUNCTION("""COMPUTED_VALUE"""),"USD")</f>
        <v>USD</v>
      </c>
      <c r="E241" s="22" t="str">
        <f>IFERROR(__xludf.DUMMYFUNCTION("""COMPUTED_VALUE"""),"Efectivo USD")</f>
        <v>Efectivo USD</v>
      </c>
      <c r="F241" s="22" t="str">
        <f>IFERROR(__xludf.DUMMYFUNCTION("""COMPUTED_VALUE"""),"Multiservicios Gre-orio2022 c.a")</f>
        <v>Multiservicios Gre-orio2022 c.a</v>
      </c>
      <c r="G241" s="19">
        <v>496.8301</v>
      </c>
      <c r="H241" s="13"/>
      <c r="I241" s="14">
        <f t="shared" si="1"/>
        <v>50</v>
      </c>
      <c r="J241" s="15">
        <f t="shared" si="2"/>
        <v>50</v>
      </c>
      <c r="K241" s="14">
        <f t="shared" si="3"/>
        <v>50</v>
      </c>
      <c r="L241" s="16" t="str">
        <f>IFERROR(__xludf.DUMMYFUNCTION("IFERROR(
  IF(
    VLOOKUP(C241, IMPORTRANGE(""gid=860555792"", ""Maestro!B:C""), 2, FALSE) = D241, 
    ""CONCILIADO"", 
    ""ERROR EN MONTO""
  ), 
  ""NO ENCONTRADO EN MAESTRO""
)"),"NO ENCONTRADO EN MAESTRO")</f>
        <v>NO ENCONTRADO EN MAESTRO</v>
      </c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ht="22.5" customHeight="1">
      <c r="A242" s="25">
        <f>IFERROR(__xludf.DUMMYFUNCTION("""COMPUTED_VALUE"""),46149.0)</f>
        <v>46149</v>
      </c>
      <c r="B242" s="15">
        <f>IFERROR(__xludf.DUMMYFUNCTION("""COMPUTED_VALUE"""),265.0)</f>
        <v>265</v>
      </c>
      <c r="C242" s="21">
        <f>IFERROR(__xludf.DUMMYFUNCTION("""COMPUTED_VALUE"""),30.0)</f>
        <v>30</v>
      </c>
      <c r="D242" s="22" t="str">
        <f>IFERROR(__xludf.DUMMYFUNCTION("""COMPUTED_VALUE"""),"USD")</f>
        <v>USD</v>
      </c>
      <c r="E242" s="22" t="str">
        <f>IFERROR(__xludf.DUMMYFUNCTION("""COMPUTED_VALUE"""),"Efectivo USD")</f>
        <v>Efectivo USD</v>
      </c>
      <c r="F242" s="22" t="str">
        <f>IFERROR(__xludf.DUMMYFUNCTION("""COMPUTED_VALUE"""),"Repuestos Guia Dios Nuestro Camino,c.a.")</f>
        <v>Repuestos Guia Dios Nuestro Camino,c.a.</v>
      </c>
      <c r="G242" s="19">
        <v>496.8301</v>
      </c>
      <c r="H242" s="13"/>
      <c r="I242" s="14">
        <f t="shared" si="1"/>
        <v>30</v>
      </c>
      <c r="J242" s="15">
        <f t="shared" si="2"/>
        <v>30</v>
      </c>
      <c r="K242" s="14">
        <f t="shared" si="3"/>
        <v>30</v>
      </c>
      <c r="L242" s="16" t="str">
        <f>IFERROR(__xludf.DUMMYFUNCTION("IFERROR(
  IF(
    VLOOKUP(C242, IMPORTRANGE(""gid=860555792"", ""Maestro!B:C""), 2, FALSE) = D242, 
    ""CONCILIADO"", 
    ""ERROR EN MONTO""
  ), 
  ""NO ENCONTRADO EN MAESTRO""
)"),"NO ENCONTRADO EN MAESTRO")</f>
        <v>NO ENCONTRADO EN MAESTRO</v>
      </c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ht="22.5" customHeight="1">
      <c r="A243" s="25">
        <f>IFERROR(__xludf.DUMMYFUNCTION("""COMPUTED_VALUE"""),46149.0)</f>
        <v>46149</v>
      </c>
      <c r="B243" s="15">
        <f>IFERROR(__xludf.DUMMYFUNCTION("""COMPUTED_VALUE"""),143.0)</f>
        <v>143</v>
      </c>
      <c r="C243" s="21">
        <f>IFERROR(__xludf.DUMMYFUNCTION("""COMPUTED_VALUE"""),50.0)</f>
        <v>50</v>
      </c>
      <c r="D243" s="22" t="str">
        <f>IFERROR(__xludf.DUMMYFUNCTION("""COMPUTED_VALUE"""),"USD")</f>
        <v>USD</v>
      </c>
      <c r="E243" s="22" t="str">
        <f>IFERROR(__xludf.DUMMYFUNCTION("""COMPUTED_VALUE"""),"Efectivo USD")</f>
        <v>Efectivo USD</v>
      </c>
      <c r="F243" s="22" t="str">
        <f>IFERROR(__xludf.DUMMYFUNCTION("""COMPUTED_VALUE"""),"MOTOREPUESTOS EL GUANÁBANO YRM C.A.")</f>
        <v>MOTOREPUESTOS EL GUANÁBANO YRM C.A.</v>
      </c>
      <c r="G243" s="19">
        <v>496.8301</v>
      </c>
      <c r="H243" s="13"/>
      <c r="I243" s="14">
        <f t="shared" si="1"/>
        <v>50</v>
      </c>
      <c r="J243" s="15">
        <f t="shared" si="2"/>
        <v>50</v>
      </c>
      <c r="K243" s="14">
        <f t="shared" si="3"/>
        <v>50</v>
      </c>
      <c r="L243" s="16" t="str">
        <f>IFERROR(__xludf.DUMMYFUNCTION("IFERROR(
  IF(
    VLOOKUP(C243, IMPORTRANGE(""gid=860555792"", ""Maestro!B:C""), 2, FALSE) = D243, 
    ""CONCILIADO"", 
    ""ERROR EN MONTO""
  ), 
  ""NO ENCONTRADO EN MAESTRO""
)"),"NO ENCONTRADO EN MAESTRO")</f>
        <v>NO ENCONTRADO EN MAESTRO</v>
      </c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ht="22.5" customHeight="1">
      <c r="A244" s="25">
        <f>IFERROR(__xludf.DUMMYFUNCTION("""COMPUTED_VALUE"""),46150.0)</f>
        <v>46150</v>
      </c>
      <c r="B244" s="15">
        <f>IFERROR(__xludf.DUMMYFUNCTION("""COMPUTED_VALUE"""),212.0)</f>
        <v>212</v>
      </c>
      <c r="C244" s="21">
        <f>IFERROR(__xludf.DUMMYFUNCTION("""COMPUTED_VALUE"""),14995.8)</f>
        <v>14995.8</v>
      </c>
      <c r="D244" s="22" t="str">
        <f>IFERROR(__xludf.DUMMYFUNCTION("""COMPUTED_VALUE"""),"VES")</f>
        <v>VES</v>
      </c>
      <c r="E244" s="22" t="str">
        <f>IFERROR(__xludf.DUMMYFUNCTION("""COMPUTED_VALUE"""),"Bancamiga")</f>
        <v>Bancamiga</v>
      </c>
      <c r="F244" s="22" t="str">
        <f>IFERROR(__xludf.DUMMYFUNCTION("""COMPUTED_VALUE"""),"Inversiones DSM 2706, c.a.")</f>
        <v>Inversiones DSM 2706, c.a.</v>
      </c>
      <c r="G244" s="19">
        <v>496.8301</v>
      </c>
      <c r="H244" s="13"/>
      <c r="I244" s="14">
        <f t="shared" si="1"/>
        <v>30.18295389</v>
      </c>
      <c r="J244" s="15">
        <f t="shared" si="2"/>
        <v>0</v>
      </c>
      <c r="K244" s="14">
        <f t="shared" si="3"/>
        <v>30.18295389</v>
      </c>
      <c r="L244" s="16" t="str">
        <f>IFERROR(__xludf.DUMMYFUNCTION("IFERROR(
  IF(
    VLOOKUP(C244, IMPORTRANGE(""gid=860555792"", ""Maestro!B:C""), 2, FALSE) = D244, 
    ""CONCILIADO"", 
    ""ERROR EN MONTO""
  ), 
  ""NO ENCONTRADO EN MAESTRO""
)"),"NO ENCONTRADO EN MAESTRO")</f>
        <v>NO ENCONTRADO EN MAESTRO</v>
      </c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ht="22.5" customHeight="1">
      <c r="A245" s="25">
        <f>IFERROR(__xludf.DUMMYFUNCTION("""COMPUTED_VALUE"""),46150.0)</f>
        <v>46150</v>
      </c>
      <c r="B245" s="15">
        <f>IFERROR(__xludf.DUMMYFUNCTION("""COMPUTED_VALUE"""),118.0)</f>
        <v>118</v>
      </c>
      <c r="C245" s="21">
        <f>IFERROR(__xludf.DUMMYFUNCTION("""COMPUTED_VALUE"""),20.0)</f>
        <v>20</v>
      </c>
      <c r="D245" s="22" t="str">
        <f>IFERROR(__xludf.DUMMYFUNCTION("""COMPUTED_VALUE"""),"USD")</f>
        <v>USD</v>
      </c>
      <c r="E245" s="22" t="str">
        <f>IFERROR(__xludf.DUMMYFUNCTION("""COMPUTED_VALUE"""),"Efectivo USD")</f>
        <v>Efectivo USD</v>
      </c>
      <c r="F245" s="22" t="str">
        <f>IFERROR(__xludf.DUMMYFUNCTION("""COMPUTED_VALUE"""),"ELIVAN2025, C.A")</f>
        <v>ELIVAN2025, C.A</v>
      </c>
      <c r="G245" s="19">
        <v>496.8301</v>
      </c>
      <c r="H245" s="13"/>
      <c r="I245" s="14">
        <f t="shared" si="1"/>
        <v>20</v>
      </c>
      <c r="J245" s="15">
        <f t="shared" si="2"/>
        <v>20</v>
      </c>
      <c r="K245" s="14">
        <f t="shared" si="3"/>
        <v>20</v>
      </c>
      <c r="L245" s="16" t="str">
        <f>IFERROR(__xludf.DUMMYFUNCTION("IFERROR(
  IF(
    VLOOKUP(C245, IMPORTRANGE(""gid=860555792"", ""Maestro!B:C""), 2, FALSE) = D245, 
    ""CONCILIADO"", 
    ""ERROR EN MONTO""
  ), 
  ""NO ENCONTRADO EN MAESTRO""
)"),"NO ENCONTRADO EN MAESTRO")</f>
        <v>NO ENCONTRADO EN MAESTRO</v>
      </c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ht="22.5" customHeight="1">
      <c r="A246" s="25">
        <f>IFERROR(__xludf.DUMMYFUNCTION("""COMPUTED_VALUE"""),46150.0)</f>
        <v>46150</v>
      </c>
      <c r="B246" s="15">
        <f>IFERROR(__xludf.DUMMYFUNCTION("""COMPUTED_VALUE"""),43.0)</f>
        <v>43</v>
      </c>
      <c r="C246" s="21">
        <f>IFERROR(__xludf.DUMMYFUNCTION("""COMPUTED_VALUE"""),213194.38)</f>
        <v>213194.38</v>
      </c>
      <c r="D246" s="22" t="str">
        <f>IFERROR(__xludf.DUMMYFUNCTION("""COMPUTED_VALUE"""),"VES")</f>
        <v>VES</v>
      </c>
      <c r="E246" s="22" t="str">
        <f>IFERROR(__xludf.DUMMYFUNCTION("""COMPUTED_VALUE"""),"Bancamiga")</f>
        <v>Bancamiga</v>
      </c>
      <c r="F246" s="22" t="str">
        <f>IFERROR(__xludf.DUMMYFUNCTION("""COMPUTED_VALUE"""),"Vianney García")</f>
        <v>Vianney García</v>
      </c>
      <c r="G246" s="19">
        <v>499.8608</v>
      </c>
      <c r="H246" s="13"/>
      <c r="I246" s="14">
        <f t="shared" si="1"/>
        <v>426.5074997</v>
      </c>
      <c r="J246" s="15">
        <f t="shared" si="2"/>
        <v>0</v>
      </c>
      <c r="K246" s="14">
        <f t="shared" si="3"/>
        <v>426.5074997</v>
      </c>
      <c r="L246" s="16" t="str">
        <f>IFERROR(__xludf.DUMMYFUNCTION("IFERROR(
  IF(
    VLOOKUP(C246, IMPORTRANGE(""gid=860555792"", ""Maestro!B:C""), 2, FALSE) = D246, 
    ""CONCILIADO"", 
    ""ERROR EN MONTO""
  ), 
  ""NO ENCONTRADO EN MAESTRO""
)"),"NO ENCONTRADO EN MAESTRO")</f>
        <v>NO ENCONTRADO EN MAESTRO</v>
      </c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ht="22.5" customHeight="1">
      <c r="A247" s="25">
        <f>IFERROR(__xludf.DUMMYFUNCTION("""COMPUTED_VALUE"""),46150.0)</f>
        <v>46150</v>
      </c>
      <c r="B247" s="15">
        <f>IFERROR(__xludf.DUMMYFUNCTION("""COMPUTED_VALUE"""),197.0)</f>
        <v>197</v>
      </c>
      <c r="C247" s="21">
        <f>IFERROR(__xludf.DUMMYFUNCTION("""COMPUTED_VALUE"""),100.0)</f>
        <v>100</v>
      </c>
      <c r="D247" s="22" t="str">
        <f>IFERROR(__xludf.DUMMYFUNCTION("""COMPUTED_VALUE"""),"USD")</f>
        <v>USD</v>
      </c>
      <c r="E247" s="22" t="str">
        <f>IFERROR(__xludf.DUMMYFUNCTION("""COMPUTED_VALUE"""),"Efectivo USD")</f>
        <v>Efectivo USD</v>
      </c>
      <c r="F247" s="22" t="str">
        <f>IFERROR(__xludf.DUMMYFUNCTION("""COMPUTED_VALUE"""),"Auto Repuestos Acal C.A")</f>
        <v>Auto Repuestos Acal C.A</v>
      </c>
      <c r="G247" s="19">
        <v>499.8608</v>
      </c>
      <c r="H247" s="13"/>
      <c r="I247" s="14">
        <f t="shared" si="1"/>
        <v>100</v>
      </c>
      <c r="J247" s="15">
        <f t="shared" si="2"/>
        <v>100</v>
      </c>
      <c r="K247" s="14">
        <f t="shared" si="3"/>
        <v>100</v>
      </c>
      <c r="L247" s="16" t="str">
        <f>IFERROR(__xludf.DUMMYFUNCTION("IFERROR(
  IF(
    VLOOKUP(C247, IMPORTRANGE(""gid=860555792"", ""Maestro!B:C""), 2, FALSE) = D247, 
    ""CONCILIADO"", 
    ""ERROR EN MONTO""
  ), 
  ""NO ENCONTRADO EN MAESTRO""
)"),"NO ENCONTRADO EN MAESTRO")</f>
        <v>NO ENCONTRADO EN MAESTRO</v>
      </c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ht="22.5" customHeight="1">
      <c r="A248" s="25">
        <f>IFERROR(__xludf.DUMMYFUNCTION("""COMPUTED_VALUE"""),46150.0)</f>
        <v>46150</v>
      </c>
      <c r="B248" s="15">
        <f>IFERROR(__xludf.DUMMYFUNCTION("""COMPUTED_VALUE"""),61.0)</f>
        <v>61</v>
      </c>
      <c r="C248" s="21">
        <f>IFERROR(__xludf.DUMMYFUNCTION("""COMPUTED_VALUE"""),250.0)</f>
        <v>250</v>
      </c>
      <c r="D248" s="22" t="str">
        <f>IFERROR(__xludf.DUMMYFUNCTION("""COMPUTED_VALUE"""),"USD")</f>
        <v>USD</v>
      </c>
      <c r="E248" s="22" t="str">
        <f>IFERROR(__xludf.DUMMYFUNCTION("""COMPUTED_VALUE"""),"Efectivo USD")</f>
        <v>Efectivo USD</v>
      </c>
      <c r="F248" s="22" t="str">
        <f>IFERROR(__xludf.DUMMYFUNCTION("""COMPUTED_VALUE"""),"SJMG 2012 C.A")</f>
        <v>SJMG 2012 C.A</v>
      </c>
      <c r="G248" s="19">
        <v>499.8608</v>
      </c>
      <c r="H248" s="13"/>
      <c r="I248" s="14">
        <f t="shared" si="1"/>
        <v>250</v>
      </c>
      <c r="J248" s="15">
        <f t="shared" si="2"/>
        <v>250</v>
      </c>
      <c r="K248" s="14">
        <f t="shared" si="3"/>
        <v>250</v>
      </c>
      <c r="L248" s="16" t="str">
        <f>IFERROR(__xludf.DUMMYFUNCTION("IFERROR(
  IF(
    VLOOKUP(C248, IMPORTRANGE(""gid=860555792"", ""Maestro!B:C""), 2, FALSE) = D248, 
    ""CONCILIADO"", 
    ""ERROR EN MONTO""
  ), 
  ""NO ENCONTRADO EN MAESTRO""
)"),"NO ENCONTRADO EN MAESTRO")</f>
        <v>NO ENCONTRADO EN MAESTRO</v>
      </c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ht="22.5" customHeight="1">
      <c r="A249" s="25">
        <f>IFERROR(__xludf.DUMMYFUNCTION("""COMPUTED_VALUE"""),46150.0)</f>
        <v>46150</v>
      </c>
      <c r="B249" s="15">
        <f>IFERROR(__xludf.DUMMYFUNCTION("""COMPUTED_VALUE"""),222.0)</f>
        <v>222</v>
      </c>
      <c r="C249" s="21">
        <f>IFERROR(__xludf.DUMMYFUNCTION("""COMPUTED_VALUE"""),40.0)</f>
        <v>40</v>
      </c>
      <c r="D249" s="22" t="str">
        <f>IFERROR(__xludf.DUMMYFUNCTION("""COMPUTED_VALUE"""),"USD")</f>
        <v>USD</v>
      </c>
      <c r="E249" s="22" t="str">
        <f>IFERROR(__xludf.DUMMYFUNCTION("""COMPUTED_VALUE"""),"Efectivo USD")</f>
        <v>Efectivo USD</v>
      </c>
      <c r="F249" s="22" t="str">
        <f>IFERROR(__xludf.DUMMYFUNCTION("""COMPUTED_VALUE"""),"Braulio R. Cedeño Gonzalez.")</f>
        <v>Braulio R. Cedeño Gonzalez.</v>
      </c>
      <c r="G249" s="19">
        <v>499.8608</v>
      </c>
      <c r="H249" s="13"/>
      <c r="I249" s="14">
        <f t="shared" si="1"/>
        <v>40</v>
      </c>
      <c r="J249" s="15">
        <f t="shared" si="2"/>
        <v>40</v>
      </c>
      <c r="K249" s="14">
        <f t="shared" si="3"/>
        <v>40</v>
      </c>
      <c r="L249" s="16" t="str">
        <f>IFERROR(__xludf.DUMMYFUNCTION("IFERROR(
  IF(
    VLOOKUP(C249, IMPORTRANGE(""gid=860555792"", ""Maestro!B:C""), 2, FALSE) = D249, 
    ""CONCILIADO"", 
    ""ERROR EN MONTO""
  ), 
  ""NO ENCONTRADO EN MAESTRO""
)"),"NO ENCONTRADO EN MAESTRO")</f>
        <v>NO ENCONTRADO EN MAESTRO</v>
      </c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ht="22.5" customHeight="1">
      <c r="A250" s="25">
        <f>IFERROR(__xludf.DUMMYFUNCTION("""COMPUTED_VALUE"""),46150.0)</f>
        <v>46150</v>
      </c>
      <c r="B250" s="15">
        <f>IFERROR(__xludf.DUMMYFUNCTION("""COMPUTED_VALUE"""),145.0)</f>
        <v>145</v>
      </c>
      <c r="C250" s="21">
        <f>IFERROR(__xludf.DUMMYFUNCTION("""COMPUTED_VALUE"""),100.0)</f>
        <v>100</v>
      </c>
      <c r="D250" s="22" t="str">
        <f>IFERROR(__xludf.DUMMYFUNCTION("""COMPUTED_VALUE"""),"USD")</f>
        <v>USD</v>
      </c>
      <c r="E250" s="22" t="str">
        <f>IFERROR(__xludf.DUMMYFUNCTION("""COMPUTED_VALUE"""),"Efectivo USD")</f>
        <v>Efectivo USD</v>
      </c>
      <c r="F250" s="22" t="str">
        <f>IFERROR(__xludf.DUMMYFUNCTION("""COMPUTED_VALUE"""),"La cámara perfecta")</f>
        <v>La cámara perfecta</v>
      </c>
      <c r="G250" s="19">
        <v>499.8608</v>
      </c>
      <c r="H250" s="13"/>
      <c r="I250" s="14">
        <f t="shared" si="1"/>
        <v>100</v>
      </c>
      <c r="J250" s="15">
        <f t="shared" si="2"/>
        <v>100</v>
      </c>
      <c r="K250" s="14">
        <f t="shared" si="3"/>
        <v>100</v>
      </c>
      <c r="L250" s="16" t="str">
        <f>IFERROR(__xludf.DUMMYFUNCTION("IFERROR(
  IF(
    VLOOKUP(C250, IMPORTRANGE(""gid=860555792"", ""Maestro!B:C""), 2, FALSE) = D250, 
    ""CONCILIADO"", 
    ""ERROR EN MONTO""
  ), 
  ""NO ENCONTRADO EN MAESTRO""
)"),"NO ENCONTRADO EN MAESTRO")</f>
        <v>NO ENCONTRADO EN MAESTRO</v>
      </c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ht="22.5" customHeight="1">
      <c r="A251" s="25">
        <f>IFERROR(__xludf.DUMMYFUNCTION("""COMPUTED_VALUE"""),46150.0)</f>
        <v>46150</v>
      </c>
      <c r="B251" s="15">
        <f>IFERROR(__xludf.DUMMYFUNCTION("""COMPUTED_VALUE"""),44.0)</f>
        <v>44</v>
      </c>
      <c r="C251" s="21">
        <f>IFERROR(__xludf.DUMMYFUNCTION("""COMPUTED_VALUE"""),140.0)</f>
        <v>140</v>
      </c>
      <c r="D251" s="22" t="str">
        <f>IFERROR(__xludf.DUMMYFUNCTION("""COMPUTED_VALUE"""),"USD")</f>
        <v>USD</v>
      </c>
      <c r="E251" s="22" t="str">
        <f>IFERROR(__xludf.DUMMYFUNCTION("""COMPUTED_VALUE"""),"Efectivo USD")</f>
        <v>Efectivo USD</v>
      </c>
      <c r="F251" s="22" t="str">
        <f>IFERROR(__xludf.DUMMYFUNCTION("""COMPUTED_VALUE"""),"Comercializadora Garabote")</f>
        <v>Comercializadora Garabote</v>
      </c>
      <c r="G251" s="19">
        <v>499.8608</v>
      </c>
      <c r="H251" s="13"/>
      <c r="I251" s="14">
        <f t="shared" si="1"/>
        <v>140</v>
      </c>
      <c r="J251" s="15">
        <f t="shared" si="2"/>
        <v>140</v>
      </c>
      <c r="K251" s="14">
        <f t="shared" si="3"/>
        <v>140</v>
      </c>
      <c r="L251" s="16" t="str">
        <f>IFERROR(__xludf.DUMMYFUNCTION("IFERROR(
  IF(
    VLOOKUP(C251, IMPORTRANGE(""gid=860555792"", ""Maestro!B:C""), 2, FALSE) = D251, 
    ""CONCILIADO"", 
    ""ERROR EN MONTO""
  ), 
  ""NO ENCONTRADO EN MAESTRO""
)"),"NO ENCONTRADO EN MAESTRO")</f>
        <v>NO ENCONTRADO EN MAESTRO</v>
      </c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ht="22.5" customHeight="1">
      <c r="A252" s="25">
        <f>IFERROR(__xludf.DUMMYFUNCTION("""COMPUTED_VALUE"""),46150.0)</f>
        <v>46150</v>
      </c>
      <c r="B252" s="15">
        <f>IFERROR(__xludf.DUMMYFUNCTION("""COMPUTED_VALUE"""),49.0)</f>
        <v>49</v>
      </c>
      <c r="C252" s="21">
        <f>IFERROR(__xludf.DUMMYFUNCTION("""COMPUTED_VALUE"""),100.0)</f>
        <v>100</v>
      </c>
      <c r="D252" s="22" t="str">
        <f>IFERROR(__xludf.DUMMYFUNCTION("""COMPUTED_VALUE"""),"USD")</f>
        <v>USD</v>
      </c>
      <c r="E252" s="22" t="str">
        <f>IFERROR(__xludf.DUMMYFUNCTION("""COMPUTED_VALUE"""),"Efectivo USD")</f>
        <v>Efectivo USD</v>
      </c>
      <c r="F252" s="22" t="str">
        <f>IFERROR(__xludf.DUMMYFUNCTION("""COMPUTED_VALUE"""),"Marlene Herrera")</f>
        <v>Marlene Herrera</v>
      </c>
      <c r="G252" s="19">
        <v>499.8608</v>
      </c>
      <c r="H252" s="13"/>
      <c r="I252" s="14">
        <f t="shared" si="1"/>
        <v>100</v>
      </c>
      <c r="J252" s="15">
        <f t="shared" si="2"/>
        <v>100</v>
      </c>
      <c r="K252" s="14">
        <f t="shared" si="3"/>
        <v>100</v>
      </c>
      <c r="L252" s="16" t="str">
        <f>IFERROR(__xludf.DUMMYFUNCTION("IFERROR(
  IF(
    VLOOKUP(C252, IMPORTRANGE(""gid=860555792"", ""Maestro!B:C""), 2, FALSE) = D252, 
    ""CONCILIADO"", 
    ""ERROR EN MONTO""
  ), 
  ""NO ENCONTRADO EN MAESTRO""
)"),"NO ENCONTRADO EN MAESTRO")</f>
        <v>NO ENCONTRADO EN MAESTRO</v>
      </c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ht="22.5" customHeight="1">
      <c r="A253" s="25">
        <f>IFERROR(__xludf.DUMMYFUNCTION("""COMPUTED_VALUE"""),46150.0)</f>
        <v>46150</v>
      </c>
      <c r="B253" s="15">
        <f>IFERROR(__xludf.DUMMYFUNCTION("""COMPUTED_VALUE"""),133.0)</f>
        <v>133</v>
      </c>
      <c r="C253" s="21">
        <f>IFERROR(__xludf.DUMMYFUNCTION("""COMPUTED_VALUE"""),500.0)</f>
        <v>500</v>
      </c>
      <c r="D253" s="22" t="str">
        <f>IFERROR(__xludf.DUMMYFUNCTION("""COMPUTED_VALUE"""),"USD")</f>
        <v>USD</v>
      </c>
      <c r="E253" s="22" t="str">
        <f>IFERROR(__xludf.DUMMYFUNCTION("""COMPUTED_VALUE"""),"Efectivo USD")</f>
        <v>Efectivo USD</v>
      </c>
      <c r="F253" s="22" t="str">
        <f>IFERROR(__xludf.DUMMYFUNCTION("""COMPUTED_VALUE"""),"Inversiones La Bendición del Nazareno, C.A")</f>
        <v>Inversiones La Bendición del Nazareno, C.A</v>
      </c>
      <c r="G253" s="19">
        <v>499.8608</v>
      </c>
      <c r="H253" s="13"/>
      <c r="I253" s="14">
        <f t="shared" si="1"/>
        <v>500</v>
      </c>
      <c r="J253" s="15">
        <f t="shared" si="2"/>
        <v>500</v>
      </c>
      <c r="K253" s="14">
        <f t="shared" si="3"/>
        <v>500</v>
      </c>
      <c r="L253" s="16" t="str">
        <f>IFERROR(__xludf.DUMMYFUNCTION("IFERROR(
  IF(
    VLOOKUP(C253, IMPORTRANGE(""gid=860555792"", ""Maestro!B:C""), 2, FALSE) = D253, 
    ""CONCILIADO"", 
    ""ERROR EN MONTO""
  ), 
  ""NO ENCONTRADO EN MAESTRO""
)"),"NO ENCONTRADO EN MAESTRO")</f>
        <v>NO ENCONTRADO EN MAESTRO</v>
      </c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ht="22.5" customHeight="1">
      <c r="A254" s="25">
        <f>IFERROR(__xludf.DUMMYFUNCTION("""COMPUTED_VALUE"""),46150.0)</f>
        <v>46150</v>
      </c>
      <c r="B254" s="15">
        <f>IFERROR(__xludf.DUMMYFUNCTION("""COMPUTED_VALUE"""),285.0)</f>
        <v>285</v>
      </c>
      <c r="C254" s="21">
        <f>IFERROR(__xludf.DUMMYFUNCTION("""COMPUTED_VALUE"""),75.0)</f>
        <v>75</v>
      </c>
      <c r="D254" s="22" t="str">
        <f>IFERROR(__xludf.DUMMYFUNCTION("""COMPUTED_VALUE"""),"USD")</f>
        <v>USD</v>
      </c>
      <c r="E254" s="22" t="str">
        <f>IFERROR(__xludf.DUMMYFUNCTION("""COMPUTED_VALUE"""),"Efectivo USD")</f>
        <v>Efectivo USD</v>
      </c>
      <c r="F254" s="22" t="str">
        <f>IFERROR(__xludf.DUMMYFUNCTION("""COMPUTED_VALUE"""),"Inversiones Air Brakes, C.A")</f>
        <v>Inversiones Air Brakes, C.A</v>
      </c>
      <c r="G254" s="19">
        <v>499.8608</v>
      </c>
      <c r="H254" s="13"/>
      <c r="I254" s="14">
        <f t="shared" si="1"/>
        <v>75</v>
      </c>
      <c r="J254" s="15">
        <f t="shared" si="2"/>
        <v>75</v>
      </c>
      <c r="K254" s="14">
        <f t="shared" si="3"/>
        <v>75</v>
      </c>
      <c r="L254" s="16" t="str">
        <f>IFERROR(__xludf.DUMMYFUNCTION("IFERROR(
  IF(
    VLOOKUP(C254, IMPORTRANGE(""gid=860555792"", ""Maestro!B:C""), 2, FALSE) = D254, 
    ""CONCILIADO"", 
    ""ERROR EN MONTO""
  ), 
  ""NO ENCONTRADO EN MAESTRO""
)"),"NO ENCONTRADO EN MAESTRO")</f>
        <v>NO ENCONTRADO EN MAESTRO</v>
      </c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ht="22.5" customHeight="1">
      <c r="A255" s="25">
        <f>IFERROR(__xludf.DUMMYFUNCTION("""COMPUTED_VALUE"""),46150.0)</f>
        <v>46150</v>
      </c>
      <c r="B255" s="15">
        <f>IFERROR(__xludf.DUMMYFUNCTION("""COMPUTED_VALUE"""),124.0)</f>
        <v>124</v>
      </c>
      <c r="C255" s="21">
        <f>IFERROR(__xludf.DUMMYFUNCTION("""COMPUTED_VALUE"""),160.0)</f>
        <v>160</v>
      </c>
      <c r="D255" s="22" t="str">
        <f>IFERROR(__xludf.DUMMYFUNCTION("""COMPUTED_VALUE"""),"USD")</f>
        <v>USD</v>
      </c>
      <c r="E255" s="22" t="str">
        <f>IFERROR(__xludf.DUMMYFUNCTION("""COMPUTED_VALUE"""),"Efectivo USD")</f>
        <v>Efectivo USD</v>
      </c>
      <c r="F255" s="22" t="str">
        <f>IFERROR(__xludf.DUMMYFUNCTION("""COMPUTED_VALUE"""),"M.L.P Repuestos y Otros, C.A")</f>
        <v>M.L.P Repuestos y Otros, C.A</v>
      </c>
      <c r="G255" s="19">
        <v>499.8608</v>
      </c>
      <c r="H255" s="13"/>
      <c r="I255" s="14">
        <f t="shared" si="1"/>
        <v>160</v>
      </c>
      <c r="J255" s="15">
        <f t="shared" si="2"/>
        <v>160</v>
      </c>
      <c r="K255" s="14">
        <f t="shared" si="3"/>
        <v>160</v>
      </c>
      <c r="L255" s="16" t="str">
        <f>IFERROR(__xludf.DUMMYFUNCTION("IFERROR(
  IF(
    VLOOKUP(C255, IMPORTRANGE(""gid=860555792"", ""Maestro!B:C""), 2, FALSE) = D255, 
    ""CONCILIADO"", 
    ""ERROR EN MONTO""
  ), 
  ""NO ENCONTRADO EN MAESTRO""
)"),"NO ENCONTRADO EN MAESTRO")</f>
        <v>NO ENCONTRADO EN MAESTRO</v>
      </c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ht="22.5" customHeight="1">
      <c r="A256" s="25">
        <f>IFERROR(__xludf.DUMMYFUNCTION("""COMPUTED_VALUE"""),46153.0)</f>
        <v>46153</v>
      </c>
      <c r="B256" s="15">
        <f>IFERROR(__xludf.DUMMYFUNCTION("""COMPUTED_VALUE"""),230.0)</f>
        <v>230</v>
      </c>
      <c r="C256" s="21">
        <f>IFERROR(__xludf.DUMMYFUNCTION("""COMPUTED_VALUE"""),391495.0)</f>
        <v>391495</v>
      </c>
      <c r="D256" s="22" t="str">
        <f>IFERROR(__xludf.DUMMYFUNCTION("""COMPUTED_VALUE"""),"VES")</f>
        <v>VES</v>
      </c>
      <c r="E256" s="22" t="str">
        <f>IFERROR(__xludf.DUMMYFUNCTION("""COMPUTED_VALUE"""),"Bancamiga")</f>
        <v>Bancamiga</v>
      </c>
      <c r="F256" s="22" t="str">
        <f>IFERROR(__xludf.DUMMYFUNCTION("""COMPUTED_VALUE"""),"E&amp;M CAR SHOP C.A")</f>
        <v>E&amp;M CAR SHOP C.A</v>
      </c>
      <c r="G256" s="19">
        <v>499.8608</v>
      </c>
      <c r="H256" s="13"/>
      <c r="I256" s="14">
        <f t="shared" si="1"/>
        <v>783.2080451</v>
      </c>
      <c r="J256" s="15">
        <f t="shared" si="2"/>
        <v>0</v>
      </c>
      <c r="K256" s="14">
        <f t="shared" si="3"/>
        <v>783.2080451</v>
      </c>
      <c r="L256" s="16" t="str">
        <f>IFERROR(__xludf.DUMMYFUNCTION("IFERROR(
  IF(
    VLOOKUP(C256, IMPORTRANGE(""gid=860555792"", ""Maestro!B:C""), 2, FALSE) = D256, 
    ""CONCILIADO"", 
    ""ERROR EN MONTO""
  ), 
  ""NO ENCONTRADO EN MAESTRO""
)"),"NO ENCONTRADO EN MAESTRO")</f>
        <v>NO ENCONTRADO EN MAESTRO</v>
      </c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ht="22.5" customHeight="1">
      <c r="A257" s="25">
        <f>IFERROR(__xludf.DUMMYFUNCTION("""COMPUTED_VALUE"""),46153.0)</f>
        <v>46153</v>
      </c>
      <c r="B257" s="15">
        <f>IFERROR(__xludf.DUMMYFUNCTION("""COMPUTED_VALUE"""),150.0)</f>
        <v>150</v>
      </c>
      <c r="C257" s="21">
        <f>IFERROR(__xludf.DUMMYFUNCTION("""COMPUTED_VALUE"""),175.0)</f>
        <v>175</v>
      </c>
      <c r="D257" s="22" t="str">
        <f>IFERROR(__xludf.DUMMYFUNCTION("""COMPUTED_VALUE"""),"USD")</f>
        <v>USD</v>
      </c>
      <c r="E257" s="22" t="str">
        <f>IFERROR(__xludf.DUMMYFUNCTION("""COMPUTED_VALUE"""),"Zelle")</f>
        <v>Zelle</v>
      </c>
      <c r="F257" s="22" t="str">
        <f>IFERROR(__xludf.DUMMYFUNCTION("""COMPUTED_VALUE"""),"Inversiones Dekamalbaz, C.A")</f>
        <v>Inversiones Dekamalbaz, C.A</v>
      </c>
      <c r="G257" s="19">
        <v>499.8608</v>
      </c>
      <c r="H257" s="13"/>
      <c r="I257" s="14">
        <f t="shared" si="1"/>
        <v>175</v>
      </c>
      <c r="J257" s="15">
        <f t="shared" si="2"/>
        <v>175</v>
      </c>
      <c r="K257" s="14">
        <f t="shared" si="3"/>
        <v>175</v>
      </c>
      <c r="L257" s="16" t="str">
        <f>IFERROR(__xludf.DUMMYFUNCTION("IFERROR(
  IF(
    VLOOKUP(C257, IMPORTRANGE(""gid=860555792"", ""Maestro!B:C""), 2, FALSE) = D257, 
    ""CONCILIADO"", 
    ""ERROR EN MONTO""
  ), 
  ""NO ENCONTRADO EN MAESTRO""
)"),"NO ENCONTRADO EN MAESTRO")</f>
        <v>NO ENCONTRADO EN MAESTRO</v>
      </c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ht="22.5" customHeight="1">
      <c r="A258" s="25">
        <f>IFERROR(__xludf.DUMMYFUNCTION("""COMPUTED_VALUE"""),46153.0)</f>
        <v>46153</v>
      </c>
      <c r="B258" s="15">
        <f>IFERROR(__xludf.DUMMYFUNCTION("""COMPUTED_VALUE"""),158.0)</f>
        <v>158</v>
      </c>
      <c r="C258" s="21">
        <f>IFERROR(__xludf.DUMMYFUNCTION("""COMPUTED_VALUE"""),230.0)</f>
        <v>230</v>
      </c>
      <c r="D258" s="22" t="str">
        <f>IFERROR(__xludf.DUMMYFUNCTION("""COMPUTED_VALUE"""),"USD")</f>
        <v>USD</v>
      </c>
      <c r="E258" s="22" t="str">
        <f>IFERROR(__xludf.DUMMYFUNCTION("""COMPUTED_VALUE"""),"Zelle")</f>
        <v>Zelle</v>
      </c>
      <c r="F258" s="22" t="str">
        <f>IFERROR(__xludf.DUMMYFUNCTION("""COMPUTED_VALUE"""),"Dimas Ortíz")</f>
        <v>Dimas Ortíz</v>
      </c>
      <c r="G258" s="19">
        <v>500.4606</v>
      </c>
      <c r="H258" s="13"/>
      <c r="I258" s="14">
        <f t="shared" si="1"/>
        <v>230</v>
      </c>
      <c r="J258" s="15">
        <f t="shared" si="2"/>
        <v>230</v>
      </c>
      <c r="K258" s="14">
        <f t="shared" si="3"/>
        <v>230</v>
      </c>
      <c r="L258" s="16" t="str">
        <f>IFERROR(__xludf.DUMMYFUNCTION("IFERROR(
  IF(
    VLOOKUP(C258, IMPORTRANGE(""gid=860555792"", ""Maestro!B:C""), 2, FALSE) = D258, 
    ""CONCILIADO"", 
    ""ERROR EN MONTO""
  ), 
  ""NO ENCONTRADO EN MAESTRO""
)"),"NO ENCONTRADO EN MAESTRO")</f>
        <v>NO ENCONTRADO EN MAESTRO</v>
      </c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ht="22.5" customHeight="1">
      <c r="A259" s="25">
        <f>IFERROR(__xludf.DUMMYFUNCTION("""COMPUTED_VALUE"""),46153.0)</f>
        <v>46153</v>
      </c>
      <c r="B259" s="15">
        <f>IFERROR(__xludf.DUMMYFUNCTION("""COMPUTED_VALUE"""),260.0)</f>
        <v>260</v>
      </c>
      <c r="C259" s="21">
        <f>IFERROR(__xludf.DUMMYFUNCTION("""COMPUTED_VALUE"""),50046.06)</f>
        <v>50046.06</v>
      </c>
      <c r="D259" s="22" t="str">
        <f>IFERROR(__xludf.DUMMYFUNCTION("""COMPUTED_VALUE"""),"VES")</f>
        <v>VES</v>
      </c>
      <c r="E259" s="22" t="str">
        <f>IFERROR(__xludf.DUMMYFUNCTION("""COMPUTED_VALUE"""),"Bancamiga")</f>
        <v>Bancamiga</v>
      </c>
      <c r="F259" s="22" t="str">
        <f>IFERROR(__xludf.DUMMYFUNCTION("""COMPUTED_VALUE"""),"Jose Lopez Espinoza")</f>
        <v>Jose Lopez Espinoza</v>
      </c>
      <c r="G259" s="19">
        <v>500.4606</v>
      </c>
      <c r="H259" s="13"/>
      <c r="I259" s="14">
        <f t="shared" si="1"/>
        <v>100</v>
      </c>
      <c r="J259" s="15">
        <f t="shared" si="2"/>
        <v>0</v>
      </c>
      <c r="K259" s="14">
        <f t="shared" si="3"/>
        <v>100</v>
      </c>
      <c r="L259" s="16" t="str">
        <f>IFERROR(__xludf.DUMMYFUNCTION("IFERROR(
  IF(
    VLOOKUP(C259, IMPORTRANGE(""gid=860555792"", ""Maestro!B:C""), 2, FALSE) = D259, 
    ""CONCILIADO"", 
    ""ERROR EN MONTO""
  ), 
  ""NO ENCONTRADO EN MAESTRO""
)"),"NO ENCONTRADO EN MAESTRO")</f>
        <v>NO ENCONTRADO EN MAESTRO</v>
      </c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ht="22.5" customHeight="1">
      <c r="A260" s="25">
        <f>IFERROR(__xludf.DUMMYFUNCTION("""COMPUTED_VALUE"""),46153.0)</f>
        <v>46153</v>
      </c>
      <c r="B260" s="15">
        <f>IFERROR(__xludf.DUMMYFUNCTION("""COMPUTED_VALUE"""),344.0)</f>
        <v>344</v>
      </c>
      <c r="C260" s="21">
        <f>IFERROR(__xludf.DUMMYFUNCTION("""COMPUTED_VALUE"""),91.0)</f>
        <v>91</v>
      </c>
      <c r="D260" s="22" t="str">
        <f>IFERROR(__xludf.DUMMYFUNCTION("""COMPUTED_VALUE"""),"USD")</f>
        <v>USD</v>
      </c>
      <c r="E260" s="22" t="str">
        <f>IFERROR(__xludf.DUMMYFUNCTION("""COMPUTED_VALUE"""),"Efectivo")</f>
        <v>Efectivo</v>
      </c>
      <c r="F260" s="22" t="str">
        <f>IFERROR(__xludf.DUMMYFUNCTION("""COMPUTED_VALUE"""),"EMPRENDIMIENTO IRMA RODRIGUEZ 6")</f>
        <v>EMPRENDIMIENTO IRMA RODRIGUEZ 6</v>
      </c>
      <c r="G260" s="19">
        <v>500.4606</v>
      </c>
      <c r="H260" s="13"/>
      <c r="I260" s="14">
        <f t="shared" si="1"/>
        <v>91</v>
      </c>
      <c r="J260" s="15">
        <f t="shared" si="2"/>
        <v>91</v>
      </c>
      <c r="K260" s="14">
        <f t="shared" si="3"/>
        <v>91</v>
      </c>
      <c r="L260" s="16" t="str">
        <f>IFERROR(__xludf.DUMMYFUNCTION("IFERROR(
  IF(
    VLOOKUP(C260, IMPORTRANGE(""gid=860555792"", ""Maestro!B:C""), 2, FALSE) = D260, 
    ""CONCILIADO"", 
    ""ERROR EN MONTO""
  ), 
  ""NO ENCONTRADO EN MAESTRO""
)"),"NO ENCONTRADO EN MAESTRO")</f>
        <v>NO ENCONTRADO EN MAESTRO</v>
      </c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ht="22.5" customHeight="1">
      <c r="A261" s="25">
        <f>IFERROR(__xludf.DUMMYFUNCTION("""COMPUTED_VALUE"""),46153.0)</f>
        <v>46153</v>
      </c>
      <c r="B261" s="15">
        <f>IFERROR(__xludf.DUMMYFUNCTION("""COMPUTED_VALUE"""),21.0)</f>
        <v>21</v>
      </c>
      <c r="C261" s="21">
        <f>IFERROR(__xludf.DUMMYFUNCTION("""COMPUTED_VALUE"""),118845.6)</f>
        <v>118845.6</v>
      </c>
      <c r="D261" s="22" t="str">
        <f>IFERROR(__xludf.DUMMYFUNCTION("""COMPUTED_VALUE"""),"VES")</f>
        <v>VES</v>
      </c>
      <c r="E261" s="22" t="str">
        <f>IFERROR(__xludf.DUMMYFUNCTION("""COMPUTED_VALUE"""),"Bancamiga")</f>
        <v>Bancamiga</v>
      </c>
      <c r="F261" s="22" t="str">
        <f>IFERROR(__xludf.DUMMYFUNCTION("""COMPUTED_VALUE"""),"INVERSIONES SMALUM 21, C.A.")</f>
        <v>INVERSIONES SMALUM 21, C.A.</v>
      </c>
      <c r="G261" s="19">
        <v>500.4606</v>
      </c>
      <c r="H261" s="13"/>
      <c r="I261" s="14">
        <f t="shared" si="1"/>
        <v>237.4724404</v>
      </c>
      <c r="J261" s="15">
        <f t="shared" si="2"/>
        <v>0</v>
      </c>
      <c r="K261" s="14">
        <f t="shared" si="3"/>
        <v>237.4724404</v>
      </c>
      <c r="L261" s="16" t="str">
        <f>IFERROR(__xludf.DUMMYFUNCTION("IFERROR(
  IF(
    VLOOKUP(C261, IMPORTRANGE(""gid=860555792"", ""Maestro!B:C""), 2, FALSE) = D261, 
    ""CONCILIADO"", 
    ""ERROR EN MONTO""
  ), 
  ""NO ENCONTRADO EN MAESTRO""
)"),"NO ENCONTRADO EN MAESTRO")</f>
        <v>NO ENCONTRADO EN MAESTRO</v>
      </c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ht="22.5" customHeight="1">
      <c r="A262" s="25">
        <f>IFERROR(__xludf.DUMMYFUNCTION("""COMPUTED_VALUE"""),46153.0)</f>
        <v>46153</v>
      </c>
      <c r="B262" s="15">
        <f>IFERROR(__xludf.DUMMYFUNCTION("""COMPUTED_VALUE"""),21.0)</f>
        <v>21</v>
      </c>
      <c r="C262" s="21">
        <f>IFERROR(__xludf.DUMMYFUNCTION("""COMPUTED_VALUE"""),589.27)</f>
        <v>589.27</v>
      </c>
      <c r="D262" s="22" t="str">
        <f>IFERROR(__xludf.DUMMYFUNCTION("""COMPUTED_VALUE"""),"VES")</f>
        <v>VES</v>
      </c>
      <c r="E262" s="22" t="str">
        <f>IFERROR(__xludf.DUMMYFUNCTION("""COMPUTED_VALUE"""),"Bancamiga")</f>
        <v>Bancamiga</v>
      </c>
      <c r="F262" s="22" t="str">
        <f>IFERROR(__xludf.DUMMYFUNCTION("""COMPUTED_VALUE"""),"INVERSIONES SMALUM 21, C.A.")</f>
        <v>INVERSIONES SMALUM 21, C.A.</v>
      </c>
      <c r="G262" s="19">
        <v>500.4606</v>
      </c>
      <c r="H262" s="13"/>
      <c r="I262" s="14">
        <f t="shared" si="1"/>
        <v>1.177455328</v>
      </c>
      <c r="J262" s="15">
        <f t="shared" si="2"/>
        <v>0</v>
      </c>
      <c r="K262" s="14">
        <f t="shared" si="3"/>
        <v>1.177455328</v>
      </c>
      <c r="L262" s="16" t="str">
        <f>IFERROR(__xludf.DUMMYFUNCTION("IFERROR(
  IF(
    VLOOKUP(C262, IMPORTRANGE(""gid=860555792"", ""Maestro!B:C""), 2, FALSE) = D262, 
    ""CONCILIADO"", 
    ""ERROR EN MONTO""
  ), 
  ""NO ENCONTRADO EN MAESTRO""
)"),"NO ENCONTRADO EN MAESTRO")</f>
        <v>NO ENCONTRADO EN MAESTRO</v>
      </c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ht="22.5" customHeight="1">
      <c r="A263" s="25">
        <f>IFERROR(__xludf.DUMMYFUNCTION("""COMPUTED_VALUE"""),46153.0)</f>
        <v>46153</v>
      </c>
      <c r="B263" s="15">
        <f>IFERROR(__xludf.DUMMYFUNCTION("""COMPUTED_VALUE"""),192.0)</f>
        <v>192</v>
      </c>
      <c r="C263" s="21">
        <f>IFERROR(__xludf.DUMMYFUNCTION("""COMPUTED_VALUE"""),40.0)</f>
        <v>40</v>
      </c>
      <c r="D263" s="22" t="str">
        <f>IFERROR(__xludf.DUMMYFUNCTION("""COMPUTED_VALUE"""),"USD")</f>
        <v>USD</v>
      </c>
      <c r="E263" s="22" t="str">
        <f>IFERROR(__xludf.DUMMYFUNCTION("""COMPUTED_VALUE"""),"Efectivo USD")</f>
        <v>Efectivo USD</v>
      </c>
      <c r="F263" s="22" t="str">
        <f>IFERROR(__xludf.DUMMYFUNCTION("""COMPUTED_VALUE"""),"Global Ferre 888 C.A")</f>
        <v>Global Ferre 888 C.A</v>
      </c>
      <c r="G263" s="19">
        <v>500.4606</v>
      </c>
      <c r="H263" s="13"/>
      <c r="I263" s="14">
        <f t="shared" si="1"/>
        <v>40</v>
      </c>
      <c r="J263" s="15">
        <f t="shared" si="2"/>
        <v>40</v>
      </c>
      <c r="K263" s="14">
        <f t="shared" si="3"/>
        <v>40</v>
      </c>
      <c r="L263" s="16" t="str">
        <f>IFERROR(__xludf.DUMMYFUNCTION("IFERROR(
  IF(
    VLOOKUP(C263, IMPORTRANGE(""gid=860555792"", ""Maestro!B:C""), 2, FALSE) = D263, 
    ""CONCILIADO"", 
    ""ERROR EN MONTO""
  ), 
  ""NO ENCONTRADO EN MAESTRO""
)"),"NO ENCONTRADO EN MAESTRO")</f>
        <v>NO ENCONTRADO EN MAESTRO</v>
      </c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ht="22.5" customHeight="1">
      <c r="A264" s="25">
        <f>IFERROR(__xludf.DUMMYFUNCTION("""COMPUTED_VALUE"""),46153.0)</f>
        <v>46153</v>
      </c>
      <c r="B264" s="15">
        <f>IFERROR(__xludf.DUMMYFUNCTION("""COMPUTED_VALUE"""),82.0)</f>
        <v>82</v>
      </c>
      <c r="C264" s="21">
        <f>IFERROR(__xludf.DUMMYFUNCTION("""COMPUTED_VALUE"""),185.0)</f>
        <v>185</v>
      </c>
      <c r="D264" s="22" t="str">
        <f>IFERROR(__xludf.DUMMYFUNCTION("""COMPUTED_VALUE"""),"USD")</f>
        <v>USD</v>
      </c>
      <c r="E264" s="22" t="str">
        <f>IFERROR(__xludf.DUMMYFUNCTION("""COMPUTED_VALUE"""),"Efectivo USD")</f>
        <v>Efectivo USD</v>
      </c>
      <c r="F264" s="22" t="str">
        <f>IFERROR(__xludf.DUMMYFUNCTION("""COMPUTED_VALUE"""),"Pedro Castro")</f>
        <v>Pedro Castro</v>
      </c>
      <c r="G264" s="19">
        <v>500.4606</v>
      </c>
      <c r="H264" s="13"/>
      <c r="I264" s="14">
        <f t="shared" si="1"/>
        <v>185</v>
      </c>
      <c r="J264" s="15">
        <f t="shared" si="2"/>
        <v>185</v>
      </c>
      <c r="K264" s="14">
        <f t="shared" si="3"/>
        <v>185</v>
      </c>
      <c r="L264" s="16" t="str">
        <f>IFERROR(__xludf.DUMMYFUNCTION("IFERROR(
  IF(
    VLOOKUP(C264, IMPORTRANGE(""gid=860555792"", ""Maestro!B:C""), 2, FALSE) = D264, 
    ""CONCILIADO"", 
    ""ERROR EN MONTO""
  ), 
  ""NO ENCONTRADO EN MAESTRO""
)"),"NO ENCONTRADO EN MAESTRO")</f>
        <v>NO ENCONTRADO EN MAESTRO</v>
      </c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ht="22.5" customHeight="1">
      <c r="A265" s="25">
        <f>IFERROR(__xludf.DUMMYFUNCTION("""COMPUTED_VALUE"""),46154.0)</f>
        <v>46154</v>
      </c>
      <c r="B265" s="15">
        <f>IFERROR(__xludf.DUMMYFUNCTION("""COMPUTED_VALUE"""),53.0)</f>
        <v>53</v>
      </c>
      <c r="C265" s="21">
        <f>IFERROR(__xludf.DUMMYFUNCTION("""COMPUTED_VALUE"""),119010.4)</f>
        <v>119010.4</v>
      </c>
      <c r="D265" s="22" t="str">
        <f>IFERROR(__xludf.DUMMYFUNCTION("""COMPUTED_VALUE"""),"VES")</f>
        <v>VES</v>
      </c>
      <c r="E265" s="22" t="str">
        <f>IFERROR(__xludf.DUMMYFUNCTION("""COMPUTED_VALUE"""),"Bancamiga")</f>
        <v>Bancamiga</v>
      </c>
      <c r="F265" s="22" t="str">
        <f>IFERROR(__xludf.DUMMYFUNCTION("""COMPUTED_VALUE"""),"INVERSIONES MI  'LINDA YEMAIRE 2019, C.A")</f>
        <v>INVERSIONES MI  'LINDA YEMAIRE 2019, C.A</v>
      </c>
      <c r="G265" s="19">
        <v>500.4606</v>
      </c>
      <c r="H265" s="13"/>
      <c r="I265" s="14">
        <f t="shared" si="1"/>
        <v>237.801737</v>
      </c>
      <c r="J265" s="15">
        <f t="shared" si="2"/>
        <v>0</v>
      </c>
      <c r="K265" s="14">
        <f t="shared" si="3"/>
        <v>237.801737</v>
      </c>
      <c r="L265" s="16" t="str">
        <f>IFERROR(__xludf.DUMMYFUNCTION("IFERROR(
  IF(
    VLOOKUP(C265, IMPORTRANGE(""gid=860555792"", ""Maestro!B:C""), 2, FALSE) = D265, 
    ""CONCILIADO"", 
    ""ERROR EN MONTO""
  ), 
  ""NO ENCONTRADO EN MAESTRO""
)"),"NO ENCONTRADO EN MAESTRO")</f>
        <v>NO ENCONTRADO EN MAESTRO</v>
      </c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ht="22.5" customHeight="1">
      <c r="A266" s="25">
        <f>IFERROR(__xludf.DUMMYFUNCTION("""COMPUTED_VALUE"""),46154.0)</f>
        <v>46154</v>
      </c>
      <c r="B266" s="15">
        <f>IFERROR(__xludf.DUMMYFUNCTION("""COMPUTED_VALUE"""),189.0)</f>
        <v>189</v>
      </c>
      <c r="C266" s="21">
        <f>IFERROR(__xludf.DUMMYFUNCTION("""COMPUTED_VALUE"""),140.0)</f>
        <v>140</v>
      </c>
      <c r="D266" s="22" t="str">
        <f>IFERROR(__xludf.DUMMYFUNCTION("""COMPUTED_VALUE"""),"USD")</f>
        <v>USD</v>
      </c>
      <c r="E266" s="22" t="str">
        <f>IFERROR(__xludf.DUMMYFUNCTION("""COMPUTED_VALUE"""),"Efectivo USD")</f>
        <v>Efectivo USD</v>
      </c>
      <c r="F266" s="22" t="str">
        <f>IFERROR(__xludf.DUMMYFUNCTION("""COMPUTED_VALUE"""),"Manuel Emilio Reyes")</f>
        <v>Manuel Emilio Reyes</v>
      </c>
      <c r="G266" s="19">
        <v>500.4606</v>
      </c>
      <c r="H266" s="13"/>
      <c r="I266" s="14">
        <f t="shared" si="1"/>
        <v>140</v>
      </c>
      <c r="J266" s="15">
        <f t="shared" si="2"/>
        <v>140</v>
      </c>
      <c r="K266" s="14">
        <f t="shared" si="3"/>
        <v>140</v>
      </c>
      <c r="L266" s="16" t="str">
        <f>IFERROR(__xludf.DUMMYFUNCTION("IFERROR(
  IF(
    VLOOKUP(C266, IMPORTRANGE(""gid=860555792"", ""Maestro!B:C""), 2, FALSE) = D266, 
    ""CONCILIADO"", 
    ""ERROR EN MONTO""
  ), 
  ""NO ENCONTRADO EN MAESTRO""
)"),"NO ENCONTRADO EN MAESTRO")</f>
        <v>NO ENCONTRADO EN MAESTRO</v>
      </c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ht="22.5" customHeight="1">
      <c r="A267" s="25">
        <f>IFERROR(__xludf.DUMMYFUNCTION("""COMPUTED_VALUE"""),46154.0)</f>
        <v>46154</v>
      </c>
      <c r="B267" s="15">
        <f>IFERROR(__xludf.DUMMYFUNCTION("""COMPUTED_VALUE"""),96.0)</f>
        <v>96</v>
      </c>
      <c r="C267" s="21">
        <f>IFERROR(__xludf.DUMMYFUNCTION("""COMPUTED_VALUE"""),220223.55)</f>
        <v>220223.55</v>
      </c>
      <c r="D267" s="22" t="str">
        <f>IFERROR(__xludf.DUMMYFUNCTION("""COMPUTED_VALUE"""),"VES")</f>
        <v>VES</v>
      </c>
      <c r="E267" s="22" t="str">
        <f>IFERROR(__xludf.DUMMYFUNCTION("""COMPUTED_VALUE"""),"Bancamiga")</f>
        <v>Bancamiga</v>
      </c>
      <c r="F267" s="22" t="str">
        <f>IFERROR(__xludf.DUMMYFUNCTION("""COMPUTED_VALUE"""),"CONSTRUCTORA GRANO AGREGADO, C.A")</f>
        <v>CONSTRUCTORA GRANO AGREGADO, C.A</v>
      </c>
      <c r="G267" s="19">
        <v>504.9146</v>
      </c>
      <c r="H267" s="13"/>
      <c r="I267" s="14">
        <f t="shared" si="1"/>
        <v>436.1599962</v>
      </c>
      <c r="J267" s="15">
        <f t="shared" si="2"/>
        <v>0</v>
      </c>
      <c r="K267" s="14">
        <f t="shared" si="3"/>
        <v>436.1599962</v>
      </c>
      <c r="L267" s="16" t="str">
        <f>IFERROR(__xludf.DUMMYFUNCTION("IFERROR(
  IF(
    VLOOKUP(C267, IMPORTRANGE(""gid=860555792"", ""Maestro!B:C""), 2, FALSE) = D267, 
    ""CONCILIADO"", 
    ""ERROR EN MONTO""
  ), 
  ""NO ENCONTRADO EN MAESTRO""
)"),"NO ENCONTRADO EN MAESTRO")</f>
        <v>NO ENCONTRADO EN MAESTRO</v>
      </c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ht="22.5" customHeight="1">
      <c r="A268" s="25">
        <f>IFERROR(__xludf.DUMMYFUNCTION("""COMPUTED_VALUE"""),46150.0)</f>
        <v>46150</v>
      </c>
      <c r="B268" s="15">
        <f>IFERROR(__xludf.DUMMYFUNCTION("""COMPUTED_VALUE"""),150.0)</f>
        <v>150</v>
      </c>
      <c r="C268" s="21">
        <f>IFERROR(__xludf.DUMMYFUNCTION("""COMPUTED_VALUE"""),175.0)</f>
        <v>175</v>
      </c>
      <c r="D268" s="22" t="str">
        <f>IFERROR(__xludf.DUMMYFUNCTION("""COMPUTED_VALUE"""),"USD")</f>
        <v>USD</v>
      </c>
      <c r="E268" s="22" t="str">
        <f>IFERROR(__xludf.DUMMYFUNCTION("""COMPUTED_VALUE"""),"Binance")</f>
        <v>Binance</v>
      </c>
      <c r="F268" s="22" t="str">
        <f>IFERROR(__xludf.DUMMYFUNCTION("""COMPUTED_VALUE"""),"Inversiones Dekamalbaz, C.A")</f>
        <v>Inversiones Dekamalbaz, C.A</v>
      </c>
      <c r="G268" s="19">
        <v>504.9146</v>
      </c>
      <c r="H268" s="13"/>
      <c r="I268" s="14">
        <f t="shared" si="1"/>
        <v>175</v>
      </c>
      <c r="J268" s="15">
        <f t="shared" si="2"/>
        <v>175</v>
      </c>
      <c r="K268" s="14">
        <f t="shared" si="3"/>
        <v>175</v>
      </c>
      <c r="L268" s="16" t="str">
        <f>IFERROR(__xludf.DUMMYFUNCTION("IFERROR(
  IF(
    VLOOKUP(C268, IMPORTRANGE(""gid=860555792"", ""Maestro!B:C""), 2, FALSE) = D268, 
    ""CONCILIADO"", 
    ""ERROR EN MONTO""
  ), 
  ""NO ENCONTRADO EN MAESTRO""
)"),"NO ENCONTRADO EN MAESTRO")</f>
        <v>NO ENCONTRADO EN MAESTRO</v>
      </c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ht="22.5" customHeight="1">
      <c r="A269" s="25">
        <f>IFERROR(__xludf.DUMMYFUNCTION("""COMPUTED_VALUE"""),46154.0)</f>
        <v>46154</v>
      </c>
      <c r="B269" s="15">
        <f>IFERROR(__xludf.DUMMYFUNCTION("""COMPUTED_VALUE"""),87.0)</f>
        <v>87</v>
      </c>
      <c r="C269" s="21">
        <f>IFERROR(__xludf.DUMMYFUNCTION("""COMPUTED_VALUE"""),70.0)</f>
        <v>70</v>
      </c>
      <c r="D269" s="22" t="str">
        <f>IFERROR(__xludf.DUMMYFUNCTION("""COMPUTED_VALUE"""),"USD")</f>
        <v>USD</v>
      </c>
      <c r="E269" s="22" t="str">
        <f>IFERROR(__xludf.DUMMYFUNCTION("""COMPUTED_VALUE"""),"Efectivo USD")</f>
        <v>Efectivo USD</v>
      </c>
      <c r="F269" s="22" t="str">
        <f>IFERROR(__xludf.DUMMYFUNCTION("""COMPUTED_VALUE"""),"Javier Cardenas Prato.")</f>
        <v>Javier Cardenas Prato.</v>
      </c>
      <c r="G269" s="19">
        <v>504.9146</v>
      </c>
      <c r="H269" s="13"/>
      <c r="I269" s="14">
        <f t="shared" si="1"/>
        <v>70</v>
      </c>
      <c r="J269" s="15">
        <f t="shared" si="2"/>
        <v>70</v>
      </c>
      <c r="K269" s="14">
        <f t="shared" si="3"/>
        <v>70</v>
      </c>
      <c r="L269" s="16" t="str">
        <f>IFERROR(__xludf.DUMMYFUNCTION("IFERROR(
  IF(
    VLOOKUP(C269, IMPORTRANGE(""gid=860555792"", ""Maestro!B:C""), 2, FALSE) = D269, 
    ""CONCILIADO"", 
    ""ERROR EN MONTO""
  ), 
  ""NO ENCONTRADO EN MAESTRO""
)"),"NO ENCONTRADO EN MAESTRO")</f>
        <v>NO ENCONTRADO EN MAESTRO</v>
      </c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ht="22.5" customHeight="1">
      <c r="A270" s="25">
        <f>IFERROR(__xludf.DUMMYFUNCTION("""COMPUTED_VALUE"""),46154.0)</f>
        <v>46154</v>
      </c>
      <c r="B270" s="15">
        <f>IFERROR(__xludf.DUMMYFUNCTION("""COMPUTED_VALUE"""),240.0)</f>
        <v>240</v>
      </c>
      <c r="C270" s="21">
        <f>IFERROR(__xludf.DUMMYFUNCTION("""COMPUTED_VALUE"""),76.0)</f>
        <v>76</v>
      </c>
      <c r="D270" s="22" t="str">
        <f>IFERROR(__xludf.DUMMYFUNCTION("""COMPUTED_VALUE"""),"USD")</f>
        <v>USD</v>
      </c>
      <c r="E270" s="22" t="str">
        <f>IFERROR(__xludf.DUMMYFUNCTION("""COMPUTED_VALUE"""),"Efectivo USD")</f>
        <v>Efectivo USD</v>
      </c>
      <c r="F270" s="22" t="str">
        <f>IFERROR(__xludf.DUMMYFUNCTION("""COMPUTED_VALUE"""),"Auto repuestos Fontalvo")</f>
        <v>Auto repuestos Fontalvo</v>
      </c>
      <c r="G270" s="19">
        <v>499.8608</v>
      </c>
      <c r="H270" s="13"/>
      <c r="I270" s="14">
        <f t="shared" si="1"/>
        <v>76</v>
      </c>
      <c r="J270" s="15">
        <f t="shared" si="2"/>
        <v>76</v>
      </c>
      <c r="K270" s="14">
        <f t="shared" si="3"/>
        <v>76</v>
      </c>
      <c r="L270" s="16" t="str">
        <f>IFERROR(__xludf.DUMMYFUNCTION("IFERROR(
  IF(
    VLOOKUP(C270, IMPORTRANGE(""gid=860555792"", ""Maestro!B:C""), 2, FALSE) = D270, 
    ""CONCILIADO"", 
    ""ERROR EN MONTO""
  ), 
  ""NO ENCONTRADO EN MAESTRO""
)"),"NO ENCONTRADO EN MAESTRO")</f>
        <v>NO ENCONTRADO EN MAESTRO</v>
      </c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ht="22.5" customHeight="1">
      <c r="A271" s="25">
        <f>IFERROR(__xludf.DUMMYFUNCTION("""COMPUTED_VALUE"""),46154.0)</f>
        <v>46154</v>
      </c>
      <c r="B271" s="15">
        <f>IFERROR(__xludf.DUMMYFUNCTION("""COMPUTED_VALUE"""),123.0)</f>
        <v>123</v>
      </c>
      <c r="C271" s="21">
        <f>IFERROR(__xludf.DUMMYFUNCTION("""COMPUTED_VALUE"""),40.0)</f>
        <v>40</v>
      </c>
      <c r="D271" s="22" t="str">
        <f>IFERROR(__xludf.DUMMYFUNCTION("""COMPUTED_VALUE"""),"USD")</f>
        <v>USD</v>
      </c>
      <c r="E271" s="22" t="str">
        <f>IFERROR(__xludf.DUMMYFUNCTION("""COMPUTED_VALUE"""),"Efectivo USD")</f>
        <v>Efectivo USD</v>
      </c>
      <c r="F271" s="22" t="str">
        <f>IFERROR(__xludf.DUMMYFUNCTION("""COMPUTED_VALUE"""),"Ramon Alvarez Mota")</f>
        <v>Ramon Alvarez Mota</v>
      </c>
      <c r="G271" s="19">
        <v>504.9146</v>
      </c>
      <c r="H271" s="13"/>
      <c r="I271" s="14">
        <f t="shared" si="1"/>
        <v>40</v>
      </c>
      <c r="J271" s="15">
        <f t="shared" si="2"/>
        <v>40</v>
      </c>
      <c r="K271" s="14">
        <f t="shared" si="3"/>
        <v>40</v>
      </c>
      <c r="L271" s="16" t="str">
        <f>IFERROR(__xludf.DUMMYFUNCTION("IFERROR(
  IF(
    VLOOKUP(C271, IMPORTRANGE(""gid=860555792"", ""Maestro!B:C""), 2, FALSE) = D271, 
    ""CONCILIADO"", 
    ""ERROR EN MONTO""
  ), 
  ""NO ENCONTRADO EN MAESTRO""
)"),"NO ENCONTRADO EN MAESTRO")</f>
        <v>NO ENCONTRADO EN MAESTRO</v>
      </c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ht="22.5" customHeight="1">
      <c r="A272" s="25">
        <f>IFERROR(__xludf.DUMMYFUNCTION("""COMPUTED_VALUE"""),46154.0)</f>
        <v>46154</v>
      </c>
      <c r="B272" s="15">
        <f>IFERROR(__xludf.DUMMYFUNCTION("""COMPUTED_VALUE"""),187.0)</f>
        <v>187</v>
      </c>
      <c r="C272" s="21">
        <f>IFERROR(__xludf.DUMMYFUNCTION("""COMPUTED_VALUE"""),117.0)</f>
        <v>117</v>
      </c>
      <c r="D272" s="22" t="str">
        <f>IFERROR(__xludf.DUMMYFUNCTION("""COMPUTED_VALUE"""),"USD")</f>
        <v>USD</v>
      </c>
      <c r="E272" s="22" t="str">
        <f>IFERROR(__xludf.DUMMYFUNCTION("""COMPUTED_VALUE"""),"Efectivo USD")</f>
        <v>Efectivo USD</v>
      </c>
      <c r="F272" s="22" t="str">
        <f>IFERROR(__xludf.DUMMYFUNCTION("""COMPUTED_VALUE"""),"HP Repuestos 2007 C.A")</f>
        <v>HP Repuestos 2007 C.A</v>
      </c>
      <c r="G272" s="19">
        <v>504.9146</v>
      </c>
      <c r="H272" s="13"/>
      <c r="I272" s="14">
        <f t="shared" si="1"/>
        <v>117</v>
      </c>
      <c r="J272" s="15">
        <f t="shared" si="2"/>
        <v>117</v>
      </c>
      <c r="K272" s="14">
        <f t="shared" si="3"/>
        <v>117</v>
      </c>
      <c r="L272" s="16" t="str">
        <f>IFERROR(__xludf.DUMMYFUNCTION("IFERROR(
  IF(
    VLOOKUP(C272, IMPORTRANGE(""gid=860555792"", ""Maestro!B:C""), 2, FALSE) = D272, 
    ""CONCILIADO"", 
    ""ERROR EN MONTO""
  ), 
  ""NO ENCONTRADO EN MAESTRO""
)"),"NO ENCONTRADO EN MAESTRO")</f>
        <v>NO ENCONTRADO EN MAESTRO</v>
      </c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ht="22.5" customHeight="1">
      <c r="A273" s="25">
        <f>IFERROR(__xludf.DUMMYFUNCTION("""COMPUTED_VALUE"""),46154.0)</f>
        <v>46154</v>
      </c>
      <c r="B273" s="15">
        <f>IFERROR(__xludf.DUMMYFUNCTION("""COMPUTED_VALUE"""),204.0)</f>
        <v>204</v>
      </c>
      <c r="C273" s="21">
        <f>IFERROR(__xludf.DUMMYFUNCTION("""COMPUTED_VALUE"""),40.0)</f>
        <v>40</v>
      </c>
      <c r="D273" s="22" t="str">
        <f>IFERROR(__xludf.DUMMYFUNCTION("""COMPUTED_VALUE"""),"USD")</f>
        <v>USD</v>
      </c>
      <c r="E273" s="22" t="str">
        <f>IFERROR(__xludf.DUMMYFUNCTION("""COMPUTED_VALUE"""),"Efectivo USD")</f>
        <v>Efectivo USD</v>
      </c>
      <c r="F273" s="22" t="str">
        <f>IFERROR(__xludf.DUMMYFUNCTION("""COMPUTED_VALUE"""),"Motolavado Yahir")</f>
        <v>Motolavado Yahir</v>
      </c>
      <c r="G273" s="19">
        <v>504.9146</v>
      </c>
      <c r="H273" s="13"/>
      <c r="I273" s="14">
        <f t="shared" si="1"/>
        <v>40</v>
      </c>
      <c r="J273" s="15">
        <f t="shared" si="2"/>
        <v>40</v>
      </c>
      <c r="K273" s="14">
        <f t="shared" si="3"/>
        <v>40</v>
      </c>
      <c r="L273" s="16" t="str">
        <f>IFERROR(__xludf.DUMMYFUNCTION("IFERROR(
  IF(
    VLOOKUP(C273, IMPORTRANGE(""gid=860555792"", ""Maestro!B:C""), 2, FALSE) = D273, 
    ""CONCILIADO"", 
    ""ERROR EN MONTO""
  ), 
  ""NO ENCONTRADO EN MAESTRO""
)"),"NO ENCONTRADO EN MAESTRO")</f>
        <v>NO ENCONTRADO EN MAESTRO</v>
      </c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ht="22.5" customHeight="1">
      <c r="A274" s="25">
        <f>IFERROR(__xludf.DUMMYFUNCTION("""COMPUTED_VALUE"""),46154.0)</f>
        <v>46154</v>
      </c>
      <c r="B274" s="15">
        <f>IFERROR(__xludf.DUMMYFUNCTION("""COMPUTED_VALUE"""),103.0)</f>
        <v>103</v>
      </c>
      <c r="C274" s="21">
        <f>IFERROR(__xludf.DUMMYFUNCTION("""COMPUTED_VALUE"""),100.0)</f>
        <v>100</v>
      </c>
      <c r="D274" s="22" t="str">
        <f>IFERROR(__xludf.DUMMYFUNCTION("""COMPUTED_VALUE"""),"USD")</f>
        <v>USD</v>
      </c>
      <c r="E274" s="22" t="str">
        <f>IFERROR(__xludf.DUMMYFUNCTION("""COMPUTED_VALUE"""),"Efectivo USD")</f>
        <v>Efectivo USD</v>
      </c>
      <c r="F274" s="22" t="str">
        <f>IFERROR(__xludf.DUMMYFUNCTION("""COMPUTED_VALUE"""),"Alexis Rodríguez Fernández")</f>
        <v>Alexis Rodríguez Fernández</v>
      </c>
      <c r="G274" s="19">
        <v>504.9146</v>
      </c>
      <c r="H274" s="13"/>
      <c r="I274" s="14">
        <f t="shared" si="1"/>
        <v>100</v>
      </c>
      <c r="J274" s="15">
        <f t="shared" si="2"/>
        <v>100</v>
      </c>
      <c r="K274" s="14">
        <f t="shared" si="3"/>
        <v>100</v>
      </c>
      <c r="L274" s="16" t="str">
        <f>IFERROR(__xludf.DUMMYFUNCTION("IFERROR(
  IF(
    VLOOKUP(C274, IMPORTRANGE(""gid=860555792"", ""Maestro!B:C""), 2, FALSE) = D274, 
    ""CONCILIADO"", 
    ""ERROR EN MONTO""
  ), 
  ""NO ENCONTRADO EN MAESTRO""
)"),"NO ENCONTRADO EN MAESTRO")</f>
        <v>NO ENCONTRADO EN MAESTRO</v>
      </c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ht="22.5" customHeight="1">
      <c r="A275" s="25">
        <f>IFERROR(__xludf.DUMMYFUNCTION("""COMPUTED_VALUE"""),46154.0)</f>
        <v>46154</v>
      </c>
      <c r="B275" s="15">
        <f>IFERROR(__xludf.DUMMYFUNCTION("""COMPUTED_VALUE"""),199.0)</f>
        <v>199</v>
      </c>
      <c r="C275" s="21">
        <f>IFERROR(__xludf.DUMMYFUNCTION("""COMPUTED_VALUE"""),140.0)</f>
        <v>140</v>
      </c>
      <c r="D275" s="22" t="str">
        <f>IFERROR(__xludf.DUMMYFUNCTION("""COMPUTED_VALUE"""),"USD")</f>
        <v>USD</v>
      </c>
      <c r="E275" s="22" t="str">
        <f>IFERROR(__xludf.DUMMYFUNCTION("""COMPUTED_VALUE"""),"Efectivo USD")</f>
        <v>Efectivo USD</v>
      </c>
      <c r="F275" s="22" t="str">
        <f>IFERROR(__xludf.DUMMYFUNCTION("""COMPUTED_VALUE"""),"PROYECTO MAQUIVEIRO 21 C.A.")</f>
        <v>PROYECTO MAQUIVEIRO 21 C.A.</v>
      </c>
      <c r="G275" s="19">
        <v>504.9146</v>
      </c>
      <c r="H275" s="13"/>
      <c r="I275" s="14">
        <f t="shared" si="1"/>
        <v>140</v>
      </c>
      <c r="J275" s="15">
        <f t="shared" si="2"/>
        <v>140</v>
      </c>
      <c r="K275" s="14">
        <f t="shared" si="3"/>
        <v>140</v>
      </c>
      <c r="L275" s="16" t="str">
        <f>IFERROR(__xludf.DUMMYFUNCTION("IFERROR(
  IF(
    VLOOKUP(C275, IMPORTRANGE(""gid=860555792"", ""Maestro!B:C""), 2, FALSE) = D275, 
    ""CONCILIADO"", 
    ""ERROR EN MONTO""
  ), 
  ""NO ENCONTRADO EN MAESTRO""
)"),"NO ENCONTRADO EN MAESTRO")</f>
        <v>NO ENCONTRADO EN MAESTRO</v>
      </c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ht="22.5" customHeight="1">
      <c r="A276" s="25">
        <f>IFERROR(__xludf.DUMMYFUNCTION("""COMPUTED_VALUE"""),46154.0)</f>
        <v>46154</v>
      </c>
      <c r="B276" s="15">
        <f>IFERROR(__xludf.DUMMYFUNCTION("""COMPUTED_VALUE"""),297.0)</f>
        <v>297</v>
      </c>
      <c r="C276" s="21">
        <f>IFERROR(__xludf.DUMMYFUNCTION("""COMPUTED_VALUE"""),20.0)</f>
        <v>20</v>
      </c>
      <c r="D276" s="22" t="str">
        <f>IFERROR(__xludf.DUMMYFUNCTION("""COMPUTED_VALUE"""),"USD")</f>
        <v>USD</v>
      </c>
      <c r="E276" s="22" t="str">
        <f>IFERROR(__xludf.DUMMYFUNCTION("""COMPUTED_VALUE"""),"Efectivo USD")</f>
        <v>Efectivo USD</v>
      </c>
      <c r="F276" s="22" t="str">
        <f>IFERROR(__xludf.DUMMYFUNCTION("""COMPUTED_VALUE"""),"Javier gregorio Espinoza")</f>
        <v>Javier gregorio Espinoza</v>
      </c>
      <c r="G276" s="19">
        <v>504.9146</v>
      </c>
      <c r="H276" s="13"/>
      <c r="I276" s="14">
        <f t="shared" si="1"/>
        <v>20</v>
      </c>
      <c r="J276" s="15">
        <f t="shared" si="2"/>
        <v>20</v>
      </c>
      <c r="K276" s="14">
        <f t="shared" si="3"/>
        <v>20</v>
      </c>
      <c r="L276" s="16" t="str">
        <f>IFERROR(__xludf.DUMMYFUNCTION("IFERROR(
  IF(
    VLOOKUP(C276, IMPORTRANGE(""gid=860555792"", ""Maestro!B:C""), 2, FALSE) = D276, 
    ""CONCILIADO"", 
    ""ERROR EN MONTO""
  ), 
  ""NO ENCONTRADO EN MAESTRO""
)"),"NO ENCONTRADO EN MAESTRO")</f>
        <v>NO ENCONTRADO EN MAESTRO</v>
      </c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ht="22.5" customHeight="1">
      <c r="A277" s="25">
        <f>IFERROR(__xludf.DUMMYFUNCTION("""COMPUTED_VALUE"""),46155.0)</f>
        <v>46155</v>
      </c>
      <c r="B277" s="15">
        <f>IFERROR(__xludf.DUMMYFUNCTION("""COMPUTED_VALUE"""),61.0)</f>
        <v>61</v>
      </c>
      <c r="C277" s="21">
        <f>IFERROR(__xludf.DUMMYFUNCTION("""COMPUTED_VALUE"""),600.0)</f>
        <v>600</v>
      </c>
      <c r="D277" s="22" t="str">
        <f>IFERROR(__xludf.DUMMYFUNCTION("""COMPUTED_VALUE"""),"USD")</f>
        <v>USD</v>
      </c>
      <c r="E277" s="22" t="str">
        <f>IFERROR(__xludf.DUMMYFUNCTION("""COMPUTED_VALUE"""),"Efectivo USD")</f>
        <v>Efectivo USD</v>
      </c>
      <c r="F277" s="22" t="str">
        <f>IFERROR(__xludf.DUMMYFUNCTION("""COMPUTED_VALUE"""),"SJMG 2012 C.A")</f>
        <v>SJMG 2012 C.A</v>
      </c>
      <c r="G277" s="19">
        <v>504.9146</v>
      </c>
      <c r="H277" s="13"/>
      <c r="I277" s="14">
        <f t="shared" si="1"/>
        <v>600</v>
      </c>
      <c r="J277" s="15">
        <f t="shared" si="2"/>
        <v>600</v>
      </c>
      <c r="K277" s="14">
        <f t="shared" si="3"/>
        <v>600</v>
      </c>
      <c r="L277" s="16" t="str">
        <f>IFERROR(__xludf.DUMMYFUNCTION("IFERROR(
  IF(
    VLOOKUP(C277, IMPORTRANGE(""gid=860555792"", ""Maestro!B:C""), 2, FALSE) = D277, 
    ""CONCILIADO"", 
    ""ERROR EN MONTO""
  ), 
  ""NO ENCONTRADO EN MAESTRO""
)"),"NO ENCONTRADO EN MAESTRO")</f>
        <v>NO ENCONTRADO EN MAESTRO</v>
      </c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ht="22.5" customHeight="1">
      <c r="A278" s="25">
        <f>IFERROR(__xludf.DUMMYFUNCTION("""COMPUTED_VALUE"""),46149.0)</f>
        <v>46149</v>
      </c>
      <c r="B278" s="15">
        <f>IFERROR(__xludf.DUMMYFUNCTION("""COMPUTED_VALUE"""),174.0)</f>
        <v>174</v>
      </c>
      <c r="C278" s="21">
        <f>IFERROR(__xludf.DUMMYFUNCTION("""COMPUTED_VALUE"""),50860.0)</f>
        <v>50860</v>
      </c>
      <c r="D278" s="22" t="str">
        <f>IFERROR(__xludf.DUMMYFUNCTION("""COMPUTED_VALUE"""),"VES")</f>
        <v>VES</v>
      </c>
      <c r="E278" s="22" t="str">
        <f>IFERROR(__xludf.DUMMYFUNCTION("""COMPUTED_VALUE"""),"Bancamiga")</f>
        <v>Bancamiga</v>
      </c>
      <c r="F278" s="22" t="str">
        <f>IFERROR(__xludf.DUMMYFUNCTION("""COMPUTED_VALUE"""),"DISTRIBUIDORA E.P.L.C  2017, c.a.")</f>
        <v>DISTRIBUIDORA E.P.L.C  2017, c.a.</v>
      </c>
      <c r="G278" s="19">
        <v>504.9146</v>
      </c>
      <c r="H278" s="13"/>
      <c r="I278" s="14">
        <f t="shared" si="1"/>
        <v>100.7299056</v>
      </c>
      <c r="J278" s="15">
        <f t="shared" si="2"/>
        <v>0</v>
      </c>
      <c r="K278" s="14">
        <f t="shared" si="3"/>
        <v>100.7299056</v>
      </c>
      <c r="L278" s="16" t="str">
        <f>IFERROR(__xludf.DUMMYFUNCTION("IFERROR(
  IF(
    VLOOKUP(C278, IMPORTRANGE(""gid=860555792"", ""Maestro!B:C""), 2, FALSE) = D278, 
    ""CONCILIADO"", 
    ""ERROR EN MONTO""
  ), 
  ""NO ENCONTRADO EN MAESTRO""
)"),"NO ENCONTRADO EN MAESTRO")</f>
        <v>NO ENCONTRADO EN MAESTRO</v>
      </c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ht="22.5" customHeight="1">
      <c r="A279" s="25">
        <f>IFERROR(__xludf.DUMMYFUNCTION("""COMPUTED_VALUE"""),46155.0)</f>
        <v>46155</v>
      </c>
      <c r="B279" s="15">
        <f>IFERROR(__xludf.DUMMYFUNCTION("""COMPUTED_VALUE"""),380.0)</f>
        <v>380</v>
      </c>
      <c r="C279" s="21">
        <f>IFERROR(__xludf.DUMMYFUNCTION("""COMPUTED_VALUE"""),10.0)</f>
        <v>10</v>
      </c>
      <c r="D279" s="22" t="str">
        <f>IFERROR(__xludf.DUMMYFUNCTION("""COMPUTED_VALUE"""),"USD")</f>
        <v>USD</v>
      </c>
      <c r="E279" s="22" t="str">
        <f>IFERROR(__xludf.DUMMYFUNCTION("""COMPUTED_VALUE"""),"Efectivo USD")</f>
        <v>Efectivo USD</v>
      </c>
      <c r="F279" s="22" t="str">
        <f>IFERROR(__xludf.DUMMYFUNCTION("""COMPUTED_VALUE"""),"Junior Marco Antonio Vivas Navas")</f>
        <v>Junior Marco Antonio Vivas Navas</v>
      </c>
      <c r="G279" s="19">
        <v>504.9146</v>
      </c>
      <c r="H279" s="13"/>
      <c r="I279" s="14">
        <f t="shared" si="1"/>
        <v>10</v>
      </c>
      <c r="J279" s="15">
        <f t="shared" si="2"/>
        <v>10</v>
      </c>
      <c r="K279" s="14">
        <f t="shared" si="3"/>
        <v>10</v>
      </c>
      <c r="L279" s="16" t="str">
        <f>IFERROR(__xludf.DUMMYFUNCTION("IFERROR(
  IF(
    VLOOKUP(C279, IMPORTRANGE(""gid=860555792"", ""Maestro!B:C""), 2, FALSE) = D279, 
    ""CONCILIADO"", 
    ""ERROR EN MONTO""
  ), 
  ""NO ENCONTRADO EN MAESTRO""
)"),"NO ENCONTRADO EN MAESTRO")</f>
        <v>NO ENCONTRADO EN MAESTRO</v>
      </c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ht="22.5" customHeight="1">
      <c r="A280" s="25">
        <f>IFERROR(__xludf.DUMMYFUNCTION("""COMPUTED_VALUE"""),46156.0)</f>
        <v>46156</v>
      </c>
      <c r="B280" s="15">
        <f>IFERROR(__xludf.DUMMYFUNCTION("""COMPUTED_VALUE"""),201.0)</f>
        <v>201</v>
      </c>
      <c r="C280" s="21">
        <f>IFERROR(__xludf.DUMMYFUNCTION("""COMPUTED_VALUE"""),130.0)</f>
        <v>130</v>
      </c>
      <c r="D280" s="22" t="str">
        <f>IFERROR(__xludf.DUMMYFUNCTION("""COMPUTED_VALUE"""),"USD")</f>
        <v>USD</v>
      </c>
      <c r="E280" s="22" t="str">
        <f>IFERROR(__xludf.DUMMYFUNCTION("""COMPUTED_VALUE"""),"Efectivo USD")</f>
        <v>Efectivo USD</v>
      </c>
      <c r="F280" s="22" t="str">
        <f>IFERROR(__xludf.DUMMYFUNCTION("""COMPUTED_VALUE"""),"Junior Marco Antonio Vivas Navas")</f>
        <v>Junior Marco Antonio Vivas Navas</v>
      </c>
      <c r="G280" s="19">
        <v>496.8301</v>
      </c>
      <c r="H280" s="13"/>
      <c r="I280" s="14">
        <f t="shared" si="1"/>
        <v>130</v>
      </c>
      <c r="J280" s="15">
        <f t="shared" si="2"/>
        <v>130</v>
      </c>
      <c r="K280" s="14">
        <f t="shared" si="3"/>
        <v>130</v>
      </c>
      <c r="L280" s="16" t="str">
        <f>IFERROR(__xludf.DUMMYFUNCTION("IFERROR(
  IF(
    VLOOKUP(C280, IMPORTRANGE(""gid=860555792"", ""Maestro!B:C""), 2, FALSE) = D280, 
    ""CONCILIADO"", 
    ""ERROR EN MONTO""
  ), 
  ""NO ENCONTRADO EN MAESTRO""
)"),"NO ENCONTRADO EN MAESTRO")</f>
        <v>NO ENCONTRADO EN MAESTRO</v>
      </c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ht="22.5" customHeight="1">
      <c r="A281" s="25">
        <f>IFERROR(__xludf.DUMMYFUNCTION("""COMPUTED_VALUE"""),46155.0)</f>
        <v>46155</v>
      </c>
      <c r="B281" s="15">
        <f>IFERROR(__xludf.DUMMYFUNCTION("""COMPUTED_VALUE"""),203.0)</f>
        <v>203</v>
      </c>
      <c r="C281" s="21">
        <f>IFERROR(__xludf.DUMMYFUNCTION("""COMPUTED_VALUE"""),68.0)</f>
        <v>68</v>
      </c>
      <c r="D281" s="22" t="str">
        <f>IFERROR(__xludf.DUMMYFUNCTION("""COMPUTED_VALUE"""),"USD")</f>
        <v>USD</v>
      </c>
      <c r="E281" s="22" t="str">
        <f>IFERROR(__xludf.DUMMYFUNCTION("""COMPUTED_VALUE"""),"Efectivo USD")</f>
        <v>Efectivo USD</v>
      </c>
      <c r="F281" s="22" t="str">
        <f>IFERROR(__xludf.DUMMYFUNCTION("""COMPUTED_VALUE"""),"Moto Repuestos Sanz 11. C.A.")</f>
        <v>Moto Repuestos Sanz 11. C.A.</v>
      </c>
      <c r="G281" s="19">
        <v>508.6004</v>
      </c>
      <c r="H281" s="13"/>
      <c r="I281" s="14">
        <f t="shared" si="1"/>
        <v>68</v>
      </c>
      <c r="J281" s="15">
        <f t="shared" si="2"/>
        <v>68</v>
      </c>
      <c r="K281" s="14">
        <f t="shared" si="3"/>
        <v>68</v>
      </c>
      <c r="L281" s="16" t="str">
        <f>IFERROR(__xludf.DUMMYFUNCTION("IFERROR(
  IF(
    VLOOKUP(C281, IMPORTRANGE(""gid=860555792"", ""Maestro!B:C""), 2, FALSE) = D281, 
    ""CONCILIADO"", 
    ""ERROR EN MONTO""
  ), 
  ""NO ENCONTRADO EN MAESTRO""
)"),"NO ENCONTRADO EN MAESTRO")</f>
        <v>NO ENCONTRADO EN MAESTRO</v>
      </c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ht="22.5" customHeight="1">
      <c r="A282" s="25">
        <f>IFERROR(__xludf.DUMMYFUNCTION("""COMPUTED_VALUE"""),46155.0)</f>
        <v>46155</v>
      </c>
      <c r="B282" s="15">
        <f>IFERROR(__xludf.DUMMYFUNCTION("""COMPUTED_VALUE"""),365.0)</f>
        <v>365</v>
      </c>
      <c r="C282" s="21">
        <f>IFERROR(__xludf.DUMMYFUNCTION("""COMPUTED_VALUE"""),51725.0)</f>
        <v>51725</v>
      </c>
      <c r="D282" s="22" t="str">
        <f>IFERROR(__xludf.DUMMYFUNCTION("""COMPUTED_VALUE"""),"VES")</f>
        <v>VES</v>
      </c>
      <c r="E282" s="22" t="str">
        <f>IFERROR(__xludf.DUMMYFUNCTION("""COMPUTED_VALUE"""),"Bancamiga")</f>
        <v>Bancamiga</v>
      </c>
      <c r="F282" s="22" t="str">
        <f>IFERROR(__xludf.DUMMYFUNCTION("""COMPUTED_VALUE"""),"Kiosco Willianny 1013, C.A")</f>
        <v>Kiosco Willianny 1013, C.A</v>
      </c>
      <c r="G282" s="19">
        <v>508.6004</v>
      </c>
      <c r="H282" s="13"/>
      <c r="I282" s="14">
        <f t="shared" si="1"/>
        <v>101.7006672</v>
      </c>
      <c r="J282" s="15">
        <f t="shared" si="2"/>
        <v>0</v>
      </c>
      <c r="K282" s="14">
        <f t="shared" si="3"/>
        <v>101.7006672</v>
      </c>
      <c r="L282" s="16" t="str">
        <f>IFERROR(__xludf.DUMMYFUNCTION("IFERROR(
  IF(
    VLOOKUP(C282, IMPORTRANGE(""gid=860555792"", ""Maestro!B:C""), 2, FALSE) = D282, 
    ""CONCILIADO"", 
    ""ERROR EN MONTO""
  ), 
  ""NO ENCONTRADO EN MAESTRO""
)"),"NO ENCONTRADO EN MAESTRO")</f>
        <v>NO ENCONTRADO EN MAESTRO</v>
      </c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ht="22.5" customHeight="1">
      <c r="A283" s="25">
        <f>IFERROR(__xludf.DUMMYFUNCTION("""COMPUTED_VALUE"""),46155.0)</f>
        <v>46155</v>
      </c>
      <c r="B283" s="15">
        <f>IFERROR(__xludf.DUMMYFUNCTION("""COMPUTED_VALUE"""),242.0)</f>
        <v>242</v>
      </c>
      <c r="C283" s="21">
        <f>IFERROR(__xludf.DUMMYFUNCTION("""COMPUTED_VALUE"""),675.0)</f>
        <v>675</v>
      </c>
      <c r="D283" s="22" t="str">
        <f>IFERROR(__xludf.DUMMYFUNCTION("""COMPUTED_VALUE"""),"USD")</f>
        <v>USD</v>
      </c>
      <c r="E283" s="22" t="str">
        <f>IFERROR(__xludf.DUMMYFUNCTION("""COMPUTED_VALUE"""),"Efectivo USD")</f>
        <v>Efectivo USD</v>
      </c>
      <c r="F283" s="22" t="str">
        <f>IFERROR(__xludf.DUMMYFUNCTION("""COMPUTED_VALUE"""),"Servicios de Gruas Torgil 300, c.a.")</f>
        <v>Servicios de Gruas Torgil 300, c.a.</v>
      </c>
      <c r="G283" s="19">
        <v>508.6004</v>
      </c>
      <c r="H283" s="13"/>
      <c r="I283" s="14">
        <f t="shared" si="1"/>
        <v>675</v>
      </c>
      <c r="J283" s="15">
        <f t="shared" si="2"/>
        <v>675</v>
      </c>
      <c r="K283" s="14">
        <f t="shared" si="3"/>
        <v>675</v>
      </c>
      <c r="L283" s="16" t="str">
        <f>IFERROR(__xludf.DUMMYFUNCTION("IFERROR(
  IF(
    VLOOKUP(C283, IMPORTRANGE(""gid=860555792"", ""Maestro!B:C""), 2, FALSE) = D283, 
    ""CONCILIADO"", 
    ""ERROR EN MONTO""
  ), 
  ""NO ENCONTRADO EN MAESTRO""
)"),"NO ENCONTRADO EN MAESTRO")</f>
        <v>NO ENCONTRADO EN MAESTRO</v>
      </c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ht="22.5" customHeight="1">
      <c r="A284" s="25">
        <f>IFERROR(__xludf.DUMMYFUNCTION("""COMPUTED_VALUE"""),46155.0)</f>
        <v>46155</v>
      </c>
      <c r="B284" s="15">
        <f>IFERROR(__xludf.DUMMYFUNCTION("""COMPUTED_VALUE"""),372.0)</f>
        <v>372</v>
      </c>
      <c r="C284" s="21">
        <f>IFERROR(__xludf.DUMMYFUNCTION("""COMPUTED_VALUE"""),282421.33)</f>
        <v>282421.33</v>
      </c>
      <c r="D284" s="22" t="str">
        <f>IFERROR(__xludf.DUMMYFUNCTION("""COMPUTED_VALUE"""),"VES")</f>
        <v>VES</v>
      </c>
      <c r="E284" s="22" t="str">
        <f>IFERROR(__xludf.DUMMYFUNCTION("""COMPUTED_VALUE"""),"Bancamiga")</f>
        <v>Bancamiga</v>
      </c>
      <c r="F284" s="22" t="str">
        <f>IFERROR(__xludf.DUMMYFUNCTION("""COMPUTED_VALUE"""),"En ascenso 2011,c.a.")</f>
        <v>En ascenso 2011,c.a.</v>
      </c>
      <c r="G284" s="19">
        <v>508.6004</v>
      </c>
      <c r="H284" s="13"/>
      <c r="I284" s="14">
        <f t="shared" si="1"/>
        <v>555.291207</v>
      </c>
      <c r="J284" s="15">
        <f t="shared" si="2"/>
        <v>0</v>
      </c>
      <c r="K284" s="14">
        <f t="shared" si="3"/>
        <v>555.291207</v>
      </c>
      <c r="L284" s="16" t="str">
        <f>IFERROR(__xludf.DUMMYFUNCTION("IFERROR(
  IF(
    VLOOKUP(C284, IMPORTRANGE(""gid=860555792"", ""Maestro!B:C""), 2, FALSE) = D284, 
    ""CONCILIADO"", 
    ""ERROR EN MONTO""
  ), 
  ""NO ENCONTRADO EN MAESTRO""
)"),"NO ENCONTRADO EN MAESTRO")</f>
        <v>NO ENCONTRADO EN MAESTRO</v>
      </c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ht="22.5" customHeight="1">
      <c r="A285" s="25">
        <f>IFERROR(__xludf.DUMMYFUNCTION("""COMPUTED_VALUE"""),46156.0)</f>
        <v>46156</v>
      </c>
      <c r="B285" s="15">
        <f>IFERROR(__xludf.DUMMYFUNCTION("""COMPUTED_VALUE"""),14.0)</f>
        <v>14</v>
      </c>
      <c r="C285" s="21">
        <f>IFERROR(__xludf.DUMMYFUNCTION("""COMPUTED_VALUE"""),24594.69)</f>
        <v>24594.69</v>
      </c>
      <c r="D285" s="22" t="str">
        <f>IFERROR(__xludf.DUMMYFUNCTION("""COMPUTED_VALUE"""),"VES")</f>
        <v>VES</v>
      </c>
      <c r="E285" s="22" t="str">
        <f>IFERROR(__xludf.DUMMYFUNCTION("""COMPUTED_VALUE"""),"Bancamiga")</f>
        <v>Bancamiga</v>
      </c>
      <c r="F285" s="22" t="str">
        <f>IFERROR(__xludf.DUMMYFUNCTION("""COMPUTED_VALUE"""),"SPEED RACING, CA")</f>
        <v>SPEED RACING, CA</v>
      </c>
      <c r="G285" s="19">
        <v>508.6004</v>
      </c>
      <c r="H285" s="13"/>
      <c r="I285" s="14">
        <f t="shared" si="1"/>
        <v>48.35759075</v>
      </c>
      <c r="J285" s="15">
        <f t="shared" si="2"/>
        <v>0</v>
      </c>
      <c r="K285" s="14">
        <f t="shared" si="3"/>
        <v>48.35759075</v>
      </c>
      <c r="L285" s="16" t="str">
        <f>IFERROR(__xludf.DUMMYFUNCTION("IFERROR(
  IF(
    VLOOKUP(C285, IMPORTRANGE(""gid=860555792"", ""Maestro!B:C""), 2, FALSE) = D285, 
    ""CONCILIADO"", 
    ""ERROR EN MONTO""
  ), 
  ""NO ENCONTRADO EN MAESTRO""
)"),"NO ENCONTRADO EN MAESTRO")</f>
        <v>NO ENCONTRADO EN MAESTRO</v>
      </c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ht="22.5" customHeight="1">
      <c r="A286" s="25">
        <f>IFERROR(__xludf.DUMMYFUNCTION("""COMPUTED_VALUE"""),46156.0)</f>
        <v>46156</v>
      </c>
      <c r="B286" s="15">
        <f>IFERROR(__xludf.DUMMYFUNCTION("""COMPUTED_VALUE"""),14.0)</f>
        <v>14</v>
      </c>
      <c r="C286" s="21">
        <f>IFERROR(__xludf.DUMMYFUNCTION("""COMPUTED_VALUE"""),9761.32)</f>
        <v>9761.32</v>
      </c>
      <c r="D286" s="22" t="str">
        <f>IFERROR(__xludf.DUMMYFUNCTION("""COMPUTED_VALUE"""),"VES")</f>
        <v>VES</v>
      </c>
      <c r="E286" s="22" t="str">
        <f>IFERROR(__xludf.DUMMYFUNCTION("""COMPUTED_VALUE"""),"Bancamiga")</f>
        <v>Bancamiga</v>
      </c>
      <c r="F286" s="22" t="str">
        <f>IFERROR(__xludf.DUMMYFUNCTION("""COMPUTED_VALUE"""),"SPEED RACING, CA")</f>
        <v>SPEED RACING, CA</v>
      </c>
      <c r="G286" s="19">
        <v>510.7873</v>
      </c>
      <c r="H286" s="13"/>
      <c r="I286" s="14">
        <f t="shared" si="1"/>
        <v>19.11034202</v>
      </c>
      <c r="J286" s="15">
        <f t="shared" si="2"/>
        <v>0</v>
      </c>
      <c r="K286" s="14">
        <f t="shared" si="3"/>
        <v>19.11034202</v>
      </c>
      <c r="L286" s="16" t="str">
        <f>IFERROR(__xludf.DUMMYFUNCTION("IFERROR(
  IF(
    VLOOKUP(C286, IMPORTRANGE(""gid=860555792"", ""Maestro!B:C""), 2, FALSE) = D286, 
    ""CONCILIADO"", 
    ""ERROR EN MONTO""
  ), 
  ""NO ENCONTRADO EN MAESTRO""
)"),"NO ENCONTRADO EN MAESTRO")</f>
        <v>NO ENCONTRADO EN MAESTRO</v>
      </c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ht="22.5" customHeight="1">
      <c r="A287" s="25">
        <f>IFERROR(__xludf.DUMMYFUNCTION("""COMPUTED_VALUE"""),46156.0)</f>
        <v>46156</v>
      </c>
      <c r="B287" s="15">
        <f>IFERROR(__xludf.DUMMYFUNCTION("""COMPUTED_VALUE"""),113.0)</f>
        <v>113</v>
      </c>
      <c r="C287" s="21">
        <f>IFERROR(__xludf.DUMMYFUNCTION("""COMPUTED_VALUE"""),72.0)</f>
        <v>72</v>
      </c>
      <c r="D287" s="22" t="str">
        <f>IFERROR(__xludf.DUMMYFUNCTION("""COMPUTED_VALUE"""),"USD")</f>
        <v>USD</v>
      </c>
      <c r="E287" s="22" t="str">
        <f>IFERROR(__xludf.DUMMYFUNCTION("""COMPUTED_VALUE"""),"Efectivo USD")</f>
        <v>Efectivo USD</v>
      </c>
      <c r="F287" s="22" t="str">
        <f>IFERROR(__xludf.DUMMYFUNCTION("""COMPUTED_VALUE"""),"Franklin J. Mijares S.")</f>
        <v>Franklin J. Mijares S.</v>
      </c>
      <c r="G287" s="19">
        <v>510.7873</v>
      </c>
      <c r="H287" s="13"/>
      <c r="I287" s="14">
        <f t="shared" si="1"/>
        <v>72</v>
      </c>
      <c r="J287" s="15">
        <f t="shared" si="2"/>
        <v>72</v>
      </c>
      <c r="K287" s="14">
        <f t="shared" si="3"/>
        <v>72</v>
      </c>
      <c r="L287" s="16" t="str">
        <f>IFERROR(__xludf.DUMMYFUNCTION("IFERROR(
  IF(
    VLOOKUP(C287, IMPORTRANGE(""gid=860555792"", ""Maestro!B:C""), 2, FALSE) = D287, 
    ""CONCILIADO"", 
    ""ERROR EN MONTO""
  ), 
  ""NO ENCONTRADO EN MAESTRO""
)"),"NO ENCONTRADO EN MAESTRO")</f>
        <v>NO ENCONTRADO EN MAESTRO</v>
      </c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ht="22.5" customHeight="1">
      <c r="A288" s="25">
        <f>IFERROR(__xludf.DUMMYFUNCTION("""COMPUTED_VALUE"""),46156.0)</f>
        <v>46156</v>
      </c>
      <c r="B288" s="15">
        <f>IFERROR(__xludf.DUMMYFUNCTION("""COMPUTED_VALUE"""),382.0)</f>
        <v>382</v>
      </c>
      <c r="C288" s="21">
        <f>IFERROR(__xludf.DUMMYFUNCTION("""COMPUTED_VALUE"""),103438.0)</f>
        <v>103438</v>
      </c>
      <c r="D288" s="22" t="str">
        <f>IFERROR(__xludf.DUMMYFUNCTION("""COMPUTED_VALUE"""),"VES")</f>
        <v>VES</v>
      </c>
      <c r="E288" s="22" t="str">
        <f>IFERROR(__xludf.DUMMYFUNCTION("""COMPUTED_VALUE"""),"Bancamiga")</f>
        <v>Bancamiga</v>
      </c>
      <c r="F288" s="22" t="str">
        <f>IFERROR(__xludf.DUMMYFUNCTION("""COMPUTED_VALUE"""),"Montura de Cauchos Biondo,c.a.")</f>
        <v>Montura de Cauchos Biondo,c.a.</v>
      </c>
      <c r="G288" s="19">
        <v>510.7873</v>
      </c>
      <c r="H288" s="13"/>
      <c r="I288" s="14">
        <f t="shared" si="1"/>
        <v>202.5069926</v>
      </c>
      <c r="J288" s="15">
        <f t="shared" si="2"/>
        <v>0</v>
      </c>
      <c r="K288" s="14">
        <f t="shared" si="3"/>
        <v>202.5069926</v>
      </c>
      <c r="L288" s="16" t="str">
        <f>IFERROR(__xludf.DUMMYFUNCTION("IFERROR(
  IF(
    VLOOKUP(C288, IMPORTRANGE(""gid=860555792"", ""Maestro!B:C""), 2, FALSE) = D288, 
    ""CONCILIADO"", 
    ""ERROR EN MONTO""
  ), 
  ""NO ENCONTRADO EN MAESTRO""
)"),"NO ENCONTRADO EN MAESTRO")</f>
        <v>NO ENCONTRADO EN MAESTRO</v>
      </c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ht="22.5" customHeight="1">
      <c r="A289" s="25">
        <f>IFERROR(__xludf.DUMMYFUNCTION("""COMPUTED_VALUE"""),46156.0)</f>
        <v>46156</v>
      </c>
      <c r="B289" s="15">
        <f>IFERROR(__xludf.DUMMYFUNCTION("""COMPUTED_VALUE"""),40.0)</f>
        <v>40</v>
      </c>
      <c r="C289" s="21">
        <f>IFERROR(__xludf.DUMMYFUNCTION("""COMPUTED_VALUE"""),120.0)</f>
        <v>120</v>
      </c>
      <c r="D289" s="22" t="str">
        <f>IFERROR(__xludf.DUMMYFUNCTION("""COMPUTED_VALUE"""),"USD")</f>
        <v>USD</v>
      </c>
      <c r="E289" s="22" t="str">
        <f>IFERROR(__xludf.DUMMYFUNCTION("""COMPUTED_VALUE"""),"Efectivo USD")</f>
        <v>Efectivo USD</v>
      </c>
      <c r="F289" s="22" t="str">
        <f>IFERROR(__xludf.DUMMYFUNCTION("""COMPUTED_VALUE"""),"WILLY MOTOR CAR REPUESTOS Y SERVICIOS, C.A.")</f>
        <v>WILLY MOTOR CAR REPUESTOS Y SERVICIOS, C.A.</v>
      </c>
      <c r="G289" s="19">
        <v>510.7873</v>
      </c>
      <c r="H289" s="13"/>
      <c r="I289" s="14">
        <f t="shared" si="1"/>
        <v>120</v>
      </c>
      <c r="J289" s="15">
        <f t="shared" si="2"/>
        <v>120</v>
      </c>
      <c r="K289" s="14">
        <f t="shared" si="3"/>
        <v>120</v>
      </c>
      <c r="L289" s="16" t="str">
        <f>IFERROR(__xludf.DUMMYFUNCTION("IFERROR(
  IF(
    VLOOKUP(C289, IMPORTRANGE(""gid=860555792"", ""Maestro!B:C""), 2, FALSE) = D289, 
    ""CONCILIADO"", 
    ""ERROR EN MONTO""
  ), 
  ""NO ENCONTRADO EN MAESTRO""
)"),"NO ENCONTRADO EN MAESTRO")</f>
        <v>NO ENCONTRADO EN MAESTRO</v>
      </c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ht="22.5" customHeight="1">
      <c r="A290" s="25">
        <f>IFERROR(__xludf.DUMMYFUNCTION("""COMPUTED_VALUE"""),46156.0)</f>
        <v>46156</v>
      </c>
      <c r="B290" s="15">
        <f>IFERROR(__xludf.DUMMYFUNCTION("""COMPUTED_VALUE"""),105.0)</f>
        <v>105</v>
      </c>
      <c r="C290" s="21">
        <f>IFERROR(__xludf.DUMMYFUNCTION("""COMPUTED_VALUE"""),53400.0)</f>
        <v>53400</v>
      </c>
      <c r="D290" s="22" t="str">
        <f>IFERROR(__xludf.DUMMYFUNCTION("""COMPUTED_VALUE"""),"VES")</f>
        <v>VES</v>
      </c>
      <c r="E290" s="22" t="str">
        <f>IFERROR(__xludf.DUMMYFUNCTION("""COMPUTED_VALUE"""),"Bancamiga")</f>
        <v>Bancamiga</v>
      </c>
      <c r="F290" s="22" t="str">
        <f>IFERROR(__xludf.DUMMYFUNCTION("""COMPUTED_VALUE"""),"Ricardo A. Fernandez.")</f>
        <v>Ricardo A. Fernandez.</v>
      </c>
      <c r="G290" s="19">
        <v>510.7873</v>
      </c>
      <c r="H290" s="13"/>
      <c r="I290" s="14">
        <f t="shared" si="1"/>
        <v>104.5444944</v>
      </c>
      <c r="J290" s="15">
        <f t="shared" si="2"/>
        <v>0</v>
      </c>
      <c r="K290" s="14">
        <f t="shared" si="3"/>
        <v>104.5444944</v>
      </c>
      <c r="L290" s="16" t="str">
        <f>IFERROR(__xludf.DUMMYFUNCTION("IFERROR(
  IF(
    VLOOKUP(C290, IMPORTRANGE(""gid=860555792"", ""Maestro!B:C""), 2, FALSE) = D290, 
    ""CONCILIADO"", 
    ""ERROR EN MONTO""
  ), 
  ""NO ENCONTRADO EN MAESTRO""
)"),"NO ENCONTRADO EN MAESTRO")</f>
        <v>NO ENCONTRADO EN MAESTRO</v>
      </c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ht="22.5" customHeight="1">
      <c r="A291" s="25">
        <f>IFERROR(__xludf.DUMMYFUNCTION("""COMPUTED_VALUE"""),46156.0)</f>
        <v>46156</v>
      </c>
      <c r="B291" s="15">
        <f>IFERROR(__xludf.DUMMYFUNCTION("""COMPUTED_VALUE"""),44.0)</f>
        <v>44</v>
      </c>
      <c r="C291" s="21">
        <f>IFERROR(__xludf.DUMMYFUNCTION("""COMPUTED_VALUE"""),300.0)</f>
        <v>300</v>
      </c>
      <c r="D291" s="22" t="str">
        <f>IFERROR(__xludf.DUMMYFUNCTION("""COMPUTED_VALUE"""),"USD")</f>
        <v>USD</v>
      </c>
      <c r="E291" s="22" t="str">
        <f>IFERROR(__xludf.DUMMYFUNCTION("""COMPUTED_VALUE"""),"Efectivo USD")</f>
        <v>Efectivo USD</v>
      </c>
      <c r="F291" s="22" t="str">
        <f>IFERROR(__xludf.DUMMYFUNCTION("""COMPUTED_VALUE"""),"Comercializadora Garabote")</f>
        <v>Comercializadora Garabote</v>
      </c>
      <c r="G291" s="19">
        <v>510.7873</v>
      </c>
      <c r="H291" s="13"/>
      <c r="I291" s="14">
        <f t="shared" si="1"/>
        <v>300</v>
      </c>
      <c r="J291" s="15">
        <f t="shared" si="2"/>
        <v>300</v>
      </c>
      <c r="K291" s="14">
        <f t="shared" si="3"/>
        <v>300</v>
      </c>
      <c r="L291" s="16" t="str">
        <f>IFERROR(__xludf.DUMMYFUNCTION("IFERROR(
  IF(
    VLOOKUP(C291, IMPORTRANGE(""gid=860555792"", ""Maestro!B:C""), 2, FALSE) = D291, 
    ""CONCILIADO"", 
    ""ERROR EN MONTO""
  ), 
  ""NO ENCONTRADO EN MAESTRO""
)"),"NO ENCONTRADO EN MAESTRO")</f>
        <v>NO ENCONTRADO EN MAESTRO</v>
      </c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ht="22.5" customHeight="1">
      <c r="A292" s="25">
        <f>IFERROR(__xludf.DUMMYFUNCTION("""COMPUTED_VALUE"""),46156.0)</f>
        <v>46156</v>
      </c>
      <c r="B292" s="15">
        <f>IFERROR(__xludf.DUMMYFUNCTION("""COMPUTED_VALUE"""),243.0)</f>
        <v>243</v>
      </c>
      <c r="C292" s="21">
        <f>IFERROR(__xludf.DUMMYFUNCTION("""COMPUTED_VALUE"""),15.0)</f>
        <v>15</v>
      </c>
      <c r="D292" s="22" t="str">
        <f>IFERROR(__xludf.DUMMYFUNCTION("""COMPUTED_VALUE"""),"USD")</f>
        <v>USD</v>
      </c>
      <c r="E292" s="22" t="str">
        <f>IFERROR(__xludf.DUMMYFUNCTION("""COMPUTED_VALUE"""),"Efectivo USD")</f>
        <v>Efectivo USD</v>
      </c>
      <c r="F292" s="22" t="str">
        <f>IFERROR(__xludf.DUMMYFUNCTION("""COMPUTED_VALUE"""),"Cauchera William 2018, C.A")</f>
        <v>Cauchera William 2018, C.A</v>
      </c>
      <c r="G292" s="19">
        <v>510.7873</v>
      </c>
      <c r="H292" s="13"/>
      <c r="I292" s="14">
        <f t="shared" si="1"/>
        <v>15</v>
      </c>
      <c r="J292" s="15">
        <f t="shared" si="2"/>
        <v>15</v>
      </c>
      <c r="K292" s="14">
        <f t="shared" si="3"/>
        <v>15</v>
      </c>
      <c r="L292" s="16" t="str">
        <f>IFERROR(__xludf.DUMMYFUNCTION("IFERROR(
  IF(
    VLOOKUP(C292, IMPORTRANGE(""gid=860555792"", ""Maestro!B:C""), 2, FALSE) = D292, 
    ""CONCILIADO"", 
    ""ERROR EN MONTO""
  ), 
  ""NO ENCONTRADO EN MAESTRO""
)"),"NO ENCONTRADO EN MAESTRO")</f>
        <v>NO ENCONTRADO EN MAESTRO</v>
      </c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ht="22.5" customHeight="1">
      <c r="A293" s="25">
        <f>IFERROR(__xludf.DUMMYFUNCTION("""COMPUTED_VALUE"""),46156.0)</f>
        <v>46156</v>
      </c>
      <c r="B293" s="15">
        <f>IFERROR(__xludf.DUMMYFUNCTION("""COMPUTED_VALUE"""),39.0)</f>
        <v>39</v>
      </c>
      <c r="C293" s="21">
        <f>IFERROR(__xludf.DUMMYFUNCTION("""COMPUTED_VALUE"""),14893.18)</f>
        <v>14893.18</v>
      </c>
      <c r="D293" s="22" t="str">
        <f>IFERROR(__xludf.DUMMYFUNCTION("""COMPUTED_VALUE"""),"VES")</f>
        <v>VES</v>
      </c>
      <c r="E293" s="22" t="str">
        <f>IFERROR(__xludf.DUMMYFUNCTION("""COMPUTED_VALUE"""),"Bancamiga")</f>
        <v>Bancamiga</v>
      </c>
      <c r="F293" s="22" t="str">
        <f>IFERROR(__xludf.DUMMYFUNCTION("""COMPUTED_VALUE"""),"Moto Bestia, C.A")</f>
        <v>Moto Bestia, C.A</v>
      </c>
      <c r="G293" s="19">
        <v>510.7873</v>
      </c>
      <c r="H293" s="13"/>
      <c r="I293" s="14">
        <f t="shared" si="1"/>
        <v>29.15730285</v>
      </c>
      <c r="J293" s="15">
        <f t="shared" si="2"/>
        <v>0</v>
      </c>
      <c r="K293" s="14">
        <f t="shared" si="3"/>
        <v>29.15730285</v>
      </c>
      <c r="L293" s="16" t="str">
        <f>IFERROR(__xludf.DUMMYFUNCTION("IFERROR(
  IF(
    VLOOKUP(C293, IMPORTRANGE(""gid=860555792"", ""Maestro!B:C""), 2, FALSE) = D293, 
    ""CONCILIADO"", 
    ""ERROR EN MONTO""
  ), 
  ""NO ENCONTRADO EN MAESTRO""
)"),"NO ENCONTRADO EN MAESTRO")</f>
        <v>NO ENCONTRADO EN MAESTRO</v>
      </c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ht="22.5" customHeight="1">
      <c r="A294" s="25">
        <f>IFERROR(__xludf.DUMMYFUNCTION("""COMPUTED_VALUE"""),46156.0)</f>
        <v>46156</v>
      </c>
      <c r="B294" s="15">
        <f>IFERROR(__xludf.DUMMYFUNCTION("""COMPUTED_VALUE"""),265.0)</f>
        <v>265</v>
      </c>
      <c r="C294" s="21">
        <f>IFERROR(__xludf.DUMMYFUNCTION("""COMPUTED_VALUE"""),20.0)</f>
        <v>20</v>
      </c>
      <c r="D294" s="22" t="str">
        <f>IFERROR(__xludf.DUMMYFUNCTION("""COMPUTED_VALUE"""),"USD")</f>
        <v>USD</v>
      </c>
      <c r="E294" s="22" t="str">
        <f>IFERROR(__xludf.DUMMYFUNCTION("""COMPUTED_VALUE"""),"Efectivo USD")</f>
        <v>Efectivo USD</v>
      </c>
      <c r="F294" s="22" t="str">
        <f>IFERROR(__xludf.DUMMYFUNCTION("""COMPUTED_VALUE"""),"Repuestos Guia Dios Nuestro Camino,c.a.")</f>
        <v>Repuestos Guia Dios Nuestro Camino,c.a.</v>
      </c>
      <c r="G294" s="19">
        <v>510.7873</v>
      </c>
      <c r="H294" s="13"/>
      <c r="I294" s="14">
        <f t="shared" si="1"/>
        <v>20</v>
      </c>
      <c r="J294" s="15">
        <f t="shared" si="2"/>
        <v>20</v>
      </c>
      <c r="K294" s="14">
        <f t="shared" si="3"/>
        <v>20</v>
      </c>
      <c r="L294" s="16" t="str">
        <f>IFERROR(__xludf.DUMMYFUNCTION("IFERROR(
  IF(
    VLOOKUP(C294, IMPORTRANGE(""gid=860555792"", ""Maestro!B:C""), 2, FALSE) = D294, 
    ""CONCILIADO"", 
    ""ERROR EN MONTO""
  ), 
  ""NO ENCONTRADO EN MAESTRO""
)"),"NO ENCONTRADO EN MAESTRO")</f>
        <v>NO ENCONTRADO EN MAESTRO</v>
      </c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ht="22.5" customHeight="1">
      <c r="A295" s="25">
        <f>IFERROR(__xludf.DUMMYFUNCTION("""COMPUTED_VALUE"""),46156.0)</f>
        <v>46156</v>
      </c>
      <c r="B295" s="15">
        <f>IFERROR(__xludf.DUMMYFUNCTION("""COMPUTED_VALUE"""),198.0)</f>
        <v>198</v>
      </c>
      <c r="C295" s="21">
        <f>IFERROR(__xludf.DUMMYFUNCTION("""COMPUTED_VALUE"""),101.0)</f>
        <v>101</v>
      </c>
      <c r="D295" s="22" t="str">
        <f>IFERROR(__xludf.DUMMYFUNCTION("""COMPUTED_VALUE"""),"USD")</f>
        <v>USD</v>
      </c>
      <c r="E295" s="22" t="str">
        <f>IFERROR(__xludf.DUMMYFUNCTION("""COMPUTED_VALUE"""),"Efectivo USD")</f>
        <v>Efectivo USD</v>
      </c>
      <c r="F295" s="22" t="str">
        <f>IFERROR(__xludf.DUMMYFUNCTION("""COMPUTED_VALUE"""),"Autorepuestos Pitstop,c.a.")</f>
        <v>Autorepuestos Pitstop,c.a.</v>
      </c>
      <c r="G295" s="19">
        <v>510.7873</v>
      </c>
      <c r="H295" s="13"/>
      <c r="I295" s="14">
        <f t="shared" si="1"/>
        <v>101</v>
      </c>
      <c r="J295" s="15">
        <f t="shared" si="2"/>
        <v>101</v>
      </c>
      <c r="K295" s="14">
        <f t="shared" si="3"/>
        <v>101</v>
      </c>
      <c r="L295" s="16" t="str">
        <f>IFERROR(__xludf.DUMMYFUNCTION("IFERROR(
  IF(
    VLOOKUP(C295, IMPORTRANGE(""gid=860555792"", ""Maestro!B:C""), 2, FALSE) = D295, 
    ""CONCILIADO"", 
    ""ERROR EN MONTO""
  ), 
  ""NO ENCONTRADO EN MAESTRO""
)"),"NO ENCONTRADO EN MAESTRO")</f>
        <v>NO ENCONTRADO EN MAESTRO</v>
      </c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ht="22.5" customHeight="1">
      <c r="A296" s="25">
        <f>IFERROR(__xludf.DUMMYFUNCTION("""COMPUTED_VALUE"""),46156.0)</f>
        <v>46156</v>
      </c>
      <c r="B296" s="15">
        <f>IFERROR(__xludf.DUMMYFUNCTION("""COMPUTED_VALUE"""),127.0)</f>
        <v>127</v>
      </c>
      <c r="C296" s="21">
        <f>IFERROR(__xludf.DUMMYFUNCTION("""COMPUTED_VALUE"""),100.0)</f>
        <v>100</v>
      </c>
      <c r="D296" s="22" t="str">
        <f>IFERROR(__xludf.DUMMYFUNCTION("""COMPUTED_VALUE"""),"USD")</f>
        <v>USD</v>
      </c>
      <c r="E296" s="22" t="str">
        <f>IFERROR(__xludf.DUMMYFUNCTION("""COMPUTED_VALUE"""),"Efectivo USD")</f>
        <v>Efectivo USD</v>
      </c>
      <c r="F296" s="22" t="str">
        <f>IFERROR(__xludf.DUMMYFUNCTION("""COMPUTED_VALUE"""),"Emprendimiento José Sánchez 203 c.a")</f>
        <v>Emprendimiento José Sánchez 203 c.a</v>
      </c>
      <c r="G296" s="19">
        <v>510.7873</v>
      </c>
      <c r="H296" s="13"/>
      <c r="I296" s="14">
        <f t="shared" si="1"/>
        <v>100</v>
      </c>
      <c r="J296" s="15">
        <f t="shared" si="2"/>
        <v>100</v>
      </c>
      <c r="K296" s="14">
        <f t="shared" si="3"/>
        <v>100</v>
      </c>
      <c r="L296" s="16" t="str">
        <f>IFERROR(__xludf.DUMMYFUNCTION("IFERROR(
  IF(
    VLOOKUP(C296, IMPORTRANGE(""gid=860555792"", ""Maestro!B:C""), 2, FALSE) = D296, 
    ""CONCILIADO"", 
    ""ERROR EN MONTO""
  ), 
  ""NO ENCONTRADO EN MAESTRO""
)"),"NO ENCONTRADO EN MAESTRO")</f>
        <v>NO ENCONTRADO EN MAESTRO</v>
      </c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ht="22.5" customHeight="1">
      <c r="A297" s="25">
        <f>IFERROR(__xludf.DUMMYFUNCTION("""COMPUTED_VALUE"""),46156.0)</f>
        <v>46156</v>
      </c>
      <c r="B297" s="15">
        <f>IFERROR(__xludf.DUMMYFUNCTION("""COMPUTED_VALUE"""),14.0)</f>
        <v>14</v>
      </c>
      <c r="C297" s="21">
        <f>IFERROR(__xludf.DUMMYFUNCTION("""COMPUTED_VALUE"""),9761.32)</f>
        <v>9761.32</v>
      </c>
      <c r="D297" s="22" t="str">
        <f>IFERROR(__xludf.DUMMYFUNCTION("""COMPUTED_VALUE"""),"VES")</f>
        <v>VES</v>
      </c>
      <c r="E297" s="22" t="str">
        <f>IFERROR(__xludf.DUMMYFUNCTION("""COMPUTED_VALUE"""),"Bancamiga")</f>
        <v>Bancamiga</v>
      </c>
      <c r="F297" s="22" t="str">
        <f>IFERROR(__xludf.DUMMYFUNCTION("""COMPUTED_VALUE"""),"SPEED RACING, CA")</f>
        <v>SPEED RACING, CA</v>
      </c>
      <c r="G297" s="19">
        <v>510.7873</v>
      </c>
      <c r="H297" s="13"/>
      <c r="I297" s="14">
        <f t="shared" si="1"/>
        <v>19.11034202</v>
      </c>
      <c r="J297" s="15">
        <f t="shared" si="2"/>
        <v>0</v>
      </c>
      <c r="K297" s="14">
        <f t="shared" si="3"/>
        <v>19.11034202</v>
      </c>
      <c r="L297" s="16" t="str">
        <f>IFERROR(__xludf.DUMMYFUNCTION("IFERROR(
  IF(
    VLOOKUP(C297, IMPORTRANGE(""gid=860555792"", ""Maestro!B:C""), 2, FALSE) = D297, 
    ""CONCILIADO"", 
    ""ERROR EN MONTO""
  ), 
  ""NO ENCONTRADO EN MAESTRO""
)"),"NO ENCONTRADO EN MAESTRO")</f>
        <v>NO ENCONTRADO EN MAESTRO</v>
      </c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ht="22.5" customHeight="1">
      <c r="A298" s="25">
        <f>IFERROR(__xludf.DUMMYFUNCTION("""COMPUTED_VALUE"""),46157.0)</f>
        <v>46157</v>
      </c>
      <c r="B298" s="15">
        <f>IFERROR(__xludf.DUMMYFUNCTION("""COMPUTED_VALUE"""),250.0)</f>
        <v>250</v>
      </c>
      <c r="C298" s="21">
        <f>IFERROR(__xludf.DUMMYFUNCTION("""COMPUTED_VALUE"""),20.0)</f>
        <v>20</v>
      </c>
      <c r="D298" s="22" t="str">
        <f>IFERROR(__xludf.DUMMYFUNCTION("""COMPUTED_VALUE"""),"USD")</f>
        <v>USD</v>
      </c>
      <c r="E298" s="22" t="str">
        <f>IFERROR(__xludf.DUMMYFUNCTION("""COMPUTED_VALUE"""),"Efectivo USD")</f>
        <v>Efectivo USD</v>
      </c>
      <c r="F298" s="22" t="str">
        <f>IFERROR(__xludf.DUMMYFUNCTION("""COMPUTED_VALUE"""),"EMPRENDIMIENTO MANUEL GÓMEZ 6")</f>
        <v>EMPRENDIMIENTO MANUEL GÓMEZ 6</v>
      </c>
      <c r="G298" s="19">
        <v>510.7873</v>
      </c>
      <c r="H298" s="13"/>
      <c r="I298" s="14">
        <f t="shared" si="1"/>
        <v>20</v>
      </c>
      <c r="J298" s="15">
        <f t="shared" si="2"/>
        <v>20</v>
      </c>
      <c r="K298" s="14">
        <f t="shared" si="3"/>
        <v>20</v>
      </c>
      <c r="L298" s="16" t="str">
        <f>IFERROR(__xludf.DUMMYFUNCTION("IFERROR(
  IF(
    VLOOKUP(C298, IMPORTRANGE(""gid=860555792"", ""Maestro!B:C""), 2, FALSE) = D298, 
    ""CONCILIADO"", 
    ""ERROR EN MONTO""
  ), 
  ""NO ENCONTRADO EN MAESTRO""
)"),"NO ENCONTRADO EN MAESTRO")</f>
        <v>NO ENCONTRADO EN MAESTRO</v>
      </c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ht="22.5" customHeight="1">
      <c r="A299" s="25">
        <f>IFERROR(__xludf.DUMMYFUNCTION("""COMPUTED_VALUE"""),46157.0)</f>
        <v>46157</v>
      </c>
      <c r="B299" s="15">
        <f>IFERROR(__xludf.DUMMYFUNCTION("""COMPUTED_VALUE"""),207.0)</f>
        <v>207</v>
      </c>
      <c r="C299" s="21">
        <f>IFERROR(__xludf.DUMMYFUNCTION("""COMPUTED_VALUE"""),200.0)</f>
        <v>200</v>
      </c>
      <c r="D299" s="22" t="str">
        <f>IFERROR(__xludf.DUMMYFUNCTION("""COMPUTED_VALUE"""),"USD")</f>
        <v>USD</v>
      </c>
      <c r="E299" s="22" t="str">
        <f>IFERROR(__xludf.DUMMYFUNCTION("""COMPUTED_VALUE"""),"Efectivo USD")</f>
        <v>Efectivo USD</v>
      </c>
      <c r="F299" s="22" t="str">
        <f>IFERROR(__xludf.DUMMYFUNCTION("""COMPUTED_VALUE"""),"Ingrit Martinez")</f>
        <v>Ingrit Martinez</v>
      </c>
      <c r="G299" s="19">
        <v>515.18</v>
      </c>
      <c r="H299" s="13"/>
      <c r="I299" s="14">
        <f t="shared" si="1"/>
        <v>200</v>
      </c>
      <c r="J299" s="15">
        <f t="shared" si="2"/>
        <v>200</v>
      </c>
      <c r="K299" s="14">
        <f t="shared" si="3"/>
        <v>200</v>
      </c>
      <c r="L299" s="16" t="str">
        <f>IFERROR(__xludf.DUMMYFUNCTION("IFERROR(
  IF(
    VLOOKUP(C299, IMPORTRANGE(""gid=860555792"", ""Maestro!B:C""), 2, FALSE) = D299, 
    ""CONCILIADO"", 
    ""ERROR EN MONTO""
  ), 
  ""NO ENCONTRADO EN MAESTRO""
)"),"NO ENCONTRADO EN MAESTRO")</f>
        <v>NO ENCONTRADO EN MAESTRO</v>
      </c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ht="22.5" customHeight="1">
      <c r="A300" s="25">
        <f>IFERROR(__xludf.DUMMYFUNCTION("""COMPUTED_VALUE"""),46157.0)</f>
        <v>46157</v>
      </c>
      <c r="B300" s="15">
        <f>IFERROR(__xludf.DUMMYFUNCTION("""COMPUTED_VALUE"""),397.0)</f>
        <v>397</v>
      </c>
      <c r="C300" s="21">
        <f>IFERROR(__xludf.DUMMYFUNCTION("""COMPUTED_VALUE"""),85.0)</f>
        <v>85</v>
      </c>
      <c r="D300" s="22" t="str">
        <f>IFERROR(__xludf.DUMMYFUNCTION("""COMPUTED_VALUE"""),"USD")</f>
        <v>USD</v>
      </c>
      <c r="E300" s="22" t="str">
        <f>IFERROR(__xludf.DUMMYFUNCTION("""COMPUTED_VALUE"""),"Efectivo USD")</f>
        <v>Efectivo USD</v>
      </c>
      <c r="F300" s="22" t="str">
        <f>IFERROR(__xludf.DUMMYFUNCTION("""COMPUTED_VALUE"""),"Paola M. Aguilera Z.")</f>
        <v>Paola M. Aguilera Z.</v>
      </c>
      <c r="G300" s="19">
        <v>515.18</v>
      </c>
      <c r="H300" s="13"/>
      <c r="I300" s="14">
        <f t="shared" si="1"/>
        <v>85</v>
      </c>
      <c r="J300" s="15">
        <f t="shared" si="2"/>
        <v>85</v>
      </c>
      <c r="K300" s="14">
        <f t="shared" si="3"/>
        <v>85</v>
      </c>
      <c r="L300" s="16" t="str">
        <f>IFERROR(__xludf.DUMMYFUNCTION("IFERROR(
  IF(
    VLOOKUP(C300, IMPORTRANGE(""gid=860555792"", ""Maestro!B:C""), 2, FALSE) = D300, 
    ""CONCILIADO"", 
    ""ERROR EN MONTO""
  ), 
  ""NO ENCONTRADO EN MAESTRO""
)"),"NO ENCONTRADO EN MAESTRO")</f>
        <v>NO ENCONTRADO EN MAESTRO</v>
      </c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ht="22.5" customHeight="1">
      <c r="A301" s="25">
        <f>IFERROR(__xludf.DUMMYFUNCTION("""COMPUTED_VALUE"""),46157.0)</f>
        <v>46157</v>
      </c>
      <c r="B301" s="15">
        <f>IFERROR(__xludf.DUMMYFUNCTION("""COMPUTED_VALUE"""),36.0)</f>
        <v>36</v>
      </c>
      <c r="C301" s="21">
        <f>IFERROR(__xludf.DUMMYFUNCTION("""COMPUTED_VALUE"""),29906.09)</f>
        <v>29906.09</v>
      </c>
      <c r="D301" s="22" t="str">
        <f>IFERROR(__xludf.DUMMYFUNCTION("""COMPUTED_VALUE"""),"VES")</f>
        <v>VES</v>
      </c>
      <c r="E301" s="22" t="str">
        <f>IFERROR(__xludf.DUMMYFUNCTION("""COMPUTED_VALUE"""),"Bancamiga")</f>
        <v>Bancamiga</v>
      </c>
      <c r="F301" s="22" t="str">
        <f>IFERROR(__xludf.DUMMYFUNCTION("""COMPUTED_VALUE"""),"inversiones El Gran Charles C.A")</f>
        <v>inversiones El Gran Charles C.A</v>
      </c>
      <c r="G301" s="19">
        <v>515.18</v>
      </c>
      <c r="H301" s="13"/>
      <c r="I301" s="14">
        <f t="shared" si="1"/>
        <v>58.04978842</v>
      </c>
      <c r="J301" s="15">
        <f t="shared" si="2"/>
        <v>0</v>
      </c>
      <c r="K301" s="14">
        <f t="shared" si="3"/>
        <v>58.04978842</v>
      </c>
      <c r="L301" s="16" t="str">
        <f>IFERROR(__xludf.DUMMYFUNCTION("IFERROR(
  IF(
    VLOOKUP(C301, IMPORTRANGE(""gid=860555792"", ""Maestro!B:C""), 2, FALSE) = D301, 
    ""CONCILIADO"", 
    ""ERROR EN MONTO""
  ), 
  ""NO ENCONTRADO EN MAESTRO""
)"),"NO ENCONTRADO EN MAESTRO")</f>
        <v>NO ENCONTRADO EN MAESTRO</v>
      </c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ht="22.5" customHeight="1">
      <c r="A302" s="25">
        <f>IFERROR(__xludf.DUMMYFUNCTION("""COMPUTED_VALUE"""),46157.0)</f>
        <v>46157</v>
      </c>
      <c r="B302" s="15">
        <f>IFERROR(__xludf.DUMMYFUNCTION("""COMPUTED_VALUE"""),149.0)</f>
        <v>149</v>
      </c>
      <c r="C302" s="21">
        <f>IFERROR(__xludf.DUMMYFUNCTION("""COMPUTED_VALUE"""),200.0)</f>
        <v>200</v>
      </c>
      <c r="D302" s="22" t="str">
        <f>IFERROR(__xludf.DUMMYFUNCTION("""COMPUTED_VALUE"""),"USD")</f>
        <v>USD</v>
      </c>
      <c r="E302" s="22" t="str">
        <f>IFERROR(__xludf.DUMMYFUNCTION("""COMPUTED_VALUE"""),"Efectivo USD")</f>
        <v>Efectivo USD</v>
      </c>
      <c r="F302" s="22" t="str">
        <f>IFERROR(__xludf.DUMMYFUNCTION("""COMPUTED_VALUE"""),"Emprendimiento ilaris cancelo")</f>
        <v>Emprendimiento ilaris cancelo</v>
      </c>
      <c r="G302" s="19">
        <v>515.18</v>
      </c>
      <c r="H302" s="13"/>
      <c r="I302" s="14">
        <f t="shared" si="1"/>
        <v>200</v>
      </c>
      <c r="J302" s="15">
        <f t="shared" si="2"/>
        <v>200</v>
      </c>
      <c r="K302" s="14">
        <f t="shared" si="3"/>
        <v>200</v>
      </c>
      <c r="L302" s="16" t="str">
        <f>IFERROR(__xludf.DUMMYFUNCTION("IFERROR(
  IF(
    VLOOKUP(C302, IMPORTRANGE(""gid=860555792"", ""Maestro!B:C""), 2, FALSE) = D302, 
    ""CONCILIADO"", 
    ""ERROR EN MONTO""
  ), 
  ""NO ENCONTRADO EN MAESTRO""
)"),"NO ENCONTRADO EN MAESTRO")</f>
        <v>NO ENCONTRADO EN MAESTRO</v>
      </c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ht="22.5" customHeight="1">
      <c r="A303" s="25">
        <f>IFERROR(__xludf.DUMMYFUNCTION("""COMPUTED_VALUE"""),46157.0)</f>
        <v>46157</v>
      </c>
      <c r="B303" s="15">
        <f>IFERROR(__xludf.DUMMYFUNCTION("""COMPUTED_VALUE"""),222.0)</f>
        <v>222</v>
      </c>
      <c r="C303" s="21">
        <f>IFERROR(__xludf.DUMMYFUNCTION("""COMPUTED_VALUE"""),40.0)</f>
        <v>40</v>
      </c>
      <c r="D303" s="22" t="str">
        <f>IFERROR(__xludf.DUMMYFUNCTION("""COMPUTED_VALUE"""),"USD")</f>
        <v>USD</v>
      </c>
      <c r="E303" s="22" t="str">
        <f>IFERROR(__xludf.DUMMYFUNCTION("""COMPUTED_VALUE"""),"Efectivo USD")</f>
        <v>Efectivo USD</v>
      </c>
      <c r="F303" s="22" t="str">
        <f>IFERROR(__xludf.DUMMYFUNCTION("""COMPUTED_VALUE"""),"Braulio R. Cedeño Gonzalez.")</f>
        <v>Braulio R. Cedeño Gonzalez.</v>
      </c>
      <c r="G303" s="19">
        <v>515.18</v>
      </c>
      <c r="H303" s="13"/>
      <c r="I303" s="14">
        <f t="shared" si="1"/>
        <v>40</v>
      </c>
      <c r="J303" s="15">
        <f t="shared" si="2"/>
        <v>40</v>
      </c>
      <c r="K303" s="14">
        <f t="shared" si="3"/>
        <v>40</v>
      </c>
      <c r="L303" s="16" t="str">
        <f>IFERROR(__xludf.DUMMYFUNCTION("IFERROR(
  IF(
    VLOOKUP(C303, IMPORTRANGE(""gid=860555792"", ""Maestro!B:C""), 2, FALSE) = D303, 
    ""CONCILIADO"", 
    ""ERROR EN MONTO""
  ), 
  ""NO ENCONTRADO EN MAESTRO""
)"),"NO ENCONTRADO EN MAESTRO")</f>
        <v>NO ENCONTRADO EN MAESTRO</v>
      </c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ht="22.5" customHeight="1">
      <c r="A304" s="25">
        <f>IFERROR(__xludf.DUMMYFUNCTION("""COMPUTED_VALUE"""),46157.0)</f>
        <v>46157</v>
      </c>
      <c r="B304" s="15">
        <f>IFERROR(__xludf.DUMMYFUNCTION("""COMPUTED_VALUE"""),27.0)</f>
        <v>27</v>
      </c>
      <c r="C304" s="21">
        <f>IFERROR(__xludf.DUMMYFUNCTION("""COMPUTED_VALUE"""),10.0)</f>
        <v>10</v>
      </c>
      <c r="D304" s="22" t="str">
        <f>IFERROR(__xludf.DUMMYFUNCTION("""COMPUTED_VALUE"""),"USD")</f>
        <v>USD</v>
      </c>
      <c r="E304" s="22" t="str">
        <f>IFERROR(__xludf.DUMMYFUNCTION("""COMPUTED_VALUE"""),"Efectivo USD")</f>
        <v>Efectivo USD</v>
      </c>
      <c r="F304" s="22" t="str">
        <f>IFERROR(__xludf.DUMMYFUNCTION("""COMPUTED_VALUE"""),"Moises Alejandro Mares")</f>
        <v>Moises Alejandro Mares</v>
      </c>
      <c r="G304" s="19">
        <v>515.18</v>
      </c>
      <c r="H304" s="13"/>
      <c r="I304" s="14">
        <f t="shared" si="1"/>
        <v>10</v>
      </c>
      <c r="J304" s="15">
        <f t="shared" si="2"/>
        <v>10</v>
      </c>
      <c r="K304" s="14">
        <f t="shared" si="3"/>
        <v>10</v>
      </c>
      <c r="L304" s="16" t="str">
        <f>IFERROR(__xludf.DUMMYFUNCTION("IFERROR(
  IF(
    VLOOKUP(C304, IMPORTRANGE(""gid=860555792"", ""Maestro!B:C""), 2, FALSE) = D304, 
    ""CONCILIADO"", 
    ""ERROR EN MONTO""
  ), 
  ""NO ENCONTRADO EN MAESTRO""
)"),"NO ENCONTRADO EN MAESTRO")</f>
        <v>NO ENCONTRADO EN MAESTRO</v>
      </c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ht="22.5" customHeight="1">
      <c r="A305" s="25">
        <f>IFERROR(__xludf.DUMMYFUNCTION("""COMPUTED_VALUE"""),46157.0)</f>
        <v>46157</v>
      </c>
      <c r="B305" s="15">
        <f>IFERROR(__xludf.DUMMYFUNCTION("""COMPUTED_VALUE"""),209.0)</f>
        <v>209</v>
      </c>
      <c r="C305" s="21">
        <f>IFERROR(__xludf.DUMMYFUNCTION("""COMPUTED_VALUE"""),100.0)</f>
        <v>100</v>
      </c>
      <c r="D305" s="22" t="str">
        <f>IFERROR(__xludf.DUMMYFUNCTION("""COMPUTED_VALUE"""),"USD")</f>
        <v>USD</v>
      </c>
      <c r="E305" s="22" t="str">
        <f>IFERROR(__xludf.DUMMYFUNCTION("""COMPUTED_VALUE"""),"Efectivo USD")</f>
        <v>Efectivo USD</v>
      </c>
      <c r="F305" s="22" t="str">
        <f>IFERROR(__xludf.DUMMYFUNCTION("""COMPUTED_VALUE"""),"Inversiones Mirelkys C.A")</f>
        <v>Inversiones Mirelkys C.A</v>
      </c>
      <c r="G305" s="19">
        <v>515.18</v>
      </c>
      <c r="H305" s="13"/>
      <c r="I305" s="14">
        <f t="shared" si="1"/>
        <v>100</v>
      </c>
      <c r="J305" s="15">
        <f t="shared" si="2"/>
        <v>100</v>
      </c>
      <c r="K305" s="14">
        <f t="shared" si="3"/>
        <v>100</v>
      </c>
      <c r="L305" s="16" t="str">
        <f>IFERROR(__xludf.DUMMYFUNCTION("IFERROR(
  IF(
    VLOOKUP(C305, IMPORTRANGE(""gid=860555792"", ""Maestro!B:C""), 2, FALSE) = D305, 
    ""CONCILIADO"", 
    ""ERROR EN MONTO""
  ), 
  ""NO ENCONTRADO EN MAESTRO""
)"),"NO ENCONTRADO EN MAESTRO")</f>
        <v>NO ENCONTRADO EN MAESTRO</v>
      </c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ht="22.5" customHeight="1">
      <c r="A306" s="25">
        <f>IFERROR(__xludf.DUMMYFUNCTION("""COMPUTED_VALUE"""),46157.0)</f>
        <v>46157</v>
      </c>
      <c r="B306" s="15">
        <f>IFERROR(__xludf.DUMMYFUNCTION("""COMPUTED_VALUE"""),327.0)</f>
        <v>327</v>
      </c>
      <c r="C306" s="21">
        <f>IFERROR(__xludf.DUMMYFUNCTION("""COMPUTED_VALUE"""),300.0)</f>
        <v>300</v>
      </c>
      <c r="D306" s="22" t="str">
        <f>IFERROR(__xludf.DUMMYFUNCTION("""COMPUTED_VALUE"""),"USD")</f>
        <v>USD</v>
      </c>
      <c r="E306" s="22" t="str">
        <f>IFERROR(__xludf.DUMMYFUNCTION("""COMPUTED_VALUE"""),"Efectivo USD")</f>
        <v>Efectivo USD</v>
      </c>
      <c r="F306" s="22" t="str">
        <f>IFERROR(__xludf.DUMMYFUNCTION("""COMPUTED_VALUE"""),"Kervin baez")</f>
        <v>Kervin baez</v>
      </c>
      <c r="G306" s="19">
        <v>515.18</v>
      </c>
      <c r="H306" s="13"/>
      <c r="I306" s="14">
        <f t="shared" si="1"/>
        <v>300</v>
      </c>
      <c r="J306" s="15">
        <f t="shared" si="2"/>
        <v>300</v>
      </c>
      <c r="K306" s="14">
        <f t="shared" si="3"/>
        <v>300</v>
      </c>
      <c r="L306" s="16" t="str">
        <f>IFERROR(__xludf.DUMMYFUNCTION("IFERROR(
  IF(
    VLOOKUP(C306, IMPORTRANGE(""gid=860555792"", ""Maestro!B:C""), 2, FALSE) = D306, 
    ""CONCILIADO"", 
    ""ERROR EN MONTO""
  ), 
  ""NO ENCONTRADO EN MAESTRO""
)"),"NO ENCONTRADO EN MAESTRO")</f>
        <v>NO ENCONTRADO EN MAESTRO</v>
      </c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ht="22.5" customHeight="1">
      <c r="A307" s="25">
        <f>IFERROR(__xludf.DUMMYFUNCTION("""COMPUTED_VALUE"""),46157.0)</f>
        <v>46157</v>
      </c>
      <c r="B307" s="15">
        <f>IFERROR(__xludf.DUMMYFUNCTION("""COMPUTED_VALUE"""),178.0)</f>
        <v>178</v>
      </c>
      <c r="C307" s="21">
        <f>IFERROR(__xludf.DUMMYFUNCTION("""COMPUTED_VALUE"""),70.0)</f>
        <v>70</v>
      </c>
      <c r="D307" s="22" t="str">
        <f>IFERROR(__xludf.DUMMYFUNCTION("""COMPUTED_VALUE"""),"USD")</f>
        <v>USD</v>
      </c>
      <c r="E307" s="22" t="str">
        <f>IFERROR(__xludf.DUMMYFUNCTION("""COMPUTED_VALUE"""),"Efectivo USD")</f>
        <v>Efectivo USD</v>
      </c>
      <c r="F307" s="22" t="str">
        <f>IFERROR(__xludf.DUMMYFUNCTION("""COMPUTED_VALUE"""),"Distribuidora Nesmari 2050 c.a")</f>
        <v>Distribuidora Nesmari 2050 c.a</v>
      </c>
      <c r="G307" s="19">
        <v>515.18</v>
      </c>
      <c r="H307" s="13"/>
      <c r="I307" s="14">
        <f t="shared" si="1"/>
        <v>70</v>
      </c>
      <c r="J307" s="15">
        <f t="shared" si="2"/>
        <v>70</v>
      </c>
      <c r="K307" s="14">
        <f t="shared" si="3"/>
        <v>70</v>
      </c>
      <c r="L307" s="16" t="str">
        <f>IFERROR(__xludf.DUMMYFUNCTION("IFERROR(
  IF(
    VLOOKUP(C307, IMPORTRANGE(""gid=860555792"", ""Maestro!B:C""), 2, FALSE) = D307, 
    ""CONCILIADO"", 
    ""ERROR EN MONTO""
  ), 
  ""NO ENCONTRADO EN MAESTRO""
)"),"NO ENCONTRADO EN MAESTRO")</f>
        <v>NO ENCONTRADO EN MAESTRO</v>
      </c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ht="22.5" customHeight="1">
      <c r="A308" s="25">
        <f>IFERROR(__xludf.DUMMYFUNCTION("""COMPUTED_VALUE"""),46160.0)</f>
        <v>46160</v>
      </c>
      <c r="B308" s="15">
        <f>IFERROR(__xludf.DUMMYFUNCTION("""COMPUTED_VALUE"""),405.0)</f>
        <v>405</v>
      </c>
      <c r="C308" s="21">
        <f>IFERROR(__xludf.DUMMYFUNCTION("""COMPUTED_VALUE"""),68.0)</f>
        <v>68</v>
      </c>
      <c r="D308" s="22" t="str">
        <f>IFERROR(__xludf.DUMMYFUNCTION("""COMPUTED_VALUE"""),"USD")</f>
        <v>USD</v>
      </c>
      <c r="E308" s="22" t="str">
        <f>IFERROR(__xludf.DUMMYFUNCTION("""COMPUTED_VALUE"""),"Efectivo USD")</f>
        <v>Efectivo USD</v>
      </c>
      <c r="F308" s="22" t="str">
        <f>IFERROR(__xludf.DUMMYFUNCTION("""COMPUTED_VALUE"""),"Anthony Jose Quijada Diaz.")</f>
        <v>Anthony Jose Quijada Diaz.</v>
      </c>
      <c r="G308" s="19">
        <v>515.18</v>
      </c>
      <c r="H308" s="13"/>
      <c r="I308" s="14">
        <f t="shared" si="1"/>
        <v>68</v>
      </c>
      <c r="J308" s="15">
        <f t="shared" si="2"/>
        <v>68</v>
      </c>
      <c r="K308" s="14">
        <f t="shared" si="3"/>
        <v>68</v>
      </c>
      <c r="L308" s="16" t="str">
        <f>IFERROR(__xludf.DUMMYFUNCTION("IFERROR(
  IF(
    VLOOKUP(C308, IMPORTRANGE(""gid=860555792"", ""Maestro!B:C""), 2, FALSE) = D308, 
    ""CONCILIADO"", 
    ""ERROR EN MONTO""
  ), 
  ""NO ENCONTRADO EN MAESTRO""
)"),"NO ENCONTRADO EN MAESTRO")</f>
        <v>NO ENCONTRADO EN MAESTRO</v>
      </c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ht="22.5" customHeight="1">
      <c r="A309" s="25">
        <f>IFERROR(__xludf.DUMMYFUNCTION("""COMPUTED_VALUE"""),46160.0)</f>
        <v>46160</v>
      </c>
      <c r="B309" s="15">
        <f>IFERROR(__xludf.DUMMYFUNCTION("""COMPUTED_VALUE"""),61.0)</f>
        <v>61</v>
      </c>
      <c r="C309" s="21">
        <f>IFERROR(__xludf.DUMMYFUNCTION("""COMPUTED_VALUE"""),480.0)</f>
        <v>480</v>
      </c>
      <c r="D309" s="22" t="str">
        <f>IFERROR(__xludf.DUMMYFUNCTION("""COMPUTED_VALUE"""),"USD")</f>
        <v>USD</v>
      </c>
      <c r="E309" s="22" t="str">
        <f>IFERROR(__xludf.DUMMYFUNCTION("""COMPUTED_VALUE"""),"Efectivo USD")</f>
        <v>Efectivo USD</v>
      </c>
      <c r="F309" s="22" t="str">
        <f>IFERROR(__xludf.DUMMYFUNCTION("""COMPUTED_VALUE"""),"SJMG 2012 C.A")</f>
        <v>SJMG 2012 C.A</v>
      </c>
      <c r="G309" s="19">
        <v>517.9619</v>
      </c>
      <c r="H309" s="13"/>
      <c r="I309" s="14">
        <f t="shared" si="1"/>
        <v>480</v>
      </c>
      <c r="J309" s="15">
        <f t="shared" si="2"/>
        <v>480</v>
      </c>
      <c r="K309" s="14">
        <f t="shared" si="3"/>
        <v>480</v>
      </c>
      <c r="L309" s="16" t="str">
        <f>IFERROR(__xludf.DUMMYFUNCTION("IFERROR(
  IF(
    VLOOKUP(C309, IMPORTRANGE(""gid=860555792"", ""Maestro!B:C""), 2, FALSE) = D309, 
    ""CONCILIADO"", 
    ""ERROR EN MONTO""
  ), 
  ""NO ENCONTRADO EN MAESTRO""
)"),"NO ENCONTRADO EN MAESTRO")</f>
        <v>NO ENCONTRADO EN MAESTRO</v>
      </c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ht="22.5" customHeight="1">
      <c r="A310" s="25">
        <f>IFERROR(__xludf.DUMMYFUNCTION("""COMPUTED_VALUE"""),46160.0)</f>
        <v>46160</v>
      </c>
      <c r="B310" s="15">
        <f>IFERROR(__xludf.DUMMYFUNCTION("""COMPUTED_VALUE"""),407.0)</f>
        <v>407</v>
      </c>
      <c r="C310" s="21">
        <f>IFERROR(__xludf.DUMMYFUNCTION("""COMPUTED_VALUE"""),135.0)</f>
        <v>135</v>
      </c>
      <c r="D310" s="22" t="str">
        <f>IFERROR(__xludf.DUMMYFUNCTION("""COMPUTED_VALUE"""),"USD")</f>
        <v>USD</v>
      </c>
      <c r="E310" s="22" t="str">
        <f>IFERROR(__xludf.DUMMYFUNCTION("""COMPUTED_VALUE"""),"Efectivo USD")</f>
        <v>Efectivo USD</v>
      </c>
      <c r="F310" s="22" t="str">
        <f>IFERROR(__xludf.DUMMYFUNCTION("""COMPUTED_VALUE"""),"FREDI MARQUEZ")</f>
        <v>FREDI MARQUEZ</v>
      </c>
      <c r="G310" s="19">
        <v>517.9619</v>
      </c>
      <c r="H310" s="13"/>
      <c r="I310" s="14">
        <f t="shared" si="1"/>
        <v>135</v>
      </c>
      <c r="J310" s="15">
        <f t="shared" si="2"/>
        <v>135</v>
      </c>
      <c r="K310" s="14">
        <f t="shared" si="3"/>
        <v>135</v>
      </c>
      <c r="L310" s="16" t="str">
        <f>IFERROR(__xludf.DUMMYFUNCTION("IFERROR(
  IF(
    VLOOKUP(C310, IMPORTRANGE(""gid=860555792"", ""Maestro!B:C""), 2, FALSE) = D310, 
    ""CONCILIADO"", 
    ""ERROR EN MONTO""
  ), 
  ""NO ENCONTRADO EN MAESTRO""
)"),"NO ENCONTRADO EN MAESTRO")</f>
        <v>NO ENCONTRADO EN MAESTRO</v>
      </c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ht="22.5" customHeight="1">
      <c r="A311" s="25">
        <f>IFERROR(__xludf.DUMMYFUNCTION("""COMPUTED_VALUE"""),46160.0)</f>
        <v>46160</v>
      </c>
      <c r="B311" s="15">
        <f>IFERROR(__xludf.DUMMYFUNCTION("""COMPUTED_VALUE"""),248.0)</f>
        <v>248</v>
      </c>
      <c r="C311" s="21">
        <f>IFERROR(__xludf.DUMMYFUNCTION("""COMPUTED_VALUE"""),20.0)</f>
        <v>20</v>
      </c>
      <c r="D311" s="22" t="str">
        <f>IFERROR(__xludf.DUMMYFUNCTION("""COMPUTED_VALUE"""),"USD")</f>
        <v>USD</v>
      </c>
      <c r="E311" s="22" t="str">
        <f>IFERROR(__xludf.DUMMYFUNCTION("""COMPUTED_VALUE"""),"Efectivo USD")</f>
        <v>Efectivo USD</v>
      </c>
      <c r="F311" s="22" t="str">
        <f>IFERROR(__xludf.DUMMYFUNCTION("""COMPUTED_VALUE"""),"Abraham almenar")</f>
        <v>Abraham almenar</v>
      </c>
      <c r="G311" s="19">
        <v>517.9619</v>
      </c>
      <c r="H311" s="13"/>
      <c r="I311" s="14">
        <f t="shared" si="1"/>
        <v>20</v>
      </c>
      <c r="J311" s="15">
        <f t="shared" si="2"/>
        <v>20</v>
      </c>
      <c r="K311" s="14">
        <f t="shared" si="3"/>
        <v>20</v>
      </c>
      <c r="L311" s="16" t="str">
        <f>IFERROR(__xludf.DUMMYFUNCTION("IFERROR(
  IF(
    VLOOKUP(C311, IMPORTRANGE(""gid=860555792"", ""Maestro!B:C""), 2, FALSE) = D311, 
    ""CONCILIADO"", 
    ""ERROR EN MONTO""
  ), 
  ""NO ENCONTRADO EN MAESTRO""
)"),"NO ENCONTRADO EN MAESTRO")</f>
        <v>NO ENCONTRADO EN MAESTRO</v>
      </c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ht="22.5" customHeight="1">
      <c r="A312" s="25">
        <f>IFERROR(__xludf.DUMMYFUNCTION("""COMPUTED_VALUE"""),46160.0)</f>
        <v>46160</v>
      </c>
      <c r="B312" s="15">
        <f>IFERROR(__xludf.DUMMYFUNCTION("""COMPUTED_VALUE"""),359.0)</f>
        <v>359</v>
      </c>
      <c r="C312" s="21">
        <f>IFERROR(__xludf.DUMMYFUNCTION("""COMPUTED_VALUE"""),150647.92)</f>
        <v>150647.92</v>
      </c>
      <c r="D312" s="22" t="str">
        <f>IFERROR(__xludf.DUMMYFUNCTION("""COMPUTED_VALUE"""),"VES")</f>
        <v>VES</v>
      </c>
      <c r="E312" s="22" t="str">
        <f>IFERROR(__xludf.DUMMYFUNCTION("""COMPUTED_VALUE"""),"Bancamiga")</f>
        <v>Bancamiga</v>
      </c>
      <c r="F312" s="22" t="str">
        <f>IFERROR(__xludf.DUMMYFUNCTION("""COMPUTED_VALUE"""),"EN LA VIA 2023 C.A")</f>
        <v>EN LA VIA 2023 C.A</v>
      </c>
      <c r="G312" s="19">
        <v>517.9619</v>
      </c>
      <c r="H312" s="13"/>
      <c r="I312" s="14">
        <f t="shared" si="1"/>
        <v>290.8474928</v>
      </c>
      <c r="J312" s="15">
        <f t="shared" si="2"/>
        <v>0</v>
      </c>
      <c r="K312" s="14">
        <f t="shared" si="3"/>
        <v>290.8474928</v>
      </c>
      <c r="L312" s="16" t="str">
        <f>IFERROR(__xludf.DUMMYFUNCTION("IFERROR(
  IF(
    VLOOKUP(C312, IMPORTRANGE(""gid=860555792"", ""Maestro!B:C""), 2, FALSE) = D312, 
    ""CONCILIADO"", 
    ""ERROR EN MONTO""
  ), 
  ""NO ENCONTRADO EN MAESTRO""
)"),"NO ENCONTRADO EN MAESTRO")</f>
        <v>NO ENCONTRADO EN MAESTRO</v>
      </c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ht="22.5" customHeight="1">
      <c r="A313" s="25">
        <f>IFERROR(__xludf.DUMMYFUNCTION("""COMPUTED_VALUE"""),46160.0)</f>
        <v>46160</v>
      </c>
      <c r="B313" s="15">
        <f>IFERROR(__xludf.DUMMYFUNCTION("""COMPUTED_VALUE"""),124.0)</f>
        <v>124</v>
      </c>
      <c r="C313" s="21">
        <f>IFERROR(__xludf.DUMMYFUNCTION("""COMPUTED_VALUE"""),300.0)</f>
        <v>300</v>
      </c>
      <c r="D313" s="22" t="str">
        <f>IFERROR(__xludf.DUMMYFUNCTION("""COMPUTED_VALUE"""),"USD")</f>
        <v>USD</v>
      </c>
      <c r="E313" s="22" t="str">
        <f>IFERROR(__xludf.DUMMYFUNCTION("""COMPUTED_VALUE"""),"Efectivo USD")</f>
        <v>Efectivo USD</v>
      </c>
      <c r="F313" s="22" t="str">
        <f>IFERROR(__xludf.DUMMYFUNCTION("""COMPUTED_VALUE"""),"M.L.P Repuestos y Otros, C.A")</f>
        <v>M.L.P Repuestos y Otros, C.A</v>
      </c>
      <c r="G313" s="19">
        <v>517.9619</v>
      </c>
      <c r="H313" s="13"/>
      <c r="I313" s="14">
        <f t="shared" si="1"/>
        <v>300</v>
      </c>
      <c r="J313" s="15">
        <f t="shared" si="2"/>
        <v>300</v>
      </c>
      <c r="K313" s="14">
        <f t="shared" si="3"/>
        <v>300</v>
      </c>
      <c r="L313" s="16" t="str">
        <f>IFERROR(__xludf.DUMMYFUNCTION("IFERROR(
  IF(
    VLOOKUP(C313, IMPORTRANGE(""gid=860555792"", ""Maestro!B:C""), 2, FALSE) = D313, 
    ""CONCILIADO"", 
    ""ERROR EN MONTO""
  ), 
  ""NO ENCONTRADO EN MAESTRO""
)"),"NO ENCONTRADO EN MAESTRO")</f>
        <v>NO ENCONTRADO EN MAESTRO</v>
      </c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ht="22.5" customHeight="1">
      <c r="A314" s="25">
        <f>IFERROR(__xludf.DUMMYFUNCTION("""COMPUTED_VALUE"""),46160.0)</f>
        <v>46160</v>
      </c>
      <c r="B314" s="15">
        <f>IFERROR(__xludf.DUMMYFUNCTION("""COMPUTED_VALUE"""),291.0)</f>
        <v>291</v>
      </c>
      <c r="C314" s="21">
        <f>IFERROR(__xludf.DUMMYFUNCTION("""COMPUTED_VALUE"""),600.0)</f>
        <v>600</v>
      </c>
      <c r="D314" s="22" t="str">
        <f>IFERROR(__xludf.DUMMYFUNCTION("""COMPUTED_VALUE"""),"USD")</f>
        <v>USD</v>
      </c>
      <c r="E314" s="22" t="str">
        <f>IFERROR(__xludf.DUMMYFUNCTION("""COMPUTED_VALUE"""),"Efectivo USD")</f>
        <v>Efectivo USD</v>
      </c>
      <c r="F314" s="22" t="str">
        <f>IFERROR(__xludf.DUMMYFUNCTION("""COMPUTED_VALUE"""),"AGROPECUARIA EL TORO DORADO, C.A")</f>
        <v>AGROPECUARIA EL TORO DORADO, C.A</v>
      </c>
      <c r="G314" s="19">
        <v>517.9619</v>
      </c>
      <c r="H314" s="13"/>
      <c r="I314" s="14">
        <f t="shared" si="1"/>
        <v>600</v>
      </c>
      <c r="J314" s="15">
        <f t="shared" si="2"/>
        <v>600</v>
      </c>
      <c r="K314" s="14">
        <f t="shared" si="3"/>
        <v>600</v>
      </c>
      <c r="L314" s="16" t="str">
        <f>IFERROR(__xludf.DUMMYFUNCTION("IFERROR(
  IF(
    VLOOKUP(C314, IMPORTRANGE(""gid=860555792"", ""Maestro!B:C""), 2, FALSE) = D314, 
    ""CONCILIADO"", 
    ""ERROR EN MONTO""
  ), 
  ""NO ENCONTRADO EN MAESTRO""
)"),"NO ENCONTRADO EN MAESTRO")</f>
        <v>NO ENCONTRADO EN MAESTRO</v>
      </c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ht="22.5" customHeight="1">
      <c r="A315" s="25">
        <f>IFERROR(__xludf.DUMMYFUNCTION("""COMPUTED_VALUE"""),46160.0)</f>
        <v>46160</v>
      </c>
      <c r="B315" s="15">
        <f>IFERROR(__xludf.DUMMYFUNCTION("""COMPUTED_VALUE"""),197.0)</f>
        <v>197</v>
      </c>
      <c r="C315" s="21">
        <f>IFERROR(__xludf.DUMMYFUNCTION("""COMPUTED_VALUE"""),17.0)</f>
        <v>17</v>
      </c>
      <c r="D315" s="22" t="str">
        <f>IFERROR(__xludf.DUMMYFUNCTION("""COMPUTED_VALUE"""),"USD")</f>
        <v>USD</v>
      </c>
      <c r="E315" s="22" t="str">
        <f>IFERROR(__xludf.DUMMYFUNCTION("""COMPUTED_VALUE"""),"Efectivo USD")</f>
        <v>Efectivo USD</v>
      </c>
      <c r="F315" s="22" t="str">
        <f>IFERROR(__xludf.DUMMYFUNCTION("""COMPUTED_VALUE"""),"Auto Repuestos Acal C.A")</f>
        <v>Auto Repuestos Acal C.A</v>
      </c>
      <c r="G315" s="19">
        <v>517.9619</v>
      </c>
      <c r="H315" s="13"/>
      <c r="I315" s="14">
        <f t="shared" si="1"/>
        <v>17</v>
      </c>
      <c r="J315" s="15">
        <f t="shared" si="2"/>
        <v>17</v>
      </c>
      <c r="K315" s="14">
        <f t="shared" si="3"/>
        <v>17</v>
      </c>
      <c r="L315" s="16" t="str">
        <f>IFERROR(__xludf.DUMMYFUNCTION("IFERROR(
  IF(
    VLOOKUP(C315, IMPORTRANGE(""gid=860555792"", ""Maestro!B:C""), 2, FALSE) = D315, 
    ""CONCILIADO"", 
    ""ERROR EN MONTO""
  ), 
  ""NO ENCONTRADO EN MAESTRO""
)"),"NO ENCONTRADO EN MAESTRO")</f>
        <v>NO ENCONTRADO EN MAESTRO</v>
      </c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ht="22.5" customHeight="1">
      <c r="A316" s="25">
        <f>IFERROR(__xludf.DUMMYFUNCTION("""COMPUTED_VALUE"""),46160.0)</f>
        <v>46160</v>
      </c>
      <c r="B316" s="15">
        <f>IFERROR(__xludf.DUMMYFUNCTION("""COMPUTED_VALUE"""),82.0)</f>
        <v>82</v>
      </c>
      <c r="C316" s="21">
        <f>IFERROR(__xludf.DUMMYFUNCTION("""COMPUTED_VALUE"""),225.0)</f>
        <v>225</v>
      </c>
      <c r="D316" s="22" t="str">
        <f>IFERROR(__xludf.DUMMYFUNCTION("""COMPUTED_VALUE"""),"USD")</f>
        <v>USD</v>
      </c>
      <c r="E316" s="22" t="str">
        <f>IFERROR(__xludf.DUMMYFUNCTION("""COMPUTED_VALUE"""),"Efectivo USD")</f>
        <v>Efectivo USD</v>
      </c>
      <c r="F316" s="22" t="str">
        <f>IFERROR(__xludf.DUMMYFUNCTION("""COMPUTED_VALUE"""),"Pedro Castro")</f>
        <v>Pedro Castro</v>
      </c>
      <c r="G316" s="19">
        <v>517.9619</v>
      </c>
      <c r="H316" s="13"/>
      <c r="I316" s="14">
        <f t="shared" si="1"/>
        <v>225</v>
      </c>
      <c r="J316" s="15">
        <f t="shared" si="2"/>
        <v>225</v>
      </c>
      <c r="K316" s="14">
        <f t="shared" si="3"/>
        <v>225</v>
      </c>
      <c r="L316" s="16" t="str">
        <f>IFERROR(__xludf.DUMMYFUNCTION("IFERROR(
  IF(
    VLOOKUP(C316, IMPORTRANGE(""gid=860555792"", ""Maestro!B:C""), 2, FALSE) = D316, 
    ""CONCILIADO"", 
    ""ERROR EN MONTO""
  ), 
  ""NO ENCONTRADO EN MAESTRO""
)"),"NO ENCONTRADO EN MAESTRO")</f>
        <v>NO ENCONTRADO EN MAESTRO</v>
      </c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ht="22.5" customHeight="1">
      <c r="A317" s="25">
        <f>IFERROR(__xludf.DUMMYFUNCTION("""COMPUTED_VALUE"""),46160.0)</f>
        <v>46160</v>
      </c>
      <c r="B317" s="15">
        <f>IFERROR(__xludf.DUMMYFUNCTION("""COMPUTED_VALUE"""),396.0)</f>
        <v>396</v>
      </c>
      <c r="C317" s="21">
        <f>IFERROR(__xludf.DUMMYFUNCTION("""COMPUTED_VALUE"""),66987.76)</f>
        <v>66987.76</v>
      </c>
      <c r="D317" s="22" t="str">
        <f>IFERROR(__xludf.DUMMYFUNCTION("""COMPUTED_VALUE"""),"VES")</f>
        <v>VES</v>
      </c>
      <c r="E317" s="22" t="str">
        <f>IFERROR(__xludf.DUMMYFUNCTION("""COMPUTED_VALUE"""),"Bancamiga")</f>
        <v>Bancamiga</v>
      </c>
      <c r="F317" s="22" t="str">
        <f>IFERROR(__xludf.DUMMYFUNCTION("""COMPUTED_VALUE"""),"INVERSIONES ARCOSOL 21, C.A.")</f>
        <v>INVERSIONES ARCOSOL 21, C.A.</v>
      </c>
      <c r="G317" s="19">
        <v>517.9619</v>
      </c>
      <c r="H317" s="13"/>
      <c r="I317" s="14">
        <f t="shared" si="1"/>
        <v>129.3295125</v>
      </c>
      <c r="J317" s="15">
        <f t="shared" si="2"/>
        <v>0</v>
      </c>
      <c r="K317" s="14">
        <f t="shared" si="3"/>
        <v>129.3295125</v>
      </c>
      <c r="L317" s="16" t="str">
        <f>IFERROR(__xludf.DUMMYFUNCTION("IFERROR(
  IF(
    VLOOKUP(C317, IMPORTRANGE(""gid=860555792"", ""Maestro!B:C""), 2, FALSE) = D317, 
    ""CONCILIADO"", 
    ""ERROR EN MONTO""
  ), 
  ""NO ENCONTRADO EN MAESTRO""
)"),"NO ENCONTRADO EN MAESTRO")</f>
        <v>NO ENCONTRADO EN MAESTRO</v>
      </c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ht="22.5" customHeight="1">
      <c r="A318" s="25">
        <f>IFERROR(__xludf.DUMMYFUNCTION("""COMPUTED_VALUE"""),46157.0)</f>
        <v>46157</v>
      </c>
      <c r="B318" s="15">
        <f>IFERROR(__xludf.DUMMYFUNCTION("""COMPUTED_VALUE"""),99.0)</f>
        <v>99</v>
      </c>
      <c r="C318" s="21">
        <f>IFERROR(__xludf.DUMMYFUNCTION("""COMPUTED_VALUE"""),6609.75)</f>
        <v>6609.75</v>
      </c>
      <c r="D318" s="22" t="str">
        <f>IFERROR(__xludf.DUMMYFUNCTION("""COMPUTED_VALUE"""),"VES")</f>
        <v>VES</v>
      </c>
      <c r="E318" s="22" t="str">
        <f>IFERROR(__xludf.DUMMYFUNCTION("""COMPUTED_VALUE"""),"Bancamiga")</f>
        <v>Bancamiga</v>
      </c>
      <c r="F318" s="22" t="str">
        <f>IFERROR(__xludf.DUMMYFUNCTION("""COMPUTED_VALUE"""),"ZIP MARKET, CA")</f>
        <v>ZIP MARKET, CA</v>
      </c>
      <c r="G318" s="19">
        <v>517.9619</v>
      </c>
      <c r="H318" s="13"/>
      <c r="I318" s="14">
        <f t="shared" si="1"/>
        <v>12.76107374</v>
      </c>
      <c r="J318" s="15">
        <f t="shared" si="2"/>
        <v>0</v>
      </c>
      <c r="K318" s="14">
        <f t="shared" si="3"/>
        <v>12.76107374</v>
      </c>
      <c r="L318" s="16" t="str">
        <f>IFERROR(__xludf.DUMMYFUNCTION("IFERROR(
  IF(
    VLOOKUP(C318, IMPORTRANGE(""gid=860555792"", ""Maestro!B:C""), 2, FALSE) = D318, 
    ""CONCILIADO"", 
    ""ERROR EN MONTO""
  ), 
  ""NO ENCONTRADO EN MAESTRO""
)"),"NO ENCONTRADO EN MAESTRO")</f>
        <v>NO ENCONTRADO EN MAESTRO</v>
      </c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ht="22.5" customHeight="1">
      <c r="A319" s="25">
        <f>IFERROR(__xludf.DUMMYFUNCTION("""COMPUTED_VALUE"""),46161.0)</f>
        <v>46161</v>
      </c>
      <c r="B319" s="15">
        <f>IFERROR(__xludf.DUMMYFUNCTION("""COMPUTED_VALUE"""),412.0)</f>
        <v>412</v>
      </c>
      <c r="C319" s="21">
        <f>IFERROR(__xludf.DUMMYFUNCTION("""COMPUTED_VALUE"""),109.0)</f>
        <v>109</v>
      </c>
      <c r="D319" s="22" t="str">
        <f>IFERROR(__xludf.DUMMYFUNCTION("""COMPUTED_VALUE"""),"USD")</f>
        <v>USD</v>
      </c>
      <c r="E319" s="22" t="str">
        <f>IFERROR(__xludf.DUMMYFUNCTION("""COMPUTED_VALUE"""),"Efectivo USD")</f>
        <v>Efectivo USD</v>
      </c>
      <c r="F319" s="22" t="str">
        <f>IFERROR(__xludf.DUMMYFUNCTION("""COMPUTED_VALUE"""),"Anthony Jose Quijada Diaz.")</f>
        <v>Anthony Jose Quijada Diaz.</v>
      </c>
      <c r="G319" s="19">
        <v>517.9619</v>
      </c>
      <c r="H319" s="13"/>
      <c r="I319" s="14">
        <f t="shared" si="1"/>
        <v>109</v>
      </c>
      <c r="J319" s="15">
        <f t="shared" si="2"/>
        <v>109</v>
      </c>
      <c r="K319" s="14">
        <f t="shared" si="3"/>
        <v>109</v>
      </c>
      <c r="L319" s="16" t="str">
        <f>IFERROR(__xludf.DUMMYFUNCTION("IFERROR(
  IF(
    VLOOKUP(C319, IMPORTRANGE(""gid=860555792"", ""Maestro!B:C""), 2, FALSE) = D319, 
    ""CONCILIADO"", 
    ""ERROR EN MONTO""
  ), 
  ""NO ENCONTRADO EN MAESTRO""
)"),"NO ENCONTRADO EN MAESTRO")</f>
        <v>NO ENCONTRADO EN MAESTRO</v>
      </c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ht="22.5" customHeight="1">
      <c r="A320" s="25">
        <f>IFERROR(__xludf.DUMMYFUNCTION("""COMPUTED_VALUE"""),46161.0)</f>
        <v>46161</v>
      </c>
      <c r="B320" s="15">
        <f>IFERROR(__xludf.DUMMYFUNCTION("""COMPUTED_VALUE"""),260.0)</f>
        <v>260</v>
      </c>
      <c r="C320" s="21">
        <f>IFERROR(__xludf.DUMMYFUNCTION("""COMPUTED_VALUE"""),51796.19)</f>
        <v>51796.19</v>
      </c>
      <c r="D320" s="22" t="str">
        <f>IFERROR(__xludf.DUMMYFUNCTION("""COMPUTED_VALUE"""),"VES")</f>
        <v>VES</v>
      </c>
      <c r="E320" s="22" t="str">
        <f>IFERROR(__xludf.DUMMYFUNCTION("""COMPUTED_VALUE"""),"Bancamiga")</f>
        <v>Bancamiga</v>
      </c>
      <c r="F320" s="22" t="str">
        <f>IFERROR(__xludf.DUMMYFUNCTION("""COMPUTED_VALUE"""),"Jose Lopez Espinoza")</f>
        <v>Jose Lopez Espinoza</v>
      </c>
      <c r="G320" s="19">
        <v>517.9619</v>
      </c>
      <c r="H320" s="13"/>
      <c r="I320" s="14">
        <f t="shared" si="1"/>
        <v>100</v>
      </c>
      <c r="J320" s="15">
        <f t="shared" si="2"/>
        <v>0</v>
      </c>
      <c r="K320" s="14">
        <f t="shared" si="3"/>
        <v>100</v>
      </c>
      <c r="L320" s="16" t="str">
        <f>IFERROR(__xludf.DUMMYFUNCTION("IFERROR(
  IF(
    VLOOKUP(C320, IMPORTRANGE(""gid=860555792"", ""Maestro!B:C""), 2, FALSE) = D320, 
    ""CONCILIADO"", 
    ""ERROR EN MONTO""
  ), 
  ""NO ENCONTRADO EN MAESTRO""
)"),"NO ENCONTRADO EN MAESTRO")</f>
        <v>NO ENCONTRADO EN MAESTRO</v>
      </c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ht="22.5" customHeight="1">
      <c r="A321" s="25">
        <f>IFERROR(__xludf.DUMMYFUNCTION("""COMPUTED_VALUE"""),46161.0)</f>
        <v>46161</v>
      </c>
      <c r="B321" s="15">
        <f>IFERROR(__xludf.DUMMYFUNCTION("""COMPUTED_VALUE"""),186.0)</f>
        <v>186</v>
      </c>
      <c r="C321" s="21">
        <f>IFERROR(__xludf.DUMMYFUNCTION("""COMPUTED_VALUE"""),56.0)</f>
        <v>56</v>
      </c>
      <c r="D321" s="22" t="str">
        <f>IFERROR(__xludf.DUMMYFUNCTION("""COMPUTED_VALUE"""),"USD")</f>
        <v>USD</v>
      </c>
      <c r="E321" s="22" t="str">
        <f>IFERROR(__xludf.DUMMYFUNCTION("""COMPUTED_VALUE"""),"Efectivo USD")</f>
        <v>Efectivo USD</v>
      </c>
      <c r="F321" s="22" t="str">
        <f>IFERROR(__xludf.DUMMYFUNCTION("""COMPUTED_VALUE"""),"Cauchos y Suministros Camacho C.A")</f>
        <v>Cauchos y Suministros Camacho C.A</v>
      </c>
      <c r="G321" s="19">
        <v>517.9619</v>
      </c>
      <c r="H321" s="13"/>
      <c r="I321" s="14">
        <f t="shared" si="1"/>
        <v>56</v>
      </c>
      <c r="J321" s="15">
        <f t="shared" si="2"/>
        <v>56</v>
      </c>
      <c r="K321" s="14">
        <f t="shared" si="3"/>
        <v>56</v>
      </c>
      <c r="L321" s="16" t="str">
        <f>IFERROR(__xludf.DUMMYFUNCTION("IFERROR(
  IF(
    VLOOKUP(C321, IMPORTRANGE(""gid=860555792"", ""Maestro!B:C""), 2, FALSE) = D321, 
    ""CONCILIADO"", 
    ""ERROR EN MONTO""
  ), 
  ""NO ENCONTRADO EN MAESTRO""
)"),"NO ENCONTRADO EN MAESTRO")</f>
        <v>NO ENCONTRADO EN MAESTRO</v>
      </c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ht="22.5" customHeight="1">
      <c r="A322" s="25">
        <f>IFERROR(__xludf.DUMMYFUNCTION("""COMPUTED_VALUE"""),46161.0)</f>
        <v>46161</v>
      </c>
      <c r="B322" s="15">
        <f>IFERROR(__xludf.DUMMYFUNCTION("""COMPUTED_VALUE"""),298.0)</f>
        <v>298</v>
      </c>
      <c r="C322" s="21">
        <f>IFERROR(__xludf.DUMMYFUNCTION("""COMPUTED_VALUE"""),40.0)</f>
        <v>40</v>
      </c>
      <c r="D322" s="22" t="str">
        <f>IFERROR(__xludf.DUMMYFUNCTION("""COMPUTED_VALUE"""),"USD")</f>
        <v>USD</v>
      </c>
      <c r="E322" s="22" t="str">
        <f>IFERROR(__xludf.DUMMYFUNCTION("""COMPUTED_VALUE"""),"Efectivo USD")</f>
        <v>Efectivo USD</v>
      </c>
      <c r="F322" s="22" t="str">
        <f>IFERROR(__xludf.DUMMYFUNCTION("""COMPUTED_VALUE"""),"Inversiones Brayan CT C.A")</f>
        <v>Inversiones Brayan CT C.A</v>
      </c>
      <c r="G322" s="19">
        <v>517.9619</v>
      </c>
      <c r="H322" s="13"/>
      <c r="I322" s="14">
        <f t="shared" si="1"/>
        <v>40</v>
      </c>
      <c r="J322" s="15">
        <f t="shared" si="2"/>
        <v>40</v>
      </c>
      <c r="K322" s="14">
        <f t="shared" si="3"/>
        <v>40</v>
      </c>
      <c r="L322" s="16" t="str">
        <f>IFERROR(__xludf.DUMMYFUNCTION("IFERROR(
  IF(
    VLOOKUP(C322, IMPORTRANGE(""gid=860555792"", ""Maestro!B:C""), 2, FALSE) = D322, 
    ""CONCILIADO"", 
    ""ERROR EN MONTO""
  ), 
  ""NO ENCONTRADO EN MAESTRO""
)"),"NO ENCONTRADO EN MAESTRO")</f>
        <v>NO ENCONTRADO EN MAESTRO</v>
      </c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ht="22.5" customHeight="1">
      <c r="A323" s="25">
        <f>IFERROR(__xludf.DUMMYFUNCTION("""COMPUTED_VALUE"""),46161.0)</f>
        <v>46161</v>
      </c>
      <c r="B323" s="15">
        <f>IFERROR(__xludf.DUMMYFUNCTION("""COMPUTED_VALUE"""),87.0)</f>
        <v>87</v>
      </c>
      <c r="C323" s="21">
        <f>IFERROR(__xludf.DUMMYFUNCTION("""COMPUTED_VALUE"""),113.0)</f>
        <v>113</v>
      </c>
      <c r="D323" s="22" t="str">
        <f>IFERROR(__xludf.DUMMYFUNCTION("""COMPUTED_VALUE"""),"USD")</f>
        <v>USD</v>
      </c>
      <c r="E323" s="22" t="str">
        <f>IFERROR(__xludf.DUMMYFUNCTION("""COMPUTED_VALUE"""),"Efectivo USD")</f>
        <v>Efectivo USD</v>
      </c>
      <c r="F323" s="22" t="str">
        <f>IFERROR(__xludf.DUMMYFUNCTION("""COMPUTED_VALUE"""),"Javier Cardenas Prato.")</f>
        <v>Javier Cardenas Prato.</v>
      </c>
      <c r="G323" s="19">
        <v>517.9619</v>
      </c>
      <c r="H323" s="13"/>
      <c r="I323" s="14">
        <f t="shared" si="1"/>
        <v>113</v>
      </c>
      <c r="J323" s="15">
        <f t="shared" si="2"/>
        <v>113</v>
      </c>
      <c r="K323" s="14">
        <f t="shared" si="3"/>
        <v>113</v>
      </c>
      <c r="L323" s="16" t="str">
        <f>IFERROR(__xludf.DUMMYFUNCTION("IFERROR(
  IF(
    VLOOKUP(C323, IMPORTRANGE(""gid=860555792"", ""Maestro!B:C""), 2, FALSE) = D323, 
    ""CONCILIADO"", 
    ""ERROR EN MONTO""
  ), 
  ""NO ENCONTRADO EN MAESTRO""
)"),"NO ENCONTRADO EN MAESTRO")</f>
        <v>NO ENCONTRADO EN MAESTRO</v>
      </c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ht="22.5" customHeight="1">
      <c r="A324" s="25">
        <f>IFERROR(__xludf.DUMMYFUNCTION("""COMPUTED_VALUE"""),46161.0)</f>
        <v>46161</v>
      </c>
      <c r="B324" s="15">
        <f>IFERROR(__xludf.DUMMYFUNCTION("""COMPUTED_VALUE"""),158.0)</f>
        <v>158</v>
      </c>
      <c r="C324" s="21">
        <f>IFERROR(__xludf.DUMMYFUNCTION("""COMPUTED_VALUE"""),120.0)</f>
        <v>120</v>
      </c>
      <c r="D324" s="22" t="str">
        <f>IFERROR(__xludf.DUMMYFUNCTION("""COMPUTED_VALUE"""),"USD")</f>
        <v>USD</v>
      </c>
      <c r="E324" s="22" t="str">
        <f>IFERROR(__xludf.DUMMYFUNCTION("""COMPUTED_VALUE"""),"Zelle")</f>
        <v>Zelle</v>
      </c>
      <c r="F324" s="22" t="str">
        <f>IFERROR(__xludf.DUMMYFUNCTION("""COMPUTED_VALUE"""),"Dimas Ortíz")</f>
        <v>Dimas Ortíz</v>
      </c>
      <c r="G324" s="19">
        <v>517.9619</v>
      </c>
      <c r="H324" s="13"/>
      <c r="I324" s="14">
        <f t="shared" si="1"/>
        <v>120</v>
      </c>
      <c r="J324" s="15">
        <f t="shared" si="2"/>
        <v>120</v>
      </c>
      <c r="K324" s="14">
        <f t="shared" si="3"/>
        <v>120</v>
      </c>
      <c r="L324" s="16" t="str">
        <f>IFERROR(__xludf.DUMMYFUNCTION("IFERROR(
  IF(
    VLOOKUP(C324, IMPORTRANGE(""gid=860555792"", ""Maestro!B:C""), 2, FALSE) = D324, 
    ""CONCILIADO"", 
    ""ERROR EN MONTO""
  ), 
  ""NO ENCONTRADO EN MAESTRO""
)"),"NO ENCONTRADO EN MAESTRO")</f>
        <v>NO ENCONTRADO EN MAESTRO</v>
      </c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ht="22.5" customHeight="1">
      <c r="A325" s="25">
        <f>IFERROR(__xludf.DUMMYFUNCTION("""COMPUTED_VALUE"""),46161.0)</f>
        <v>46161</v>
      </c>
      <c r="B325" s="15">
        <f>IFERROR(__xludf.DUMMYFUNCTION("""COMPUTED_VALUE"""),49.0)</f>
        <v>49</v>
      </c>
      <c r="C325" s="21">
        <f>IFERROR(__xludf.DUMMYFUNCTION("""COMPUTED_VALUE"""),100.0)</f>
        <v>100</v>
      </c>
      <c r="D325" s="22" t="str">
        <f>IFERROR(__xludf.DUMMYFUNCTION("""COMPUTED_VALUE"""),"USD")</f>
        <v>USD</v>
      </c>
      <c r="E325" s="22" t="str">
        <f>IFERROR(__xludf.DUMMYFUNCTION("""COMPUTED_VALUE"""),"Efectivo USD")</f>
        <v>Efectivo USD</v>
      </c>
      <c r="F325" s="22" t="str">
        <f>IFERROR(__xludf.DUMMYFUNCTION("""COMPUTED_VALUE"""),"Marlene Herrera")</f>
        <v>Marlene Herrera</v>
      </c>
      <c r="G325" s="19">
        <v>517.9619</v>
      </c>
      <c r="H325" s="13"/>
      <c r="I325" s="14">
        <f t="shared" si="1"/>
        <v>100</v>
      </c>
      <c r="J325" s="15">
        <f t="shared" si="2"/>
        <v>100</v>
      </c>
      <c r="K325" s="14">
        <f t="shared" si="3"/>
        <v>100</v>
      </c>
      <c r="L325" s="16" t="str">
        <f>IFERROR(__xludf.DUMMYFUNCTION("IFERROR(
  IF(
    VLOOKUP(C325, IMPORTRANGE(""gid=860555792"", ""Maestro!B:C""), 2, FALSE) = D325, 
    ""CONCILIADO"", 
    ""ERROR EN MONTO""
  ), 
  ""NO ENCONTRADO EN MAESTRO""
)"),"NO ENCONTRADO EN MAESTRO")</f>
        <v>NO ENCONTRADO EN MAESTRO</v>
      </c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ht="22.5" customHeight="1">
      <c r="A326" s="25">
        <f>IFERROR(__xludf.DUMMYFUNCTION("""COMPUTED_VALUE"""),46161.0)</f>
        <v>46161</v>
      </c>
      <c r="B326" s="15">
        <f>IFERROR(__xludf.DUMMYFUNCTION("""COMPUTED_VALUE"""),44.0)</f>
        <v>44</v>
      </c>
      <c r="C326" s="21">
        <f>IFERROR(__xludf.DUMMYFUNCTION("""COMPUTED_VALUE"""),250.0)</f>
        <v>250</v>
      </c>
      <c r="D326" s="22" t="str">
        <f>IFERROR(__xludf.DUMMYFUNCTION("""COMPUTED_VALUE"""),"USD")</f>
        <v>USD</v>
      </c>
      <c r="E326" s="22" t="str">
        <f>IFERROR(__xludf.DUMMYFUNCTION("""COMPUTED_VALUE"""),"Efectivo USD")</f>
        <v>Efectivo USD</v>
      </c>
      <c r="F326" s="22" t="str">
        <f>IFERROR(__xludf.DUMMYFUNCTION("""COMPUTED_VALUE"""),"Comercializadora Garabote")</f>
        <v>Comercializadora Garabote</v>
      </c>
      <c r="G326" s="19">
        <v>517.9619</v>
      </c>
      <c r="H326" s="13"/>
      <c r="I326" s="14">
        <f t="shared" si="1"/>
        <v>250</v>
      </c>
      <c r="J326" s="15">
        <f t="shared" si="2"/>
        <v>250</v>
      </c>
      <c r="K326" s="14">
        <f t="shared" si="3"/>
        <v>250</v>
      </c>
      <c r="L326" s="16" t="str">
        <f>IFERROR(__xludf.DUMMYFUNCTION("IFERROR(
  IF(
    VLOOKUP(C326, IMPORTRANGE(""gid=860555792"", ""Maestro!B:C""), 2, FALSE) = D326, 
    ""CONCILIADO"", 
    ""ERROR EN MONTO""
  ), 
  ""NO ENCONTRADO EN MAESTRO""
)"),"NO ENCONTRADO EN MAESTRO")</f>
        <v>NO ENCONTRADO EN MAESTRO</v>
      </c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ht="22.5" customHeight="1">
      <c r="A327" s="25">
        <f>IFERROR(__xludf.DUMMYFUNCTION("""COMPUTED_VALUE"""),46161.0)</f>
        <v>46161</v>
      </c>
      <c r="B327" s="15">
        <f>IFERROR(__xludf.DUMMYFUNCTION("""COMPUTED_VALUE"""),287.0)</f>
        <v>287</v>
      </c>
      <c r="C327" s="21">
        <f>IFERROR(__xludf.DUMMYFUNCTION("""COMPUTED_VALUE"""),30.0)</f>
        <v>30</v>
      </c>
      <c r="D327" s="22" t="str">
        <f>IFERROR(__xludf.DUMMYFUNCTION("""COMPUTED_VALUE"""),"USD")</f>
        <v>USD</v>
      </c>
      <c r="E327" s="22" t="str">
        <f>IFERROR(__xludf.DUMMYFUNCTION("""COMPUTED_VALUE"""),"Efectivo USD")</f>
        <v>Efectivo USD</v>
      </c>
      <c r="F327" s="22" t="str">
        <f>IFERROR(__xludf.DUMMYFUNCTION("""COMPUTED_VALUE"""),"Javier gregorio Espinoza")</f>
        <v>Javier gregorio Espinoza</v>
      </c>
      <c r="G327" s="19">
        <v>517.9619</v>
      </c>
      <c r="H327" s="13"/>
      <c r="I327" s="14">
        <f t="shared" si="1"/>
        <v>30</v>
      </c>
      <c r="J327" s="15">
        <f t="shared" si="2"/>
        <v>30</v>
      </c>
      <c r="K327" s="14">
        <f t="shared" si="3"/>
        <v>30</v>
      </c>
      <c r="L327" s="16" t="str">
        <f>IFERROR(__xludf.DUMMYFUNCTION("IFERROR(
  IF(
    VLOOKUP(C327, IMPORTRANGE(""gid=860555792"", ""Maestro!B:C""), 2, FALSE) = D327, 
    ""CONCILIADO"", 
    ""ERROR EN MONTO""
  ), 
  ""NO ENCONTRADO EN MAESTRO""
)"),"NO ENCONTRADO EN MAESTRO")</f>
        <v>NO ENCONTRADO EN MAESTRO</v>
      </c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ht="22.5" customHeight="1">
      <c r="A328" s="25">
        <f>IFERROR(__xludf.DUMMYFUNCTION("""COMPUTED_VALUE"""),46161.0)</f>
        <v>46161</v>
      </c>
      <c r="B328" s="15">
        <f>IFERROR(__xludf.DUMMYFUNCTION("""COMPUTED_VALUE"""),302.0)</f>
        <v>302</v>
      </c>
      <c r="C328" s="21">
        <f>IFERROR(__xludf.DUMMYFUNCTION("""COMPUTED_VALUE"""),68.0)</f>
        <v>68</v>
      </c>
      <c r="D328" s="22" t="str">
        <f>IFERROR(__xludf.DUMMYFUNCTION("""COMPUTED_VALUE"""),"USD")</f>
        <v>USD</v>
      </c>
      <c r="E328" s="22" t="str">
        <f>IFERROR(__xludf.DUMMYFUNCTION("""COMPUTED_VALUE"""),"Efectivo USD")</f>
        <v>Efectivo USD</v>
      </c>
      <c r="F328" s="22" t="str">
        <f>IFERROR(__xludf.DUMMYFUNCTION("""COMPUTED_VALUE"""),"Sergio Ibrain Rumbo Mundaray")</f>
        <v>Sergio Ibrain Rumbo Mundaray</v>
      </c>
      <c r="G328" s="19">
        <v>517.9619</v>
      </c>
      <c r="H328" s="13"/>
      <c r="I328" s="14">
        <f t="shared" si="1"/>
        <v>68</v>
      </c>
      <c r="J328" s="15">
        <f t="shared" si="2"/>
        <v>68</v>
      </c>
      <c r="K328" s="14">
        <f t="shared" si="3"/>
        <v>68</v>
      </c>
      <c r="L328" s="16" t="str">
        <f>IFERROR(__xludf.DUMMYFUNCTION("IFERROR(
  IF(
    VLOOKUP(C328, IMPORTRANGE(""gid=860555792"", ""Maestro!B:C""), 2, FALSE) = D328, 
    ""CONCILIADO"", 
    ""ERROR EN MONTO""
  ), 
  ""NO ENCONTRADO EN MAESTRO""
)"),"NO ENCONTRADO EN MAESTRO")</f>
        <v>NO ENCONTRADO EN MAESTRO</v>
      </c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ht="22.5" customHeight="1">
      <c r="A329" s="25">
        <f>IFERROR(__xludf.DUMMYFUNCTION("""COMPUTED_VALUE"""),46162.0)</f>
        <v>46162</v>
      </c>
      <c r="B329" s="15">
        <f>IFERROR(__xludf.DUMMYFUNCTION("""COMPUTED_VALUE"""),418.0)</f>
        <v>418</v>
      </c>
      <c r="C329" s="21">
        <f>IFERROR(__xludf.DUMMYFUNCTION("""COMPUTED_VALUE"""),53.0)</f>
        <v>53</v>
      </c>
      <c r="D329" s="22" t="str">
        <f>IFERROR(__xludf.DUMMYFUNCTION("""COMPUTED_VALUE"""),"USD")</f>
        <v>USD</v>
      </c>
      <c r="E329" s="22" t="str">
        <f>IFERROR(__xludf.DUMMYFUNCTION("""COMPUTED_VALUE"""),"Efectivo USD")</f>
        <v>Efectivo USD</v>
      </c>
      <c r="F329" s="22" t="str">
        <f>IFERROR(__xludf.DUMMYFUNCTION("""COMPUTED_VALUE"""),"Edgar salas")</f>
        <v>Edgar salas</v>
      </c>
      <c r="G329" s="19">
        <v>517.9619</v>
      </c>
      <c r="H329" s="13"/>
      <c r="I329" s="14">
        <f t="shared" si="1"/>
        <v>53</v>
      </c>
      <c r="J329" s="15">
        <f t="shared" si="2"/>
        <v>53</v>
      </c>
      <c r="K329" s="14">
        <f t="shared" si="3"/>
        <v>53</v>
      </c>
      <c r="L329" s="16" t="str">
        <f>IFERROR(__xludf.DUMMYFUNCTION("IFERROR(
  IF(
    VLOOKUP(C329, IMPORTRANGE(""gid=860555792"", ""Maestro!B:C""), 2, FALSE) = D329, 
    ""CONCILIADO"", 
    ""ERROR EN MONTO""
  ), 
  ""NO ENCONTRADO EN MAESTRO""
)"),"NO ENCONTRADO EN MAESTRO")</f>
        <v>NO ENCONTRADO EN MAESTRO</v>
      </c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ht="22.5" customHeight="1">
      <c r="A330" s="25">
        <f>IFERROR(__xludf.DUMMYFUNCTION("""COMPUTED_VALUE"""),46162.0)</f>
        <v>46162</v>
      </c>
      <c r="B330" s="15">
        <f>IFERROR(__xludf.DUMMYFUNCTION("""COMPUTED_VALUE"""),404.0)</f>
        <v>404</v>
      </c>
      <c r="C330" s="21">
        <f>IFERROR(__xludf.DUMMYFUNCTION("""COMPUTED_VALUE"""),3.0)</f>
        <v>3</v>
      </c>
      <c r="D330" s="22" t="str">
        <f>IFERROR(__xludf.DUMMYFUNCTION("""COMPUTED_VALUE"""),"USD")</f>
        <v>USD</v>
      </c>
      <c r="E330" s="22" t="str">
        <f>IFERROR(__xludf.DUMMYFUNCTION("""COMPUTED_VALUE"""),"Efectivo USD")</f>
        <v>Efectivo USD</v>
      </c>
      <c r="F330" s="22" t="str">
        <f>IFERROR(__xludf.DUMMYFUNCTION("""COMPUTED_VALUE"""),"Edgar salas")</f>
        <v>Edgar salas</v>
      </c>
      <c r="G330" s="19">
        <v>520.9142</v>
      </c>
      <c r="H330" s="13"/>
      <c r="I330" s="14">
        <f t="shared" si="1"/>
        <v>3</v>
      </c>
      <c r="J330" s="15">
        <f t="shared" si="2"/>
        <v>3</v>
      </c>
      <c r="K330" s="14">
        <f t="shared" si="3"/>
        <v>3</v>
      </c>
      <c r="L330" s="16" t="str">
        <f>IFERROR(__xludf.DUMMYFUNCTION("IFERROR(
  IF(
    VLOOKUP(C330, IMPORTRANGE(""gid=860555792"", ""Maestro!B:C""), 2, FALSE) = D330, 
    ""CONCILIADO"", 
    ""ERROR EN MONTO""
  ), 
  ""NO ENCONTRADO EN MAESTRO""
)"),"NO ENCONTRADO EN MAESTRO")</f>
        <v>NO ENCONTRADO EN MAESTRO</v>
      </c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ht="22.5" customHeight="1">
      <c r="A331" s="25">
        <f>IFERROR(__xludf.DUMMYFUNCTION("""COMPUTED_VALUE"""),46162.0)</f>
        <v>46162</v>
      </c>
      <c r="B331" s="15">
        <f>IFERROR(__xludf.DUMMYFUNCTION("""COMPUTED_VALUE"""),414.0)</f>
        <v>414</v>
      </c>
      <c r="C331" s="21">
        <f>IFERROR(__xludf.DUMMYFUNCTION("""COMPUTED_VALUE"""),30.0)</f>
        <v>30</v>
      </c>
      <c r="D331" s="22" t="str">
        <f>IFERROR(__xludf.DUMMYFUNCTION("""COMPUTED_VALUE"""),"USD")</f>
        <v>USD</v>
      </c>
      <c r="E331" s="22" t="str">
        <f>IFERROR(__xludf.DUMMYFUNCTION("""COMPUTED_VALUE"""),"Efectivo USD")</f>
        <v>Efectivo USD</v>
      </c>
      <c r="F331" s="22" t="str">
        <f>IFERROR(__xludf.DUMMYFUNCTION("""COMPUTED_VALUE"""),"ERICH GILBERTO CASERES MELENDEZ")</f>
        <v>ERICH GILBERTO CASERES MELENDEZ</v>
      </c>
      <c r="G331" s="19">
        <v>520.9142</v>
      </c>
      <c r="H331" s="13"/>
      <c r="I331" s="14">
        <f t="shared" si="1"/>
        <v>30</v>
      </c>
      <c r="J331" s="15">
        <f t="shared" si="2"/>
        <v>30</v>
      </c>
      <c r="K331" s="14">
        <f t="shared" si="3"/>
        <v>30</v>
      </c>
      <c r="L331" s="16" t="str">
        <f>IFERROR(__xludf.DUMMYFUNCTION("IFERROR(
  IF(
    VLOOKUP(C331, IMPORTRANGE(""gid=860555792"", ""Maestro!B:C""), 2, FALSE) = D331, 
    ""CONCILIADO"", 
    ""ERROR EN MONTO""
  ), 
  ""NO ENCONTRADO EN MAESTRO""
)"),"NO ENCONTRADO EN MAESTRO")</f>
        <v>NO ENCONTRADO EN MAESTRO</v>
      </c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ht="22.5" customHeight="1">
      <c r="A332" s="25">
        <f>IFERROR(__xludf.DUMMYFUNCTION("""COMPUTED_VALUE"""),46162.0)</f>
        <v>46162</v>
      </c>
      <c r="B332" s="15">
        <f>IFERROR(__xludf.DUMMYFUNCTION("""COMPUTED_VALUE"""),335.0)</f>
        <v>335</v>
      </c>
      <c r="C332" s="21">
        <f>IFERROR(__xludf.DUMMYFUNCTION("""COMPUTED_VALUE"""),50.0)</f>
        <v>50</v>
      </c>
      <c r="D332" s="22" t="str">
        <f>IFERROR(__xludf.DUMMYFUNCTION("""COMPUTED_VALUE"""),"USD")</f>
        <v>USD</v>
      </c>
      <c r="E332" s="22" t="str">
        <f>IFERROR(__xludf.DUMMYFUNCTION("""COMPUTED_VALUE"""),"Efectivo USD")</f>
        <v>Efectivo USD</v>
      </c>
      <c r="F332" s="22" t="str">
        <f>IFERROR(__xludf.DUMMYFUNCTION("""COMPUTED_VALUE"""),"Wili Mervin León Romero")</f>
        <v>Wili Mervin León Romero</v>
      </c>
      <c r="G332" s="19">
        <v>520.9142</v>
      </c>
      <c r="H332" s="13"/>
      <c r="I332" s="14">
        <f t="shared" si="1"/>
        <v>50</v>
      </c>
      <c r="J332" s="15">
        <f t="shared" si="2"/>
        <v>50</v>
      </c>
      <c r="K332" s="14">
        <f t="shared" si="3"/>
        <v>50</v>
      </c>
      <c r="L332" s="16" t="str">
        <f>IFERROR(__xludf.DUMMYFUNCTION("IFERROR(
  IF(
    VLOOKUP(C332, IMPORTRANGE(""gid=860555792"", ""Maestro!B:C""), 2, FALSE) = D332, 
    ""CONCILIADO"", 
    ""ERROR EN MONTO""
  ), 
  ""NO ENCONTRADO EN MAESTRO""
)"),"NO ENCONTRADO EN MAESTRO")</f>
        <v>NO ENCONTRADO EN MAESTRO</v>
      </c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ht="22.5" customHeight="1">
      <c r="A333" s="25">
        <f>IFERROR(__xludf.DUMMYFUNCTION("""COMPUTED_VALUE"""),46162.0)</f>
        <v>46162</v>
      </c>
      <c r="B333" s="15">
        <f>IFERROR(__xludf.DUMMYFUNCTION("""COMPUTED_VALUE"""),129.0)</f>
        <v>129</v>
      </c>
      <c r="C333" s="21">
        <f>IFERROR(__xludf.DUMMYFUNCTION("""COMPUTED_VALUE"""),150.0)</f>
        <v>150</v>
      </c>
      <c r="D333" s="22" t="str">
        <f>IFERROR(__xludf.DUMMYFUNCTION("""COMPUTED_VALUE"""),"USD")</f>
        <v>USD</v>
      </c>
      <c r="E333" s="22" t="str">
        <f>IFERROR(__xludf.DUMMYFUNCTION("""COMPUTED_VALUE"""),"Efectivo USD")</f>
        <v>Efectivo USD</v>
      </c>
      <c r="F333" s="22" t="str">
        <f>IFERROR(__xludf.DUMMYFUNCTION("""COMPUTED_VALUE"""),"Emprendimiento Jordy Valencia")</f>
        <v>Emprendimiento Jordy Valencia</v>
      </c>
      <c r="G333" s="19">
        <v>520.9142</v>
      </c>
      <c r="H333" s="13"/>
      <c r="I333" s="14">
        <f t="shared" si="1"/>
        <v>150</v>
      </c>
      <c r="J333" s="15">
        <f t="shared" si="2"/>
        <v>150</v>
      </c>
      <c r="K333" s="14">
        <f t="shared" si="3"/>
        <v>150</v>
      </c>
      <c r="L333" s="16" t="str">
        <f>IFERROR(__xludf.DUMMYFUNCTION("IFERROR(
  IF(
    VLOOKUP(C333, IMPORTRANGE(""gid=860555792"", ""Maestro!B:C""), 2, FALSE) = D333, 
    ""CONCILIADO"", 
    ""ERROR EN MONTO""
  ), 
  ""NO ENCONTRADO EN MAESTRO""
)"),"NO ENCONTRADO EN MAESTRO")</f>
        <v>NO ENCONTRADO EN MAESTRO</v>
      </c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ht="22.5" customHeight="1">
      <c r="A334" s="25">
        <f>IFERROR(__xludf.DUMMYFUNCTION("""COMPUTED_VALUE"""),46162.0)</f>
        <v>46162</v>
      </c>
      <c r="B334" s="15">
        <f>IFERROR(__xludf.DUMMYFUNCTION("""COMPUTED_VALUE"""),226.0)</f>
        <v>226</v>
      </c>
      <c r="C334" s="21">
        <f>IFERROR(__xludf.DUMMYFUNCTION("""COMPUTED_VALUE"""),58.0)</f>
        <v>58</v>
      </c>
      <c r="D334" s="22" t="str">
        <f>IFERROR(__xludf.DUMMYFUNCTION("""COMPUTED_VALUE"""),"USD")</f>
        <v>USD</v>
      </c>
      <c r="E334" s="22" t="str">
        <f>IFERROR(__xludf.DUMMYFUNCTION("""COMPUTED_VALUE"""),"Efectivo USD")</f>
        <v>Efectivo USD</v>
      </c>
      <c r="F334" s="22" t="str">
        <f>IFERROR(__xludf.DUMMYFUNCTION("""COMPUTED_VALUE"""),"Josefina Guevera")</f>
        <v>Josefina Guevera</v>
      </c>
      <c r="G334" s="19">
        <v>520.9142</v>
      </c>
      <c r="H334" s="13"/>
      <c r="I334" s="14">
        <f t="shared" si="1"/>
        <v>58</v>
      </c>
      <c r="J334" s="15">
        <f t="shared" si="2"/>
        <v>58</v>
      </c>
      <c r="K334" s="14">
        <f t="shared" si="3"/>
        <v>58</v>
      </c>
      <c r="L334" s="16" t="str">
        <f>IFERROR(__xludf.DUMMYFUNCTION("IFERROR(
  IF(
    VLOOKUP(C334, IMPORTRANGE(""gid=860555792"", ""Maestro!B:C""), 2, FALSE) = D334, 
    ""CONCILIADO"", 
    ""ERROR EN MONTO""
  ), 
  ""NO ENCONTRADO EN MAESTRO""
)"),"NO ENCONTRADO EN MAESTRO")</f>
        <v>NO ENCONTRADO EN MAESTRO</v>
      </c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ht="22.5" customHeight="1">
      <c r="A335" s="25">
        <f>IFERROR(__xludf.DUMMYFUNCTION("""COMPUTED_VALUE"""),46161.0)</f>
        <v>46161</v>
      </c>
      <c r="B335" s="15">
        <f>IFERROR(__xludf.DUMMYFUNCTION("""COMPUTED_VALUE"""),401.0)</f>
        <v>401</v>
      </c>
      <c r="C335" s="21">
        <f>IFERROR(__xludf.DUMMYFUNCTION("""COMPUTED_VALUE"""),32.0)</f>
        <v>32</v>
      </c>
      <c r="D335" s="22" t="str">
        <f>IFERROR(__xludf.DUMMYFUNCTION("""COMPUTED_VALUE"""),"USD")</f>
        <v>USD</v>
      </c>
      <c r="E335" s="22" t="str">
        <f>IFERROR(__xludf.DUMMYFUNCTION("""COMPUTED_VALUE"""),"Efectivo USD")</f>
        <v>Efectivo USD</v>
      </c>
      <c r="F335" s="22" t="str">
        <f>IFERROR(__xludf.DUMMYFUNCTION("""COMPUTED_VALUE"""),"Jorge Luis camacaro")</f>
        <v>Jorge Luis camacaro</v>
      </c>
      <c r="G335" s="19">
        <v>523.675</v>
      </c>
      <c r="H335" s="13"/>
      <c r="I335" s="14">
        <f t="shared" si="1"/>
        <v>32</v>
      </c>
      <c r="J335" s="15">
        <f t="shared" si="2"/>
        <v>32</v>
      </c>
      <c r="K335" s="14">
        <f t="shared" si="3"/>
        <v>32</v>
      </c>
      <c r="L335" s="16" t="str">
        <f>IFERROR(__xludf.DUMMYFUNCTION("IFERROR(
  IF(
    VLOOKUP(C335, IMPORTRANGE(""gid=860555792"", ""Maestro!B:C""), 2, FALSE) = D335, 
    ""CONCILIADO"", 
    ""ERROR EN MONTO""
  ), 
  ""NO ENCONTRADO EN MAESTRO""
)"),"NO ENCONTRADO EN MAESTRO")</f>
        <v>NO ENCONTRADO EN MAESTRO</v>
      </c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ht="22.5" customHeight="1">
      <c r="A336" s="25">
        <f>IFERROR(__xludf.DUMMYFUNCTION("""COMPUTED_VALUE"""),46161.0)</f>
        <v>46161</v>
      </c>
      <c r="B336" s="15">
        <f>IFERROR(__xludf.DUMMYFUNCTION("""COMPUTED_VALUE"""),402.0)</f>
        <v>402</v>
      </c>
      <c r="C336" s="21">
        <f>IFERROR(__xludf.DUMMYFUNCTION("""COMPUTED_VALUE"""),20.0)</f>
        <v>20</v>
      </c>
      <c r="D336" s="22" t="str">
        <f>IFERROR(__xludf.DUMMYFUNCTION("""COMPUTED_VALUE"""),"USD")</f>
        <v>USD</v>
      </c>
      <c r="E336" s="22" t="str">
        <f>IFERROR(__xludf.DUMMYFUNCTION("""COMPUTED_VALUE"""),"Efectivo USD")</f>
        <v>Efectivo USD</v>
      </c>
      <c r="F336" s="22" t="str">
        <f>IFERROR(__xludf.DUMMYFUNCTION("""COMPUTED_VALUE"""),"Jorge Luis camacaro")</f>
        <v>Jorge Luis camacaro</v>
      </c>
      <c r="G336" s="19">
        <v>523.675</v>
      </c>
      <c r="H336" s="13"/>
      <c r="I336" s="14">
        <f t="shared" si="1"/>
        <v>20</v>
      </c>
      <c r="J336" s="15">
        <f t="shared" si="2"/>
        <v>20</v>
      </c>
      <c r="K336" s="14">
        <f t="shared" si="3"/>
        <v>20</v>
      </c>
      <c r="L336" s="16" t="str">
        <f>IFERROR(__xludf.DUMMYFUNCTION("IFERROR(
  IF(
    VLOOKUP(C336, IMPORTRANGE(""gid=860555792"", ""Maestro!B:C""), 2, FALSE) = D336, 
    ""CONCILIADO"", 
    ""ERROR EN MONTO""
  ), 
  ""NO ENCONTRADO EN MAESTRO""
)"),"NO ENCONTRADO EN MAESTRO")</f>
        <v>NO ENCONTRADO EN MAESTRO</v>
      </c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ht="22.5" customHeight="1">
      <c r="A337" s="25">
        <f>IFERROR(__xludf.DUMMYFUNCTION("""COMPUTED_VALUE"""),46163.0)</f>
        <v>46163</v>
      </c>
      <c r="B337" s="15">
        <f>IFERROR(__xludf.DUMMYFUNCTION("""COMPUTED_VALUE"""),214.0)</f>
        <v>214</v>
      </c>
      <c r="C337" s="21">
        <f>IFERROR(__xludf.DUMMYFUNCTION("""COMPUTED_VALUE"""),1000000.0)</f>
        <v>1000000</v>
      </c>
      <c r="D337" s="22" t="str">
        <f>IFERROR(__xludf.DUMMYFUNCTION("""COMPUTED_VALUE"""),"VES")</f>
        <v>VES</v>
      </c>
      <c r="E337" s="22" t="str">
        <f>IFERROR(__xludf.DUMMYFUNCTION("""COMPUTED_VALUE"""),"Bancamiga")</f>
        <v>Bancamiga</v>
      </c>
      <c r="F337" s="22" t="str">
        <f>IFERROR(__xludf.DUMMYFUNCTION("""COMPUTED_VALUE"""),"CONSTRUCTORA GRANO AGREGADO, C.A")</f>
        <v>CONSTRUCTORA GRANO AGREGADO, C.A</v>
      </c>
      <c r="G337" s="19">
        <v>523.675</v>
      </c>
      <c r="H337" s="13"/>
      <c r="I337" s="14">
        <f t="shared" si="1"/>
        <v>1909.581324</v>
      </c>
      <c r="J337" s="15">
        <f t="shared" si="2"/>
        <v>0</v>
      </c>
      <c r="K337" s="14">
        <f t="shared" si="3"/>
        <v>1909.581324</v>
      </c>
      <c r="L337" s="16" t="str">
        <f>IFERROR(__xludf.DUMMYFUNCTION("IFERROR(
  IF(
    VLOOKUP(C337, IMPORTRANGE(""gid=860555792"", ""Maestro!B:C""), 2, FALSE) = D337, 
    ""CONCILIADO"", 
    ""ERROR EN MONTO""
  ), 
  ""NO ENCONTRADO EN MAESTRO""
)"),"NO ENCONTRADO EN MAESTRO")</f>
        <v>NO ENCONTRADO EN MAESTRO</v>
      </c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ht="22.5" customHeight="1">
      <c r="A338" s="25">
        <f>IFERROR(__xludf.DUMMYFUNCTION("""COMPUTED_VALUE"""),46163.0)</f>
        <v>46163</v>
      </c>
      <c r="B338" s="15">
        <f>IFERROR(__xludf.DUMMYFUNCTION("""COMPUTED_VALUE"""),214.0)</f>
        <v>214</v>
      </c>
      <c r="C338" s="21">
        <f>IFERROR(__xludf.DUMMYFUNCTION("""COMPUTED_VALUE"""),696084.88)</f>
        <v>696084.88</v>
      </c>
      <c r="D338" s="22" t="str">
        <f>IFERROR(__xludf.DUMMYFUNCTION("""COMPUTED_VALUE"""),"VES")</f>
        <v>VES</v>
      </c>
      <c r="E338" s="22" t="str">
        <f>IFERROR(__xludf.DUMMYFUNCTION("""COMPUTED_VALUE"""),"Bancamiga")</f>
        <v>Bancamiga</v>
      </c>
      <c r="F338" s="22" t="str">
        <f>IFERROR(__xludf.DUMMYFUNCTION("""COMPUTED_VALUE"""),"CONSTRUCTORA GRANO AGREGADO, C.A")</f>
        <v>CONSTRUCTORA GRANO AGREGADO, C.A</v>
      </c>
      <c r="G338" s="19">
        <v>523.675</v>
      </c>
      <c r="H338" s="13"/>
      <c r="I338" s="14">
        <f t="shared" si="1"/>
        <v>1329.230687</v>
      </c>
      <c r="J338" s="15">
        <f t="shared" si="2"/>
        <v>0</v>
      </c>
      <c r="K338" s="14">
        <f t="shared" si="3"/>
        <v>1329.230687</v>
      </c>
      <c r="L338" s="16" t="str">
        <f>IFERROR(__xludf.DUMMYFUNCTION("IFERROR(
  IF(
    VLOOKUP(C338, IMPORTRANGE(""gid=860555792"", ""Maestro!B:C""), 2, FALSE) = D338, 
    ""CONCILIADO"", 
    ""ERROR EN MONTO""
  ), 
  ""NO ENCONTRADO EN MAESTRO""
)"),"NO ENCONTRADO EN MAESTRO")</f>
        <v>NO ENCONTRADO EN MAESTRO</v>
      </c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ht="22.5" customHeight="1">
      <c r="A339" s="25">
        <f>IFERROR(__xludf.DUMMYFUNCTION("""COMPUTED_VALUE"""),46163.0)</f>
        <v>46163</v>
      </c>
      <c r="B339" s="15">
        <f>IFERROR(__xludf.DUMMYFUNCTION("""COMPUTED_VALUE"""),214.0)</f>
        <v>214</v>
      </c>
      <c r="C339" s="21">
        <f>IFERROR(__xludf.DUMMYFUNCTION("""COMPUTED_VALUE"""),1000000.0)</f>
        <v>1000000</v>
      </c>
      <c r="D339" s="22" t="str">
        <f>IFERROR(__xludf.DUMMYFUNCTION("""COMPUTED_VALUE"""),"VES")</f>
        <v>VES</v>
      </c>
      <c r="E339" s="22" t="str">
        <f>IFERROR(__xludf.DUMMYFUNCTION("""COMPUTED_VALUE"""),"Bancamiga")</f>
        <v>Bancamiga</v>
      </c>
      <c r="F339" s="22" t="str">
        <f>IFERROR(__xludf.DUMMYFUNCTION("""COMPUTED_VALUE"""),"CONSTRUCTORA GRANO AGREGADO, C.A")</f>
        <v>CONSTRUCTORA GRANO AGREGADO, C.A</v>
      </c>
      <c r="G339" s="19">
        <v>523.675</v>
      </c>
      <c r="H339" s="13"/>
      <c r="I339" s="14">
        <f t="shared" si="1"/>
        <v>1909.581324</v>
      </c>
      <c r="J339" s="15">
        <f t="shared" si="2"/>
        <v>0</v>
      </c>
      <c r="K339" s="14">
        <f t="shared" si="3"/>
        <v>1909.581324</v>
      </c>
      <c r="L339" s="16" t="str">
        <f>IFERROR(__xludf.DUMMYFUNCTION("IFERROR(
  IF(
    VLOOKUP(C339, IMPORTRANGE(""gid=860555792"", ""Maestro!B:C""), 2, FALSE) = D339, 
    ""CONCILIADO"", 
    ""ERROR EN MONTO""
  ), 
  ""NO ENCONTRADO EN MAESTRO""
)"),"NO ENCONTRADO EN MAESTRO")</f>
        <v>NO ENCONTRADO EN MAESTRO</v>
      </c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ht="22.5" customHeight="1">
      <c r="A340" s="25">
        <f>IFERROR(__xludf.DUMMYFUNCTION("""COMPUTED_VALUE"""),46163.0)</f>
        <v>46163</v>
      </c>
      <c r="B340" s="15">
        <f>IFERROR(__xludf.DUMMYFUNCTION("""COMPUTED_VALUE"""),214.0)</f>
        <v>214</v>
      </c>
      <c r="C340" s="21">
        <f>IFERROR(__xludf.DUMMYFUNCTION("""COMPUTED_VALUE"""),739911.72)</f>
        <v>739911.72</v>
      </c>
      <c r="D340" s="22" t="str">
        <f>IFERROR(__xludf.DUMMYFUNCTION("""COMPUTED_VALUE"""),"VES")</f>
        <v>VES</v>
      </c>
      <c r="E340" s="22" t="str">
        <f>IFERROR(__xludf.DUMMYFUNCTION("""COMPUTED_VALUE"""),"Bancamiga")</f>
        <v>Bancamiga</v>
      </c>
      <c r="F340" s="22" t="str">
        <f>IFERROR(__xludf.DUMMYFUNCTION("""COMPUTED_VALUE"""),"CONSTRUCTORA GRANO AGREGADO, C.A")</f>
        <v>CONSTRUCTORA GRANO AGREGADO, C.A</v>
      </c>
      <c r="G340" s="19">
        <v>523.675</v>
      </c>
      <c r="H340" s="13"/>
      <c r="I340" s="14">
        <f t="shared" si="1"/>
        <v>1412.921602</v>
      </c>
      <c r="J340" s="15">
        <f t="shared" si="2"/>
        <v>0</v>
      </c>
      <c r="K340" s="14">
        <f t="shared" si="3"/>
        <v>1412.921602</v>
      </c>
      <c r="L340" s="16" t="str">
        <f>IFERROR(__xludf.DUMMYFUNCTION("IFERROR(
  IF(
    VLOOKUP(C340, IMPORTRANGE(""gid=860555792"", ""Maestro!B:C""), 2, FALSE) = D340, 
    ""CONCILIADO"", 
    ""ERROR EN MONTO""
  ), 
  ""NO ENCONTRADO EN MAESTRO""
)"),"NO ENCONTRADO EN MAESTRO")</f>
        <v>NO ENCONTRADO EN MAESTRO</v>
      </c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ht="22.5" customHeight="1">
      <c r="A341" s="25">
        <f>IFERROR(__xludf.DUMMYFUNCTION("""COMPUTED_VALUE"""),46163.0)</f>
        <v>46163</v>
      </c>
      <c r="B341" s="15">
        <f>IFERROR(__xludf.DUMMYFUNCTION("""COMPUTED_VALUE"""),425.0)</f>
        <v>425</v>
      </c>
      <c r="C341" s="21">
        <f>IFERROR(__xludf.DUMMYFUNCTION("""COMPUTED_VALUE"""),191.0)</f>
        <v>191</v>
      </c>
      <c r="D341" s="22" t="str">
        <f>IFERROR(__xludf.DUMMYFUNCTION("""COMPUTED_VALUE"""),"USD")</f>
        <v>USD</v>
      </c>
      <c r="E341" s="22" t="str">
        <f>IFERROR(__xludf.DUMMYFUNCTION("""COMPUTED_VALUE"""),"Efectivo USD")</f>
        <v>Efectivo USD</v>
      </c>
      <c r="F341" s="22" t="str">
        <f>IFERROR(__xludf.DUMMYFUNCTION("""COMPUTED_VALUE"""),"Katiuska Alejandra Curvelo")</f>
        <v>Katiuska Alejandra Curvelo</v>
      </c>
      <c r="G341" s="19">
        <v>523.675</v>
      </c>
      <c r="H341" s="13"/>
      <c r="I341" s="14">
        <f t="shared" si="1"/>
        <v>191</v>
      </c>
      <c r="J341" s="15">
        <f t="shared" si="2"/>
        <v>191</v>
      </c>
      <c r="K341" s="14">
        <f t="shared" si="3"/>
        <v>191</v>
      </c>
      <c r="L341" s="16" t="str">
        <f>IFERROR(__xludf.DUMMYFUNCTION("IFERROR(
  IF(
    VLOOKUP(C341, IMPORTRANGE(""gid=860555792"", ""Maestro!B:C""), 2, FALSE) = D341, 
    ""CONCILIADO"", 
    ""ERROR EN MONTO""
  ), 
  ""NO ENCONTRADO EN MAESTRO""
)"),"NO ENCONTRADO EN MAESTRO")</f>
        <v>NO ENCONTRADO EN MAESTRO</v>
      </c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ht="22.5" customHeight="1">
      <c r="A342" s="25">
        <f>IFERROR(__xludf.DUMMYFUNCTION("""COMPUTED_VALUE"""),46163.0)</f>
        <v>46163</v>
      </c>
      <c r="B342" s="15">
        <f>IFERROR(__xludf.DUMMYFUNCTION("""COMPUTED_VALUE"""),231.0)</f>
        <v>231</v>
      </c>
      <c r="C342" s="21">
        <f>IFERROR(__xludf.DUMMYFUNCTION("""COMPUTED_VALUE"""),200.0)</f>
        <v>200</v>
      </c>
      <c r="D342" s="22" t="str">
        <f>IFERROR(__xludf.DUMMYFUNCTION("""COMPUTED_VALUE"""),"USD")</f>
        <v>USD</v>
      </c>
      <c r="E342" s="22" t="str">
        <f>IFERROR(__xludf.DUMMYFUNCTION("""COMPUTED_VALUE"""),"Efectivo USD")</f>
        <v>Efectivo USD</v>
      </c>
      <c r="F342" s="22" t="str">
        <f>IFERROR(__xludf.DUMMYFUNCTION("""COMPUTED_VALUE"""),"Constructora  Campo Urbano,c.a.")</f>
        <v>Constructora  Campo Urbano,c.a.</v>
      </c>
      <c r="G342" s="19">
        <v>523.675</v>
      </c>
      <c r="H342" s="13"/>
      <c r="I342" s="14">
        <f t="shared" si="1"/>
        <v>200</v>
      </c>
      <c r="J342" s="15">
        <f t="shared" si="2"/>
        <v>200</v>
      </c>
      <c r="K342" s="14">
        <f t="shared" si="3"/>
        <v>200</v>
      </c>
      <c r="L342" s="16" t="str">
        <f>IFERROR(__xludf.DUMMYFUNCTION("IFERROR(
  IF(
    VLOOKUP(C342, IMPORTRANGE(""gid=860555792"", ""Maestro!B:C""), 2, FALSE) = D342, 
    ""CONCILIADO"", 
    ""ERROR EN MONTO""
  ), 
  ""NO ENCONTRADO EN MAESTRO""
)"),"NO ENCONTRADO EN MAESTRO")</f>
        <v>NO ENCONTRADO EN MAESTRO</v>
      </c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ht="22.5" customHeight="1">
      <c r="A343" s="25">
        <f>IFERROR(__xludf.DUMMYFUNCTION("""COMPUTED_VALUE"""),46163.0)</f>
        <v>46163</v>
      </c>
      <c r="B343" s="15">
        <f>IFERROR(__xludf.DUMMYFUNCTION("""COMPUTED_VALUE"""),69.0)</f>
        <v>69</v>
      </c>
      <c r="C343" s="21">
        <f>IFERROR(__xludf.DUMMYFUNCTION("""COMPUTED_VALUE"""),4.0)</f>
        <v>4</v>
      </c>
      <c r="D343" s="22" t="str">
        <f>IFERROR(__xludf.DUMMYFUNCTION("""COMPUTED_VALUE"""),"USD")</f>
        <v>USD</v>
      </c>
      <c r="E343" s="22" t="str">
        <f>IFERROR(__xludf.DUMMYFUNCTION("""COMPUTED_VALUE"""),"Efectivo USD")</f>
        <v>Efectivo USD</v>
      </c>
      <c r="F343" s="22" t="str">
        <f>IFERROR(__xludf.DUMMYFUNCTION("""COMPUTED_VALUE"""),"Katiuska Alejandra Curvelo")</f>
        <v>Katiuska Alejandra Curvelo</v>
      </c>
      <c r="G343" s="19">
        <v>523.675</v>
      </c>
      <c r="H343" s="13"/>
      <c r="I343" s="14">
        <f t="shared" si="1"/>
        <v>4</v>
      </c>
      <c r="J343" s="15">
        <f t="shared" si="2"/>
        <v>4</v>
      </c>
      <c r="K343" s="14">
        <f t="shared" si="3"/>
        <v>4</v>
      </c>
      <c r="L343" s="16" t="str">
        <f>IFERROR(__xludf.DUMMYFUNCTION("IFERROR(
  IF(
    VLOOKUP(C343, IMPORTRANGE(""gid=860555792"", ""Maestro!B:C""), 2, FALSE) = D343, 
    ""CONCILIADO"", 
    ""ERROR EN MONTO""
  ), 
  ""NO ENCONTRADO EN MAESTRO""
)"),"NO ENCONTRADO EN MAESTRO")</f>
        <v>NO ENCONTRADO EN MAESTRO</v>
      </c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ht="22.5" customHeight="1">
      <c r="A344" s="25">
        <f>IFERROR(__xludf.DUMMYFUNCTION("""COMPUTED_VALUE"""),46163.0)</f>
        <v>46163</v>
      </c>
      <c r="B344" s="15">
        <f>IFERROR(__xludf.DUMMYFUNCTION("""COMPUTED_VALUE"""),123.0)</f>
        <v>123</v>
      </c>
      <c r="C344" s="21">
        <f>IFERROR(__xludf.DUMMYFUNCTION("""COMPUTED_VALUE"""),36.0)</f>
        <v>36</v>
      </c>
      <c r="D344" s="22" t="str">
        <f>IFERROR(__xludf.DUMMYFUNCTION("""COMPUTED_VALUE"""),"USD")</f>
        <v>USD</v>
      </c>
      <c r="E344" s="22" t="str">
        <f>IFERROR(__xludf.DUMMYFUNCTION("""COMPUTED_VALUE"""),"Efectivo USD")</f>
        <v>Efectivo USD</v>
      </c>
      <c r="F344" s="22" t="str">
        <f>IFERROR(__xludf.DUMMYFUNCTION("""COMPUTED_VALUE"""),"Ramon Alvarez Mota")</f>
        <v>Ramon Alvarez Mota</v>
      </c>
      <c r="G344" s="19">
        <v>523.675</v>
      </c>
      <c r="H344" s="13"/>
      <c r="I344" s="14">
        <f t="shared" si="1"/>
        <v>36</v>
      </c>
      <c r="J344" s="15">
        <f t="shared" si="2"/>
        <v>36</v>
      </c>
      <c r="K344" s="14">
        <f t="shared" si="3"/>
        <v>36</v>
      </c>
      <c r="L344" s="16" t="str">
        <f>IFERROR(__xludf.DUMMYFUNCTION("IFERROR(
  IF(
    VLOOKUP(C344, IMPORTRANGE(""gid=860555792"", ""Maestro!B:C""), 2, FALSE) = D344, 
    ""CONCILIADO"", 
    ""ERROR EN MONTO""
  ), 
  ""NO ENCONTRADO EN MAESTRO""
)"),"NO ENCONTRADO EN MAESTRO")</f>
        <v>NO ENCONTRADO EN MAESTRO</v>
      </c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ht="22.5" customHeight="1">
      <c r="A345" s="25">
        <f>IFERROR(__xludf.DUMMYFUNCTION("""COMPUTED_VALUE"""),46163.0)</f>
        <v>46163</v>
      </c>
      <c r="B345" s="15">
        <f>IFERROR(__xludf.DUMMYFUNCTION("""COMPUTED_VALUE"""),324.0)</f>
        <v>324</v>
      </c>
      <c r="C345" s="21">
        <f>IFERROR(__xludf.DUMMYFUNCTION("""COMPUTED_VALUE"""),4.0)</f>
        <v>4</v>
      </c>
      <c r="D345" s="22" t="str">
        <f>IFERROR(__xludf.DUMMYFUNCTION("""COMPUTED_VALUE"""),"USD")</f>
        <v>USD</v>
      </c>
      <c r="E345" s="22" t="str">
        <f>IFERROR(__xludf.DUMMYFUNCTION("""COMPUTED_VALUE"""),"Efectivo USD")</f>
        <v>Efectivo USD</v>
      </c>
      <c r="F345" s="22" t="str">
        <f>IFERROR(__xludf.DUMMYFUNCTION("""COMPUTED_VALUE"""),"Nemer Bourji")</f>
        <v>Nemer Bourji</v>
      </c>
      <c r="G345" s="19">
        <v>523.675</v>
      </c>
      <c r="H345" s="13"/>
      <c r="I345" s="14">
        <f t="shared" si="1"/>
        <v>4</v>
      </c>
      <c r="J345" s="15">
        <f t="shared" si="2"/>
        <v>4</v>
      </c>
      <c r="K345" s="14">
        <f t="shared" si="3"/>
        <v>4</v>
      </c>
      <c r="L345" s="16" t="str">
        <f>IFERROR(__xludf.DUMMYFUNCTION("IFERROR(
  IF(
    VLOOKUP(C345, IMPORTRANGE(""gid=860555792"", ""Maestro!B:C""), 2, FALSE) = D345, 
    ""CONCILIADO"", 
    ""ERROR EN MONTO""
  ), 
  ""NO ENCONTRADO EN MAESTRO""
)"),"NO ENCONTRADO EN MAESTRO")</f>
        <v>NO ENCONTRADO EN MAESTRO</v>
      </c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ht="22.5" customHeight="1">
      <c r="A346" s="25">
        <f>IFERROR(__xludf.DUMMYFUNCTION("""COMPUTED_VALUE"""),46163.0)</f>
        <v>46163</v>
      </c>
      <c r="B346" s="15">
        <f>IFERROR(__xludf.DUMMYFUNCTION("""COMPUTED_VALUE"""),264.0)</f>
        <v>264</v>
      </c>
      <c r="C346" s="21">
        <f>IFERROR(__xludf.DUMMYFUNCTION("""COMPUTED_VALUE"""),71.0)</f>
        <v>71</v>
      </c>
      <c r="D346" s="22" t="str">
        <f>IFERROR(__xludf.DUMMYFUNCTION("""COMPUTED_VALUE"""),"USD")</f>
        <v>USD</v>
      </c>
      <c r="E346" s="22" t="str">
        <f>IFERROR(__xludf.DUMMYFUNCTION("""COMPUTED_VALUE"""),"Efectivo USD")</f>
        <v>Efectivo USD</v>
      </c>
      <c r="F346" s="22" t="str">
        <f>IFERROR(__xludf.DUMMYFUNCTION("""COMPUTED_VALUE"""),"Inversiones Los compadres 7686, c.a.")</f>
        <v>Inversiones Los compadres 7686, c.a.</v>
      </c>
      <c r="G346" s="19">
        <v>523.675</v>
      </c>
      <c r="H346" s="13"/>
      <c r="I346" s="14">
        <f t="shared" si="1"/>
        <v>71</v>
      </c>
      <c r="J346" s="15">
        <f t="shared" si="2"/>
        <v>71</v>
      </c>
      <c r="K346" s="14">
        <f t="shared" si="3"/>
        <v>71</v>
      </c>
      <c r="L346" s="16" t="str">
        <f>IFERROR(__xludf.DUMMYFUNCTION("IFERROR(
  IF(
    VLOOKUP(C346, IMPORTRANGE(""gid=860555792"", ""Maestro!B:C""), 2, FALSE) = D346, 
    ""CONCILIADO"", 
    ""ERROR EN MONTO""
  ), 
  ""NO ENCONTRADO EN MAESTRO""
)"),"NO ENCONTRADO EN MAESTRO")</f>
        <v>NO ENCONTRADO EN MAESTRO</v>
      </c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ht="22.5" customHeight="1">
      <c r="A347" s="25">
        <f>IFERROR(__xludf.DUMMYFUNCTION("""COMPUTED_VALUE"""),46163.0)</f>
        <v>46163</v>
      </c>
      <c r="B347" s="15">
        <f>IFERROR(__xludf.DUMMYFUNCTION("""COMPUTED_VALUE"""),419.0)</f>
        <v>419</v>
      </c>
      <c r="C347" s="21">
        <f>IFERROR(__xludf.DUMMYFUNCTION("""COMPUTED_VALUE"""),213.0)</f>
        <v>213</v>
      </c>
      <c r="D347" s="22" t="str">
        <f>IFERROR(__xludf.DUMMYFUNCTION("""COMPUTED_VALUE"""),"USD")</f>
        <v>USD</v>
      </c>
      <c r="E347" s="22" t="str">
        <f>IFERROR(__xludf.DUMMYFUNCTION("""COMPUTED_VALUE"""),"Efectivo USD")</f>
        <v>Efectivo USD</v>
      </c>
      <c r="F347" s="22" t="str">
        <f>IFERROR(__xludf.DUMMYFUNCTION("""COMPUTED_VALUE"""),"EMPRENDIMIENTO IRMA RODRIGUEZ 6")</f>
        <v>EMPRENDIMIENTO IRMA RODRIGUEZ 6</v>
      </c>
      <c r="G347" s="19">
        <v>526.8694</v>
      </c>
      <c r="H347" s="13"/>
      <c r="I347" s="14">
        <f t="shared" si="1"/>
        <v>213</v>
      </c>
      <c r="J347" s="15">
        <f t="shared" si="2"/>
        <v>213</v>
      </c>
      <c r="K347" s="14">
        <f t="shared" si="3"/>
        <v>213</v>
      </c>
      <c r="L347" s="16" t="str">
        <f>IFERROR(__xludf.DUMMYFUNCTION("IFERROR(
  IF(
    VLOOKUP(C347, IMPORTRANGE(""gid=860555792"", ""Maestro!B:C""), 2, FALSE) = D347, 
    ""CONCILIADO"", 
    ""ERROR EN MONTO""
  ), 
  ""NO ENCONTRADO EN MAESTRO""
)"),"NO ENCONTRADO EN MAESTRO")</f>
        <v>NO ENCONTRADO EN MAESTRO</v>
      </c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ht="22.5" customHeight="1">
      <c r="A348" s="25">
        <f>IFERROR(__xludf.DUMMYFUNCTION("""COMPUTED_VALUE"""),46163.0)</f>
        <v>46163</v>
      </c>
      <c r="B348" s="15">
        <f>IFERROR(__xludf.DUMMYFUNCTION("""COMPUTED_VALUE"""),228.0)</f>
        <v>228</v>
      </c>
      <c r="C348" s="21">
        <f>IFERROR(__xludf.DUMMYFUNCTION("""COMPUTED_VALUE"""),154901.58)</f>
        <v>154901.58</v>
      </c>
      <c r="D348" s="22" t="str">
        <f>IFERROR(__xludf.DUMMYFUNCTION("""COMPUTED_VALUE"""),"VES")</f>
        <v>VES</v>
      </c>
      <c r="E348" s="22" t="str">
        <f>IFERROR(__xludf.DUMMYFUNCTION("""COMPUTED_VALUE"""),"Bancamiga")</f>
        <v>Bancamiga</v>
      </c>
      <c r="F348" s="22" t="str">
        <f>IFERROR(__xludf.DUMMYFUNCTION("""COMPUTED_VALUE"""),"CAUCHOS Y ACCESORIOS LA CAMPIÑA, C.A.")</f>
        <v>CAUCHOS Y ACCESORIOS LA CAMPIÑA, C.A.</v>
      </c>
      <c r="G348" s="19">
        <v>526.8694</v>
      </c>
      <c r="H348" s="13"/>
      <c r="I348" s="14">
        <f t="shared" si="1"/>
        <v>294.0037512</v>
      </c>
      <c r="J348" s="15">
        <f t="shared" si="2"/>
        <v>0</v>
      </c>
      <c r="K348" s="14">
        <f t="shared" si="3"/>
        <v>294.0037512</v>
      </c>
      <c r="L348" s="16" t="str">
        <f>IFERROR(__xludf.DUMMYFUNCTION("IFERROR(
  IF(
    VLOOKUP(C348, IMPORTRANGE(""gid=860555792"", ""Maestro!B:C""), 2, FALSE) = D348, 
    ""CONCILIADO"", 
    ""ERROR EN MONTO""
  ), 
  ""NO ENCONTRADO EN MAESTRO""
)"),"NO ENCONTRADO EN MAESTRO")</f>
        <v>NO ENCONTRADO EN MAESTRO</v>
      </c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ht="22.5" customHeight="1">
      <c r="A349" s="25">
        <f>IFERROR(__xludf.DUMMYFUNCTION("""COMPUTED_VALUE"""),46163.0)</f>
        <v>46163</v>
      </c>
      <c r="B349" s="15">
        <f>IFERROR(__xludf.DUMMYFUNCTION("""COMPUTED_VALUE"""),120.0)</f>
        <v>120</v>
      </c>
      <c r="C349" s="21">
        <f>IFERROR(__xludf.DUMMYFUNCTION("""COMPUTED_VALUE"""),26183.5)</f>
        <v>26183.5</v>
      </c>
      <c r="D349" s="22" t="str">
        <f>IFERROR(__xludf.DUMMYFUNCTION("""COMPUTED_VALUE"""),"VES")</f>
        <v>VES</v>
      </c>
      <c r="E349" s="22" t="str">
        <f>IFERROR(__xludf.DUMMYFUNCTION("""COMPUTED_VALUE"""),"Bancamiga")</f>
        <v>Bancamiga</v>
      </c>
      <c r="F349" s="22" t="str">
        <f>IFERROR(__xludf.DUMMYFUNCTION("""COMPUTED_VALUE"""),"MARTIN RAMON DIAZ BOLIVAR")</f>
        <v>MARTIN RAMON DIAZ BOLIVAR</v>
      </c>
      <c r="G349" s="19">
        <v>523.675</v>
      </c>
      <c r="H349" s="13"/>
      <c r="I349" s="14">
        <f t="shared" si="1"/>
        <v>49.9995226</v>
      </c>
      <c r="J349" s="15">
        <f t="shared" si="2"/>
        <v>0</v>
      </c>
      <c r="K349" s="14">
        <f t="shared" si="3"/>
        <v>49.9995226</v>
      </c>
      <c r="L349" s="16" t="str">
        <f>IFERROR(__xludf.DUMMYFUNCTION("IFERROR(
  IF(
    VLOOKUP(C349, IMPORTRANGE(""gid=860555792"", ""Maestro!B:C""), 2, FALSE) = D349, 
    ""CONCILIADO"", 
    ""ERROR EN MONTO""
  ), 
  ""NO ENCONTRADO EN MAESTRO""
)"),"NO ENCONTRADO EN MAESTRO")</f>
        <v>NO ENCONTRADO EN MAESTRO</v>
      </c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ht="22.5" customHeight="1">
      <c r="A350" s="25">
        <f>IFERROR(__xludf.DUMMYFUNCTION("""COMPUTED_VALUE"""),46163.0)</f>
        <v>46163</v>
      </c>
      <c r="B350" s="15">
        <f>IFERROR(__xludf.DUMMYFUNCTION("""COMPUTED_VALUE"""),287.0)</f>
        <v>287</v>
      </c>
      <c r="C350" s="21">
        <f>IFERROR(__xludf.DUMMYFUNCTION("""COMPUTED_VALUE"""),50.0)</f>
        <v>50</v>
      </c>
      <c r="D350" s="22" t="str">
        <f>IFERROR(__xludf.DUMMYFUNCTION("""COMPUTED_VALUE"""),"USD")</f>
        <v>USD</v>
      </c>
      <c r="E350" s="22" t="str">
        <f>IFERROR(__xludf.DUMMYFUNCTION("""COMPUTED_VALUE"""),"Efectivo USD")</f>
        <v>Efectivo USD</v>
      </c>
      <c r="F350" s="22" t="str">
        <f>IFERROR(__xludf.DUMMYFUNCTION("""COMPUTED_VALUE"""),"Javier gregorio Espinoza")</f>
        <v>Javier gregorio Espinoza</v>
      </c>
      <c r="G350" s="19">
        <v>526.8694</v>
      </c>
      <c r="H350" s="13"/>
      <c r="I350" s="14">
        <f t="shared" si="1"/>
        <v>50</v>
      </c>
      <c r="J350" s="15">
        <f t="shared" si="2"/>
        <v>50</v>
      </c>
      <c r="K350" s="14">
        <f t="shared" si="3"/>
        <v>50</v>
      </c>
      <c r="L350" s="16" t="str">
        <f>IFERROR(__xludf.DUMMYFUNCTION("IFERROR(
  IF(
    VLOOKUP(C350, IMPORTRANGE(""gid=860555792"", ""Maestro!B:C""), 2, FALSE) = D350, 
    ""CONCILIADO"", 
    ""ERROR EN MONTO""
  ), 
  ""NO ENCONTRADO EN MAESTRO""
)"),"NO ENCONTRADO EN MAESTRO")</f>
        <v>NO ENCONTRADO EN MAESTRO</v>
      </c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ht="22.5" customHeight="1">
      <c r="A351" s="25">
        <f>IFERROR(__xludf.DUMMYFUNCTION("""COMPUTED_VALUE"""),46163.0)</f>
        <v>46163</v>
      </c>
      <c r="B351" s="15">
        <f>IFERROR(__xludf.DUMMYFUNCTION("""COMPUTED_VALUE"""),218.0)</f>
        <v>218</v>
      </c>
      <c r="C351" s="21">
        <f>IFERROR(__xludf.DUMMYFUNCTION("""COMPUTED_VALUE"""),60.0)</f>
        <v>60</v>
      </c>
      <c r="D351" s="22" t="str">
        <f>IFERROR(__xludf.DUMMYFUNCTION("""COMPUTED_VALUE"""),"USD")</f>
        <v>USD</v>
      </c>
      <c r="E351" s="22" t="str">
        <f>IFERROR(__xludf.DUMMYFUNCTION("""COMPUTED_VALUE"""),"Efectivo USD")</f>
        <v>Efectivo USD</v>
      </c>
      <c r="F351" s="22" t="str">
        <f>IFERROR(__xludf.DUMMYFUNCTION("""COMPUTED_VALUE"""),"Cooperativa Dios mi Amparo, R.L.")</f>
        <v>Cooperativa Dios mi Amparo, R.L.</v>
      </c>
      <c r="G351" s="19">
        <v>526.8694</v>
      </c>
      <c r="H351" s="13"/>
      <c r="I351" s="14">
        <f t="shared" si="1"/>
        <v>60</v>
      </c>
      <c r="J351" s="15">
        <f t="shared" si="2"/>
        <v>60</v>
      </c>
      <c r="K351" s="14">
        <f t="shared" si="3"/>
        <v>60</v>
      </c>
      <c r="L351" s="16" t="str">
        <f>IFERROR(__xludf.DUMMYFUNCTION("IFERROR(
  IF(
    VLOOKUP(C351, IMPORTRANGE(""gid=860555792"", ""Maestro!B:C""), 2, FALSE) = D351, 
    ""CONCILIADO"", 
    ""ERROR EN MONTO""
  ), 
  ""NO ENCONTRADO EN MAESTRO""
)"),"NO ENCONTRADO EN MAESTRO")</f>
        <v>NO ENCONTRADO EN MAESTRO</v>
      </c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ht="22.5" customHeight="1">
      <c r="A352" s="25">
        <f>IFERROR(__xludf.DUMMYFUNCTION("""COMPUTED_VALUE"""),46163.0)</f>
        <v>46163</v>
      </c>
      <c r="B352" s="15">
        <f>IFERROR(__xludf.DUMMYFUNCTION("""COMPUTED_VALUE"""),158.0)</f>
        <v>158</v>
      </c>
      <c r="C352" s="21">
        <f>IFERROR(__xludf.DUMMYFUNCTION("""COMPUTED_VALUE"""),110.0)</f>
        <v>110</v>
      </c>
      <c r="D352" s="22" t="str">
        <f>IFERROR(__xludf.DUMMYFUNCTION("""COMPUTED_VALUE"""),"USD")</f>
        <v>USD</v>
      </c>
      <c r="E352" s="22" t="str">
        <f>IFERROR(__xludf.DUMMYFUNCTION("""COMPUTED_VALUE"""),"Zelle")</f>
        <v>Zelle</v>
      </c>
      <c r="F352" s="22" t="str">
        <f>IFERROR(__xludf.DUMMYFUNCTION("""COMPUTED_VALUE"""),"Dimas Ortíz")</f>
        <v>Dimas Ortíz</v>
      </c>
      <c r="G352" s="19">
        <v>526.8694</v>
      </c>
      <c r="H352" s="13"/>
      <c r="I352" s="14">
        <f t="shared" si="1"/>
        <v>110</v>
      </c>
      <c r="J352" s="15">
        <f t="shared" si="2"/>
        <v>110</v>
      </c>
      <c r="K352" s="14">
        <f t="shared" si="3"/>
        <v>110</v>
      </c>
      <c r="L352" s="16" t="str">
        <f>IFERROR(__xludf.DUMMYFUNCTION("IFERROR(
  IF(
    VLOOKUP(C352, IMPORTRANGE(""gid=860555792"", ""Maestro!B:C""), 2, FALSE) = D352, 
    ""CONCILIADO"", 
    ""ERROR EN MONTO""
  ), 
  ""NO ENCONTRADO EN MAESTRO""
)"),"NO ENCONTRADO EN MAESTRO")</f>
        <v>NO ENCONTRADO EN MAESTRO</v>
      </c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ht="22.5" customHeight="1">
      <c r="A353" s="25">
        <f>IFERROR(__xludf.DUMMYFUNCTION("""COMPUTED_VALUE"""),46164.0)</f>
        <v>46164</v>
      </c>
      <c r="B353" s="15">
        <f>IFERROR(__xludf.DUMMYFUNCTION("""COMPUTED_VALUE"""),274.0)</f>
        <v>274</v>
      </c>
      <c r="C353" s="21">
        <f>IFERROR(__xludf.DUMMYFUNCTION("""COMPUTED_VALUE"""),100.0)</f>
        <v>100</v>
      </c>
      <c r="D353" s="22" t="str">
        <f>IFERROR(__xludf.DUMMYFUNCTION("""COMPUTED_VALUE"""),"USD")</f>
        <v>USD</v>
      </c>
      <c r="E353" s="22" t="str">
        <f>IFERROR(__xludf.DUMMYFUNCTION("""COMPUTED_VALUE"""),"Efectivo USD")</f>
        <v>Efectivo USD</v>
      </c>
      <c r="F353" s="22" t="str">
        <f>IFERROR(__xludf.DUMMYFUNCTION("""COMPUTED_VALUE"""),"ADS SERVICE C.A")</f>
        <v>ADS SERVICE C.A</v>
      </c>
      <c r="G353" s="19">
        <v>526.8694</v>
      </c>
      <c r="H353" s="13"/>
      <c r="I353" s="14">
        <f t="shared" si="1"/>
        <v>100</v>
      </c>
      <c r="J353" s="15">
        <f t="shared" si="2"/>
        <v>100</v>
      </c>
      <c r="K353" s="14">
        <f t="shared" si="3"/>
        <v>100</v>
      </c>
      <c r="L353" s="16" t="str">
        <f>IFERROR(__xludf.DUMMYFUNCTION("IFERROR(
  IF(
    VLOOKUP(C353, IMPORTRANGE(""gid=860555792"", ""Maestro!B:C""), 2, FALSE) = D353, 
    ""CONCILIADO"", 
    ""ERROR EN MONTO""
  ), 
  ""NO ENCONTRADO EN MAESTRO""
)"),"NO ENCONTRADO EN MAESTRO")</f>
        <v>NO ENCONTRADO EN MAESTRO</v>
      </c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ht="22.5" customHeight="1">
      <c r="A354" s="25">
        <f>IFERROR(__xludf.DUMMYFUNCTION("""COMPUTED_VALUE"""),46164.0)</f>
        <v>46164</v>
      </c>
      <c r="B354" s="15">
        <f>IFERROR(__xludf.DUMMYFUNCTION("""COMPUTED_VALUE"""),44.0)</f>
        <v>44</v>
      </c>
      <c r="C354" s="21">
        <f>IFERROR(__xludf.DUMMYFUNCTION("""COMPUTED_VALUE"""),150.0)</f>
        <v>150</v>
      </c>
      <c r="D354" s="22" t="str">
        <f>IFERROR(__xludf.DUMMYFUNCTION("""COMPUTED_VALUE"""),"USD")</f>
        <v>USD</v>
      </c>
      <c r="E354" s="22" t="str">
        <f>IFERROR(__xludf.DUMMYFUNCTION("""COMPUTED_VALUE"""),"Efectivo USD")</f>
        <v>Efectivo USD</v>
      </c>
      <c r="F354" s="22" t="str">
        <f>IFERROR(__xludf.DUMMYFUNCTION("""COMPUTED_VALUE"""),"Comercializadora Garabote")</f>
        <v>Comercializadora Garabote</v>
      </c>
      <c r="G354" s="19">
        <v>526.8694</v>
      </c>
      <c r="H354" s="13"/>
      <c r="I354" s="14">
        <f t="shared" si="1"/>
        <v>150</v>
      </c>
      <c r="J354" s="15">
        <f t="shared" si="2"/>
        <v>150</v>
      </c>
      <c r="K354" s="14">
        <f t="shared" si="3"/>
        <v>150</v>
      </c>
      <c r="L354" s="16" t="str">
        <f>IFERROR(__xludf.DUMMYFUNCTION("IFERROR(
  IF(
    VLOOKUP(C354, IMPORTRANGE(""gid=860555792"", ""Maestro!B:C""), 2, FALSE) = D354, 
    ""CONCILIADO"", 
    ""ERROR EN MONTO""
  ), 
  ""NO ENCONTRADO EN MAESTRO""
)"),"NO ENCONTRADO EN MAESTRO")</f>
        <v>NO ENCONTRADO EN MAESTRO</v>
      </c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ht="22.5" customHeight="1">
      <c r="A355" s="25">
        <f>IFERROR(__xludf.DUMMYFUNCTION("""COMPUTED_VALUE"""),46164.0)</f>
        <v>46164</v>
      </c>
      <c r="B355" s="15">
        <f>IFERROR(__xludf.DUMMYFUNCTION("""COMPUTED_VALUE"""),54.0)</f>
        <v>54</v>
      </c>
      <c r="C355" s="21">
        <f>IFERROR(__xludf.DUMMYFUNCTION("""COMPUTED_VALUE"""),20.0)</f>
        <v>20</v>
      </c>
      <c r="D355" s="22" t="str">
        <f>IFERROR(__xludf.DUMMYFUNCTION("""COMPUTED_VALUE"""),"USD")</f>
        <v>USD</v>
      </c>
      <c r="E355" s="22" t="str">
        <f>IFERROR(__xludf.DUMMYFUNCTION("""COMPUTED_VALUE"""),"Efectivo USD")</f>
        <v>Efectivo USD</v>
      </c>
      <c r="F355" s="22" t="str">
        <f>IFERROR(__xludf.DUMMYFUNCTION("""COMPUTED_VALUE"""),"Moises Alejandro Mares")</f>
        <v>Moises Alejandro Mares</v>
      </c>
      <c r="G355" s="19">
        <v>530.5047</v>
      </c>
      <c r="H355" s="13"/>
      <c r="I355" s="14">
        <f t="shared" si="1"/>
        <v>20</v>
      </c>
      <c r="J355" s="15">
        <f t="shared" si="2"/>
        <v>20</v>
      </c>
      <c r="K355" s="14">
        <f t="shared" si="3"/>
        <v>20</v>
      </c>
      <c r="L355" s="16" t="str">
        <f>IFERROR(__xludf.DUMMYFUNCTION("IFERROR(
  IF(
    VLOOKUP(C355, IMPORTRANGE(""gid=860555792"", ""Maestro!B:C""), 2, FALSE) = D355, 
    ""CONCILIADO"", 
    ""ERROR EN MONTO""
  ), 
  ""NO ENCONTRADO EN MAESTRO""
)"),"NO ENCONTRADO EN MAESTRO")</f>
        <v>NO ENCONTRADO EN MAESTRO</v>
      </c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ht="22.5" customHeight="1">
      <c r="A356" s="25">
        <f>IFERROR(__xludf.DUMMYFUNCTION("""COMPUTED_VALUE"""),46164.0)</f>
        <v>46164</v>
      </c>
      <c r="B356" s="15">
        <f>IFERROR(__xludf.DUMMYFUNCTION("""COMPUTED_VALUE"""),54.0)</f>
        <v>54</v>
      </c>
      <c r="C356" s="21">
        <f>IFERROR(__xludf.DUMMYFUNCTION("""COMPUTED_VALUE"""),30519.0)</f>
        <v>30519</v>
      </c>
      <c r="D356" s="22" t="str">
        <f>IFERROR(__xludf.DUMMYFUNCTION("""COMPUTED_VALUE"""),"VES")</f>
        <v>VES</v>
      </c>
      <c r="E356" s="22" t="str">
        <f>IFERROR(__xludf.DUMMYFUNCTION("""COMPUTED_VALUE"""),"Bancamiga")</f>
        <v>Bancamiga</v>
      </c>
      <c r="F356" s="22" t="str">
        <f>IFERROR(__xludf.DUMMYFUNCTION("""COMPUTED_VALUE"""),"Corporación Lubricantes 7ma Av.C.A")</f>
        <v>Corporación Lubricantes 7ma Av.C.A</v>
      </c>
      <c r="G356" s="19">
        <v>530.5047</v>
      </c>
      <c r="H356" s="13"/>
      <c r="I356" s="14">
        <f t="shared" si="1"/>
        <v>57.52823679</v>
      </c>
      <c r="J356" s="15">
        <f t="shared" si="2"/>
        <v>0</v>
      </c>
      <c r="K356" s="14">
        <f t="shared" si="3"/>
        <v>57.52823679</v>
      </c>
      <c r="L356" s="16" t="str">
        <f>IFERROR(__xludf.DUMMYFUNCTION("IFERROR(
  IF(
    VLOOKUP(C356, IMPORTRANGE(""gid=860555792"", ""Maestro!B:C""), 2, FALSE) = D356, 
    ""CONCILIADO"", 
    ""ERROR EN MONTO""
  ), 
  ""NO ENCONTRADO EN MAESTRO""
)"),"NO ENCONTRADO EN MAESTRO")</f>
        <v>NO ENCONTRADO EN MAESTRO</v>
      </c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ht="22.5" customHeight="1">
      <c r="A357" s="25">
        <f>IFERROR(__xludf.DUMMYFUNCTION("""COMPUTED_VALUE"""),46164.0)</f>
        <v>46164</v>
      </c>
      <c r="B357" s="15">
        <f>IFERROR(__xludf.DUMMYFUNCTION("""COMPUTED_VALUE"""),143.0)</f>
        <v>143</v>
      </c>
      <c r="C357" s="21">
        <f>IFERROR(__xludf.DUMMYFUNCTION("""COMPUTED_VALUE"""),52.0)</f>
        <v>52</v>
      </c>
      <c r="D357" s="22" t="str">
        <f>IFERROR(__xludf.DUMMYFUNCTION("""COMPUTED_VALUE"""),"USD")</f>
        <v>USD</v>
      </c>
      <c r="E357" s="22" t="str">
        <f>IFERROR(__xludf.DUMMYFUNCTION("""COMPUTED_VALUE"""),"Efectivo USD")</f>
        <v>Efectivo USD</v>
      </c>
      <c r="F357" s="22" t="str">
        <f>IFERROR(__xludf.DUMMYFUNCTION("""COMPUTED_VALUE"""),"MOTOREPUESTOS EL GUANÁBANO YRM C.A.")</f>
        <v>MOTOREPUESTOS EL GUANÁBANO YRM C.A.</v>
      </c>
      <c r="G357" s="19">
        <v>530.5047</v>
      </c>
      <c r="H357" s="13"/>
      <c r="I357" s="14">
        <f t="shared" si="1"/>
        <v>52</v>
      </c>
      <c r="J357" s="15">
        <f t="shared" si="2"/>
        <v>52</v>
      </c>
      <c r="K357" s="14">
        <f t="shared" si="3"/>
        <v>52</v>
      </c>
      <c r="L357" s="16" t="str">
        <f>IFERROR(__xludf.DUMMYFUNCTION("IFERROR(
  IF(
    VLOOKUP(C357, IMPORTRANGE(""gid=860555792"", ""Maestro!B:C""), 2, FALSE) = D357, 
    ""CONCILIADO"", 
    ""ERROR EN MONTO""
  ), 
  ""NO ENCONTRADO EN MAESTRO""
)"),"NO ENCONTRADO EN MAESTRO")</f>
        <v>NO ENCONTRADO EN MAESTRO</v>
      </c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ht="22.5" customHeight="1">
      <c r="A358" s="25">
        <f>IFERROR(__xludf.DUMMYFUNCTION("""COMPUTED_VALUE"""),46164.0)</f>
        <v>46164</v>
      </c>
      <c r="B358" s="15">
        <f>IFERROR(__xludf.DUMMYFUNCTION("""COMPUTED_VALUE"""),301.0)</f>
        <v>301</v>
      </c>
      <c r="C358" s="21">
        <f>IFERROR(__xludf.DUMMYFUNCTION("""COMPUTED_VALUE"""),51.0)</f>
        <v>51</v>
      </c>
      <c r="D358" s="22" t="str">
        <f>IFERROR(__xludf.DUMMYFUNCTION("""COMPUTED_VALUE"""),"USD")</f>
        <v>USD</v>
      </c>
      <c r="E358" s="22" t="str">
        <f>IFERROR(__xludf.DUMMYFUNCTION("""COMPUTED_VALUE"""),"Efectivo USD")</f>
        <v>Efectivo USD</v>
      </c>
      <c r="F358" s="22" t="str">
        <f>IFERROR(__xludf.DUMMYFUNCTION("""COMPUTED_VALUE"""),"CENTRO MOTRIZ GUADALUPE, C.A.")</f>
        <v>CENTRO MOTRIZ GUADALUPE, C.A.</v>
      </c>
      <c r="G358" s="19">
        <v>530.5047</v>
      </c>
      <c r="H358" s="13"/>
      <c r="I358" s="14">
        <f t="shared" si="1"/>
        <v>51</v>
      </c>
      <c r="J358" s="15">
        <f t="shared" si="2"/>
        <v>51</v>
      </c>
      <c r="K358" s="14">
        <f t="shared" si="3"/>
        <v>51</v>
      </c>
      <c r="L358" s="16" t="str">
        <f>IFERROR(__xludf.DUMMYFUNCTION("IFERROR(
  IF(
    VLOOKUP(C358, IMPORTRANGE(""gid=860555792"", ""Maestro!B:C""), 2, FALSE) = D358, 
    ""CONCILIADO"", 
    ""ERROR EN MONTO""
  ), 
  ""NO ENCONTRADO EN MAESTRO""
)"),"NO ENCONTRADO EN MAESTRO")</f>
        <v>NO ENCONTRADO EN MAESTRO</v>
      </c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ht="22.5" customHeight="1">
      <c r="A359" s="25">
        <f>IFERROR(__xludf.DUMMYFUNCTION("""COMPUTED_VALUE"""),46164.0)</f>
        <v>46164</v>
      </c>
      <c r="B359" s="15">
        <f>IFERROR(__xludf.DUMMYFUNCTION("""COMPUTED_VALUE"""),199.0)</f>
        <v>199</v>
      </c>
      <c r="C359" s="21">
        <f>IFERROR(__xludf.DUMMYFUNCTION("""COMPUTED_VALUE"""),100.0)</f>
        <v>100</v>
      </c>
      <c r="D359" s="22" t="str">
        <f>IFERROR(__xludf.DUMMYFUNCTION("""COMPUTED_VALUE"""),"USD")</f>
        <v>USD</v>
      </c>
      <c r="E359" s="22" t="str">
        <f>IFERROR(__xludf.DUMMYFUNCTION("""COMPUTED_VALUE"""),"Efectivo USD")</f>
        <v>Efectivo USD</v>
      </c>
      <c r="F359" s="22" t="str">
        <f>IFERROR(__xludf.DUMMYFUNCTION("""COMPUTED_VALUE"""),"PROYECTO MAQUIVEIRO 21 C.A.")</f>
        <v>PROYECTO MAQUIVEIRO 21 C.A.</v>
      </c>
      <c r="G359" s="19">
        <v>530.5047</v>
      </c>
      <c r="H359" s="13"/>
      <c r="I359" s="14">
        <f t="shared" si="1"/>
        <v>100</v>
      </c>
      <c r="J359" s="15">
        <f t="shared" si="2"/>
        <v>100</v>
      </c>
      <c r="K359" s="14">
        <f t="shared" si="3"/>
        <v>100</v>
      </c>
      <c r="L359" s="16" t="str">
        <f>IFERROR(__xludf.DUMMYFUNCTION("IFERROR(
  IF(
    VLOOKUP(C359, IMPORTRANGE(""gid=860555792"", ""Maestro!B:C""), 2, FALSE) = D359, 
    ""CONCILIADO"", 
    ""ERROR EN MONTO""
  ), 
  ""NO ENCONTRADO EN MAESTRO""
)"),"NO ENCONTRADO EN MAESTRO")</f>
        <v>NO ENCONTRADO EN MAESTRO</v>
      </c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ht="22.5" customHeight="1">
      <c r="A360" s="25">
        <f>IFERROR(__xludf.DUMMYFUNCTION("""COMPUTED_VALUE"""),46164.0)</f>
        <v>46164</v>
      </c>
      <c r="B360" s="15">
        <f>IFERROR(__xludf.DUMMYFUNCTION("""COMPUTED_VALUE"""),126.0)</f>
        <v>126</v>
      </c>
      <c r="C360" s="21">
        <f>IFERROR(__xludf.DUMMYFUNCTION("""COMPUTED_VALUE"""),250.0)</f>
        <v>250</v>
      </c>
      <c r="D360" s="22" t="str">
        <f>IFERROR(__xludf.DUMMYFUNCTION("""COMPUTED_VALUE"""),"USD")</f>
        <v>USD</v>
      </c>
      <c r="E360" s="22" t="str">
        <f>IFERROR(__xludf.DUMMYFUNCTION("""COMPUTED_VALUE"""),"Efectivo USD")</f>
        <v>Efectivo USD</v>
      </c>
      <c r="F360" s="22" t="str">
        <f>IFERROR(__xludf.DUMMYFUNCTION("""COMPUTED_VALUE"""),"Victor Ordaz")</f>
        <v>Victor Ordaz</v>
      </c>
      <c r="G360" s="19">
        <v>530.5047</v>
      </c>
      <c r="H360" s="13"/>
      <c r="I360" s="14">
        <f t="shared" si="1"/>
        <v>250</v>
      </c>
      <c r="J360" s="15">
        <f t="shared" si="2"/>
        <v>250</v>
      </c>
      <c r="K360" s="14">
        <f t="shared" si="3"/>
        <v>250</v>
      </c>
      <c r="L360" s="16" t="str">
        <f>IFERROR(__xludf.DUMMYFUNCTION("IFERROR(
  IF(
    VLOOKUP(C360, IMPORTRANGE(""gid=860555792"", ""Maestro!B:C""), 2, FALSE) = D360, 
    ""CONCILIADO"", 
    ""ERROR EN MONTO""
  ), 
  ""NO ENCONTRADO EN MAESTRO""
)"),"NO ENCONTRADO EN MAESTRO")</f>
        <v>NO ENCONTRADO EN MAESTRO</v>
      </c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ht="22.5" customHeight="1">
      <c r="A361" s="25">
        <f>IFERROR(__xludf.DUMMYFUNCTION("""COMPUTED_VALUE"""),46167.0)</f>
        <v>46167</v>
      </c>
      <c r="B361" s="15">
        <f>IFERROR(__xludf.DUMMYFUNCTION("""COMPUTED_VALUE"""),44.0)</f>
        <v>44</v>
      </c>
      <c r="C361" s="21">
        <f>IFERROR(__xludf.DUMMYFUNCTION("""COMPUTED_VALUE"""),100.0)</f>
        <v>100</v>
      </c>
      <c r="D361" s="22" t="str">
        <f>IFERROR(__xludf.DUMMYFUNCTION("""COMPUTED_VALUE"""),"USD")</f>
        <v>USD</v>
      </c>
      <c r="E361" s="22" t="str">
        <f>IFERROR(__xludf.DUMMYFUNCTION("""COMPUTED_VALUE"""),"Efectivo USD")</f>
        <v>Efectivo USD</v>
      </c>
      <c r="F361" s="22" t="str">
        <f>IFERROR(__xludf.DUMMYFUNCTION("""COMPUTED_VALUE"""),"Comercializadora Garabote")</f>
        <v>Comercializadora Garabote</v>
      </c>
      <c r="G361" s="19">
        <v>530.5047</v>
      </c>
      <c r="H361" s="13"/>
      <c r="I361" s="14">
        <f t="shared" si="1"/>
        <v>100</v>
      </c>
      <c r="J361" s="15">
        <f t="shared" si="2"/>
        <v>100</v>
      </c>
      <c r="K361" s="14">
        <f t="shared" si="3"/>
        <v>100</v>
      </c>
      <c r="L361" s="16" t="str">
        <f>IFERROR(__xludf.DUMMYFUNCTION("IFERROR(
  IF(
    VLOOKUP(C361, IMPORTRANGE(""gid=860555792"", ""Maestro!B:C""), 2, FALSE) = D361, 
    ""CONCILIADO"", 
    ""ERROR EN MONTO""
  ), 
  ""NO ENCONTRADO EN MAESTRO""
)"),"NO ENCONTRADO EN MAESTRO")</f>
        <v>NO ENCONTRADO EN MAESTRO</v>
      </c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ht="22.5" customHeight="1">
      <c r="A362" s="25">
        <f>IFERROR(__xludf.DUMMYFUNCTION("""COMPUTED_VALUE"""),46167.0)</f>
        <v>46167</v>
      </c>
      <c r="B362" s="15">
        <f>IFERROR(__xludf.DUMMYFUNCTION("""COMPUTED_VALUE"""),330.0)</f>
        <v>330</v>
      </c>
      <c r="C362" s="21">
        <f>IFERROR(__xludf.DUMMYFUNCTION("""COMPUTED_VALUE"""),23895.0)</f>
        <v>23895</v>
      </c>
      <c r="D362" s="22" t="str">
        <f>IFERROR(__xludf.DUMMYFUNCTION("""COMPUTED_VALUE"""),"VES")</f>
        <v>VES</v>
      </c>
      <c r="E362" s="22" t="str">
        <f>IFERROR(__xludf.DUMMYFUNCTION("""COMPUTED_VALUE"""),"Bancamiga")</f>
        <v>Bancamiga</v>
      </c>
      <c r="F362" s="22" t="str">
        <f>IFERROR(__xludf.DUMMYFUNCTION("""COMPUTED_VALUE"""),"Diana Carolina Torres")</f>
        <v>Diana Carolina Torres</v>
      </c>
      <c r="G362" s="19">
        <v>530.5047</v>
      </c>
      <c r="H362" s="13"/>
      <c r="I362" s="14">
        <f t="shared" si="1"/>
        <v>45.04201377</v>
      </c>
      <c r="J362" s="15">
        <f t="shared" si="2"/>
        <v>0</v>
      </c>
      <c r="K362" s="14">
        <f t="shared" si="3"/>
        <v>45.04201377</v>
      </c>
      <c r="L362" s="16" t="str">
        <f>IFERROR(__xludf.DUMMYFUNCTION("IFERROR(
  IF(
    VLOOKUP(C362, IMPORTRANGE(""gid=860555792"", ""Maestro!B:C""), 2, FALSE) = D362, 
    ""CONCILIADO"", 
    ""ERROR EN MONTO""
  ), 
  ""NO ENCONTRADO EN MAESTRO""
)"),"NO ENCONTRADO EN MAESTRO")</f>
        <v>NO ENCONTRADO EN MAESTRO</v>
      </c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ht="22.5" customHeight="1">
      <c r="A363" s="25">
        <f>IFERROR(__xludf.DUMMYFUNCTION("""COMPUTED_VALUE"""),46167.0)</f>
        <v>46167</v>
      </c>
      <c r="B363" s="15">
        <f>IFERROR(__xludf.DUMMYFUNCTION("""COMPUTED_VALUE"""),78.0)</f>
        <v>78</v>
      </c>
      <c r="C363" s="21">
        <f>IFERROR(__xludf.DUMMYFUNCTION("""COMPUTED_VALUE"""),31830.0)</f>
        <v>31830</v>
      </c>
      <c r="D363" s="22" t="str">
        <f>IFERROR(__xludf.DUMMYFUNCTION("""COMPUTED_VALUE"""),"VES")</f>
        <v>VES</v>
      </c>
      <c r="E363" s="22" t="str">
        <f>IFERROR(__xludf.DUMMYFUNCTION("""COMPUTED_VALUE"""),"Bancamiga")</f>
        <v>Bancamiga</v>
      </c>
      <c r="F363" s="22" t="str">
        <f>IFERROR(__xludf.DUMMYFUNCTION("""COMPUTED_VALUE"""),"MULTISERVICIOS RECAM13, C.A.")</f>
        <v>MULTISERVICIOS RECAM13, C.A.</v>
      </c>
      <c r="G363" s="19">
        <v>530.5047</v>
      </c>
      <c r="H363" s="13"/>
      <c r="I363" s="14">
        <f t="shared" si="1"/>
        <v>59.99946843</v>
      </c>
      <c r="J363" s="15">
        <f t="shared" si="2"/>
        <v>0</v>
      </c>
      <c r="K363" s="14">
        <f t="shared" si="3"/>
        <v>59.99946843</v>
      </c>
      <c r="L363" s="16" t="str">
        <f>IFERROR(__xludf.DUMMYFUNCTION("IFERROR(
  IF(
    VLOOKUP(C363, IMPORTRANGE(""gid=860555792"", ""Maestro!B:C""), 2, FALSE) = D363, 
    ""CONCILIADO"", 
    ""ERROR EN MONTO""
  ), 
  ""NO ENCONTRADO EN MAESTRO""
)"),"NO ENCONTRADO EN MAESTRO")</f>
        <v>NO ENCONTRADO EN MAESTRO</v>
      </c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ht="22.5" customHeight="1">
      <c r="A364" s="25">
        <f>IFERROR(__xludf.DUMMYFUNCTION("""COMPUTED_VALUE"""),46167.0)</f>
        <v>46167</v>
      </c>
      <c r="B364" s="15">
        <f>IFERROR(__xludf.DUMMYFUNCTION("""COMPUTED_VALUE"""),305.0)</f>
        <v>305</v>
      </c>
      <c r="C364" s="21">
        <f>IFERROR(__xludf.DUMMYFUNCTION("""COMPUTED_VALUE"""),61538.0)</f>
        <v>61538</v>
      </c>
      <c r="D364" s="22" t="str">
        <f>IFERROR(__xludf.DUMMYFUNCTION("""COMPUTED_VALUE"""),"VES")</f>
        <v>VES</v>
      </c>
      <c r="E364" s="22" t="str">
        <f>IFERROR(__xludf.DUMMYFUNCTION("""COMPUTED_VALUE"""),"Bancamiga")</f>
        <v>Bancamiga</v>
      </c>
      <c r="F364" s="22" t="str">
        <f>IFERROR(__xludf.DUMMYFUNCTION("""COMPUTED_VALUE"""),"INVERSIONES F-250, C.A")</f>
        <v>INVERSIONES F-250, C.A</v>
      </c>
      <c r="G364" s="19">
        <v>530.5047</v>
      </c>
      <c r="H364" s="13"/>
      <c r="I364" s="14">
        <f t="shared" si="1"/>
        <v>115.9989723</v>
      </c>
      <c r="J364" s="15">
        <f t="shared" si="2"/>
        <v>0</v>
      </c>
      <c r="K364" s="14">
        <f t="shared" si="3"/>
        <v>115.9989723</v>
      </c>
      <c r="L364" s="16" t="str">
        <f>IFERROR(__xludf.DUMMYFUNCTION("IFERROR(
  IF(
    VLOOKUP(C364, IMPORTRANGE(""gid=860555792"", ""Maestro!B:C""), 2, FALSE) = D364, 
    ""CONCILIADO"", 
    ""ERROR EN MONTO""
  ), 
  ""NO ENCONTRADO EN MAESTRO""
)"),"NO ENCONTRADO EN MAESTRO")</f>
        <v>NO ENCONTRADO EN MAESTRO</v>
      </c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ht="22.5" customHeight="1">
      <c r="A365" s="25">
        <f>IFERROR(__xludf.DUMMYFUNCTION("""COMPUTED_VALUE"""),46167.0)</f>
        <v>46167</v>
      </c>
      <c r="B365" s="15">
        <f>IFERROR(__xludf.DUMMYFUNCTION("""COMPUTED_VALUE"""),133.0)</f>
        <v>133</v>
      </c>
      <c r="C365" s="21">
        <f>IFERROR(__xludf.DUMMYFUNCTION("""COMPUTED_VALUE"""),500.0)</f>
        <v>500</v>
      </c>
      <c r="D365" s="22" t="str">
        <f>IFERROR(__xludf.DUMMYFUNCTION("""COMPUTED_VALUE"""),"USD")</f>
        <v>USD</v>
      </c>
      <c r="E365" s="22" t="str">
        <f>IFERROR(__xludf.DUMMYFUNCTION("""COMPUTED_VALUE"""),"Efectivo USD")</f>
        <v>Efectivo USD</v>
      </c>
      <c r="F365" s="22" t="str">
        <f>IFERROR(__xludf.DUMMYFUNCTION("""COMPUTED_VALUE"""),"Inversiones La Bendición del Nazareno, C.A")</f>
        <v>Inversiones La Bendición del Nazareno, C.A</v>
      </c>
      <c r="G365" s="19">
        <v>530.5047</v>
      </c>
      <c r="H365" s="13"/>
      <c r="I365" s="14">
        <f t="shared" si="1"/>
        <v>500</v>
      </c>
      <c r="J365" s="15">
        <f t="shared" si="2"/>
        <v>500</v>
      </c>
      <c r="K365" s="14">
        <f t="shared" si="3"/>
        <v>500</v>
      </c>
      <c r="L365" s="16" t="str">
        <f>IFERROR(__xludf.DUMMYFUNCTION("IFERROR(
  IF(
    VLOOKUP(C365, IMPORTRANGE(""gid=860555792"", ""Maestro!B:C""), 2, FALSE) = D365, 
    ""CONCILIADO"", 
    ""ERROR EN MONTO""
  ), 
  ""NO ENCONTRADO EN MAESTRO""
)"),"NO ENCONTRADO EN MAESTRO")</f>
        <v>NO ENCONTRADO EN MAESTRO</v>
      </c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ht="22.5" customHeight="1">
      <c r="A366" s="25">
        <f>IFERROR(__xludf.DUMMYFUNCTION("""COMPUTED_VALUE"""),46167.0)</f>
        <v>46167</v>
      </c>
      <c r="B366" s="15">
        <f>IFERROR(__xludf.DUMMYFUNCTION("""COMPUTED_VALUE"""),259.0)</f>
        <v>259</v>
      </c>
      <c r="C366" s="21">
        <f>IFERROR(__xludf.DUMMYFUNCTION("""COMPUTED_VALUE"""),20.0)</f>
        <v>20</v>
      </c>
      <c r="D366" s="22" t="str">
        <f>IFERROR(__xludf.DUMMYFUNCTION("""COMPUTED_VALUE"""),"USD")</f>
        <v>USD</v>
      </c>
      <c r="E366" s="22" t="str">
        <f>IFERROR(__xludf.DUMMYFUNCTION("""COMPUTED_VALUE"""),"Efectivo USD")</f>
        <v>Efectivo USD</v>
      </c>
      <c r="F366" s="22" t="str">
        <f>IFERROR(__xludf.DUMMYFUNCTION("""COMPUTED_VALUE"""),"Multiservicio Tocome, C.A")</f>
        <v>Multiservicio Tocome, C.A</v>
      </c>
      <c r="G366" s="19">
        <v>530.5047</v>
      </c>
      <c r="H366" s="13"/>
      <c r="I366" s="14">
        <f t="shared" si="1"/>
        <v>20</v>
      </c>
      <c r="J366" s="15">
        <f t="shared" si="2"/>
        <v>20</v>
      </c>
      <c r="K366" s="14">
        <f t="shared" si="3"/>
        <v>20</v>
      </c>
      <c r="L366" s="16" t="str">
        <f>IFERROR(__xludf.DUMMYFUNCTION("IFERROR(
  IF(
    VLOOKUP(C366, IMPORTRANGE(""gid=860555792"", ""Maestro!B:C""), 2, FALSE) = D366, 
    ""CONCILIADO"", 
    ""ERROR EN MONTO""
  ), 
  ""NO ENCONTRADO EN MAESTRO""
)"),"NO ENCONTRADO EN MAESTRO")</f>
        <v>NO ENCONTRADO EN MAESTRO</v>
      </c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ht="22.5" customHeight="1">
      <c r="A367" s="25">
        <f>IFERROR(__xludf.DUMMYFUNCTION("""COMPUTED_VALUE"""),46168.0)</f>
        <v>46168</v>
      </c>
      <c r="B367" s="15">
        <f>IFERROR(__xludf.DUMMYFUNCTION("""COMPUTED_VALUE"""),146.0)</f>
        <v>146</v>
      </c>
      <c r="C367" s="21">
        <f>IFERROR(__xludf.DUMMYFUNCTION("""COMPUTED_VALUE"""),320.0)</f>
        <v>320</v>
      </c>
      <c r="D367" s="22" t="str">
        <f>IFERROR(__xludf.DUMMYFUNCTION("""COMPUTED_VALUE"""),"USD")</f>
        <v>USD</v>
      </c>
      <c r="E367" s="22" t="str">
        <f>IFERROR(__xludf.DUMMYFUNCTION("""COMPUTED_VALUE"""),"Efectivo USD")</f>
        <v>Efectivo USD</v>
      </c>
      <c r="F367" s="22" t="str">
        <f>IFERROR(__xludf.DUMMYFUNCTION("""COMPUTED_VALUE"""),"Alexander Quiroz")</f>
        <v>Alexander Quiroz</v>
      </c>
      <c r="G367" s="19">
        <v>535.3853</v>
      </c>
      <c r="H367" s="13"/>
      <c r="I367" s="14">
        <f t="shared" si="1"/>
        <v>320</v>
      </c>
      <c r="J367" s="15">
        <f t="shared" si="2"/>
        <v>320</v>
      </c>
      <c r="K367" s="14">
        <f t="shared" si="3"/>
        <v>320</v>
      </c>
      <c r="L367" s="16" t="str">
        <f>IFERROR(__xludf.DUMMYFUNCTION("IFERROR(
  IF(
    VLOOKUP(C367, IMPORTRANGE(""gid=860555792"", ""Maestro!B:C""), 2, FALSE) = D367, 
    ""CONCILIADO"", 
    ""ERROR EN MONTO""
  ), 
  ""NO ENCONTRADO EN MAESTRO""
)"),"NO ENCONTRADO EN MAESTRO")</f>
        <v>NO ENCONTRADO EN MAESTRO</v>
      </c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ht="22.5" customHeight="1">
      <c r="A368" s="25">
        <f>IFERROR(__xludf.DUMMYFUNCTION("""COMPUTED_VALUE"""),46168.0)</f>
        <v>46168</v>
      </c>
      <c r="B368" s="15">
        <f>IFERROR(__xludf.DUMMYFUNCTION("""COMPUTED_VALUE"""),149.0)</f>
        <v>149</v>
      </c>
      <c r="C368" s="21">
        <f>IFERROR(__xludf.DUMMYFUNCTION("""COMPUTED_VALUE"""),220500.0)</f>
        <v>220500</v>
      </c>
      <c r="D368" s="22" t="str">
        <f>IFERROR(__xludf.DUMMYFUNCTION("""COMPUTED_VALUE"""),"VES")</f>
        <v>VES</v>
      </c>
      <c r="E368" s="22" t="str">
        <f>IFERROR(__xludf.DUMMYFUNCTION("""COMPUTED_VALUE"""),"Bancamiga")</f>
        <v>Bancamiga</v>
      </c>
      <c r="F368" s="22" t="str">
        <f>IFERROR(__xludf.DUMMYFUNCTION("""COMPUTED_VALUE"""),"Emprendimiento ilaris cancelo")</f>
        <v>Emprendimiento ilaris cancelo</v>
      </c>
      <c r="G368" s="19">
        <v>535.3853</v>
      </c>
      <c r="H368" s="13"/>
      <c r="I368" s="14">
        <f t="shared" si="1"/>
        <v>411.8529216</v>
      </c>
      <c r="J368" s="15">
        <f t="shared" si="2"/>
        <v>0</v>
      </c>
      <c r="K368" s="14">
        <f t="shared" si="3"/>
        <v>411.8529216</v>
      </c>
      <c r="L368" s="16" t="str">
        <f>IFERROR(__xludf.DUMMYFUNCTION("IFERROR(
  IF(
    VLOOKUP(C368, IMPORTRANGE(""gid=860555792"", ""Maestro!B:C""), 2, FALSE) = D368, 
    ""CONCILIADO"", 
    ""ERROR EN MONTO""
  ), 
  ""NO ENCONTRADO EN MAESTRO""
)"),"NO ENCONTRADO EN MAESTRO")</f>
        <v>NO ENCONTRADO EN MAESTRO</v>
      </c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ht="22.5" customHeight="1">
      <c r="A369" s="25">
        <f>IFERROR(__xludf.DUMMYFUNCTION("""COMPUTED_VALUE"""),46168.0)</f>
        <v>46168</v>
      </c>
      <c r="B369" s="15">
        <f>IFERROR(__xludf.DUMMYFUNCTION("""COMPUTED_VALUE"""),49.0)</f>
        <v>49</v>
      </c>
      <c r="C369" s="21">
        <f>IFERROR(__xludf.DUMMYFUNCTION("""COMPUTED_VALUE"""),50.0)</f>
        <v>50</v>
      </c>
      <c r="D369" s="22" t="str">
        <f>IFERROR(__xludf.DUMMYFUNCTION("""COMPUTED_VALUE"""),"USD")</f>
        <v>USD</v>
      </c>
      <c r="E369" s="22" t="str">
        <f>IFERROR(__xludf.DUMMYFUNCTION("""COMPUTED_VALUE"""),"Efectivo USD")</f>
        <v>Efectivo USD</v>
      </c>
      <c r="F369" s="22" t="str">
        <f>IFERROR(__xludf.DUMMYFUNCTION("""COMPUTED_VALUE"""),"Marlene Herrera")</f>
        <v>Marlene Herrera</v>
      </c>
      <c r="G369" s="19">
        <v>535.3853</v>
      </c>
      <c r="H369" s="13"/>
      <c r="I369" s="14">
        <f t="shared" si="1"/>
        <v>50</v>
      </c>
      <c r="J369" s="15">
        <f t="shared" si="2"/>
        <v>50</v>
      </c>
      <c r="K369" s="14">
        <f t="shared" si="3"/>
        <v>50</v>
      </c>
      <c r="L369" s="16" t="str">
        <f>IFERROR(__xludf.DUMMYFUNCTION("IFERROR(
  IF(
    VLOOKUP(C369, IMPORTRANGE(""gid=860555792"", ""Maestro!B:C""), 2, FALSE) = D369, 
    ""CONCILIADO"", 
    ""ERROR EN MONTO""
  ), 
  ""NO ENCONTRADO EN MAESTRO""
)"),"NO ENCONTRADO EN MAESTRO")</f>
        <v>NO ENCONTRADO EN MAESTRO</v>
      </c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ht="22.5" customHeight="1">
      <c r="A370" s="25">
        <f>IFERROR(__xludf.DUMMYFUNCTION("""COMPUTED_VALUE"""),46168.0)</f>
        <v>46168</v>
      </c>
      <c r="B370" s="15">
        <f>IFERROR(__xludf.DUMMYFUNCTION("""COMPUTED_VALUE"""),339.0)</f>
        <v>339</v>
      </c>
      <c r="C370" s="21">
        <f>IFERROR(__xludf.DUMMYFUNCTION("""COMPUTED_VALUE"""),250.0)</f>
        <v>250</v>
      </c>
      <c r="D370" s="22" t="str">
        <f>IFERROR(__xludf.DUMMYFUNCTION("""COMPUTED_VALUE"""),"USD")</f>
        <v>USD</v>
      </c>
      <c r="E370" s="22" t="str">
        <f>IFERROR(__xludf.DUMMYFUNCTION("""COMPUTED_VALUE"""),"Efectivo USD")</f>
        <v>Efectivo USD</v>
      </c>
      <c r="F370" s="22" t="str">
        <f>IFERROR(__xludf.DUMMYFUNCTION("""COMPUTED_VALUE"""),"La cámara perfecta")</f>
        <v>La cámara perfecta</v>
      </c>
      <c r="G370" s="19">
        <v>535.3853</v>
      </c>
      <c r="H370" s="13"/>
      <c r="I370" s="14">
        <f t="shared" si="1"/>
        <v>250</v>
      </c>
      <c r="J370" s="15">
        <f t="shared" si="2"/>
        <v>250</v>
      </c>
      <c r="K370" s="14">
        <f t="shared" si="3"/>
        <v>250</v>
      </c>
      <c r="L370" s="16" t="str">
        <f>IFERROR(__xludf.DUMMYFUNCTION("IFERROR(
  IF(
    VLOOKUP(C370, IMPORTRANGE(""gid=860555792"", ""Maestro!B:C""), 2, FALSE) = D370, 
    ""CONCILIADO"", 
    ""ERROR EN MONTO""
  ), 
  ""NO ENCONTRADO EN MAESTRO""
)"),"NO ENCONTRADO EN MAESTRO")</f>
        <v>NO ENCONTRADO EN MAESTRO</v>
      </c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ht="22.5" customHeight="1">
      <c r="A371" s="25">
        <f>IFERROR(__xludf.DUMMYFUNCTION("""COMPUTED_VALUE"""),46168.0)</f>
        <v>46168</v>
      </c>
      <c r="B371" s="15">
        <f>IFERROR(__xludf.DUMMYFUNCTION("""COMPUTED_VALUE"""),440.0)</f>
        <v>440</v>
      </c>
      <c r="C371" s="21">
        <f>IFERROR(__xludf.DUMMYFUNCTION("""COMPUTED_VALUE"""),135.0)</f>
        <v>135</v>
      </c>
      <c r="D371" s="22" t="str">
        <f>IFERROR(__xludf.DUMMYFUNCTION("""COMPUTED_VALUE"""),"USD")</f>
        <v>USD</v>
      </c>
      <c r="E371" s="22" t="str">
        <f>IFERROR(__xludf.DUMMYFUNCTION("""COMPUTED_VALUE"""),"Efectivo USD")</f>
        <v>Efectivo USD</v>
      </c>
      <c r="F371" s="22" t="str">
        <f>IFERROR(__xludf.DUMMYFUNCTION("""COMPUTED_VALUE"""),"FREDI MARQUEZ")</f>
        <v>FREDI MARQUEZ</v>
      </c>
      <c r="G371" s="19">
        <v>535.3853</v>
      </c>
      <c r="H371" s="13"/>
      <c r="I371" s="14">
        <f t="shared" si="1"/>
        <v>135</v>
      </c>
      <c r="J371" s="15">
        <f t="shared" si="2"/>
        <v>135</v>
      </c>
      <c r="K371" s="14">
        <f t="shared" si="3"/>
        <v>135</v>
      </c>
      <c r="L371" s="16" t="str">
        <f>IFERROR(__xludf.DUMMYFUNCTION("IFERROR(
  IF(
    VLOOKUP(C371, IMPORTRANGE(""gid=860555792"", ""Maestro!B:C""), 2, FALSE) = D371, 
    ""CONCILIADO"", 
    ""ERROR EN MONTO""
  ), 
  ""NO ENCONTRADO EN MAESTRO""
)"),"NO ENCONTRADO EN MAESTRO")</f>
        <v>NO ENCONTRADO EN MAESTRO</v>
      </c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ht="22.5" customHeight="1">
      <c r="A372" s="25">
        <f>IFERROR(__xludf.DUMMYFUNCTION("""COMPUTED_VALUE"""),46168.0)</f>
        <v>46168</v>
      </c>
      <c r="B372" s="15">
        <f>IFERROR(__xludf.DUMMYFUNCTION("""COMPUTED_VALUE"""),204.0)</f>
        <v>204</v>
      </c>
      <c r="C372" s="21">
        <f>IFERROR(__xludf.DUMMYFUNCTION("""COMPUTED_VALUE"""),100.0)</f>
        <v>100</v>
      </c>
      <c r="D372" s="22" t="str">
        <f>IFERROR(__xludf.DUMMYFUNCTION("""COMPUTED_VALUE"""),"USD")</f>
        <v>USD</v>
      </c>
      <c r="E372" s="22" t="str">
        <f>IFERROR(__xludf.DUMMYFUNCTION("""COMPUTED_VALUE"""),"Efectivo USD")</f>
        <v>Efectivo USD</v>
      </c>
      <c r="F372" s="22" t="str">
        <f>IFERROR(__xludf.DUMMYFUNCTION("""COMPUTED_VALUE"""),"Motolavado Yahir")</f>
        <v>Motolavado Yahir</v>
      </c>
      <c r="G372" s="19">
        <v>535.3853</v>
      </c>
      <c r="H372" s="13"/>
      <c r="I372" s="14">
        <f t="shared" si="1"/>
        <v>100</v>
      </c>
      <c r="J372" s="15">
        <f t="shared" si="2"/>
        <v>100</v>
      </c>
      <c r="K372" s="14">
        <f t="shared" si="3"/>
        <v>100</v>
      </c>
      <c r="L372" s="16" t="str">
        <f>IFERROR(__xludf.DUMMYFUNCTION("IFERROR(
  IF(
    VLOOKUP(C372, IMPORTRANGE(""gid=860555792"", ""Maestro!B:C""), 2, FALSE) = D372, 
    ""CONCILIADO"", 
    ""ERROR EN MONTO""
  ), 
  ""NO ENCONTRADO EN MAESTRO""
)"),"NO ENCONTRADO EN MAESTRO")</f>
        <v>NO ENCONTRADO EN MAESTRO</v>
      </c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ht="22.5" customHeight="1">
      <c r="A373" s="25">
        <f>IFERROR(__xludf.DUMMYFUNCTION("""COMPUTED_VALUE"""),46168.0)</f>
        <v>46168</v>
      </c>
      <c r="B373" s="15">
        <f>IFERROR(__xludf.DUMMYFUNCTION("""COMPUTED_VALUE"""),61.0)</f>
        <v>61</v>
      </c>
      <c r="C373" s="21">
        <f>IFERROR(__xludf.DUMMYFUNCTION("""COMPUTED_VALUE"""),410.0)</f>
        <v>410</v>
      </c>
      <c r="D373" s="22" t="str">
        <f>IFERROR(__xludf.DUMMYFUNCTION("""COMPUTED_VALUE"""),"USD")</f>
        <v>USD</v>
      </c>
      <c r="E373" s="22" t="str">
        <f>IFERROR(__xludf.DUMMYFUNCTION("""COMPUTED_VALUE"""),"Efectivo USD")</f>
        <v>Efectivo USD</v>
      </c>
      <c r="F373" s="22" t="str">
        <f>IFERROR(__xludf.DUMMYFUNCTION("""COMPUTED_VALUE"""),"SJMG 2012 C.A")</f>
        <v>SJMG 2012 C.A</v>
      </c>
      <c r="G373" s="19">
        <v>535.3853</v>
      </c>
      <c r="H373" s="13"/>
      <c r="I373" s="14">
        <f t="shared" si="1"/>
        <v>410</v>
      </c>
      <c r="J373" s="15">
        <f t="shared" si="2"/>
        <v>410</v>
      </c>
      <c r="K373" s="14">
        <f t="shared" si="3"/>
        <v>410</v>
      </c>
      <c r="L373" s="16" t="str">
        <f>IFERROR(__xludf.DUMMYFUNCTION("IFERROR(
  IF(
    VLOOKUP(C373, IMPORTRANGE(""gid=860555792"", ""Maestro!B:C""), 2, FALSE) = D373, 
    ""CONCILIADO"", 
    ""ERROR EN MONTO""
  ), 
  ""NO ENCONTRADO EN MAESTRO""
)"),"NO ENCONTRADO EN MAESTRO")</f>
        <v>NO ENCONTRADO EN MAESTRO</v>
      </c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ht="22.5" customHeight="1">
      <c r="A374" s="25">
        <f>IFERROR(__xludf.DUMMYFUNCTION("""COMPUTED_VALUE"""),46168.0)</f>
        <v>46168</v>
      </c>
      <c r="B374" s="15">
        <f>IFERROR(__xludf.DUMMYFUNCTION("""COMPUTED_VALUE"""),318.0)</f>
        <v>318</v>
      </c>
      <c r="C374" s="21">
        <f>IFERROR(__xludf.DUMMYFUNCTION("""COMPUTED_VALUE"""),53.0)</f>
        <v>53</v>
      </c>
      <c r="D374" s="22" t="str">
        <f>IFERROR(__xludf.DUMMYFUNCTION("""COMPUTED_VALUE"""),"USD")</f>
        <v>USD</v>
      </c>
      <c r="E374" s="22" t="str">
        <f>IFERROR(__xludf.DUMMYFUNCTION("""COMPUTED_VALUE"""),"Efectivo USD")</f>
        <v>Efectivo USD</v>
      </c>
      <c r="F374" s="22" t="str">
        <f>IFERROR(__xludf.DUMMYFUNCTION("""COMPUTED_VALUE"""),"JOSE RAFAEL MARTÍNEZ")</f>
        <v>JOSE RAFAEL MARTÍNEZ</v>
      </c>
      <c r="G374" s="19">
        <v>535.3853</v>
      </c>
      <c r="H374" s="13"/>
      <c r="I374" s="14">
        <f t="shared" si="1"/>
        <v>53</v>
      </c>
      <c r="J374" s="15">
        <f t="shared" si="2"/>
        <v>53</v>
      </c>
      <c r="K374" s="14">
        <f t="shared" si="3"/>
        <v>53</v>
      </c>
      <c r="L374" s="16" t="str">
        <f>IFERROR(__xludf.DUMMYFUNCTION("IFERROR(
  IF(
    VLOOKUP(C374, IMPORTRANGE(""gid=860555792"", ""Maestro!B:C""), 2, FALSE) = D374, 
    ""CONCILIADO"", 
    ""ERROR EN MONTO""
  ), 
  ""NO ENCONTRADO EN MAESTRO""
)"),"NO ENCONTRADO EN MAESTRO")</f>
        <v>NO ENCONTRADO EN MAESTRO</v>
      </c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ht="22.5" customHeight="1">
      <c r="A375" s="25">
        <f>IFERROR(__xludf.DUMMYFUNCTION("""COMPUTED_VALUE"""),46168.0)</f>
        <v>46168</v>
      </c>
      <c r="B375" s="15">
        <f>IFERROR(__xludf.DUMMYFUNCTION("""COMPUTED_VALUE"""),53.0)</f>
        <v>53</v>
      </c>
      <c r="C375" s="21">
        <f>IFERROR(__xludf.DUMMYFUNCTION("""COMPUTED_VALUE"""),44931.66)</f>
        <v>44931.66</v>
      </c>
      <c r="D375" s="22" t="str">
        <f>IFERROR(__xludf.DUMMYFUNCTION("""COMPUTED_VALUE"""),"VES")</f>
        <v>VES</v>
      </c>
      <c r="E375" s="22" t="str">
        <f>IFERROR(__xludf.DUMMYFUNCTION("""COMPUTED_VALUE"""),"Bancamiga")</f>
        <v>Bancamiga</v>
      </c>
      <c r="F375" s="22" t="str">
        <f>IFERROR(__xludf.DUMMYFUNCTION("""COMPUTED_VALUE"""),"INVERSIONES MI  'LINDA YEMAIRE 2019, C.A")</f>
        <v>INVERSIONES MI  'LINDA YEMAIRE 2019, C.A</v>
      </c>
      <c r="G375" s="19">
        <v>535.3853</v>
      </c>
      <c r="H375" s="13"/>
      <c r="I375" s="14">
        <f t="shared" si="1"/>
        <v>83.92397027</v>
      </c>
      <c r="J375" s="15">
        <f t="shared" si="2"/>
        <v>0</v>
      </c>
      <c r="K375" s="14">
        <f t="shared" si="3"/>
        <v>83.92397027</v>
      </c>
      <c r="L375" s="16" t="str">
        <f>IFERROR(__xludf.DUMMYFUNCTION("IFERROR(
  IF(
    VLOOKUP(C375, IMPORTRANGE(""gid=860555792"", ""Maestro!B:C""), 2, FALSE) = D375, 
    ""CONCILIADO"", 
    ""ERROR EN MONTO""
  ), 
  ""NO ENCONTRADO EN MAESTRO""
)"),"NO ENCONTRADO EN MAESTRO")</f>
        <v>NO ENCONTRADO EN MAESTRO</v>
      </c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ht="22.5" customHeight="1">
      <c r="A376" s="25">
        <f>IFERROR(__xludf.DUMMYFUNCTION("""COMPUTED_VALUE"""),46168.0)</f>
        <v>46168</v>
      </c>
      <c r="B376" s="15">
        <f>IFERROR(__xludf.DUMMYFUNCTION("""COMPUTED_VALUE"""),177.0)</f>
        <v>177</v>
      </c>
      <c r="C376" s="21">
        <f>IFERROR(__xludf.DUMMYFUNCTION("""COMPUTED_VALUE"""),50.0)</f>
        <v>50</v>
      </c>
      <c r="D376" s="22" t="str">
        <f>IFERROR(__xludf.DUMMYFUNCTION("""COMPUTED_VALUE"""),"USD")</f>
        <v>USD</v>
      </c>
      <c r="E376" s="22" t="str">
        <f>IFERROR(__xludf.DUMMYFUNCTION("""COMPUTED_VALUE"""),"Efectivo USD")</f>
        <v>Efectivo USD</v>
      </c>
      <c r="F376" s="22" t="str">
        <f>IFERROR(__xludf.DUMMYFUNCTION("""COMPUTED_VALUE"""),"Jhon Morales")</f>
        <v>Jhon Morales</v>
      </c>
      <c r="G376" s="19">
        <v>535.3853</v>
      </c>
      <c r="H376" s="13"/>
      <c r="I376" s="14">
        <f t="shared" si="1"/>
        <v>50</v>
      </c>
      <c r="J376" s="15">
        <f t="shared" si="2"/>
        <v>50</v>
      </c>
      <c r="K376" s="14">
        <f t="shared" si="3"/>
        <v>50</v>
      </c>
      <c r="L376" s="16" t="str">
        <f>IFERROR(__xludf.DUMMYFUNCTION("IFERROR(
  IF(
    VLOOKUP(C376, IMPORTRANGE(""gid=860555792"", ""Maestro!B:C""), 2, FALSE) = D376, 
    ""CONCILIADO"", 
    ""ERROR EN MONTO""
  ), 
  ""NO ENCONTRADO EN MAESTRO""
)"),"NO ENCONTRADO EN MAESTRO")</f>
        <v>NO ENCONTRADO EN MAESTRO</v>
      </c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ht="22.5" customHeight="1">
      <c r="A377" s="25">
        <f>IFERROR(__xludf.DUMMYFUNCTION("""COMPUTED_VALUE"""),46168.0)</f>
        <v>46168</v>
      </c>
      <c r="B377" s="15">
        <f>IFERROR(__xludf.DUMMYFUNCTION("""COMPUTED_VALUE"""),237.0)</f>
        <v>237</v>
      </c>
      <c r="C377" s="21">
        <f>IFERROR(__xludf.DUMMYFUNCTION("""COMPUTED_VALUE"""),206706.4)</f>
        <v>206706.4</v>
      </c>
      <c r="D377" s="22" t="str">
        <f>IFERROR(__xludf.DUMMYFUNCTION("""COMPUTED_VALUE"""),"VES")</f>
        <v>VES</v>
      </c>
      <c r="E377" s="22" t="str">
        <f>IFERROR(__xludf.DUMMYFUNCTION("""COMPUTED_VALUE"""),"Bancamiga")</f>
        <v>Bancamiga</v>
      </c>
      <c r="F377" s="22" t="str">
        <f>IFERROR(__xludf.DUMMYFUNCTION("""COMPUTED_VALUE"""),"Comercial los de faria,c.a.")</f>
        <v>Comercial los de faria,c.a.</v>
      </c>
      <c r="G377" s="19">
        <v>535.3853</v>
      </c>
      <c r="H377" s="13"/>
      <c r="I377" s="14">
        <f t="shared" si="1"/>
        <v>386.0890465</v>
      </c>
      <c r="J377" s="15">
        <f t="shared" si="2"/>
        <v>0</v>
      </c>
      <c r="K377" s="14">
        <f t="shared" si="3"/>
        <v>386.0890465</v>
      </c>
      <c r="L377" s="16" t="str">
        <f>IFERROR(__xludf.DUMMYFUNCTION("IFERROR(
  IF(
    VLOOKUP(C377, IMPORTRANGE(""gid=860555792"", ""Maestro!B:C""), 2, FALSE) = D377, 
    ""CONCILIADO"", 
    ""ERROR EN MONTO""
  ), 
  ""NO ENCONTRADO EN MAESTRO""
)"),"NO ENCONTRADO EN MAESTRO")</f>
        <v>NO ENCONTRADO EN MAESTRO</v>
      </c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ht="22.5" customHeight="1">
      <c r="A378" s="25">
        <f>IFERROR(__xludf.DUMMYFUNCTION("""COMPUTED_VALUE"""),46168.0)</f>
        <v>46168</v>
      </c>
      <c r="B378" s="15">
        <f>IFERROR(__xludf.DUMMYFUNCTION("""COMPUTED_VALUE"""),348.0)</f>
        <v>348</v>
      </c>
      <c r="C378" s="21">
        <f>IFERROR(__xludf.DUMMYFUNCTION("""COMPUTED_VALUE"""),107076.0)</f>
        <v>107076</v>
      </c>
      <c r="D378" s="22" t="str">
        <f>IFERROR(__xludf.DUMMYFUNCTION("""COMPUTED_VALUE"""),"VES")</f>
        <v>VES</v>
      </c>
      <c r="E378" s="22" t="str">
        <f>IFERROR(__xludf.DUMMYFUNCTION("""COMPUTED_VALUE"""),"Bancamiga")</f>
        <v>Bancamiga</v>
      </c>
      <c r="F378" s="22" t="str">
        <f>IFERROR(__xludf.DUMMYFUNCTION("""COMPUTED_VALUE"""),"Comercial Rio Paraguas C.A")</f>
        <v>Comercial Rio Paraguas C.A</v>
      </c>
      <c r="G378" s="19">
        <v>535.3853</v>
      </c>
      <c r="H378" s="13"/>
      <c r="I378" s="14">
        <f t="shared" si="1"/>
        <v>199.9980201</v>
      </c>
      <c r="J378" s="15">
        <f t="shared" si="2"/>
        <v>0</v>
      </c>
      <c r="K378" s="14">
        <f t="shared" si="3"/>
        <v>199.9980201</v>
      </c>
      <c r="L378" s="16" t="str">
        <f>IFERROR(__xludf.DUMMYFUNCTION("IFERROR(
  IF(
    VLOOKUP(C378, IMPORTRANGE(""gid=860555792"", ""Maestro!B:C""), 2, FALSE) = D378, 
    ""CONCILIADO"", 
    ""ERROR EN MONTO""
  ), 
  ""NO ENCONTRADO EN MAESTRO""
)"),"NO ENCONTRADO EN MAESTRO")</f>
        <v>NO ENCONTRADO EN MAESTRO</v>
      </c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ht="22.5" customHeight="1">
      <c r="A379" s="25">
        <f>IFERROR(__xludf.DUMMYFUNCTION("""COMPUTED_VALUE"""),46168.0)</f>
        <v>46168</v>
      </c>
      <c r="B379" s="15">
        <f>IFERROR(__xludf.DUMMYFUNCTION("""COMPUTED_VALUE"""),287.0)</f>
        <v>287</v>
      </c>
      <c r="C379" s="21">
        <f>IFERROR(__xludf.DUMMYFUNCTION("""COMPUTED_VALUE"""),40.0)</f>
        <v>40</v>
      </c>
      <c r="D379" s="22" t="str">
        <f>IFERROR(__xludf.DUMMYFUNCTION("""COMPUTED_VALUE"""),"USD")</f>
        <v>USD</v>
      </c>
      <c r="E379" s="22" t="str">
        <f>IFERROR(__xludf.DUMMYFUNCTION("""COMPUTED_VALUE"""),"Efectivo USD")</f>
        <v>Efectivo USD</v>
      </c>
      <c r="F379" s="22" t="str">
        <f>IFERROR(__xludf.DUMMYFUNCTION("""COMPUTED_VALUE"""),"Javier gregorio Espinoza")</f>
        <v>Javier gregorio Espinoza</v>
      </c>
      <c r="G379" s="19">
        <v>535.3853</v>
      </c>
      <c r="H379" s="13"/>
      <c r="I379" s="14">
        <f t="shared" si="1"/>
        <v>40</v>
      </c>
      <c r="J379" s="15">
        <f t="shared" si="2"/>
        <v>40</v>
      </c>
      <c r="K379" s="14">
        <f t="shared" si="3"/>
        <v>40</v>
      </c>
      <c r="L379" s="16" t="str">
        <f>IFERROR(__xludf.DUMMYFUNCTION("IFERROR(
  IF(
    VLOOKUP(C379, IMPORTRANGE(""gid=860555792"", ""Maestro!B:C""), 2, FALSE) = D379, 
    ""CONCILIADO"", 
    ""ERROR EN MONTO""
  ), 
  ""NO ENCONTRADO EN MAESTRO""
)"),"NO ENCONTRADO EN MAESTRO")</f>
        <v>NO ENCONTRADO EN MAESTRO</v>
      </c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ht="22.5" customHeight="1">
      <c r="A380" s="25">
        <f>IFERROR(__xludf.DUMMYFUNCTION("""COMPUTED_VALUE"""),46168.0)</f>
        <v>46168</v>
      </c>
      <c r="B380" s="15">
        <f>IFERROR(__xludf.DUMMYFUNCTION("""COMPUTED_VALUE"""),97.0)</f>
        <v>97</v>
      </c>
      <c r="C380" s="21">
        <f>IFERROR(__xludf.DUMMYFUNCTION("""COMPUTED_VALUE"""),69599.0)</f>
        <v>69599</v>
      </c>
      <c r="D380" s="22" t="str">
        <f>IFERROR(__xludf.DUMMYFUNCTION("""COMPUTED_VALUE"""),"VES")</f>
        <v>VES</v>
      </c>
      <c r="E380" s="22" t="str">
        <f>IFERROR(__xludf.DUMMYFUNCTION("""COMPUTED_VALUE"""),"Bancamiga")</f>
        <v>Bancamiga</v>
      </c>
      <c r="F380" s="22" t="str">
        <f>IFERROR(__xludf.DUMMYFUNCTION("""COMPUTED_VALUE"""),"Felipe Granja")</f>
        <v>Felipe Granja</v>
      </c>
      <c r="G380" s="19">
        <v>538.3853</v>
      </c>
      <c r="H380" s="13"/>
      <c r="I380" s="14">
        <f t="shared" si="1"/>
        <v>129.273589</v>
      </c>
      <c r="J380" s="15">
        <f t="shared" si="2"/>
        <v>0</v>
      </c>
      <c r="K380" s="14">
        <f t="shared" si="3"/>
        <v>129.273589</v>
      </c>
      <c r="L380" s="16" t="str">
        <f>IFERROR(__xludf.DUMMYFUNCTION("IFERROR(
  IF(
    VLOOKUP(C380, IMPORTRANGE(""gid=860555792"", ""Maestro!B:C""), 2, FALSE) = D380, 
    ""CONCILIADO"", 
    ""ERROR EN MONTO""
  ), 
  ""NO ENCONTRADO EN MAESTRO""
)"),"NO ENCONTRADO EN MAESTRO")</f>
        <v>NO ENCONTRADO EN MAESTRO</v>
      </c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ht="22.5" customHeight="1">
      <c r="A381" s="25">
        <f>IFERROR(__xludf.DUMMYFUNCTION("""COMPUTED_VALUE"""),46168.0)</f>
        <v>46168</v>
      </c>
      <c r="B381" s="15">
        <f>IFERROR(__xludf.DUMMYFUNCTION("""COMPUTED_VALUE"""),316.0)</f>
        <v>316</v>
      </c>
      <c r="C381" s="21">
        <f>IFERROR(__xludf.DUMMYFUNCTION("""COMPUTED_VALUE"""),44715.77)</f>
        <v>44715.77</v>
      </c>
      <c r="D381" s="22" t="str">
        <f>IFERROR(__xludf.DUMMYFUNCTION("""COMPUTED_VALUE"""),"VES")</f>
        <v>VES</v>
      </c>
      <c r="E381" s="22" t="str">
        <f>IFERROR(__xludf.DUMMYFUNCTION("""COMPUTED_VALUE"""),"Bancamiga")</f>
        <v>Bancamiga</v>
      </c>
      <c r="F381" s="22" t="str">
        <f>IFERROR(__xludf.DUMMYFUNCTION("""COMPUTED_VALUE"""),"MOTO REPUESTO GARCIA 2023, C.A.")</f>
        <v>MOTO REPUESTO GARCIA 2023, C.A.</v>
      </c>
      <c r="G381" s="19">
        <v>538.3853</v>
      </c>
      <c r="H381" s="13"/>
      <c r="I381" s="14">
        <f t="shared" si="1"/>
        <v>83.05533231</v>
      </c>
      <c r="J381" s="15">
        <f t="shared" si="2"/>
        <v>0</v>
      </c>
      <c r="K381" s="14">
        <f t="shared" si="3"/>
        <v>83.05533231</v>
      </c>
      <c r="L381" s="16" t="str">
        <f>IFERROR(__xludf.DUMMYFUNCTION("IFERROR(
  IF(
    VLOOKUP(C381, IMPORTRANGE(""gid=860555792"", ""Maestro!B:C""), 2, FALSE) = D381, 
    ""CONCILIADO"", 
    ""ERROR EN MONTO""
  ), 
  ""NO ENCONTRADO EN MAESTRO""
)"),"NO ENCONTRADO EN MAESTRO")</f>
        <v>NO ENCONTRADO EN MAESTRO</v>
      </c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ht="22.5" customHeight="1">
      <c r="A382" s="25">
        <f>IFERROR(__xludf.DUMMYFUNCTION("""COMPUTED_VALUE"""),46167.0)</f>
        <v>46167</v>
      </c>
      <c r="B382" s="15">
        <f>IFERROR(__xludf.DUMMYFUNCTION("""COMPUTED_VALUE"""),306.0)</f>
        <v>306</v>
      </c>
      <c r="C382" s="21">
        <f>IFERROR(__xludf.DUMMYFUNCTION("""COMPUTED_VALUE"""),31860.0)</f>
        <v>31860</v>
      </c>
      <c r="D382" s="22" t="str">
        <f>IFERROR(__xludf.DUMMYFUNCTION("""COMPUTED_VALUE"""),"VES")</f>
        <v>VES</v>
      </c>
      <c r="E382" s="22" t="str">
        <f>IFERROR(__xludf.DUMMYFUNCTION("""COMPUTED_VALUE"""),"Bancamiga")</f>
        <v>Bancamiga</v>
      </c>
      <c r="F382" s="22" t="str">
        <f>IFERROR(__xludf.DUMMYFUNCTION("""COMPUTED_VALUE"""),"LUBRIREPUESTOS PANORAMA, C.A.")</f>
        <v>LUBRIREPUESTOS PANORAMA, C.A.</v>
      </c>
      <c r="G382" s="19">
        <v>530.5047</v>
      </c>
      <c r="H382" s="13"/>
      <c r="I382" s="14">
        <f t="shared" si="1"/>
        <v>60.05601835</v>
      </c>
      <c r="J382" s="15">
        <f t="shared" si="2"/>
        <v>0</v>
      </c>
      <c r="K382" s="14">
        <f t="shared" si="3"/>
        <v>60.05601835</v>
      </c>
      <c r="L382" s="16" t="str">
        <f>IFERROR(__xludf.DUMMYFUNCTION("IFERROR(
  IF(
    VLOOKUP(C382, IMPORTRANGE(""gid=860555792"", ""Maestro!B:C""), 2, FALSE) = D382, 
    ""CONCILIADO"", 
    ""ERROR EN MONTO""
  ), 
  ""NO ENCONTRADO EN MAESTRO""
)"),"NO ENCONTRADO EN MAESTRO")</f>
        <v>NO ENCONTRADO EN MAESTRO</v>
      </c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ht="22.5" customHeight="1">
      <c r="A383" s="25">
        <f>IFERROR(__xludf.DUMMYFUNCTION("""COMPUTED_VALUE"""),46167.0)</f>
        <v>46167</v>
      </c>
      <c r="B383" s="15">
        <f>IFERROR(__xludf.DUMMYFUNCTION("""COMPUTED_VALUE"""),306.0)</f>
        <v>306</v>
      </c>
      <c r="C383" s="21">
        <f>IFERROR(__xludf.DUMMYFUNCTION("""COMPUTED_VALUE"""),4779.0)</f>
        <v>4779</v>
      </c>
      <c r="D383" s="22" t="str">
        <f>IFERROR(__xludf.DUMMYFUNCTION("""COMPUTED_VALUE"""),"VES")</f>
        <v>VES</v>
      </c>
      <c r="E383" s="22" t="str">
        <f>IFERROR(__xludf.DUMMYFUNCTION("""COMPUTED_VALUE"""),"Bancamiga")</f>
        <v>Bancamiga</v>
      </c>
      <c r="F383" s="22" t="str">
        <f>IFERROR(__xludf.DUMMYFUNCTION("""COMPUTED_VALUE"""),"LUBRIREPUESTOS PANORAMA, C.A.")</f>
        <v>LUBRIREPUESTOS PANORAMA, C.A.</v>
      </c>
      <c r="G383" s="19">
        <v>530.5047</v>
      </c>
      <c r="H383" s="13"/>
      <c r="I383" s="14">
        <f t="shared" si="1"/>
        <v>9.008402753</v>
      </c>
      <c r="J383" s="15">
        <f t="shared" si="2"/>
        <v>0</v>
      </c>
      <c r="K383" s="14">
        <f t="shared" si="3"/>
        <v>9.008402753</v>
      </c>
      <c r="L383" s="16" t="str">
        <f>IFERROR(__xludf.DUMMYFUNCTION("IFERROR(
  IF(
    VLOOKUP(C383, IMPORTRANGE(""gid=860555792"", ""Maestro!B:C""), 2, FALSE) = D383, 
    ""CONCILIADO"", 
    ""ERROR EN MONTO""
  ), 
  ""NO ENCONTRADO EN MAESTRO""
)"),"NO ENCONTRADO EN MAESTRO")</f>
        <v>NO ENCONTRADO EN MAESTRO</v>
      </c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ht="22.5" customHeight="1">
      <c r="A384" s="25">
        <f>IFERROR(__xludf.DUMMYFUNCTION("""COMPUTED_VALUE"""),46164.0)</f>
        <v>46164</v>
      </c>
      <c r="B384" s="15">
        <f>IFERROR(__xludf.DUMMYFUNCTION("""COMPUTED_VALUE"""),233.0)</f>
        <v>233</v>
      </c>
      <c r="C384" s="21">
        <f>IFERROR(__xludf.DUMMYFUNCTION("""COMPUTED_VALUE"""),34098.99)</f>
        <v>34098.99</v>
      </c>
      <c r="D384" s="22" t="str">
        <f>IFERROR(__xludf.DUMMYFUNCTION("""COMPUTED_VALUE"""),"VES")</f>
        <v>VES</v>
      </c>
      <c r="E384" s="22" t="str">
        <f>IFERROR(__xludf.DUMMYFUNCTION("""COMPUTED_VALUE"""),"Bancamiga")</f>
        <v>Bancamiga</v>
      </c>
      <c r="F384" s="22" t="str">
        <f>IFERROR(__xludf.DUMMYFUNCTION("""COMPUTED_VALUE"""),"Auto Partes Y Repuestos Encava Express,c.a.")</f>
        <v>Auto Partes Y Repuestos Encava Express,c.a.</v>
      </c>
      <c r="G384" s="19">
        <v>526.8694</v>
      </c>
      <c r="H384" s="13"/>
      <c r="I384" s="14">
        <f t="shared" si="1"/>
        <v>64.72000462</v>
      </c>
      <c r="J384" s="15">
        <f t="shared" si="2"/>
        <v>0</v>
      </c>
      <c r="K384" s="14">
        <f t="shared" si="3"/>
        <v>64.72000462</v>
      </c>
      <c r="L384" s="16" t="str">
        <f>IFERROR(__xludf.DUMMYFUNCTION("IFERROR(
  IF(
    VLOOKUP(C384, IMPORTRANGE(""gid=860555792"", ""Maestro!B:C""), 2, FALSE) = D384, 
    ""CONCILIADO"", 
    ""ERROR EN MONTO""
  ), 
  ""NO ENCONTRADO EN MAESTRO""
)"),"NO ENCONTRADO EN MAESTRO")</f>
        <v>NO ENCONTRADO EN MAESTRO</v>
      </c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ht="22.5" customHeight="1">
      <c r="A385" s="25">
        <f>IFERROR(__xludf.DUMMYFUNCTION("""COMPUTED_VALUE"""),46164.0)</f>
        <v>46164</v>
      </c>
      <c r="B385" s="15">
        <f>IFERROR(__xludf.DUMMYFUNCTION("""COMPUTED_VALUE"""),178.0)</f>
        <v>178</v>
      </c>
      <c r="C385" s="21">
        <f>IFERROR(__xludf.DUMMYFUNCTION("""COMPUTED_VALUE"""),55.78)</f>
        <v>55.78</v>
      </c>
      <c r="D385" s="22" t="str">
        <f>IFERROR(__xludf.DUMMYFUNCTION("""COMPUTED_VALUE"""),"USD")</f>
        <v>USD</v>
      </c>
      <c r="E385" s="22" t="str">
        <f>IFERROR(__xludf.DUMMYFUNCTION("""COMPUTED_VALUE"""),"Efectivo USD")</f>
        <v>Efectivo USD</v>
      </c>
      <c r="F385" s="22" t="str">
        <f>IFERROR(__xludf.DUMMYFUNCTION("""COMPUTED_VALUE"""),"Distribuidora Nesmari 2050 c.a")</f>
        <v>Distribuidora Nesmari 2050 c.a</v>
      </c>
      <c r="G385" s="19">
        <v>526.8694</v>
      </c>
      <c r="H385" s="13"/>
      <c r="I385" s="14">
        <f t="shared" si="1"/>
        <v>55.78</v>
      </c>
      <c r="J385" s="15">
        <f t="shared" si="2"/>
        <v>55.78</v>
      </c>
      <c r="K385" s="14">
        <f t="shared" si="3"/>
        <v>55.78</v>
      </c>
      <c r="L385" s="16" t="str">
        <f>IFERROR(__xludf.DUMMYFUNCTION("IFERROR(
  IF(
    VLOOKUP(C385, IMPORTRANGE(""gid=860555792"", ""Maestro!B:C""), 2, FALSE) = D385, 
    ""CONCILIADO"", 
    ""ERROR EN MONTO""
  ), 
  ""NO ENCONTRADO EN MAESTRO""
)"),"NO ENCONTRADO EN MAESTRO")</f>
        <v>NO ENCONTRADO EN MAESTRO</v>
      </c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ht="22.5" customHeight="1">
      <c r="A386" s="25">
        <f>IFERROR(__xludf.DUMMYFUNCTION("""COMPUTED_VALUE"""),46164.0)</f>
        <v>46164</v>
      </c>
      <c r="B386" s="15">
        <f>IFERROR(__xludf.DUMMYFUNCTION("""COMPUTED_VALUE"""),178.0)</f>
        <v>178</v>
      </c>
      <c r="C386" s="21">
        <f>IFERROR(__xludf.DUMMYFUNCTION("""COMPUTED_VALUE"""),50.0)</f>
        <v>50</v>
      </c>
      <c r="D386" s="22" t="str">
        <f>IFERROR(__xludf.DUMMYFUNCTION("""COMPUTED_VALUE"""),"USD")</f>
        <v>USD</v>
      </c>
      <c r="E386" s="22" t="str">
        <f>IFERROR(__xludf.DUMMYFUNCTION("""COMPUTED_VALUE"""),"Efectivo USD")</f>
        <v>Efectivo USD</v>
      </c>
      <c r="F386" s="22" t="str">
        <f>IFERROR(__xludf.DUMMYFUNCTION("""COMPUTED_VALUE"""),"Distribuidora Nesmari 2050 c.a")</f>
        <v>Distribuidora Nesmari 2050 c.a</v>
      </c>
      <c r="G386" s="19">
        <v>526.8694</v>
      </c>
      <c r="H386" s="13"/>
      <c r="I386" s="14">
        <f t="shared" si="1"/>
        <v>50</v>
      </c>
      <c r="J386" s="15">
        <f t="shared" si="2"/>
        <v>50</v>
      </c>
      <c r="K386" s="14">
        <f t="shared" si="3"/>
        <v>50</v>
      </c>
      <c r="L386" s="16" t="str">
        <f>IFERROR(__xludf.DUMMYFUNCTION("IFERROR(
  IF(
    VLOOKUP(C386, IMPORTRANGE(""gid=860555792"", ""Maestro!B:C""), 2, FALSE) = D386, 
    ""CONCILIADO"", 
    ""ERROR EN MONTO""
  ), 
  ""NO ENCONTRADO EN MAESTRO""
)"),"NO ENCONTRADO EN MAESTRO")</f>
        <v>NO ENCONTRADO EN MAESTRO</v>
      </c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ht="22.5" customHeight="1">
      <c r="A387" s="25">
        <f>IFERROR(__xludf.DUMMYFUNCTION("""COMPUTED_VALUE"""),46163.0)</f>
        <v>46163</v>
      </c>
      <c r="B387" s="15">
        <f>IFERROR(__xludf.DUMMYFUNCTION("""COMPUTED_VALUE"""),309.0)</f>
        <v>309</v>
      </c>
      <c r="C387" s="21">
        <f>IFERROR(__xludf.DUMMYFUNCTION("""COMPUTED_VALUE"""),105000.0)</f>
        <v>105000</v>
      </c>
      <c r="D387" s="22" t="str">
        <f>IFERROR(__xludf.DUMMYFUNCTION("""COMPUTED_VALUE"""),"VES")</f>
        <v>VES</v>
      </c>
      <c r="E387" s="22" t="str">
        <f>IFERROR(__xludf.DUMMYFUNCTION("""COMPUTED_VALUE"""),"Bancamiga")</f>
        <v>Bancamiga</v>
      </c>
      <c r="F387" s="22" t="str">
        <f>IFERROR(__xludf.DUMMYFUNCTION("""COMPUTED_VALUE"""),"INVERSIONES JOSCAR  XXI, S.A.")</f>
        <v>INVERSIONES JOSCAR  XXI, S.A.</v>
      </c>
      <c r="G387" s="19">
        <v>526.8694</v>
      </c>
      <c r="H387" s="13"/>
      <c r="I387" s="14">
        <f t="shared" si="1"/>
        <v>199.2903744</v>
      </c>
      <c r="J387" s="15">
        <f t="shared" si="2"/>
        <v>0</v>
      </c>
      <c r="K387" s="14">
        <f t="shared" si="3"/>
        <v>199.2903744</v>
      </c>
      <c r="L387" s="16" t="str">
        <f>IFERROR(__xludf.DUMMYFUNCTION("IFERROR(
  IF(
    VLOOKUP(C387, IMPORTRANGE(""gid=860555792"", ""Maestro!B:C""), 2, FALSE) = D387, 
    ""CONCILIADO"", 
    ""ERROR EN MONTO""
  ), 
  ""NO ENCONTRADO EN MAESTRO""
)"),"NO ENCONTRADO EN MAESTRO")</f>
        <v>NO ENCONTRADO EN MAESTRO</v>
      </c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ht="22.5" customHeight="1">
      <c r="A388" s="25">
        <f>IFERROR(__xludf.DUMMYFUNCTION("""COMPUTED_VALUE"""),46140.0)</f>
        <v>46140</v>
      </c>
      <c r="B388" s="15">
        <f>IFERROR(__xludf.DUMMYFUNCTION("""COMPUTED_VALUE"""),209.0)</f>
        <v>209</v>
      </c>
      <c r="C388" s="21">
        <f>IFERROR(__xludf.DUMMYFUNCTION("""COMPUTED_VALUE"""),41.0)</f>
        <v>41</v>
      </c>
      <c r="D388" s="22" t="str">
        <f>IFERROR(__xludf.DUMMYFUNCTION("""COMPUTED_VALUE"""),"USD")</f>
        <v>USD</v>
      </c>
      <c r="E388" s="22" t="str">
        <f>IFERROR(__xludf.DUMMYFUNCTION("""COMPUTED_VALUE"""),"Efectivo USD")</f>
        <v>Efectivo USD</v>
      </c>
      <c r="F388" s="22" t="str">
        <f>IFERROR(__xludf.DUMMYFUNCTION("""COMPUTED_VALUE"""),"Inversiones Mirelkys C.A")</f>
        <v>Inversiones Mirelkys C.A</v>
      </c>
      <c r="G388" s="19">
        <v>526.8694</v>
      </c>
      <c r="H388" s="13"/>
      <c r="I388" s="14">
        <f t="shared" si="1"/>
        <v>41</v>
      </c>
      <c r="J388" s="15">
        <f t="shared" si="2"/>
        <v>41</v>
      </c>
      <c r="K388" s="14">
        <f t="shared" si="3"/>
        <v>41</v>
      </c>
      <c r="L388" s="16" t="str">
        <f>IFERROR(__xludf.DUMMYFUNCTION("IFERROR(
  IF(
    VLOOKUP(C388, IMPORTRANGE(""gid=860555792"", ""Maestro!B:C""), 2, FALSE) = D388, 
    ""CONCILIADO"", 
    ""ERROR EN MONTO""
  ), 
  ""NO ENCONTRADO EN MAESTRO""
)"),"NO ENCONTRADO EN MAESTRO")</f>
        <v>NO ENCONTRADO EN MAESTRO</v>
      </c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ht="22.5" customHeight="1">
      <c r="A389" s="25">
        <f>IFERROR(__xludf.DUMMYFUNCTION("""COMPUTED_VALUE"""),46169.0)</f>
        <v>46169</v>
      </c>
      <c r="B389" s="15">
        <f>IFERROR(__xludf.DUMMYFUNCTION("""COMPUTED_VALUE"""),250.0)</f>
        <v>250</v>
      </c>
      <c r="C389" s="21">
        <f>IFERROR(__xludf.DUMMYFUNCTION("""COMPUTED_VALUE"""),20.0)</f>
        <v>20</v>
      </c>
      <c r="D389" s="22" t="str">
        <f>IFERROR(__xludf.DUMMYFUNCTION("""COMPUTED_VALUE"""),"USD")</f>
        <v>USD</v>
      </c>
      <c r="E389" s="22" t="str">
        <f>IFERROR(__xludf.DUMMYFUNCTION("""COMPUTED_VALUE"""),"Efectivo USD")</f>
        <v>Efectivo USD</v>
      </c>
      <c r="F389" s="22" t="str">
        <f>IFERROR(__xludf.DUMMYFUNCTION("""COMPUTED_VALUE"""),"Manuel Emilio Reyes")</f>
        <v>Manuel Emilio Reyes</v>
      </c>
      <c r="G389" s="19">
        <v>544.5794</v>
      </c>
      <c r="H389" s="13"/>
      <c r="I389" s="14">
        <f t="shared" si="1"/>
        <v>20</v>
      </c>
      <c r="J389" s="15">
        <f t="shared" si="2"/>
        <v>20</v>
      </c>
      <c r="K389" s="14">
        <f t="shared" si="3"/>
        <v>20</v>
      </c>
      <c r="L389" s="16" t="str">
        <f>IFERROR(__xludf.DUMMYFUNCTION("IFERROR(
  IF(
    VLOOKUP(C389, IMPORTRANGE(""gid=860555792"", ""Maestro!B:C""), 2, FALSE) = D389, 
    ""CONCILIADO"", 
    ""ERROR EN MONTO""
  ), 
  ""NO ENCONTRADO EN MAESTRO""
)"),"NO ENCONTRADO EN MAESTRO")</f>
        <v>NO ENCONTRADO EN MAESTRO</v>
      </c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ht="22.5" customHeight="1">
      <c r="A390" s="25">
        <f>IFERROR(__xludf.DUMMYFUNCTION("""COMPUTED_VALUE"""),46169.0)</f>
        <v>46169</v>
      </c>
      <c r="B390" s="15">
        <f>IFERROR(__xludf.DUMMYFUNCTION("""COMPUTED_VALUE"""),424.0)</f>
        <v>424</v>
      </c>
      <c r="C390" s="21">
        <f>IFERROR(__xludf.DUMMYFUNCTION("""COMPUTED_VALUE"""),220059.0)</f>
        <v>220059</v>
      </c>
      <c r="D390" s="22" t="str">
        <f>IFERROR(__xludf.DUMMYFUNCTION("""COMPUTED_VALUE"""),"VES")</f>
        <v>VES</v>
      </c>
      <c r="E390" s="22" t="str">
        <f>IFERROR(__xludf.DUMMYFUNCTION("""COMPUTED_VALUE"""),"Efectivo USD")</f>
        <v>Efectivo USD</v>
      </c>
      <c r="F390" s="22" t="str">
        <f>IFERROR(__xludf.DUMMYFUNCTION("""COMPUTED_VALUE"""),"Antonio Terán")</f>
        <v>Antonio Terán</v>
      </c>
      <c r="G390" s="19">
        <v>540.0431</v>
      </c>
      <c r="H390" s="13"/>
      <c r="I390" s="14">
        <f t="shared" si="1"/>
        <v>407.4841434</v>
      </c>
      <c r="J390" s="15">
        <f t="shared" si="2"/>
        <v>0</v>
      </c>
      <c r="K390" s="14">
        <f t="shared" si="3"/>
        <v>407.4841434</v>
      </c>
      <c r="L390" s="16" t="str">
        <f>IFERROR(__xludf.DUMMYFUNCTION("IFERROR(
  IF(
    VLOOKUP(C390, IMPORTRANGE(""gid=860555792"", ""Maestro!B:C""), 2, FALSE) = D390, 
    ""CONCILIADO"", 
    ""ERROR EN MONTO""
  ), 
  ""NO ENCONTRADO EN MAESTRO""
)"),"NO ENCONTRADO EN MAESTRO")</f>
        <v>NO ENCONTRADO EN MAESTRO</v>
      </c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ht="22.5" customHeight="1">
      <c r="A391" s="25">
        <f>IFERROR(__xludf.DUMMYFUNCTION("""COMPUTED_VALUE"""),46168.0)</f>
        <v>46168</v>
      </c>
      <c r="B391" s="15">
        <f>IFERROR(__xludf.DUMMYFUNCTION("""COMPUTED_VALUE"""),452.0)</f>
        <v>452</v>
      </c>
      <c r="C391" s="21">
        <f>IFERROR(__xludf.DUMMYFUNCTION("""COMPUTED_VALUE"""),320.0)</f>
        <v>320</v>
      </c>
      <c r="D391" s="22" t="str">
        <f>IFERROR(__xludf.DUMMYFUNCTION("""COMPUTED_VALUE"""),"USD")</f>
        <v>USD</v>
      </c>
      <c r="E391" s="22" t="str">
        <f>IFERROR(__xludf.DUMMYFUNCTION("""COMPUTED_VALUE"""),"Efectivo USD")</f>
        <v>Efectivo USD</v>
      </c>
      <c r="F391" s="22" t="str">
        <f>IFERROR(__xludf.DUMMYFUNCTION("""COMPUTED_VALUE"""),"NAUDY MARTINEZ")</f>
        <v>NAUDY MARTINEZ</v>
      </c>
      <c r="G391" s="19">
        <v>540.0431</v>
      </c>
      <c r="H391" s="13"/>
      <c r="I391" s="14">
        <f t="shared" si="1"/>
        <v>320</v>
      </c>
      <c r="J391" s="15">
        <f t="shared" si="2"/>
        <v>320</v>
      </c>
      <c r="K391" s="14">
        <f t="shared" si="3"/>
        <v>320</v>
      </c>
      <c r="L391" s="16" t="str">
        <f>IFERROR(__xludf.DUMMYFUNCTION("IFERROR(
  IF(
    VLOOKUP(C391, IMPORTRANGE(""gid=860555792"", ""Maestro!B:C""), 2, FALSE) = D391, 
    ""CONCILIADO"", 
    ""ERROR EN MONTO""
  ), 
  ""NO ENCONTRADO EN MAESTRO""
)"),"NO ENCONTRADO EN MAESTRO")</f>
        <v>NO ENCONTRADO EN MAESTRO</v>
      </c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ht="22.5" customHeight="1">
      <c r="A392" s="25">
        <f>IFERROR(__xludf.DUMMYFUNCTION("""COMPUTED_VALUE"""),46168.0)</f>
        <v>46168</v>
      </c>
      <c r="B392" s="15">
        <f>IFERROR(__xludf.DUMMYFUNCTION("""COMPUTED_VALUE"""),454.0)</f>
        <v>454</v>
      </c>
      <c r="C392" s="21">
        <f>IFERROR(__xludf.DUMMYFUNCTION("""COMPUTED_VALUE"""),20.0)</f>
        <v>20</v>
      </c>
      <c r="D392" s="22" t="str">
        <f>IFERROR(__xludf.DUMMYFUNCTION("""COMPUTED_VALUE"""),"USD")</f>
        <v>USD</v>
      </c>
      <c r="E392" s="22" t="str">
        <f>IFERROR(__xludf.DUMMYFUNCTION("""COMPUTED_VALUE"""),"Efectivo USD")</f>
        <v>Efectivo USD</v>
      </c>
      <c r="F392" s="22" t="str">
        <f>IFERROR(__xludf.DUMMYFUNCTION("""COMPUTED_VALUE"""),"NAUDY MARTINEZ")</f>
        <v>NAUDY MARTINEZ</v>
      </c>
      <c r="G392" s="19">
        <v>535.3853</v>
      </c>
      <c r="H392" s="13"/>
      <c r="I392" s="14">
        <f t="shared" si="1"/>
        <v>20</v>
      </c>
      <c r="J392" s="15">
        <f t="shared" si="2"/>
        <v>20</v>
      </c>
      <c r="K392" s="14">
        <f t="shared" si="3"/>
        <v>20</v>
      </c>
      <c r="L392" s="16" t="str">
        <f>IFERROR(__xludf.DUMMYFUNCTION("IFERROR(
  IF(
    VLOOKUP(C392, IMPORTRANGE(""gid=860555792"", ""Maestro!B:C""), 2, FALSE) = D392, 
    ""CONCILIADO"", 
    ""ERROR EN MONTO""
  ), 
  ""NO ENCONTRADO EN MAESTRO""
)"),"NO ENCONTRADO EN MAESTRO")</f>
        <v>NO ENCONTRADO EN MAESTRO</v>
      </c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ht="22.5" customHeight="1">
      <c r="A393" s="25">
        <f>IFERROR(__xludf.DUMMYFUNCTION("""COMPUTED_VALUE"""),46168.0)</f>
        <v>46168</v>
      </c>
      <c r="B393" s="15">
        <f>IFERROR(__xludf.DUMMYFUNCTION("""COMPUTED_VALUE"""),454.0)</f>
        <v>454</v>
      </c>
      <c r="C393" s="21">
        <f>IFERROR(__xludf.DUMMYFUNCTION("""COMPUTED_VALUE"""),2200.0)</f>
        <v>2200</v>
      </c>
      <c r="D393" s="22" t="str">
        <f>IFERROR(__xludf.DUMMYFUNCTION("""COMPUTED_VALUE"""),"VES")</f>
        <v>VES</v>
      </c>
      <c r="E393" s="22" t="str">
        <f>IFERROR(__xludf.DUMMYFUNCTION("""COMPUTED_VALUE"""),"Provincial")</f>
        <v>Provincial</v>
      </c>
      <c r="F393" s="22" t="str">
        <f>IFERROR(__xludf.DUMMYFUNCTION("""COMPUTED_VALUE"""),"NAUDY MARTINEZ")</f>
        <v>NAUDY MARTINEZ</v>
      </c>
      <c r="G393" s="19">
        <v>535.3853</v>
      </c>
      <c r="H393" s="13"/>
      <c r="I393" s="14">
        <f t="shared" si="1"/>
        <v>4.109190148</v>
      </c>
      <c r="J393" s="15">
        <f t="shared" si="2"/>
        <v>0</v>
      </c>
      <c r="K393" s="14">
        <f t="shared" si="3"/>
        <v>4.109190148</v>
      </c>
      <c r="L393" s="16" t="str">
        <f>IFERROR(__xludf.DUMMYFUNCTION("IFERROR(
  IF(
    VLOOKUP(C393, IMPORTRANGE(""gid=860555792"", ""Maestro!B:C""), 2, FALSE) = D393, 
    ""CONCILIADO"", 
    ""ERROR EN MONTO""
  ), 
  ""NO ENCONTRADO EN MAESTRO""
)"),"NO ENCONTRADO EN MAESTRO")</f>
        <v>NO ENCONTRADO EN MAESTRO</v>
      </c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ht="22.5" customHeight="1">
      <c r="A394" s="25">
        <f>IFERROR(__xludf.DUMMYFUNCTION("""COMPUTED_VALUE"""),46169.0)</f>
        <v>46169</v>
      </c>
      <c r="B394" s="15">
        <f>IFERROR(__xludf.DUMMYFUNCTION("""COMPUTED_VALUE"""),243.0)</f>
        <v>243</v>
      </c>
      <c r="C394" s="21">
        <f>IFERROR(__xludf.DUMMYFUNCTION("""COMPUTED_VALUE"""),22200.0)</f>
        <v>22200</v>
      </c>
      <c r="D394" s="22" t="str">
        <f>IFERROR(__xludf.DUMMYFUNCTION("""COMPUTED_VALUE"""),"VES")</f>
        <v>VES</v>
      </c>
      <c r="E394" s="22" t="str">
        <f>IFERROR(__xludf.DUMMYFUNCTION("""COMPUTED_VALUE"""),"Bancamiga")</f>
        <v>Bancamiga</v>
      </c>
      <c r="F394" s="22" t="str">
        <f>IFERROR(__xludf.DUMMYFUNCTION("""COMPUTED_VALUE"""),"Cauchera William 2018, C.A")</f>
        <v>Cauchera William 2018, C.A</v>
      </c>
      <c r="G394" s="19">
        <v>535.3853</v>
      </c>
      <c r="H394" s="13"/>
      <c r="I394" s="14">
        <f t="shared" si="1"/>
        <v>41.46546422</v>
      </c>
      <c r="J394" s="15">
        <f t="shared" si="2"/>
        <v>0</v>
      </c>
      <c r="K394" s="14">
        <f t="shared" si="3"/>
        <v>41.46546422</v>
      </c>
      <c r="L394" s="16" t="str">
        <f>IFERROR(__xludf.DUMMYFUNCTION("IFERROR(
  IF(
    VLOOKUP(C394, IMPORTRANGE(""gid=860555792"", ""Maestro!B:C""), 2, FALSE) = D394, 
    ""CONCILIADO"", 
    ""ERROR EN MONTO""
  ), 
  ""NO ENCONTRADO EN MAESTRO""
)"),"NO ENCONTRADO EN MAESTRO")</f>
        <v>NO ENCONTRADO EN MAESTRO</v>
      </c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ht="22.5" customHeight="1">
      <c r="A395" s="25">
        <f>IFERROR(__xludf.DUMMYFUNCTION("""COMPUTED_VALUE"""),46169.0)</f>
        <v>46169</v>
      </c>
      <c r="B395" s="15">
        <f>IFERROR(__xludf.DUMMYFUNCTION("""COMPUTED_VALUE"""),243.0)</f>
        <v>243</v>
      </c>
      <c r="C395" s="21">
        <f>IFERROR(__xludf.DUMMYFUNCTION("""COMPUTED_VALUE"""),15.0)</f>
        <v>15</v>
      </c>
      <c r="D395" s="22" t="str">
        <f>IFERROR(__xludf.DUMMYFUNCTION("""COMPUTED_VALUE"""),"USD")</f>
        <v>USD</v>
      </c>
      <c r="E395" s="22" t="str">
        <f>IFERROR(__xludf.DUMMYFUNCTION("""COMPUTED_VALUE"""),"Efectivo USD")</f>
        <v>Efectivo USD</v>
      </c>
      <c r="F395" s="22" t="str">
        <f>IFERROR(__xludf.DUMMYFUNCTION("""COMPUTED_VALUE"""),"Cauchera William 2018, C.A")</f>
        <v>Cauchera William 2018, C.A</v>
      </c>
      <c r="G395" s="19">
        <v>540.0431</v>
      </c>
      <c r="H395" s="13"/>
      <c r="I395" s="14">
        <f t="shared" si="1"/>
        <v>15</v>
      </c>
      <c r="J395" s="15">
        <f t="shared" si="2"/>
        <v>15</v>
      </c>
      <c r="K395" s="14">
        <f t="shared" si="3"/>
        <v>15</v>
      </c>
      <c r="L395" s="16" t="str">
        <f>IFERROR(__xludf.DUMMYFUNCTION("IFERROR(
  IF(
    VLOOKUP(C395, IMPORTRANGE(""gid=860555792"", ""Maestro!B:C""), 2, FALSE) = D395, 
    ""CONCILIADO"", 
    ""ERROR EN MONTO""
  ), 
  ""NO ENCONTRADO EN MAESTRO""
)"),"NO ENCONTRADO EN MAESTRO")</f>
        <v>NO ENCONTRADO EN MAESTRO</v>
      </c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ht="22.5" customHeight="1">
      <c r="A396" s="25">
        <f>IFERROR(__xludf.DUMMYFUNCTION("""COMPUTED_VALUE"""),46169.0)</f>
        <v>46169</v>
      </c>
      <c r="B396" s="15">
        <f>IFERROR(__xludf.DUMMYFUNCTION("""COMPUTED_VALUE"""),451.0)</f>
        <v>451</v>
      </c>
      <c r="C396" s="21">
        <f>IFERROR(__xludf.DUMMYFUNCTION("""COMPUTED_VALUE"""),249.0)</f>
        <v>249</v>
      </c>
      <c r="D396" s="22" t="str">
        <f>IFERROR(__xludf.DUMMYFUNCTION("""COMPUTED_VALUE"""),"USD")</f>
        <v>USD</v>
      </c>
      <c r="E396" s="22" t="str">
        <f>IFERROR(__xludf.DUMMYFUNCTION("""COMPUTED_VALUE"""),"Efectivo USD")</f>
        <v>Efectivo USD</v>
      </c>
      <c r="F396" s="22" t="str">
        <f>IFERROR(__xludf.DUMMYFUNCTION("""COMPUTED_VALUE"""),"EMPRENDIMIENTO IRMA RODRIGUEZ 6")</f>
        <v>EMPRENDIMIENTO IRMA RODRIGUEZ 6</v>
      </c>
      <c r="G396" s="19">
        <v>540.0431</v>
      </c>
      <c r="H396" s="13"/>
      <c r="I396" s="14">
        <f t="shared" si="1"/>
        <v>249</v>
      </c>
      <c r="J396" s="15">
        <f t="shared" si="2"/>
        <v>249</v>
      </c>
      <c r="K396" s="14">
        <f t="shared" si="3"/>
        <v>249</v>
      </c>
      <c r="L396" s="16" t="str">
        <f>IFERROR(__xludf.DUMMYFUNCTION("IFERROR(
  IF(
    VLOOKUP(C396, IMPORTRANGE(""gid=860555792"", ""Maestro!B:C""), 2, FALSE) = D396, 
    ""CONCILIADO"", 
    ""ERROR EN MONTO""
  ), 
  ""NO ENCONTRADO EN MAESTRO""
)"),"NO ENCONTRADO EN MAESTRO")</f>
        <v>NO ENCONTRADO EN MAESTRO</v>
      </c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ht="22.5" customHeight="1">
      <c r="A397" s="25">
        <f>IFERROR(__xludf.DUMMYFUNCTION("""COMPUTED_VALUE"""),46169.0)</f>
        <v>46169</v>
      </c>
      <c r="B397" s="15">
        <f>IFERROR(__xludf.DUMMYFUNCTION("""COMPUTED_VALUE"""),349.0)</f>
        <v>349</v>
      </c>
      <c r="C397" s="21">
        <f>IFERROR(__xludf.DUMMYFUNCTION("""COMPUTED_VALUE"""),50.0)</f>
        <v>50</v>
      </c>
      <c r="D397" s="22" t="str">
        <f>IFERROR(__xludf.DUMMYFUNCTION("""COMPUTED_VALUE"""),"USD")</f>
        <v>USD</v>
      </c>
      <c r="E397" s="22" t="str">
        <f>IFERROR(__xludf.DUMMYFUNCTION("""COMPUTED_VALUE"""),"Efectivo USD")</f>
        <v>Efectivo USD</v>
      </c>
      <c r="F397" s="22" t="str">
        <f>IFERROR(__xludf.DUMMYFUNCTION("""COMPUTED_VALUE"""),"CLUDE CARVALHO DE ACOSTA")</f>
        <v>CLUDE CARVALHO DE ACOSTA</v>
      </c>
      <c r="G397" s="19">
        <v>540.0431</v>
      </c>
      <c r="H397" s="13"/>
      <c r="I397" s="14">
        <f t="shared" si="1"/>
        <v>50</v>
      </c>
      <c r="J397" s="15">
        <f t="shared" si="2"/>
        <v>50</v>
      </c>
      <c r="K397" s="14">
        <f t="shared" si="3"/>
        <v>50</v>
      </c>
      <c r="L397" s="16" t="str">
        <f>IFERROR(__xludf.DUMMYFUNCTION("IFERROR(
  IF(
    VLOOKUP(C397, IMPORTRANGE(""gid=860555792"", ""Maestro!B:C""), 2, FALSE) = D397, 
    ""CONCILIADO"", 
    ""ERROR EN MONTO""
  ), 
  ""NO ENCONTRADO EN MAESTRO""
)"),"NO ENCONTRADO EN MAESTRO")</f>
        <v>NO ENCONTRADO EN MAESTRO</v>
      </c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ht="22.5" customHeight="1">
      <c r="A398" s="25">
        <f>IFERROR(__xludf.DUMMYFUNCTION("""COMPUTED_VALUE"""),46169.0)</f>
        <v>46169</v>
      </c>
      <c r="B398" s="15">
        <f>IFERROR(__xludf.DUMMYFUNCTION("""COMPUTED_VALUE"""),332.0)</f>
        <v>332</v>
      </c>
      <c r="C398" s="21">
        <f>IFERROR(__xludf.DUMMYFUNCTION("""COMPUTED_VALUE"""),110.0)</f>
        <v>110</v>
      </c>
      <c r="D398" s="22" t="str">
        <f>IFERROR(__xludf.DUMMYFUNCTION("""COMPUTED_VALUE"""),"USD")</f>
        <v>USD</v>
      </c>
      <c r="E398" s="22" t="str">
        <f>IFERROR(__xludf.DUMMYFUNCTION("""COMPUTED_VALUE"""),"Efectivo USD")</f>
        <v>Efectivo USD</v>
      </c>
      <c r="F398" s="22" t="str">
        <f>IFERROR(__xludf.DUMMYFUNCTION("""COMPUTED_VALUE"""),"Inversiones García GL C.A")</f>
        <v>Inversiones García GL C.A</v>
      </c>
      <c r="G398" s="19">
        <v>540.0431</v>
      </c>
      <c r="H398" s="13"/>
      <c r="I398" s="14">
        <f t="shared" si="1"/>
        <v>110</v>
      </c>
      <c r="J398" s="15">
        <f t="shared" si="2"/>
        <v>110</v>
      </c>
      <c r="K398" s="14">
        <f t="shared" si="3"/>
        <v>110</v>
      </c>
      <c r="L398" s="16" t="str">
        <f>IFERROR(__xludf.DUMMYFUNCTION("IFERROR(
  IF(
    VLOOKUP(C398, IMPORTRANGE(""gid=860555792"", ""Maestro!B:C""), 2, FALSE) = D398, 
    ""CONCILIADO"", 
    ""ERROR EN MONTO""
  ), 
  ""NO ENCONTRADO EN MAESTRO""
)"),"NO ENCONTRADO EN MAESTRO")</f>
        <v>NO ENCONTRADO EN MAESTRO</v>
      </c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ht="22.5" customHeight="1">
      <c r="A399" s="25">
        <f>IFERROR(__xludf.DUMMYFUNCTION("""COMPUTED_VALUE"""),46169.0)</f>
        <v>46169</v>
      </c>
      <c r="B399" s="15">
        <f>IFERROR(__xludf.DUMMYFUNCTION("""COMPUTED_VALUE"""),443.0)</f>
        <v>443</v>
      </c>
      <c r="C399" s="21">
        <f>IFERROR(__xludf.DUMMYFUNCTION("""COMPUTED_VALUE"""),139208.18)</f>
        <v>139208.18</v>
      </c>
      <c r="D399" s="22" t="str">
        <f>IFERROR(__xludf.DUMMYFUNCTION("""COMPUTED_VALUE"""),"VES")</f>
        <v>VES</v>
      </c>
      <c r="E399" s="22" t="str">
        <f>IFERROR(__xludf.DUMMYFUNCTION("""COMPUTED_VALUE"""),"Bancamiga")</f>
        <v>Bancamiga</v>
      </c>
      <c r="F399" s="22" t="str">
        <f>IFERROR(__xludf.DUMMYFUNCTION("""COMPUTED_VALUE"""),"ZIP MARKET, CA")</f>
        <v>ZIP MARKET, CA</v>
      </c>
      <c r="G399" s="19">
        <v>540.0431</v>
      </c>
      <c r="H399" s="13"/>
      <c r="I399" s="14">
        <f t="shared" si="1"/>
        <v>257.7723519</v>
      </c>
      <c r="J399" s="15">
        <f t="shared" si="2"/>
        <v>0</v>
      </c>
      <c r="K399" s="14">
        <f t="shared" si="3"/>
        <v>257.7723519</v>
      </c>
      <c r="L399" s="16" t="str">
        <f>IFERROR(__xludf.DUMMYFUNCTION("IFERROR(
  IF(
    VLOOKUP(C399, IMPORTRANGE(""gid=860555792"", ""Maestro!B:C""), 2, FALSE) = D399, 
    ""CONCILIADO"", 
    ""ERROR EN MONTO""
  ), 
  ""NO ENCONTRADO EN MAESTRO""
)"),"NO ENCONTRADO EN MAESTRO")</f>
        <v>NO ENCONTRADO EN MAESTRO</v>
      </c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ht="22.5" customHeight="1">
      <c r="A400" s="25">
        <f>IFERROR(__xludf.DUMMYFUNCTION("""COMPUTED_VALUE"""),46169.0)</f>
        <v>46169</v>
      </c>
      <c r="B400" s="15">
        <f>IFERROR(__xludf.DUMMYFUNCTION("""COMPUTED_VALUE"""),74.0)</f>
        <v>74</v>
      </c>
      <c r="C400" s="21">
        <f>IFERROR(__xludf.DUMMYFUNCTION("""COMPUTED_VALUE"""),45822.1)</f>
        <v>45822.1</v>
      </c>
      <c r="D400" s="22" t="str">
        <f>IFERROR(__xludf.DUMMYFUNCTION("""COMPUTED_VALUE"""),"VES")</f>
        <v>VES</v>
      </c>
      <c r="E400" s="22" t="str">
        <f>IFERROR(__xludf.DUMMYFUNCTION("""COMPUTED_VALUE"""),"Efectivo VES")</f>
        <v>Efectivo VES</v>
      </c>
      <c r="F400" s="22" t="str">
        <f>IFERROR(__xludf.DUMMYFUNCTION("""COMPUTED_VALUE"""),"Servicios Nicolazzo 97, C.A")</f>
        <v>Servicios Nicolazzo 97, C.A</v>
      </c>
      <c r="G400" s="19">
        <v>540.0431</v>
      </c>
      <c r="H400" s="13"/>
      <c r="I400" s="14">
        <f t="shared" si="1"/>
        <v>84.84896854</v>
      </c>
      <c r="J400" s="15">
        <f t="shared" si="2"/>
        <v>0</v>
      </c>
      <c r="K400" s="14">
        <f t="shared" si="3"/>
        <v>84.84896854</v>
      </c>
      <c r="L400" s="16" t="str">
        <f>IFERROR(__xludf.DUMMYFUNCTION("IFERROR(
  IF(
    VLOOKUP(C400, IMPORTRANGE(""gid=860555792"", ""Maestro!B:C""), 2, FALSE) = D400, 
    ""CONCILIADO"", 
    ""ERROR EN MONTO""
  ), 
  ""NO ENCONTRADO EN MAESTRO""
)"),"NO ENCONTRADO EN MAESTRO")</f>
        <v>NO ENCONTRADO EN MAESTRO</v>
      </c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ht="22.5" customHeight="1">
      <c r="A401" s="25">
        <f>IFERROR(__xludf.DUMMYFUNCTION("""COMPUTED_VALUE"""),46169.0)</f>
        <v>46169</v>
      </c>
      <c r="B401" s="15">
        <f>IFERROR(__xludf.DUMMYFUNCTION("""COMPUTED_VALUE"""),306.0)</f>
        <v>306</v>
      </c>
      <c r="C401" s="21">
        <f>IFERROR(__xludf.DUMMYFUNCTION("""COMPUTED_VALUE"""),5963.0)</f>
        <v>5963</v>
      </c>
      <c r="D401" s="22" t="str">
        <f>IFERROR(__xludf.DUMMYFUNCTION("""COMPUTED_VALUE"""),"VES")</f>
        <v>VES</v>
      </c>
      <c r="E401" s="22" t="str">
        <f>IFERROR(__xludf.DUMMYFUNCTION("""COMPUTED_VALUE"""),"Efectivo VES")</f>
        <v>Efectivo VES</v>
      </c>
      <c r="F401" s="22" t="str">
        <f>IFERROR(__xludf.DUMMYFUNCTION("""COMPUTED_VALUE"""),"LUBRIREPUESTOS PANORAMA, C.A.")</f>
        <v>LUBRIREPUESTOS PANORAMA, C.A.</v>
      </c>
      <c r="G401" s="19">
        <v>540.0431</v>
      </c>
      <c r="H401" s="13"/>
      <c r="I401" s="14">
        <f t="shared" si="1"/>
        <v>11.0417113</v>
      </c>
      <c r="J401" s="15">
        <f t="shared" si="2"/>
        <v>0</v>
      </c>
      <c r="K401" s="14">
        <f t="shared" si="3"/>
        <v>11.0417113</v>
      </c>
      <c r="L401" s="16" t="str">
        <f>IFERROR(__xludf.DUMMYFUNCTION("IFERROR(
  IF(
    VLOOKUP(C401, IMPORTRANGE(""gid=860555792"", ""Maestro!B:C""), 2, FALSE) = D401, 
    ""CONCILIADO"", 
    ""ERROR EN MONTO""
  ), 
  ""NO ENCONTRADO EN MAESTRO""
)"),"NO ENCONTRADO EN MAESTRO")</f>
        <v>NO ENCONTRADO EN MAESTRO</v>
      </c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ht="22.5" customHeight="1">
      <c r="A402" s="25">
        <f>IFERROR(__xludf.DUMMYFUNCTION("""COMPUTED_VALUE"""),46170.0)</f>
        <v>46170</v>
      </c>
      <c r="B402" s="15">
        <f>IFERROR(__xludf.DUMMYFUNCTION("""COMPUTED_VALUE"""),231.0)</f>
        <v>231</v>
      </c>
      <c r="C402" s="21">
        <f>IFERROR(__xludf.DUMMYFUNCTION("""COMPUTED_VALUE"""),200.0)</f>
        <v>200</v>
      </c>
      <c r="D402" s="22" t="str">
        <f>IFERROR(__xludf.DUMMYFUNCTION("""COMPUTED_VALUE"""),"USD")</f>
        <v>USD</v>
      </c>
      <c r="E402" s="22" t="str">
        <f>IFERROR(__xludf.DUMMYFUNCTION("""COMPUTED_VALUE"""),"Efectivo USD")</f>
        <v>Efectivo USD</v>
      </c>
      <c r="F402" s="22" t="str">
        <f>IFERROR(__xludf.DUMMYFUNCTION("""COMPUTED_VALUE"""),"Constructora  Campo Urbano,c.a.")</f>
        <v>Constructora  Campo Urbano,c.a.</v>
      </c>
      <c r="G402" s="19">
        <v>540.0431</v>
      </c>
      <c r="H402" s="13"/>
      <c r="I402" s="14">
        <f t="shared" si="1"/>
        <v>200</v>
      </c>
      <c r="J402" s="15">
        <f t="shared" si="2"/>
        <v>200</v>
      </c>
      <c r="K402" s="14">
        <f t="shared" si="3"/>
        <v>200</v>
      </c>
      <c r="L402" s="16" t="str">
        <f>IFERROR(__xludf.DUMMYFUNCTION("IFERROR(
  IF(
    VLOOKUP(C402, IMPORTRANGE(""gid=860555792"", ""Maestro!B:C""), 2, FALSE) = D402, 
    ""CONCILIADO"", 
    ""ERROR EN MONTO""
  ), 
  ""NO ENCONTRADO EN MAESTRO""
)"),"NO ENCONTRADO EN MAESTRO")</f>
        <v>NO ENCONTRADO EN MAESTRO</v>
      </c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ht="22.5" customHeight="1">
      <c r="A403" s="25">
        <f>IFERROR(__xludf.DUMMYFUNCTION("""COMPUTED_VALUE"""),46170.0)</f>
        <v>46170</v>
      </c>
      <c r="B403" s="15">
        <f>IFERROR(__xludf.DUMMYFUNCTION("""COMPUTED_VALUE"""),260.0)</f>
        <v>260</v>
      </c>
      <c r="C403" s="21">
        <f>IFERROR(__xludf.DUMMYFUNCTION("""COMPUTED_VALUE"""),61537.47)</f>
        <v>61537.47</v>
      </c>
      <c r="D403" s="22" t="str">
        <f>IFERROR(__xludf.DUMMYFUNCTION("""COMPUTED_VALUE"""),"VES")</f>
        <v>VES</v>
      </c>
      <c r="E403" s="22" t="str">
        <f>IFERROR(__xludf.DUMMYFUNCTION("""COMPUTED_VALUE"""),"Bancamiga")</f>
        <v>Bancamiga</v>
      </c>
      <c r="F403" s="22" t="str">
        <f>IFERROR(__xludf.DUMMYFUNCTION("""COMPUTED_VALUE"""),"Jose Lopez Espinoza")</f>
        <v>Jose Lopez Espinoza</v>
      </c>
      <c r="G403" s="19">
        <v>544.5794</v>
      </c>
      <c r="H403" s="13"/>
      <c r="I403" s="14">
        <f t="shared" si="1"/>
        <v>112.999996</v>
      </c>
      <c r="J403" s="15">
        <f t="shared" si="2"/>
        <v>0</v>
      </c>
      <c r="K403" s="14">
        <f t="shared" si="3"/>
        <v>112.999996</v>
      </c>
      <c r="L403" s="16" t="str">
        <f>IFERROR(__xludf.DUMMYFUNCTION("IFERROR(
  IF(
    VLOOKUP(C403, IMPORTRANGE(""gid=860555792"", ""Maestro!B:C""), 2, FALSE) = D403, 
    ""CONCILIADO"", 
    ""ERROR EN MONTO""
  ), 
  ""NO ENCONTRADO EN MAESTRO""
)"),"NO ENCONTRADO EN MAESTRO")</f>
        <v>NO ENCONTRADO EN MAESTRO</v>
      </c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ht="22.5" customHeight="1">
      <c r="A404" s="25">
        <f>IFERROR(__xludf.DUMMYFUNCTION("""COMPUTED_VALUE"""),46170.0)</f>
        <v>46170</v>
      </c>
      <c r="B404" s="15">
        <f>IFERROR(__xludf.DUMMYFUNCTION("""COMPUTED_VALUE"""),330.0)</f>
        <v>330</v>
      </c>
      <c r="C404" s="21">
        <f>IFERROR(__xludf.DUMMYFUNCTION("""COMPUTED_VALUE"""),32675.0)</f>
        <v>32675</v>
      </c>
      <c r="D404" s="22" t="str">
        <f>IFERROR(__xludf.DUMMYFUNCTION("""COMPUTED_VALUE"""),"VES")</f>
        <v>VES</v>
      </c>
      <c r="E404" s="22" t="str">
        <f>IFERROR(__xludf.DUMMYFUNCTION("""COMPUTED_VALUE"""),"Bancamiga")</f>
        <v>Bancamiga</v>
      </c>
      <c r="F404" s="22" t="str">
        <f>IFERROR(__xludf.DUMMYFUNCTION("""COMPUTED_VALUE"""),"Diana Carolina Torres")</f>
        <v>Diana Carolina Torres</v>
      </c>
      <c r="G404" s="19">
        <v>544.5794</v>
      </c>
      <c r="H404" s="13"/>
      <c r="I404" s="14">
        <f t="shared" si="1"/>
        <v>60.00043336</v>
      </c>
      <c r="J404" s="15">
        <f t="shared" si="2"/>
        <v>0</v>
      </c>
      <c r="K404" s="14">
        <f t="shared" si="3"/>
        <v>60.00043336</v>
      </c>
      <c r="L404" s="16" t="str">
        <f>IFERROR(__xludf.DUMMYFUNCTION("IFERROR(
  IF(
    VLOOKUP(C404, IMPORTRANGE(""gid=860555792"", ""Maestro!B:C""), 2, FALSE) = D404, 
    ""CONCILIADO"", 
    ""ERROR EN MONTO""
  ), 
  ""NO ENCONTRADO EN MAESTRO""
)"),"NO ENCONTRADO EN MAESTRO")</f>
        <v>NO ENCONTRADO EN MAESTRO</v>
      </c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ht="22.5" customHeight="1">
      <c r="A405" s="25">
        <f>IFERROR(__xludf.DUMMYFUNCTION("""COMPUTED_VALUE"""),46170.0)</f>
        <v>46170</v>
      </c>
      <c r="B405" s="15">
        <f>IFERROR(__xludf.DUMMYFUNCTION("""COMPUTED_VALUE"""),341.0)</f>
        <v>341</v>
      </c>
      <c r="C405" s="21">
        <f>IFERROR(__xludf.DUMMYFUNCTION("""COMPUTED_VALUE"""),40.0)</f>
        <v>40</v>
      </c>
      <c r="D405" s="22" t="str">
        <f>IFERROR(__xludf.DUMMYFUNCTION("""COMPUTED_VALUE"""),"USD")</f>
        <v>USD</v>
      </c>
      <c r="E405" s="22" t="str">
        <f>IFERROR(__xludf.DUMMYFUNCTION("""COMPUTED_VALUE"""),"Efectivo USD")</f>
        <v>Efectivo USD</v>
      </c>
      <c r="F405" s="22" t="str">
        <f>IFERROR(__xludf.DUMMYFUNCTION("""COMPUTED_VALUE"""),"Automecanica Marilu 2014, C.A")</f>
        <v>Automecanica Marilu 2014, C.A</v>
      </c>
      <c r="G405" s="19">
        <v>544.5794</v>
      </c>
      <c r="H405" s="13"/>
      <c r="I405" s="14">
        <f t="shared" si="1"/>
        <v>40</v>
      </c>
      <c r="J405" s="15">
        <f t="shared" si="2"/>
        <v>40</v>
      </c>
      <c r="K405" s="14">
        <f t="shared" si="3"/>
        <v>40</v>
      </c>
      <c r="L405" s="16" t="str">
        <f>IFERROR(__xludf.DUMMYFUNCTION("IFERROR(
  IF(
    VLOOKUP(C405, IMPORTRANGE(""gid=860555792"", ""Maestro!B:C""), 2, FALSE) = D405, 
    ""CONCILIADO"", 
    ""ERROR EN MONTO""
  ), 
  ""NO ENCONTRADO EN MAESTRO""
)"),"NO ENCONTRADO EN MAESTRO")</f>
        <v>NO ENCONTRADO EN MAESTRO</v>
      </c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ht="22.5" customHeight="1">
      <c r="A406" s="25">
        <f>IFERROR(__xludf.DUMMYFUNCTION("""COMPUTED_VALUE"""),46170.0)</f>
        <v>46170</v>
      </c>
      <c r="B406" s="15">
        <f>IFERROR(__xludf.DUMMYFUNCTION("""COMPUTED_VALUE"""),198.0)</f>
        <v>198</v>
      </c>
      <c r="C406" s="21">
        <f>IFERROR(__xludf.DUMMYFUNCTION("""COMPUTED_VALUE"""),100.0)</f>
        <v>100</v>
      </c>
      <c r="D406" s="22" t="str">
        <f>IFERROR(__xludf.DUMMYFUNCTION("""COMPUTED_VALUE"""),"USD")</f>
        <v>USD</v>
      </c>
      <c r="E406" s="22" t="str">
        <f>IFERROR(__xludf.DUMMYFUNCTION("""COMPUTED_VALUE"""),"Efectivo USD")</f>
        <v>Efectivo USD</v>
      </c>
      <c r="F406" s="22" t="str">
        <f>IFERROR(__xludf.DUMMYFUNCTION("""COMPUTED_VALUE"""),"Autorepuestos Pitstop,c.a.")</f>
        <v>Autorepuestos Pitstop,c.a.</v>
      </c>
      <c r="G406" s="19">
        <v>544.5794</v>
      </c>
      <c r="H406" s="13"/>
      <c r="I406" s="14">
        <f t="shared" si="1"/>
        <v>100</v>
      </c>
      <c r="J406" s="15">
        <f t="shared" si="2"/>
        <v>100</v>
      </c>
      <c r="K406" s="14">
        <f t="shared" si="3"/>
        <v>100</v>
      </c>
      <c r="L406" s="16" t="str">
        <f>IFERROR(__xludf.DUMMYFUNCTION("IFERROR(
  IF(
    VLOOKUP(C406, IMPORTRANGE(""gid=860555792"", ""Maestro!B:C""), 2, FALSE) = D406, 
    ""CONCILIADO"", 
    ""ERROR EN MONTO""
  ), 
  ""NO ENCONTRADO EN MAESTRO""
)"),"NO ENCONTRADO EN MAESTRO")</f>
        <v>NO ENCONTRADO EN MAESTRO</v>
      </c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ht="22.5" customHeight="1">
      <c r="A407" s="25">
        <f>IFERROR(__xludf.DUMMYFUNCTION("""COMPUTED_VALUE"""),46170.0)</f>
        <v>46170</v>
      </c>
      <c r="B407" s="15">
        <f>IFERROR(__xludf.DUMMYFUNCTION("""COMPUTED_VALUE"""),395.0)</f>
        <v>395</v>
      </c>
      <c r="C407" s="21">
        <f>IFERROR(__xludf.DUMMYFUNCTION("""COMPUTED_VALUE"""),40.0)</f>
        <v>40</v>
      </c>
      <c r="D407" s="22" t="str">
        <f>IFERROR(__xludf.DUMMYFUNCTION("""COMPUTED_VALUE"""),"USD")</f>
        <v>USD</v>
      </c>
      <c r="E407" s="22" t="str">
        <f>IFERROR(__xludf.DUMMYFUNCTION("""COMPUTED_VALUE"""),"Efectivo USD")</f>
        <v>Efectivo USD</v>
      </c>
      <c r="F407" s="22" t="str">
        <f>IFERROR(__xludf.DUMMYFUNCTION("""COMPUTED_VALUE"""),"Emprendimiento Eduardo Pérez 6")</f>
        <v>Emprendimiento Eduardo Pérez 6</v>
      </c>
      <c r="G407" s="19">
        <v>544.5794</v>
      </c>
      <c r="H407" s="13"/>
      <c r="I407" s="14">
        <f t="shared" si="1"/>
        <v>40</v>
      </c>
      <c r="J407" s="15">
        <f t="shared" si="2"/>
        <v>40</v>
      </c>
      <c r="K407" s="14">
        <f t="shared" si="3"/>
        <v>40</v>
      </c>
      <c r="L407" s="16" t="str">
        <f>IFERROR(__xludf.DUMMYFUNCTION("IFERROR(
  IF(
    VLOOKUP(C407, IMPORTRANGE(""gid=860555792"", ""Maestro!B:C""), 2, FALSE) = D407, 
    ""CONCILIADO"", 
    ""ERROR EN MONTO""
  ), 
  ""NO ENCONTRADO EN MAESTRO""
)"),"NO ENCONTRADO EN MAESTRO")</f>
        <v>NO ENCONTRADO EN MAESTRO</v>
      </c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ht="22.5" customHeight="1">
      <c r="A408" s="25">
        <f>IFERROR(__xludf.DUMMYFUNCTION("""COMPUTED_VALUE"""),46170.0)</f>
        <v>46170</v>
      </c>
      <c r="B408" s="15">
        <f>IFERROR(__xludf.DUMMYFUNCTION("""COMPUTED_VALUE"""),402.0)</f>
        <v>402</v>
      </c>
      <c r="C408" s="21">
        <f>IFERROR(__xludf.DUMMYFUNCTION("""COMPUTED_VALUE"""),30.0)</f>
        <v>30</v>
      </c>
      <c r="D408" s="22" t="str">
        <f>IFERROR(__xludf.DUMMYFUNCTION("""COMPUTED_VALUE"""),"USD")</f>
        <v>USD</v>
      </c>
      <c r="E408" s="22" t="str">
        <f>IFERROR(__xludf.DUMMYFUNCTION("""COMPUTED_VALUE"""),"Efectivo USD")</f>
        <v>Efectivo USD</v>
      </c>
      <c r="F408" s="22" t="str">
        <f>IFERROR(__xludf.DUMMYFUNCTION("""COMPUTED_VALUE"""),"Jorge Luis camacaro")</f>
        <v>Jorge Luis camacaro</v>
      </c>
      <c r="G408" s="19">
        <v>544.5794</v>
      </c>
      <c r="H408" s="13"/>
      <c r="I408" s="14">
        <f t="shared" si="1"/>
        <v>30</v>
      </c>
      <c r="J408" s="15">
        <f t="shared" si="2"/>
        <v>30</v>
      </c>
      <c r="K408" s="14">
        <f t="shared" si="3"/>
        <v>30</v>
      </c>
      <c r="L408" s="16" t="str">
        <f>IFERROR(__xludf.DUMMYFUNCTION("IFERROR(
  IF(
    VLOOKUP(C408, IMPORTRANGE(""gid=860555792"", ""Maestro!B:C""), 2, FALSE) = D408, 
    ""CONCILIADO"", 
    ""ERROR EN MONTO""
  ), 
  ""NO ENCONTRADO EN MAESTRO""
)"),"NO ENCONTRADO EN MAESTRO")</f>
        <v>NO ENCONTRADO EN MAESTRO</v>
      </c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ht="22.5" customHeight="1">
      <c r="A409" s="25">
        <f>IFERROR(__xludf.DUMMYFUNCTION("""COMPUTED_VALUE"""),46170.0)</f>
        <v>46170</v>
      </c>
      <c r="B409" s="15">
        <f>IFERROR(__xludf.DUMMYFUNCTION("""COMPUTED_VALUE"""),292.0)</f>
        <v>292</v>
      </c>
      <c r="C409" s="21">
        <f>IFERROR(__xludf.DUMMYFUNCTION("""COMPUTED_VALUE"""),40.0)</f>
        <v>40</v>
      </c>
      <c r="D409" s="22" t="str">
        <f>IFERROR(__xludf.DUMMYFUNCTION("""COMPUTED_VALUE"""),"USD")</f>
        <v>USD</v>
      </c>
      <c r="E409" s="22" t="str">
        <f>IFERROR(__xludf.DUMMYFUNCTION("""COMPUTED_VALUE"""),"Efectivo USD")</f>
        <v>Efectivo USD</v>
      </c>
      <c r="F409" s="22" t="str">
        <f>IFERROR(__xludf.DUMMYFUNCTION("""COMPUTED_VALUE"""),"Jefferson rosales")</f>
        <v>Jefferson rosales</v>
      </c>
      <c r="G409" s="19">
        <v>544.5794</v>
      </c>
      <c r="H409" s="13"/>
      <c r="I409" s="14">
        <f t="shared" si="1"/>
        <v>40</v>
      </c>
      <c r="J409" s="15">
        <f t="shared" si="2"/>
        <v>40</v>
      </c>
      <c r="K409" s="14">
        <f t="shared" si="3"/>
        <v>40</v>
      </c>
      <c r="L409" s="16" t="str">
        <f>IFERROR(__xludf.DUMMYFUNCTION("IFERROR(
  IF(
    VLOOKUP(C409, IMPORTRANGE(""gid=860555792"", ""Maestro!B:C""), 2, FALSE) = D409, 
    ""CONCILIADO"", 
    ""ERROR EN MONTO""
  ), 
  ""NO ENCONTRADO EN MAESTRO""
)"),"NO ENCONTRADO EN MAESTRO")</f>
        <v>NO ENCONTRADO EN MAESTRO</v>
      </c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ht="22.5" customHeight="1">
      <c r="A410" s="25">
        <f>IFERROR(__xludf.DUMMYFUNCTION("""COMPUTED_VALUE"""),46170.0)</f>
        <v>46170</v>
      </c>
      <c r="B410" s="15">
        <f>IFERROR(__xludf.DUMMYFUNCTION("""COMPUTED_VALUE"""),292.0)</f>
        <v>292</v>
      </c>
      <c r="C410" s="21">
        <f>IFERROR(__xludf.DUMMYFUNCTION("""COMPUTED_VALUE"""),1633.54)</f>
        <v>1633.54</v>
      </c>
      <c r="D410" s="22" t="str">
        <f>IFERROR(__xludf.DUMMYFUNCTION("""COMPUTED_VALUE"""),"VES")</f>
        <v>VES</v>
      </c>
      <c r="E410" s="22" t="str">
        <f>IFERROR(__xludf.DUMMYFUNCTION("""COMPUTED_VALUE"""),"Bancamiga")</f>
        <v>Bancamiga</v>
      </c>
      <c r="F410" s="22" t="str">
        <f>IFERROR(__xludf.DUMMYFUNCTION("""COMPUTED_VALUE"""),"Jefferson rosales")</f>
        <v>Jefferson rosales</v>
      </c>
      <c r="G410" s="19">
        <v>544.5794</v>
      </c>
      <c r="H410" s="13"/>
      <c r="I410" s="14">
        <f t="shared" si="1"/>
        <v>2.999636049</v>
      </c>
      <c r="J410" s="15">
        <f t="shared" si="2"/>
        <v>0</v>
      </c>
      <c r="K410" s="14">
        <f t="shared" si="3"/>
        <v>2.999636049</v>
      </c>
      <c r="L410" s="16" t="str">
        <f>IFERROR(__xludf.DUMMYFUNCTION("IFERROR(
  IF(
    VLOOKUP(C410, IMPORTRANGE(""gid=860555792"", ""Maestro!B:C""), 2, FALSE) = D410, 
    ""CONCILIADO"", 
    ""ERROR EN MONTO""
  ), 
  ""NO ENCONTRADO EN MAESTRO""
)"),"NO ENCONTRADO EN MAESTRO")</f>
        <v>NO ENCONTRADO EN MAESTRO</v>
      </c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ht="22.5" customHeight="1">
      <c r="A411" s="25">
        <f>IFERROR(__xludf.DUMMYFUNCTION("""COMPUTED_VALUE"""),46170.0)</f>
        <v>46170</v>
      </c>
      <c r="B411" s="15">
        <f>IFERROR(__xludf.DUMMYFUNCTION("""COMPUTED_VALUE"""),258.0)</f>
        <v>258</v>
      </c>
      <c r="C411" s="21">
        <f>IFERROR(__xludf.DUMMYFUNCTION("""COMPUTED_VALUE"""),68415.92)</f>
        <v>68415.92</v>
      </c>
      <c r="D411" s="22" t="str">
        <f>IFERROR(__xludf.DUMMYFUNCTION("""COMPUTED_VALUE"""),"VES")</f>
        <v>VES</v>
      </c>
      <c r="E411" s="22" t="str">
        <f>IFERROR(__xludf.DUMMYFUNCTION("""COMPUTED_VALUE"""),"Bancamiga")</f>
        <v>Bancamiga</v>
      </c>
      <c r="F411" s="22" t="str">
        <f>IFERROR(__xludf.DUMMYFUNCTION("""COMPUTED_VALUE"""),"Distribuidora El Frenazo")</f>
        <v>Distribuidora El Frenazo</v>
      </c>
      <c r="G411" s="19">
        <v>544.5794</v>
      </c>
      <c r="H411" s="13"/>
      <c r="I411" s="14">
        <f t="shared" si="1"/>
        <v>125.6307528</v>
      </c>
      <c r="J411" s="15">
        <f t="shared" si="2"/>
        <v>0</v>
      </c>
      <c r="K411" s="14">
        <f t="shared" si="3"/>
        <v>125.6307528</v>
      </c>
      <c r="L411" s="16" t="str">
        <f>IFERROR(__xludf.DUMMYFUNCTION("IFERROR(
  IF(
    VLOOKUP(C411, IMPORTRANGE(""gid=860555792"", ""Maestro!B:C""), 2, FALSE) = D411, 
    ""CONCILIADO"", 
    ""ERROR EN MONTO""
  ), 
  ""NO ENCONTRADO EN MAESTRO""
)"),"NO ENCONTRADO EN MAESTRO")</f>
        <v>NO ENCONTRADO EN MAESTRO</v>
      </c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ht="22.5" customHeight="1">
      <c r="A412" s="25">
        <f>IFERROR(__xludf.DUMMYFUNCTION("""COMPUTED_VALUE"""),46170.0)</f>
        <v>46170</v>
      </c>
      <c r="B412" s="15">
        <f>IFERROR(__xludf.DUMMYFUNCTION("""COMPUTED_VALUE"""),199.0)</f>
        <v>199</v>
      </c>
      <c r="C412" s="21">
        <f>IFERROR(__xludf.DUMMYFUNCTION("""COMPUTED_VALUE"""),103550.0)</f>
        <v>103550</v>
      </c>
      <c r="D412" s="22" t="str">
        <f>IFERROR(__xludf.DUMMYFUNCTION("""COMPUTED_VALUE"""),"VES")</f>
        <v>VES</v>
      </c>
      <c r="E412" s="22" t="str">
        <f>IFERROR(__xludf.DUMMYFUNCTION("""COMPUTED_VALUE"""),"Bancamiga")</f>
        <v>Bancamiga</v>
      </c>
      <c r="F412" s="22" t="str">
        <f>IFERROR(__xludf.DUMMYFUNCTION("""COMPUTED_VALUE"""),"PROYECTO MAQUIVEIRO 21 C.A.")</f>
        <v>PROYECTO MAQUIVEIRO 21 C.A.</v>
      </c>
      <c r="G412" s="19">
        <v>544.5794</v>
      </c>
      <c r="H412" s="13"/>
      <c r="I412" s="14">
        <f t="shared" si="1"/>
        <v>190.1467444</v>
      </c>
      <c r="J412" s="15">
        <f t="shared" si="2"/>
        <v>0</v>
      </c>
      <c r="K412" s="14">
        <f t="shared" si="3"/>
        <v>190.1467444</v>
      </c>
      <c r="L412" s="16" t="str">
        <f>IFERROR(__xludf.DUMMYFUNCTION("IFERROR(
  IF(
    VLOOKUP(C412, IMPORTRANGE(""gid=860555792"", ""Maestro!B:C""), 2, FALSE) = D412, 
    ""CONCILIADO"", 
    ""ERROR EN MONTO""
  ), 
  ""NO ENCONTRADO EN MAESTRO""
)"),"NO ENCONTRADO EN MAESTRO")</f>
        <v>NO ENCONTRADO EN MAESTRO</v>
      </c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ht="22.5" customHeight="1">
      <c r="A413" s="25">
        <f>IFERROR(__xludf.DUMMYFUNCTION("""COMPUTED_VALUE"""),46171.0)</f>
        <v>46171</v>
      </c>
      <c r="B413" s="15">
        <f>IFERROR(__xludf.DUMMYFUNCTION("""COMPUTED_VALUE"""),11.0)</f>
        <v>11</v>
      </c>
      <c r="C413" s="21">
        <f>IFERROR(__xludf.DUMMYFUNCTION("""COMPUTED_VALUE"""),40821.72)</f>
        <v>40821.72</v>
      </c>
      <c r="D413" s="22" t="str">
        <f>IFERROR(__xludf.DUMMYFUNCTION("""COMPUTED_VALUE"""),"VES")</f>
        <v>VES</v>
      </c>
      <c r="E413" s="22" t="str">
        <f>IFERROR(__xludf.DUMMYFUNCTION("""COMPUTED_VALUE"""),"Bancamiga")</f>
        <v>Bancamiga</v>
      </c>
      <c r="F413" s="22" t="str">
        <f>IFERROR(__xludf.DUMMYFUNCTION("""COMPUTED_VALUE"""),"MOTO MARCE 21, CA")</f>
        <v>MOTO MARCE 21, CA</v>
      </c>
      <c r="G413" s="19">
        <v>544.5794</v>
      </c>
      <c r="H413" s="13"/>
      <c r="I413" s="14">
        <f t="shared" si="1"/>
        <v>74.96008846</v>
      </c>
      <c r="J413" s="15">
        <f t="shared" si="2"/>
        <v>0</v>
      </c>
      <c r="K413" s="14">
        <f t="shared" si="3"/>
        <v>74.96008846</v>
      </c>
      <c r="L413" s="16" t="str">
        <f>IFERROR(__xludf.DUMMYFUNCTION("IFERROR(
  IF(
    VLOOKUP(C413, IMPORTRANGE(""gid=860555792"", ""Maestro!B:C""), 2, FALSE) = D413, 
    ""CONCILIADO"", 
    ""ERROR EN MONTO""
  ), 
  ""NO ENCONTRADO EN MAESTRO""
)"),"NO ENCONTRADO EN MAESTRO")</f>
        <v>NO ENCONTRADO EN MAESTRO</v>
      </c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ht="22.5" customHeight="1">
      <c r="A414" s="25">
        <f>IFERROR(__xludf.DUMMYFUNCTION("""COMPUTED_VALUE"""),46171.0)</f>
        <v>46171</v>
      </c>
      <c r="B414" s="15">
        <f>IFERROR(__xludf.DUMMYFUNCTION("""COMPUTED_VALUE"""),179.0)</f>
        <v>179</v>
      </c>
      <c r="C414" s="21">
        <f>IFERROR(__xludf.DUMMYFUNCTION("""COMPUTED_VALUE"""),60.0)</f>
        <v>60</v>
      </c>
      <c r="D414" s="22" t="str">
        <f>IFERROR(__xludf.DUMMYFUNCTION("""COMPUTED_VALUE"""),"USD")</f>
        <v>USD</v>
      </c>
      <c r="E414" s="22" t="str">
        <f>IFERROR(__xludf.DUMMYFUNCTION("""COMPUTED_VALUE"""),"Efectivo USD")</f>
        <v>Efectivo USD</v>
      </c>
      <c r="F414" s="22" t="str">
        <f>IFERROR(__xludf.DUMMYFUNCTION("""COMPUTED_VALUE"""),"Inversiones Vercris 17 C.A")</f>
        <v>Inversiones Vercris 17 C.A</v>
      </c>
      <c r="G414" s="19">
        <v>549.3716</v>
      </c>
      <c r="H414" s="13"/>
      <c r="I414" s="14">
        <f t="shared" si="1"/>
        <v>60</v>
      </c>
      <c r="J414" s="15">
        <f t="shared" si="2"/>
        <v>60</v>
      </c>
      <c r="K414" s="14">
        <f t="shared" si="3"/>
        <v>60</v>
      </c>
      <c r="L414" s="16" t="str">
        <f>IFERROR(__xludf.DUMMYFUNCTION("IFERROR(
  IF(
    VLOOKUP(C414, IMPORTRANGE(""gid=860555792"", ""Maestro!B:C""), 2, FALSE) = D414, 
    ""CONCILIADO"", 
    ""ERROR EN MONTO""
  ), 
  ""NO ENCONTRADO EN MAESTRO""
)"),"NO ENCONTRADO EN MAESTRO")</f>
        <v>NO ENCONTRADO EN MAESTRO</v>
      </c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ht="22.5" customHeight="1">
      <c r="A415" s="25">
        <f>IFERROR(__xludf.DUMMYFUNCTION("""COMPUTED_VALUE"""),46171.0)</f>
        <v>46171</v>
      </c>
      <c r="B415" s="15">
        <f>IFERROR(__xludf.DUMMYFUNCTION("""COMPUTED_VALUE"""),298.0)</f>
        <v>298</v>
      </c>
      <c r="C415" s="21">
        <f>IFERROR(__xludf.DUMMYFUNCTION("""COMPUTED_VALUE"""),40.0)</f>
        <v>40</v>
      </c>
      <c r="D415" s="22" t="str">
        <f>IFERROR(__xludf.DUMMYFUNCTION("""COMPUTED_VALUE"""),"USD")</f>
        <v>USD</v>
      </c>
      <c r="E415" s="22" t="str">
        <f>IFERROR(__xludf.DUMMYFUNCTION("""COMPUTED_VALUE"""),"Efectivo USD")</f>
        <v>Efectivo USD</v>
      </c>
      <c r="F415" s="22" t="str">
        <f>IFERROR(__xludf.DUMMYFUNCTION("""COMPUTED_VALUE"""),"Inversiones Brayan CT C.A")</f>
        <v>Inversiones Brayan CT C.A</v>
      </c>
      <c r="G415" s="19">
        <v>549.3716</v>
      </c>
      <c r="H415" s="13"/>
      <c r="I415" s="14">
        <f t="shared" si="1"/>
        <v>40</v>
      </c>
      <c r="J415" s="15">
        <f t="shared" si="2"/>
        <v>40</v>
      </c>
      <c r="K415" s="14">
        <f t="shared" si="3"/>
        <v>40</v>
      </c>
      <c r="L415" s="16" t="str">
        <f>IFERROR(__xludf.DUMMYFUNCTION("IFERROR(
  IF(
    VLOOKUP(C415, IMPORTRANGE(""gid=860555792"", ""Maestro!B:C""), 2, FALSE) = D415, 
    ""CONCILIADO"", 
    ""ERROR EN MONTO""
  ), 
  ""NO ENCONTRADO EN MAESTRO""
)"),"NO ENCONTRADO EN MAESTRO")</f>
        <v>NO ENCONTRADO EN MAESTRO</v>
      </c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ht="22.5" customHeight="1">
      <c r="A416" s="25">
        <f>IFERROR(__xludf.DUMMYFUNCTION("""COMPUTED_VALUE"""),46171.0)</f>
        <v>46171</v>
      </c>
      <c r="B416" s="15">
        <f>IFERROR(__xludf.DUMMYFUNCTION("""COMPUTED_VALUE"""),335.0)</f>
        <v>335</v>
      </c>
      <c r="C416" s="21">
        <f>IFERROR(__xludf.DUMMYFUNCTION("""COMPUTED_VALUE"""),40.0)</f>
        <v>40</v>
      </c>
      <c r="D416" s="22" t="str">
        <f>IFERROR(__xludf.DUMMYFUNCTION("""COMPUTED_VALUE"""),"USD")</f>
        <v>USD</v>
      </c>
      <c r="E416" s="22" t="str">
        <f>IFERROR(__xludf.DUMMYFUNCTION("""COMPUTED_VALUE"""),"Efectivo USD")</f>
        <v>Efectivo USD</v>
      </c>
      <c r="F416" s="22" t="str">
        <f>IFERROR(__xludf.DUMMYFUNCTION("""COMPUTED_VALUE"""),"Wili Mervin León Romero")</f>
        <v>Wili Mervin León Romero</v>
      </c>
      <c r="G416" s="19">
        <v>549.3716</v>
      </c>
      <c r="H416" s="13"/>
      <c r="I416" s="14">
        <f t="shared" si="1"/>
        <v>40</v>
      </c>
      <c r="J416" s="15">
        <f t="shared" si="2"/>
        <v>40</v>
      </c>
      <c r="K416" s="14">
        <f t="shared" si="3"/>
        <v>40</v>
      </c>
      <c r="L416" s="16" t="str">
        <f>IFERROR(__xludf.DUMMYFUNCTION("IFERROR(
  IF(
    VLOOKUP(C416, IMPORTRANGE(""gid=860555792"", ""Maestro!B:C""), 2, FALSE) = D416, 
    ""CONCILIADO"", 
    ""ERROR EN MONTO""
  ), 
  ""NO ENCONTRADO EN MAESTRO""
)"),"NO ENCONTRADO EN MAESTRO")</f>
        <v>NO ENCONTRADO EN MAESTRO</v>
      </c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ht="22.5" customHeight="1">
      <c r="A417" s="25">
        <f>IFERROR(__xludf.DUMMYFUNCTION("""COMPUTED_VALUE"""),46171.0)</f>
        <v>46171</v>
      </c>
      <c r="B417" s="15">
        <f>IFERROR(__xludf.DUMMYFUNCTION("""COMPUTED_VALUE"""),61.0)</f>
        <v>61</v>
      </c>
      <c r="C417" s="21">
        <f>IFERROR(__xludf.DUMMYFUNCTION("""COMPUTED_VALUE"""),310.0)</f>
        <v>310</v>
      </c>
      <c r="D417" s="22" t="str">
        <f>IFERROR(__xludf.DUMMYFUNCTION("""COMPUTED_VALUE"""),"USD")</f>
        <v>USD</v>
      </c>
      <c r="E417" s="22" t="str">
        <f>IFERROR(__xludf.DUMMYFUNCTION("""COMPUTED_VALUE"""),"Efectivo USD")</f>
        <v>Efectivo USD</v>
      </c>
      <c r="F417" s="22" t="str">
        <f>IFERROR(__xludf.DUMMYFUNCTION("""COMPUTED_VALUE"""),"SJMG 2012 C.A")</f>
        <v>SJMG 2012 C.A</v>
      </c>
      <c r="G417" s="19">
        <v>549.3716</v>
      </c>
      <c r="H417" s="13"/>
      <c r="I417" s="14">
        <f t="shared" si="1"/>
        <v>310</v>
      </c>
      <c r="J417" s="15">
        <f t="shared" si="2"/>
        <v>310</v>
      </c>
      <c r="K417" s="14">
        <f t="shared" si="3"/>
        <v>310</v>
      </c>
      <c r="L417" s="16" t="str">
        <f>IFERROR(__xludf.DUMMYFUNCTION("IFERROR(
  IF(
    VLOOKUP(C417, IMPORTRANGE(""gid=860555792"", ""Maestro!B:C""), 2, FALSE) = D417, 
    ""CONCILIADO"", 
    ""ERROR EN MONTO""
  ), 
  ""NO ENCONTRADO EN MAESTRO""
)"),"NO ENCONTRADO EN MAESTRO")</f>
        <v>NO ENCONTRADO EN MAESTRO</v>
      </c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ht="22.5" customHeight="1">
      <c r="A418" s="25">
        <f>IFERROR(__xludf.DUMMYFUNCTION("""COMPUTED_VALUE"""),46171.0)</f>
        <v>46171</v>
      </c>
      <c r="B418" s="15">
        <f>IFERROR(__xludf.DUMMYFUNCTION("""COMPUTED_VALUE"""),274.0)</f>
        <v>274</v>
      </c>
      <c r="C418" s="21">
        <f>IFERROR(__xludf.DUMMYFUNCTION("""COMPUTED_VALUE"""),74639.0)</f>
        <v>74639</v>
      </c>
      <c r="D418" s="22" t="str">
        <f>IFERROR(__xludf.DUMMYFUNCTION("""COMPUTED_VALUE"""),"VES")</f>
        <v>VES</v>
      </c>
      <c r="E418" s="22" t="str">
        <f>IFERROR(__xludf.DUMMYFUNCTION("""COMPUTED_VALUE"""),"Bancamiga")</f>
        <v>Bancamiga</v>
      </c>
      <c r="F418" s="22" t="str">
        <f>IFERROR(__xludf.DUMMYFUNCTION("""COMPUTED_VALUE"""),"ADS SERVICE C.A")</f>
        <v>ADS SERVICE C.A</v>
      </c>
      <c r="G418" s="19">
        <v>549.3716</v>
      </c>
      <c r="H418" s="13"/>
      <c r="I418" s="14">
        <f t="shared" si="1"/>
        <v>135.8625018</v>
      </c>
      <c r="J418" s="15">
        <f t="shared" si="2"/>
        <v>0</v>
      </c>
      <c r="K418" s="14">
        <f t="shared" si="3"/>
        <v>135.8625018</v>
      </c>
      <c r="L418" s="16" t="str">
        <f>IFERROR(__xludf.DUMMYFUNCTION("IFERROR(
  IF(
    VLOOKUP(C418, IMPORTRANGE(""gid=860555792"", ""Maestro!B:C""), 2, FALSE) = D418, 
    ""CONCILIADO"", 
    ""ERROR EN MONTO""
  ), 
  ""NO ENCONTRADO EN MAESTRO""
)"),"NO ENCONTRADO EN MAESTRO")</f>
        <v>NO ENCONTRADO EN MAESTRO</v>
      </c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ht="22.5" customHeight="1">
      <c r="A419" s="25">
        <f>IFERROR(__xludf.DUMMYFUNCTION("""COMPUTED_VALUE"""),46171.0)</f>
        <v>46171</v>
      </c>
      <c r="B419" s="15">
        <f>IFERROR(__xludf.DUMMYFUNCTION("""COMPUTED_VALUE"""),242.0)</f>
        <v>242</v>
      </c>
      <c r="C419" s="21">
        <f>IFERROR(__xludf.DUMMYFUNCTION("""COMPUTED_VALUE"""),147680.0)</f>
        <v>147680</v>
      </c>
      <c r="D419" s="22" t="str">
        <f>IFERROR(__xludf.DUMMYFUNCTION("""COMPUTED_VALUE"""),"VES")</f>
        <v>VES</v>
      </c>
      <c r="E419" s="22" t="str">
        <f>IFERROR(__xludf.DUMMYFUNCTION("""COMPUTED_VALUE"""),"Bancamiga")</f>
        <v>Bancamiga</v>
      </c>
      <c r="F419" s="22" t="str">
        <f>IFERROR(__xludf.DUMMYFUNCTION("""COMPUTED_VALUE"""),"Antonio Terán")</f>
        <v>Antonio Terán</v>
      </c>
      <c r="G419" s="19">
        <v>549.3716</v>
      </c>
      <c r="H419" s="13"/>
      <c r="I419" s="14">
        <f t="shared" si="1"/>
        <v>268.8162257</v>
      </c>
      <c r="J419" s="15">
        <f t="shared" si="2"/>
        <v>0</v>
      </c>
      <c r="K419" s="14">
        <f t="shared" si="3"/>
        <v>268.8162257</v>
      </c>
      <c r="L419" s="16" t="str">
        <f>IFERROR(__xludf.DUMMYFUNCTION("IFERROR(
  IF(
    VLOOKUP(C419, IMPORTRANGE(""gid=860555792"", ""Maestro!B:C""), 2, FALSE) = D419, 
    ""CONCILIADO"", 
    ""ERROR EN MONTO""
  ), 
  ""NO ENCONTRADO EN MAESTRO""
)"),"NO ENCONTRADO EN MAESTRO")</f>
        <v>NO ENCONTRADO EN MAESTRO</v>
      </c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ht="22.5" customHeight="1">
      <c r="A420" s="25">
        <f>IFERROR(__xludf.DUMMYFUNCTION("""COMPUTED_VALUE"""),46171.0)</f>
        <v>46171</v>
      </c>
      <c r="B420" s="15">
        <f>IFERROR(__xludf.DUMMYFUNCTION("""COMPUTED_VALUE"""),114.0)</f>
        <v>114</v>
      </c>
      <c r="C420" s="21">
        <f>IFERROR(__xludf.DUMMYFUNCTION("""COMPUTED_VALUE"""),40.0)</f>
        <v>40</v>
      </c>
      <c r="D420" s="22" t="str">
        <f>IFERROR(__xludf.DUMMYFUNCTION("""COMPUTED_VALUE"""),"USD")</f>
        <v>USD</v>
      </c>
      <c r="E420" s="22" t="str">
        <f>IFERROR(__xludf.DUMMYFUNCTION("""COMPUTED_VALUE"""),"Efectivo USD")</f>
        <v>Efectivo USD</v>
      </c>
      <c r="F420" s="22" t="str">
        <f>IFERROR(__xludf.DUMMYFUNCTION("""COMPUTED_VALUE"""),"Autoasesorio maxi motor")</f>
        <v>Autoasesorio maxi motor</v>
      </c>
      <c r="G420" s="19">
        <v>549.3716</v>
      </c>
      <c r="H420" s="13"/>
      <c r="I420" s="14">
        <f t="shared" si="1"/>
        <v>40</v>
      </c>
      <c r="J420" s="15">
        <f t="shared" si="2"/>
        <v>40</v>
      </c>
      <c r="K420" s="14">
        <f t="shared" si="3"/>
        <v>40</v>
      </c>
      <c r="L420" s="16" t="str">
        <f>IFERROR(__xludf.DUMMYFUNCTION("IFERROR(
  IF(
    VLOOKUP(C420, IMPORTRANGE(""gid=860555792"", ""Maestro!B:C""), 2, FALSE) = D420, 
    ""CONCILIADO"", 
    ""ERROR EN MONTO""
  ), 
  ""NO ENCONTRADO EN MAESTRO""
)"),"NO ENCONTRADO EN MAESTRO")</f>
        <v>NO ENCONTRADO EN MAESTRO</v>
      </c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ht="22.5" customHeight="1">
      <c r="A421" s="25">
        <f>IFERROR(__xludf.DUMMYFUNCTION("""COMPUTED_VALUE"""),46171.0)</f>
        <v>46171</v>
      </c>
      <c r="B421" s="15">
        <f>IFERROR(__xludf.DUMMYFUNCTION("""COMPUTED_VALUE"""),94.0)</f>
        <v>94</v>
      </c>
      <c r="C421" s="21">
        <f>IFERROR(__xludf.DUMMYFUNCTION("""COMPUTED_VALUE"""),40.0)</f>
        <v>40</v>
      </c>
      <c r="D421" s="22" t="str">
        <f>IFERROR(__xludf.DUMMYFUNCTION("""COMPUTED_VALUE"""),"USD")</f>
        <v>USD</v>
      </c>
      <c r="E421" s="22" t="str">
        <f>IFERROR(__xludf.DUMMYFUNCTION("""COMPUTED_VALUE"""),"Efectivo USD")</f>
        <v>Efectivo USD</v>
      </c>
      <c r="F421" s="22" t="str">
        <f>IFERROR(__xludf.DUMMYFUNCTION("""COMPUTED_VALUE"""),"Emprendimiento YSKRA")</f>
        <v>Emprendimiento YSKRA</v>
      </c>
      <c r="G421" s="19">
        <v>549.3716</v>
      </c>
      <c r="H421" s="13"/>
      <c r="I421" s="14">
        <f t="shared" si="1"/>
        <v>40</v>
      </c>
      <c r="J421" s="15">
        <f t="shared" si="2"/>
        <v>40</v>
      </c>
      <c r="K421" s="14">
        <f t="shared" si="3"/>
        <v>40</v>
      </c>
      <c r="L421" s="16" t="str">
        <f>IFERROR(__xludf.DUMMYFUNCTION("IFERROR(
  IF(
    VLOOKUP(C421, IMPORTRANGE(""gid=860555792"", ""Maestro!B:C""), 2, FALSE) = D421, 
    ""CONCILIADO"", 
    ""ERROR EN MONTO""
  ), 
  ""NO ENCONTRADO EN MAESTRO""
)"),"NO ENCONTRADO EN MAESTRO")</f>
        <v>NO ENCONTRADO EN MAESTRO</v>
      </c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ht="22.5" customHeight="1">
      <c r="A422" s="25">
        <f>IFERROR(__xludf.DUMMYFUNCTION("""COMPUTED_VALUE"""),46171.0)</f>
        <v>46171</v>
      </c>
      <c r="B422" s="15">
        <f>IFERROR(__xludf.DUMMYFUNCTION("""COMPUTED_VALUE"""),125.0)</f>
        <v>125</v>
      </c>
      <c r="C422" s="21">
        <f>IFERROR(__xludf.DUMMYFUNCTION("""COMPUTED_VALUE"""),20.0)</f>
        <v>20</v>
      </c>
      <c r="D422" s="22" t="str">
        <f>IFERROR(__xludf.DUMMYFUNCTION("""COMPUTED_VALUE"""),"USD")</f>
        <v>USD</v>
      </c>
      <c r="E422" s="22" t="str">
        <f>IFERROR(__xludf.DUMMYFUNCTION("""COMPUTED_VALUE"""),"Efectivo USD")</f>
        <v>Efectivo USD</v>
      </c>
      <c r="F422" s="22" t="str">
        <f>IFERROR(__xludf.DUMMYFUNCTION("""COMPUTED_VALUE"""),"Megacar2020.c.a")</f>
        <v>Megacar2020.c.a</v>
      </c>
      <c r="G422" s="19">
        <v>549.3716</v>
      </c>
      <c r="H422" s="13"/>
      <c r="I422" s="14">
        <f t="shared" si="1"/>
        <v>20</v>
      </c>
      <c r="J422" s="15">
        <f t="shared" si="2"/>
        <v>20</v>
      </c>
      <c r="K422" s="14">
        <f t="shared" si="3"/>
        <v>20</v>
      </c>
      <c r="L422" s="16" t="str">
        <f>IFERROR(__xludf.DUMMYFUNCTION("IFERROR(
  IF(
    VLOOKUP(C422, IMPORTRANGE(""gid=860555792"", ""Maestro!B:C""), 2, FALSE) = D422, 
    ""CONCILIADO"", 
    ""ERROR EN MONTO""
  ), 
  ""NO ENCONTRADO EN MAESTRO""
)"),"NO ENCONTRADO EN MAESTRO")</f>
        <v>NO ENCONTRADO EN MAESTRO</v>
      </c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ht="22.5" customHeight="1">
      <c r="A423" s="25">
        <f>IFERROR(__xludf.DUMMYFUNCTION("""COMPUTED_VALUE"""),46171.0)</f>
        <v>46171</v>
      </c>
      <c r="B423" s="15">
        <f>IFERROR(__xludf.DUMMYFUNCTION("""COMPUTED_VALUE"""),351.0)</f>
        <v>351</v>
      </c>
      <c r="C423" s="21">
        <f>IFERROR(__xludf.DUMMYFUNCTION("""COMPUTED_VALUE"""),54937.0)</f>
        <v>54937</v>
      </c>
      <c r="D423" s="22" t="str">
        <f>IFERROR(__xludf.DUMMYFUNCTION("""COMPUTED_VALUE"""),"VES")</f>
        <v>VES</v>
      </c>
      <c r="E423" s="22" t="str">
        <f>IFERROR(__xludf.DUMMYFUNCTION("""COMPUTED_VALUE"""),"Bancamiga")</f>
        <v>Bancamiga</v>
      </c>
      <c r="F423" s="22" t="str">
        <f>IFERROR(__xludf.DUMMYFUNCTION("""COMPUTED_VALUE"""),"INVERSIONES BECLA PARTS C.A.")</f>
        <v>INVERSIONES BECLA PARTS C.A.</v>
      </c>
      <c r="G423" s="19">
        <v>549.3716</v>
      </c>
      <c r="H423" s="13"/>
      <c r="I423" s="14">
        <f t="shared" si="1"/>
        <v>99.99970876</v>
      </c>
      <c r="J423" s="15">
        <f t="shared" si="2"/>
        <v>0</v>
      </c>
      <c r="K423" s="14">
        <f t="shared" si="3"/>
        <v>99.99970876</v>
      </c>
      <c r="L423" s="16" t="str">
        <f>IFERROR(__xludf.DUMMYFUNCTION("IFERROR(
  IF(
    VLOOKUP(C423, IMPORTRANGE(""gid=860555792"", ""Maestro!B:C""), 2, FALSE) = D423, 
    ""CONCILIADO"", 
    ""ERROR EN MONTO""
  ), 
  ""NO ENCONTRADO EN MAESTRO""
)"),"NO ENCONTRADO EN MAESTRO")</f>
        <v>NO ENCONTRADO EN MAESTRO</v>
      </c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ht="22.5" customHeight="1">
      <c r="A424" s="25">
        <f>IFERROR(__xludf.DUMMYFUNCTION("""COMPUTED_VALUE"""),46171.0)</f>
        <v>46171</v>
      </c>
      <c r="B424" s="15">
        <f>IFERROR(__xludf.DUMMYFUNCTION("""COMPUTED_VALUE"""),340.0)</f>
        <v>340</v>
      </c>
      <c r="C424" s="21">
        <f>IFERROR(__xludf.DUMMYFUNCTION("""COMPUTED_VALUE"""),105163.8)</f>
        <v>105163.8</v>
      </c>
      <c r="D424" s="22" t="str">
        <f>IFERROR(__xludf.DUMMYFUNCTION("""COMPUTED_VALUE"""),"VES")</f>
        <v>VES</v>
      </c>
      <c r="E424" s="22" t="str">
        <f>IFERROR(__xludf.DUMMYFUNCTION("""COMPUTED_VALUE"""),"Bancamiga")</f>
        <v>Bancamiga</v>
      </c>
      <c r="F424" s="22" t="str">
        <f>IFERROR(__xludf.DUMMYFUNCTION("""COMPUTED_VALUE"""),"Yeifri Alexander Marquez Zerpa")</f>
        <v>Yeifri Alexander Marquez Zerpa</v>
      </c>
      <c r="G424" s="19">
        <v>549.3716</v>
      </c>
      <c r="H424" s="13"/>
      <c r="I424" s="14">
        <f t="shared" si="1"/>
        <v>191.4256216</v>
      </c>
      <c r="J424" s="15">
        <f t="shared" si="2"/>
        <v>0</v>
      </c>
      <c r="K424" s="14">
        <f t="shared" si="3"/>
        <v>191.4256216</v>
      </c>
      <c r="L424" s="16" t="str">
        <f>IFERROR(__xludf.DUMMYFUNCTION("IFERROR(
  IF(
    VLOOKUP(C424, IMPORTRANGE(""gid=860555792"", ""Maestro!B:C""), 2, FALSE) = D424, 
    ""CONCILIADO"", 
    ""ERROR EN MONTO""
  ), 
  ""NO ENCONTRADO EN MAESTRO""
)"),"NO ENCONTRADO EN MAESTRO")</f>
        <v>NO ENCONTRADO EN MAESTRO</v>
      </c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ht="22.5" customHeight="1">
      <c r="A425" s="25">
        <f>IFERROR(__xludf.DUMMYFUNCTION("""COMPUTED_VALUE"""),46171.0)</f>
        <v>46171</v>
      </c>
      <c r="B425" s="15">
        <f>IFERROR(__xludf.DUMMYFUNCTION("""COMPUTED_VALUE"""),410.0)</f>
        <v>410</v>
      </c>
      <c r="C425" s="21">
        <f>IFERROR(__xludf.DUMMYFUNCTION("""COMPUTED_VALUE"""),223133.0)</f>
        <v>223133</v>
      </c>
      <c r="D425" s="22" t="str">
        <f>IFERROR(__xludf.DUMMYFUNCTION("""COMPUTED_VALUE"""),"VES")</f>
        <v>VES</v>
      </c>
      <c r="E425" s="22" t="str">
        <f>IFERROR(__xludf.DUMMYFUNCTION("""COMPUTED_VALUE"""),"Bancamiga")</f>
        <v>Bancamiga</v>
      </c>
      <c r="F425" s="22" t="str">
        <f>IFERROR(__xludf.DUMMYFUNCTION("""COMPUTED_VALUE"""),"Multiservicios gochi express 2024, c.a")</f>
        <v>Multiservicios gochi express 2024, c.a</v>
      </c>
      <c r="G425" s="19">
        <v>549.3716</v>
      </c>
      <c r="H425" s="13"/>
      <c r="I425" s="14">
        <f t="shared" si="1"/>
        <v>406.1604204</v>
      </c>
      <c r="J425" s="15">
        <f t="shared" si="2"/>
        <v>0</v>
      </c>
      <c r="K425" s="14">
        <f t="shared" si="3"/>
        <v>406.1604204</v>
      </c>
      <c r="L425" s="16" t="str">
        <f>IFERROR(__xludf.DUMMYFUNCTION("IFERROR(
  IF(
    VLOOKUP(C425, IMPORTRANGE(""gid=860555792"", ""Maestro!B:C""), 2, FALSE) = D425, 
    ""CONCILIADO"", 
    ""ERROR EN MONTO""
  ), 
  ""NO ENCONTRADO EN MAESTRO""
)"),"NO ENCONTRADO EN MAESTRO")</f>
        <v>NO ENCONTRADO EN MAESTRO</v>
      </c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ht="22.5" customHeight="1">
      <c r="A426" s="25">
        <f>IFERROR(__xludf.DUMMYFUNCTION("""COMPUTED_VALUE"""),46170.0)</f>
        <v>46170</v>
      </c>
      <c r="B426" s="15">
        <f>IFERROR(__xludf.DUMMYFUNCTION("""COMPUTED_VALUE"""),379.0)</f>
        <v>379</v>
      </c>
      <c r="C426" s="21">
        <f>IFERROR(__xludf.DUMMYFUNCTION("""COMPUTED_VALUE"""),42246.56)</f>
        <v>42246.56</v>
      </c>
      <c r="D426" s="22" t="str">
        <f>IFERROR(__xludf.DUMMYFUNCTION("""COMPUTED_VALUE"""),"VES")</f>
        <v>VES</v>
      </c>
      <c r="E426" s="22" t="str">
        <f>IFERROR(__xludf.DUMMYFUNCTION("""COMPUTED_VALUE"""),"Bancamiga")</f>
        <v>Bancamiga</v>
      </c>
      <c r="F426" s="22" t="str">
        <f>IFERROR(__xludf.DUMMYFUNCTION("""COMPUTED_VALUE"""),"DISTRIBUIDORA PINOS 181297 C.A")</f>
        <v>DISTRIBUIDORA PINOS 181297 C.A</v>
      </c>
      <c r="G426" s="19">
        <v>549.3716</v>
      </c>
      <c r="H426" s="13"/>
      <c r="I426" s="14">
        <f t="shared" si="1"/>
        <v>76.89978878</v>
      </c>
      <c r="J426" s="15">
        <f t="shared" si="2"/>
        <v>0</v>
      </c>
      <c r="K426" s="14">
        <f t="shared" si="3"/>
        <v>76.89978878</v>
      </c>
      <c r="L426" s="16" t="str">
        <f>IFERROR(__xludf.DUMMYFUNCTION("IFERROR(
  IF(
    VLOOKUP(C426, IMPORTRANGE(""gid=860555792"", ""Maestro!B:C""), 2, FALSE) = D426, 
    ""CONCILIADO"", 
    ""ERROR EN MONTO""
  ), 
  ""NO ENCONTRADO EN MAESTRO""
)"),"NO ENCONTRADO EN MAESTRO")</f>
        <v>NO ENCONTRADO EN MAESTRO</v>
      </c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ht="22.5" customHeight="1">
      <c r="A427" s="25">
        <f>IFERROR(__xludf.DUMMYFUNCTION("""COMPUTED_VALUE"""),46174.0)</f>
        <v>46174</v>
      </c>
      <c r="B427" s="15">
        <f>IFERROR(__xludf.DUMMYFUNCTION("""COMPUTED_VALUE"""),93.0)</f>
        <v>93</v>
      </c>
      <c r="C427" s="21">
        <f>IFERROR(__xludf.DUMMYFUNCTION("""COMPUTED_VALUE"""),60.0)</f>
        <v>60</v>
      </c>
      <c r="D427" s="22" t="str">
        <f>IFERROR(__xludf.DUMMYFUNCTION("""COMPUTED_VALUE"""),"USD")</f>
        <v>USD</v>
      </c>
      <c r="E427" s="22" t="str">
        <f>IFERROR(__xludf.DUMMYFUNCTION("""COMPUTED_VALUE"""),"Efectivo USD")</f>
        <v>Efectivo USD</v>
      </c>
      <c r="F427" s="22" t="str">
        <f>IFERROR(__xludf.DUMMYFUNCTION("""COMPUTED_VALUE"""),"Emprendimiento YSKRA")</f>
        <v>Emprendimiento YSKRA</v>
      </c>
      <c r="G427" s="19">
        <v>544.5794</v>
      </c>
      <c r="H427" s="13"/>
      <c r="I427" s="14">
        <f t="shared" si="1"/>
        <v>60</v>
      </c>
      <c r="J427" s="15">
        <f t="shared" si="2"/>
        <v>60</v>
      </c>
      <c r="K427" s="14">
        <f t="shared" si="3"/>
        <v>60</v>
      </c>
      <c r="L427" s="16" t="str">
        <f>IFERROR(__xludf.DUMMYFUNCTION("IFERROR(
  IF(
    VLOOKUP(C427, IMPORTRANGE(""gid=860555792"", ""Maestro!B:C""), 2, FALSE) = D427, 
    ""CONCILIADO"", 
    ""ERROR EN MONTO""
  ), 
  ""NO ENCONTRADO EN MAESTRO""
)"),"NO ENCONTRADO EN MAESTRO")</f>
        <v>NO ENCONTRADO EN MAESTRO</v>
      </c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ht="22.5" customHeight="1">
      <c r="A428" s="25">
        <f>IFERROR(__xludf.DUMMYFUNCTION("""COMPUTED_VALUE"""),46154.0)</f>
        <v>46154</v>
      </c>
      <c r="B428" s="15">
        <f>IFERROR(__xludf.DUMMYFUNCTION("""COMPUTED_VALUE"""),246.0)</f>
        <v>246</v>
      </c>
      <c r="C428" s="21">
        <f>IFERROR(__xludf.DUMMYFUNCTION("""COMPUTED_VALUE"""),3853.0)</f>
        <v>3853</v>
      </c>
      <c r="D428" s="22" t="str">
        <f>IFERROR(__xludf.DUMMYFUNCTION("""COMPUTED_VALUE"""),"USD")</f>
        <v>USD</v>
      </c>
      <c r="E428" s="22" t="str">
        <f>IFERROR(__xludf.DUMMYFUNCTION("""COMPUTED_VALUE"""),"Binance")</f>
        <v>Binance</v>
      </c>
      <c r="F428" s="22" t="str">
        <f>IFERROR(__xludf.DUMMYFUNCTION("""COMPUTED_VALUE"""),"Luis Zambrano")</f>
        <v>Luis Zambrano</v>
      </c>
      <c r="G428" s="19">
        <v>557.9741</v>
      </c>
      <c r="H428" s="13"/>
      <c r="I428" s="14">
        <f t="shared" si="1"/>
        <v>3853</v>
      </c>
      <c r="J428" s="15">
        <f t="shared" si="2"/>
        <v>3853</v>
      </c>
      <c r="K428" s="14">
        <f t="shared" si="3"/>
        <v>3853</v>
      </c>
      <c r="L428" s="16" t="str">
        <f>IFERROR(__xludf.DUMMYFUNCTION("IFERROR(
  IF(
    VLOOKUP(C428, IMPORTRANGE(""gid=860555792"", ""Maestro!B:C""), 2, FALSE) = D428, 
    ""CONCILIADO"", 
    ""ERROR EN MONTO""
  ), 
  ""NO ENCONTRADO EN MAESTRO""
)"),"NO ENCONTRADO EN MAESTRO")</f>
        <v>NO ENCONTRADO EN MAESTRO</v>
      </c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ht="22.5" customHeight="1">
      <c r="A429" s="25">
        <f>IFERROR(__xludf.DUMMYFUNCTION("""COMPUTED_VALUE"""),46174.0)</f>
        <v>46174</v>
      </c>
      <c r="B429" s="15">
        <f>IFERROR(__xludf.DUMMYFUNCTION("""COMPUTED_VALUE"""),20.0)</f>
        <v>20</v>
      </c>
      <c r="C429" s="21">
        <f>IFERROR(__xludf.DUMMYFUNCTION("""COMPUTED_VALUE"""),12803.0)</f>
        <v>12803</v>
      </c>
      <c r="D429" s="22" t="str">
        <f>IFERROR(__xludf.DUMMYFUNCTION("""COMPUTED_VALUE"""),"VES")</f>
        <v>VES</v>
      </c>
      <c r="E429" s="22" t="str">
        <f>IFERROR(__xludf.DUMMYFUNCTION("""COMPUTED_VALUE"""),"Bancamiga")</f>
        <v>Bancamiga</v>
      </c>
      <c r="F429" s="22" t="str">
        <f>IFERROR(__xludf.DUMMYFUNCTION("""COMPUTED_VALUE"""),"EMPRENDIMIENTO TOMAS MARCANO 5")</f>
        <v>EMPRENDIMIENTO TOMAS MARCANO 5</v>
      </c>
      <c r="G429" s="19">
        <v>504.9146</v>
      </c>
      <c r="H429" s="13"/>
      <c r="I429" s="14">
        <f t="shared" si="1"/>
        <v>25.3567633</v>
      </c>
      <c r="J429" s="15">
        <f t="shared" si="2"/>
        <v>0</v>
      </c>
      <c r="K429" s="14">
        <f t="shared" si="3"/>
        <v>25.3567633</v>
      </c>
      <c r="L429" s="16" t="str">
        <f>IFERROR(__xludf.DUMMYFUNCTION("IFERROR(
  IF(
    VLOOKUP(C429, IMPORTRANGE(""gid=860555792"", ""Maestro!B:C""), 2, FALSE) = D429, 
    ""CONCILIADO"", 
    ""ERROR EN MONTO""
  ), 
  ""NO ENCONTRADO EN MAESTRO""
)"),"NO ENCONTRADO EN MAESTRO")</f>
        <v>NO ENCONTRADO EN MAESTRO</v>
      </c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ht="22.5" customHeight="1">
      <c r="A430" s="25">
        <f>IFERROR(__xludf.DUMMYFUNCTION("""COMPUTED_VALUE"""),46174.0)</f>
        <v>46174</v>
      </c>
      <c r="B430" s="15">
        <f>IFERROR(__xludf.DUMMYFUNCTION("""COMPUTED_VALUE"""),53.0)</f>
        <v>53</v>
      </c>
      <c r="C430" s="21">
        <f>IFERROR(__xludf.DUMMYFUNCTION("""COMPUTED_VALUE"""),64567.87)</f>
        <v>64567.87</v>
      </c>
      <c r="D430" s="22" t="str">
        <f>IFERROR(__xludf.DUMMYFUNCTION("""COMPUTED_VALUE"""),"VES")</f>
        <v>VES</v>
      </c>
      <c r="E430" s="22" t="str">
        <f>IFERROR(__xludf.DUMMYFUNCTION("""COMPUTED_VALUE"""),"Bancamiga")</f>
        <v>Bancamiga</v>
      </c>
      <c r="F430" s="22" t="str">
        <f>IFERROR(__xludf.DUMMYFUNCTION("""COMPUTED_VALUE"""),"INVERSIONES MI  'LINDA YEMAIRE 2019, C.A")</f>
        <v>INVERSIONES MI  'LINDA YEMAIRE 2019, C.A</v>
      </c>
      <c r="G430" s="19">
        <v>557.9741</v>
      </c>
      <c r="H430" s="13"/>
      <c r="I430" s="14">
        <f t="shared" si="1"/>
        <v>115.7183998</v>
      </c>
      <c r="J430" s="15">
        <f t="shared" si="2"/>
        <v>0</v>
      </c>
      <c r="K430" s="14">
        <f t="shared" si="3"/>
        <v>115.7183998</v>
      </c>
      <c r="L430" s="16" t="str">
        <f>IFERROR(__xludf.DUMMYFUNCTION("IFERROR(
  IF(
    VLOOKUP(C430, IMPORTRANGE(""gid=860555792"", ""Maestro!B:C""), 2, FALSE) = D430, 
    ""CONCILIADO"", 
    ""ERROR EN MONTO""
  ), 
  ""NO ENCONTRADO EN MAESTRO""
)"),"NO ENCONTRADO EN MAESTRO")</f>
        <v>NO ENCONTRADO EN MAESTRO</v>
      </c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ht="22.5" customHeight="1">
      <c r="A431" s="25">
        <f>IFERROR(__xludf.DUMMYFUNCTION("""COMPUTED_VALUE"""),46170.0)</f>
        <v>46170</v>
      </c>
      <c r="B431" s="15">
        <f>IFERROR(__xludf.DUMMYFUNCTION("""COMPUTED_VALUE"""),212.0)</f>
        <v>212</v>
      </c>
      <c r="C431" s="21">
        <f>IFERROR(__xludf.DUMMYFUNCTION("""COMPUTED_VALUE"""),27228.5)</f>
        <v>27228.5</v>
      </c>
      <c r="D431" s="22" t="str">
        <f>IFERROR(__xludf.DUMMYFUNCTION("""COMPUTED_VALUE"""),"VES")</f>
        <v>VES</v>
      </c>
      <c r="E431" s="22" t="str">
        <f>IFERROR(__xludf.DUMMYFUNCTION("""COMPUTED_VALUE"""),"Bancamiga")</f>
        <v>Bancamiga</v>
      </c>
      <c r="F431" s="22" t="str">
        <f>IFERROR(__xludf.DUMMYFUNCTION("""COMPUTED_VALUE"""),"Inversiones DSM 2706, c.a.")</f>
        <v>Inversiones DSM 2706, c.a.</v>
      </c>
      <c r="G431" s="19">
        <v>557.9741</v>
      </c>
      <c r="H431" s="13"/>
      <c r="I431" s="14">
        <f t="shared" si="1"/>
        <v>48.79886002</v>
      </c>
      <c r="J431" s="15">
        <f t="shared" si="2"/>
        <v>0</v>
      </c>
      <c r="K431" s="14">
        <f t="shared" si="3"/>
        <v>48.79886002</v>
      </c>
      <c r="L431" s="16" t="str">
        <f>IFERROR(__xludf.DUMMYFUNCTION("IFERROR(
  IF(
    VLOOKUP(C431, IMPORTRANGE(""gid=860555792"", ""Maestro!B:C""), 2, FALSE) = D431, 
    ""CONCILIADO"", 
    ""ERROR EN MONTO""
  ), 
  ""NO ENCONTRADO EN MAESTRO""
)"),"NO ENCONTRADO EN MAESTRO")</f>
        <v>NO ENCONTRADO EN MAESTRO</v>
      </c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ht="22.5" customHeight="1">
      <c r="A432" s="25">
        <f>IFERROR(__xludf.DUMMYFUNCTION("""COMPUTED_VALUE"""),46174.0)</f>
        <v>46174</v>
      </c>
      <c r="B432" s="15">
        <f>IFERROR(__xludf.DUMMYFUNCTION("""COMPUTED_VALUE"""),346.0)</f>
        <v>346</v>
      </c>
      <c r="C432" s="21">
        <f>IFERROR(__xludf.DUMMYFUNCTION("""COMPUTED_VALUE"""),140.0)</f>
        <v>140</v>
      </c>
      <c r="D432" s="22" t="str">
        <f>IFERROR(__xludf.DUMMYFUNCTION("""COMPUTED_VALUE"""),"USD")</f>
        <v>USD</v>
      </c>
      <c r="E432" s="22" t="str">
        <f>IFERROR(__xludf.DUMMYFUNCTION("""COMPUTED_VALUE"""),"Efectivo USD")</f>
        <v>Efectivo USD</v>
      </c>
      <c r="F432" s="22" t="str">
        <f>IFERROR(__xludf.DUMMYFUNCTION("""COMPUTED_VALUE"""),"AUTOPERIQUITO EL PEQUEÑO CHAMOY, C.A.")</f>
        <v>AUTOPERIQUITO EL PEQUEÑO CHAMOY, C.A.</v>
      </c>
      <c r="G432" s="19">
        <v>544.9741</v>
      </c>
      <c r="H432" s="13"/>
      <c r="I432" s="14">
        <f t="shared" si="1"/>
        <v>140</v>
      </c>
      <c r="J432" s="15">
        <f t="shared" si="2"/>
        <v>140</v>
      </c>
      <c r="K432" s="14">
        <f t="shared" si="3"/>
        <v>140</v>
      </c>
      <c r="L432" s="16" t="str">
        <f>IFERROR(__xludf.DUMMYFUNCTION("IFERROR(
  IF(
    VLOOKUP(C432, IMPORTRANGE(""gid=860555792"", ""Maestro!B:C""), 2, FALSE) = D432, 
    ""CONCILIADO"", 
    ""ERROR EN MONTO""
  ), 
  ""NO ENCONTRADO EN MAESTRO""
)"),"NO ENCONTRADO EN MAESTRO")</f>
        <v>NO ENCONTRADO EN MAESTRO</v>
      </c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ht="22.5" customHeight="1">
      <c r="A433" s="25">
        <f>IFERROR(__xludf.DUMMYFUNCTION("""COMPUTED_VALUE"""),46174.0)</f>
        <v>46174</v>
      </c>
      <c r="B433" s="15">
        <f>IFERROR(__xludf.DUMMYFUNCTION("""COMPUTED_VALUE"""),466.0)</f>
        <v>466</v>
      </c>
      <c r="C433" s="21">
        <f>IFERROR(__xludf.DUMMYFUNCTION("""COMPUTED_VALUE"""),30.0)</f>
        <v>30</v>
      </c>
      <c r="D433" s="22" t="str">
        <f>IFERROR(__xludf.DUMMYFUNCTION("""COMPUTED_VALUE"""),"USD")</f>
        <v>USD</v>
      </c>
      <c r="E433" s="22" t="str">
        <f>IFERROR(__xludf.DUMMYFUNCTION("""COMPUTED_VALUE"""),"Efectivo USD")</f>
        <v>Efectivo USD</v>
      </c>
      <c r="F433" s="22" t="str">
        <f>IFERROR(__xludf.DUMMYFUNCTION("""COMPUTED_VALUE"""),"Edgar salas")</f>
        <v>Edgar salas</v>
      </c>
      <c r="G433" s="19">
        <v>557.9741</v>
      </c>
      <c r="H433" s="13"/>
      <c r="I433" s="14">
        <f t="shared" si="1"/>
        <v>30</v>
      </c>
      <c r="J433" s="15">
        <f t="shared" si="2"/>
        <v>30</v>
      </c>
      <c r="K433" s="14">
        <f t="shared" si="3"/>
        <v>30</v>
      </c>
      <c r="L433" s="16" t="str">
        <f>IFERROR(__xludf.DUMMYFUNCTION("IFERROR(
  IF(
    VLOOKUP(C433, IMPORTRANGE(""gid=860555792"", ""Maestro!B:C""), 2, FALSE) = D433, 
    ""CONCILIADO"", 
    ""ERROR EN MONTO""
  ), 
  ""NO ENCONTRADO EN MAESTRO""
)"),"NO ENCONTRADO EN MAESTRO")</f>
        <v>NO ENCONTRADO EN MAESTRO</v>
      </c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ht="22.5" customHeight="1">
      <c r="A434" s="25">
        <f>IFERROR(__xludf.DUMMYFUNCTION("""COMPUTED_VALUE"""),46174.0)</f>
        <v>46174</v>
      </c>
      <c r="B434" s="15">
        <f>IFERROR(__xludf.DUMMYFUNCTION("""COMPUTED_VALUE"""),418.0)</f>
        <v>418</v>
      </c>
      <c r="C434" s="21">
        <f>IFERROR(__xludf.DUMMYFUNCTION("""COMPUTED_VALUE"""),25.0)</f>
        <v>25</v>
      </c>
      <c r="D434" s="22" t="str">
        <f>IFERROR(__xludf.DUMMYFUNCTION("""COMPUTED_VALUE"""),"USD")</f>
        <v>USD</v>
      </c>
      <c r="E434" s="22" t="str">
        <f>IFERROR(__xludf.DUMMYFUNCTION("""COMPUTED_VALUE"""),"Efectivo VES")</f>
        <v>Efectivo VES</v>
      </c>
      <c r="F434" s="22" t="str">
        <f>IFERROR(__xludf.DUMMYFUNCTION("""COMPUTED_VALUE"""),"Edgar salas")</f>
        <v>Edgar salas</v>
      </c>
      <c r="G434" s="19">
        <v>557.9741</v>
      </c>
      <c r="H434" s="13"/>
      <c r="I434" s="14">
        <f t="shared" si="1"/>
        <v>25</v>
      </c>
      <c r="J434" s="15">
        <f t="shared" si="2"/>
        <v>25</v>
      </c>
      <c r="K434" s="14">
        <f t="shared" si="3"/>
        <v>25</v>
      </c>
      <c r="L434" s="16" t="str">
        <f>IFERROR(__xludf.DUMMYFUNCTION("IFERROR(
  IF(
    VLOOKUP(C434, IMPORTRANGE(""gid=860555792"", ""Maestro!B:C""), 2, FALSE) = D434, 
    ""CONCILIADO"", 
    ""ERROR EN MONTO""
  ), 
  ""NO ENCONTRADO EN MAESTRO""
)"),"NO ENCONTRADO EN MAESTRO")</f>
        <v>NO ENCONTRADO EN MAESTRO</v>
      </c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ht="22.5" customHeight="1">
      <c r="A435" s="25">
        <f>IFERROR(__xludf.DUMMYFUNCTION("""COMPUTED_VALUE"""),46174.0)</f>
        <v>46174</v>
      </c>
      <c r="B435" s="15">
        <f>IFERROR(__xludf.DUMMYFUNCTION("""COMPUTED_VALUE"""),192.0)</f>
        <v>192</v>
      </c>
      <c r="C435" s="21">
        <f>IFERROR(__xludf.DUMMYFUNCTION("""COMPUTED_VALUE"""),30.0)</f>
        <v>30</v>
      </c>
      <c r="D435" s="22" t="str">
        <f>IFERROR(__xludf.DUMMYFUNCTION("""COMPUTED_VALUE"""),"USD")</f>
        <v>USD</v>
      </c>
      <c r="E435" s="22" t="str">
        <f>IFERROR(__xludf.DUMMYFUNCTION("""COMPUTED_VALUE"""),"Efectivo USD")</f>
        <v>Efectivo USD</v>
      </c>
      <c r="F435" s="22" t="str">
        <f>IFERROR(__xludf.DUMMYFUNCTION("""COMPUTED_VALUE"""),"Global Ferre 888 C.A")</f>
        <v>Global Ferre 888 C.A</v>
      </c>
      <c r="G435" s="19">
        <v>557.9741</v>
      </c>
      <c r="H435" s="13"/>
      <c r="I435" s="14">
        <f t="shared" si="1"/>
        <v>30</v>
      </c>
      <c r="J435" s="15">
        <f t="shared" si="2"/>
        <v>30</v>
      </c>
      <c r="K435" s="14">
        <f t="shared" si="3"/>
        <v>30</v>
      </c>
      <c r="L435" s="16" t="str">
        <f>IFERROR(__xludf.DUMMYFUNCTION("IFERROR(
  IF(
    VLOOKUP(C435, IMPORTRANGE(""gid=860555792"", ""Maestro!B:C""), 2, FALSE) = D435, 
    ""CONCILIADO"", 
    ""ERROR EN MONTO""
  ), 
  ""NO ENCONTRADO EN MAESTRO""
)"),"NO ENCONTRADO EN MAESTRO")</f>
        <v>NO ENCONTRADO EN MAESTRO</v>
      </c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ht="22.5" customHeight="1">
      <c r="A436" s="25">
        <f>IFERROR(__xludf.DUMMYFUNCTION("""COMPUTED_VALUE"""),46174.0)</f>
        <v>46174</v>
      </c>
      <c r="B436" s="15">
        <f>IFERROR(__xludf.DUMMYFUNCTION("""COMPUTED_VALUE"""),244.0)</f>
        <v>244</v>
      </c>
      <c r="C436" s="21">
        <f>IFERROR(__xludf.DUMMYFUNCTION("""COMPUTED_VALUE"""),100.0)</f>
        <v>100</v>
      </c>
      <c r="D436" s="22" t="str">
        <f>IFERROR(__xludf.DUMMYFUNCTION("""COMPUTED_VALUE"""),"USD")</f>
        <v>USD</v>
      </c>
      <c r="E436" s="22" t="str">
        <f>IFERROR(__xludf.DUMMYFUNCTION("""COMPUTED_VALUE"""),"Efectivo USD")</f>
        <v>Efectivo USD</v>
      </c>
      <c r="F436" s="22" t="str">
        <f>IFERROR(__xludf.DUMMYFUNCTION("""COMPUTED_VALUE"""),"Lubricantes BK C.A")</f>
        <v>Lubricantes BK C.A</v>
      </c>
      <c r="G436" s="19">
        <v>557.9741</v>
      </c>
      <c r="H436" s="13"/>
      <c r="I436" s="14">
        <f t="shared" si="1"/>
        <v>100</v>
      </c>
      <c r="J436" s="15">
        <f t="shared" si="2"/>
        <v>100</v>
      </c>
      <c r="K436" s="14">
        <f t="shared" si="3"/>
        <v>100</v>
      </c>
      <c r="L436" s="16" t="str">
        <f>IFERROR(__xludf.DUMMYFUNCTION("IFERROR(
  IF(
    VLOOKUP(C436, IMPORTRANGE(""gid=860555792"", ""Maestro!B:C""), 2, FALSE) = D436, 
    ""CONCILIADO"", 
    ""ERROR EN MONTO""
  ), 
  ""NO ENCONTRADO EN MAESTRO""
)"),"NO ENCONTRADO EN MAESTRO")</f>
        <v>NO ENCONTRADO EN MAESTRO</v>
      </c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ht="22.5" customHeight="1">
      <c r="A437" s="25">
        <f>IFERROR(__xludf.DUMMYFUNCTION("""COMPUTED_VALUE"""),46174.0)</f>
        <v>46174</v>
      </c>
      <c r="B437" s="15">
        <f>IFERROR(__xludf.DUMMYFUNCTION("""COMPUTED_VALUE"""),61.0)</f>
        <v>61</v>
      </c>
      <c r="C437" s="21">
        <f>IFERROR(__xludf.DUMMYFUNCTION("""COMPUTED_VALUE"""),330.0)</f>
        <v>330</v>
      </c>
      <c r="D437" s="22" t="str">
        <f>IFERROR(__xludf.DUMMYFUNCTION("""COMPUTED_VALUE"""),"USD")</f>
        <v>USD</v>
      </c>
      <c r="E437" s="22" t="str">
        <f>IFERROR(__xludf.DUMMYFUNCTION("""COMPUTED_VALUE"""),"Efectivo USD")</f>
        <v>Efectivo USD</v>
      </c>
      <c r="F437" s="22" t="str">
        <f>IFERROR(__xludf.DUMMYFUNCTION("""COMPUTED_VALUE"""),"SJMG 2012 C.A")</f>
        <v>SJMG 2012 C.A</v>
      </c>
      <c r="G437" s="19">
        <v>557.9741</v>
      </c>
      <c r="H437" s="13"/>
      <c r="I437" s="14">
        <f t="shared" si="1"/>
        <v>330</v>
      </c>
      <c r="J437" s="15">
        <f t="shared" si="2"/>
        <v>330</v>
      </c>
      <c r="K437" s="14">
        <f t="shared" si="3"/>
        <v>330</v>
      </c>
      <c r="L437" s="16" t="str">
        <f>IFERROR(__xludf.DUMMYFUNCTION("IFERROR(
  IF(
    VLOOKUP(C437, IMPORTRANGE(""gid=860555792"", ""Maestro!B:C""), 2, FALSE) = D437, 
    ""CONCILIADO"", 
    ""ERROR EN MONTO""
  ), 
  ""NO ENCONTRADO EN MAESTRO""
)"),"NO ENCONTRADO EN MAESTRO")</f>
        <v>NO ENCONTRADO EN MAESTRO</v>
      </c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ht="22.5" customHeight="1">
      <c r="A438" s="25">
        <f>IFERROR(__xludf.DUMMYFUNCTION("""COMPUTED_VALUE"""),46174.0)</f>
        <v>46174</v>
      </c>
      <c r="B438" s="15">
        <f>IFERROR(__xludf.DUMMYFUNCTION("""COMPUTED_VALUE"""),233.0)</f>
        <v>233</v>
      </c>
      <c r="C438" s="21">
        <f>IFERROR(__xludf.DUMMYFUNCTION("""COMPUTED_VALUE"""),27721.0)</f>
        <v>27721</v>
      </c>
      <c r="D438" s="22" t="str">
        <f>IFERROR(__xludf.DUMMYFUNCTION("""COMPUTED_VALUE"""),"VES")</f>
        <v>VES</v>
      </c>
      <c r="E438" s="22" t="str">
        <f>IFERROR(__xludf.DUMMYFUNCTION("""COMPUTED_VALUE"""),"Bancamiga")</f>
        <v>Bancamiga</v>
      </c>
      <c r="F438" s="22" t="str">
        <f>IFERROR(__xludf.DUMMYFUNCTION("""COMPUTED_VALUE"""),"Auto Partes Y Repuestos Encava Express,c.a.")</f>
        <v>Auto Partes Y Repuestos Encava Express,c.a.</v>
      </c>
      <c r="G438" s="19">
        <v>557.9741</v>
      </c>
      <c r="H438" s="13"/>
      <c r="I438" s="14">
        <f t="shared" si="1"/>
        <v>49.68151748</v>
      </c>
      <c r="J438" s="15">
        <f t="shared" si="2"/>
        <v>0</v>
      </c>
      <c r="K438" s="14">
        <f t="shared" si="3"/>
        <v>49.68151748</v>
      </c>
      <c r="L438" s="16" t="str">
        <f>IFERROR(__xludf.DUMMYFUNCTION("IFERROR(
  IF(
    VLOOKUP(C438, IMPORTRANGE(""gid=860555792"", ""Maestro!B:C""), 2, FALSE) = D438, 
    ""CONCILIADO"", 
    ""ERROR EN MONTO""
  ), 
  ""NO ENCONTRADO EN MAESTRO""
)"),"NO ENCONTRADO EN MAESTRO")</f>
        <v>NO ENCONTRADO EN MAESTRO</v>
      </c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ht="22.5" customHeight="1">
      <c r="A439" s="25">
        <f>IFERROR(__xludf.DUMMYFUNCTION("""COMPUTED_VALUE"""),46174.0)</f>
        <v>46174</v>
      </c>
      <c r="B439" s="15">
        <f>IFERROR(__xludf.DUMMYFUNCTION("""COMPUTED_VALUE"""),348.0)</f>
        <v>348</v>
      </c>
      <c r="C439" s="21">
        <f>IFERROR(__xludf.DUMMYFUNCTION("""COMPUTED_VALUE"""),151.12)</f>
        <v>151.12</v>
      </c>
      <c r="D439" s="22" t="str">
        <f>IFERROR(__xludf.DUMMYFUNCTION("""COMPUTED_VALUE"""),"VES")</f>
        <v>VES</v>
      </c>
      <c r="E439" s="22" t="str">
        <f>IFERROR(__xludf.DUMMYFUNCTION("""COMPUTED_VALUE"""),"Bancamiga")</f>
        <v>Bancamiga</v>
      </c>
      <c r="F439" s="22" t="str">
        <f>IFERROR(__xludf.DUMMYFUNCTION("""COMPUTED_VALUE"""),"Comercial Rio Paraguas C.A")</f>
        <v>Comercial Rio Paraguas C.A</v>
      </c>
      <c r="G439" s="19">
        <v>557.9741</v>
      </c>
      <c r="H439" s="13"/>
      <c r="I439" s="14">
        <f t="shared" si="1"/>
        <v>0.2708369439</v>
      </c>
      <c r="J439" s="15">
        <f t="shared" si="2"/>
        <v>0</v>
      </c>
      <c r="K439" s="14">
        <f t="shared" si="3"/>
        <v>0.2708369439</v>
      </c>
      <c r="L439" s="16" t="str">
        <f>IFERROR(__xludf.DUMMYFUNCTION("IFERROR(
  IF(
    VLOOKUP(C439, IMPORTRANGE(""gid=860555792"", ""Maestro!B:C""), 2, FALSE) = D439, 
    ""CONCILIADO"", 
    ""ERROR EN MONTO""
  ), 
  ""NO ENCONTRADO EN MAESTRO""
)"),"NO ENCONTRADO EN MAESTRO")</f>
        <v>NO ENCONTRADO EN MAESTRO</v>
      </c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ht="22.5" customHeight="1">
      <c r="A440" s="25">
        <f>IFERROR(__xludf.DUMMYFUNCTION("""COMPUTED_VALUE"""),46174.0)</f>
        <v>46174</v>
      </c>
      <c r="B440" s="15">
        <f>IFERROR(__xludf.DUMMYFUNCTION("""COMPUTED_VALUE"""),178.0)</f>
        <v>178</v>
      </c>
      <c r="C440" s="21">
        <f>IFERROR(__xludf.DUMMYFUNCTION("""COMPUTED_VALUE"""),60.0)</f>
        <v>60</v>
      </c>
      <c r="D440" s="22" t="str">
        <f>IFERROR(__xludf.DUMMYFUNCTION("""COMPUTED_VALUE"""),"USD")</f>
        <v>USD</v>
      </c>
      <c r="E440" s="22" t="str">
        <f>IFERROR(__xludf.DUMMYFUNCTION("""COMPUTED_VALUE"""),"Efectivo USD")</f>
        <v>Efectivo USD</v>
      </c>
      <c r="F440" s="22" t="str">
        <f>IFERROR(__xludf.DUMMYFUNCTION("""COMPUTED_VALUE"""),"Distribuidora Nesmari 2050 c.a")</f>
        <v>Distribuidora Nesmari 2050 c.a</v>
      </c>
      <c r="G440" s="19">
        <v>557.9741</v>
      </c>
      <c r="H440" s="13"/>
      <c r="I440" s="14">
        <f t="shared" si="1"/>
        <v>60</v>
      </c>
      <c r="J440" s="15">
        <f t="shared" si="2"/>
        <v>60</v>
      </c>
      <c r="K440" s="14">
        <f t="shared" si="3"/>
        <v>60</v>
      </c>
      <c r="L440" s="16" t="str">
        <f>IFERROR(__xludf.DUMMYFUNCTION("IFERROR(
  IF(
    VLOOKUP(C440, IMPORTRANGE(""gid=860555792"", ""Maestro!B:C""), 2, FALSE) = D440, 
    ""CONCILIADO"", 
    ""ERROR EN MONTO""
  ), 
  ""NO ENCONTRADO EN MAESTRO""
)"),"NO ENCONTRADO EN MAESTRO")</f>
        <v>NO ENCONTRADO EN MAESTRO</v>
      </c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ht="22.5" customHeight="1">
      <c r="A441" s="25">
        <f>IFERROR(__xludf.DUMMYFUNCTION("""COMPUTED_VALUE"""),46174.0)</f>
        <v>46174</v>
      </c>
      <c r="B441" s="15">
        <f>IFERROR(__xludf.DUMMYFUNCTION("""COMPUTED_VALUE"""),8.0)</f>
        <v>8</v>
      </c>
      <c r="C441" s="21">
        <f>IFERROR(__xludf.DUMMYFUNCTION("""COMPUTED_VALUE"""),50.0)</f>
        <v>50</v>
      </c>
      <c r="D441" s="22" t="str">
        <f>IFERROR(__xludf.DUMMYFUNCTION("""COMPUTED_VALUE"""),"USD")</f>
        <v>USD</v>
      </c>
      <c r="E441" s="22" t="str">
        <f>IFERROR(__xludf.DUMMYFUNCTION("""COMPUTED_VALUE"""),"Efectivo USD")</f>
        <v>Efectivo USD</v>
      </c>
      <c r="F441" s="22" t="str">
        <f>IFERROR(__xludf.DUMMYFUNCTION("""COMPUTED_VALUE"""),"AUTOREPUESTOS SION C.A.")</f>
        <v>AUTOREPUESTOS SION C.A.</v>
      </c>
      <c r="G441" s="19">
        <v>557.9741</v>
      </c>
      <c r="H441" s="13"/>
      <c r="I441" s="14">
        <f t="shared" si="1"/>
        <v>50</v>
      </c>
      <c r="J441" s="15">
        <f t="shared" si="2"/>
        <v>50</v>
      </c>
      <c r="K441" s="14">
        <f t="shared" si="3"/>
        <v>50</v>
      </c>
      <c r="L441" s="16" t="str">
        <f>IFERROR(__xludf.DUMMYFUNCTION("IFERROR(
  IF(
    VLOOKUP(C441, IMPORTRANGE(""gid=860555792"", ""Maestro!B:C""), 2, FALSE) = D441, 
    ""CONCILIADO"", 
    ""ERROR EN MONTO""
  ), 
  ""NO ENCONTRADO EN MAESTRO""
)"),"NO ENCONTRADO EN MAESTRO")</f>
        <v>NO ENCONTRADO EN MAESTRO</v>
      </c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ht="22.5" customHeight="1">
      <c r="A442" s="25">
        <f>IFERROR(__xludf.DUMMYFUNCTION("""COMPUTED_VALUE"""),46174.0)</f>
        <v>46174</v>
      </c>
      <c r="B442" s="15">
        <f>IFERROR(__xludf.DUMMYFUNCTION("""COMPUTED_VALUE"""),380.0)</f>
        <v>380</v>
      </c>
      <c r="C442" s="21">
        <f>IFERROR(__xludf.DUMMYFUNCTION("""COMPUTED_VALUE"""),50.0)</f>
        <v>50</v>
      </c>
      <c r="D442" s="22" t="str">
        <f>IFERROR(__xludf.DUMMYFUNCTION("""COMPUTED_VALUE"""),"USD")</f>
        <v>USD</v>
      </c>
      <c r="E442" s="22" t="str">
        <f>IFERROR(__xludf.DUMMYFUNCTION("""COMPUTED_VALUE"""),"Efectivo USD")</f>
        <v>Efectivo USD</v>
      </c>
      <c r="F442" s="22" t="str">
        <f>IFERROR(__xludf.DUMMYFUNCTION("""COMPUTED_VALUE"""),"Junior Marco Antonio Vivas Navas")</f>
        <v>Junior Marco Antonio Vivas Navas</v>
      </c>
      <c r="G442" s="19">
        <v>557.9741</v>
      </c>
      <c r="H442" s="13"/>
      <c r="I442" s="14">
        <f t="shared" si="1"/>
        <v>50</v>
      </c>
      <c r="J442" s="15">
        <f t="shared" si="2"/>
        <v>50</v>
      </c>
      <c r="K442" s="14">
        <f t="shared" si="3"/>
        <v>50</v>
      </c>
      <c r="L442" s="16" t="str">
        <f>IFERROR(__xludf.DUMMYFUNCTION("IFERROR(
  IF(
    VLOOKUP(C442, IMPORTRANGE(""gid=860555792"", ""Maestro!B:C""), 2, FALSE) = D442, 
    ""CONCILIADO"", 
    ""ERROR EN MONTO""
  ), 
  ""NO ENCONTRADO EN MAESTRO""
)"),"NO ENCONTRADO EN MAESTRO")</f>
        <v>NO ENCONTRADO EN MAESTRO</v>
      </c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ht="22.5" customHeight="1">
      <c r="A443" s="25">
        <f>IFERROR(__xludf.DUMMYFUNCTION("""COMPUTED_VALUE"""),46174.0)</f>
        <v>46174</v>
      </c>
      <c r="B443" s="15">
        <f>IFERROR(__xludf.DUMMYFUNCTION("""COMPUTED_VALUE"""),286.0)</f>
        <v>286</v>
      </c>
      <c r="C443" s="21">
        <f>IFERROR(__xludf.DUMMYFUNCTION("""COMPUTED_VALUE"""),30.0)</f>
        <v>30</v>
      </c>
      <c r="D443" s="22" t="str">
        <f>IFERROR(__xludf.DUMMYFUNCTION("""COMPUTED_VALUE"""),"USD")</f>
        <v>USD</v>
      </c>
      <c r="E443" s="22" t="str">
        <f>IFERROR(__xludf.DUMMYFUNCTION("""COMPUTED_VALUE"""),"Efectivo USD")</f>
        <v>Efectivo USD</v>
      </c>
      <c r="F443" s="22" t="str">
        <f>IFERROR(__xludf.DUMMYFUNCTION("""COMPUTED_VALUE"""),"Inversiones tydelmarojg")</f>
        <v>Inversiones tydelmarojg</v>
      </c>
      <c r="G443" s="19">
        <v>557.9741</v>
      </c>
      <c r="H443" s="13"/>
      <c r="I443" s="14">
        <f t="shared" si="1"/>
        <v>30</v>
      </c>
      <c r="J443" s="15">
        <f t="shared" si="2"/>
        <v>30</v>
      </c>
      <c r="K443" s="14">
        <f t="shared" si="3"/>
        <v>30</v>
      </c>
      <c r="L443" s="16" t="str">
        <f>IFERROR(__xludf.DUMMYFUNCTION("IFERROR(
  IF(
    VLOOKUP(C443, IMPORTRANGE(""gid=860555792"", ""Maestro!B:C""), 2, FALSE) = D443, 
    ""CONCILIADO"", 
    ""ERROR EN MONTO""
  ), 
  ""NO ENCONTRADO EN MAESTRO""
)"),"NO ENCONTRADO EN MAESTRO")</f>
        <v>NO ENCONTRADO EN MAESTRO</v>
      </c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ht="22.5" customHeight="1">
      <c r="A444" s="25">
        <f>IFERROR(__xludf.DUMMYFUNCTION("""COMPUTED_VALUE"""),46174.0)</f>
        <v>46174</v>
      </c>
      <c r="B444" s="15">
        <f>IFERROR(__xludf.DUMMYFUNCTION("""COMPUTED_VALUE"""),398.0)</f>
        <v>398</v>
      </c>
      <c r="C444" s="21">
        <f>IFERROR(__xludf.DUMMYFUNCTION("""COMPUTED_VALUE"""),39376.0)</f>
        <v>39376</v>
      </c>
      <c r="D444" s="22" t="str">
        <f>IFERROR(__xludf.DUMMYFUNCTION("""COMPUTED_VALUE"""),"VES")</f>
        <v>VES</v>
      </c>
      <c r="E444" s="22" t="str">
        <f>IFERROR(__xludf.DUMMYFUNCTION("""COMPUTED_VALUE"""),"Bancamiga")</f>
        <v>Bancamiga</v>
      </c>
      <c r="F444" s="22" t="str">
        <f>IFERROR(__xludf.DUMMYFUNCTION("""COMPUTED_VALUE"""),"Moto repuestos jj")</f>
        <v>Moto repuestos jj</v>
      </c>
      <c r="G444" s="19">
        <v>557.9741</v>
      </c>
      <c r="H444" s="13"/>
      <c r="I444" s="14">
        <f t="shared" si="1"/>
        <v>70.56958379</v>
      </c>
      <c r="J444" s="15">
        <f t="shared" si="2"/>
        <v>0</v>
      </c>
      <c r="K444" s="14">
        <f t="shared" si="3"/>
        <v>70.56958379</v>
      </c>
      <c r="L444" s="16" t="str">
        <f>IFERROR(__xludf.DUMMYFUNCTION("IFERROR(
  IF(
    VLOOKUP(C444, IMPORTRANGE(""gid=860555792"", ""Maestro!B:C""), 2, FALSE) = D444, 
    ""CONCILIADO"", 
    ""ERROR EN MONTO""
  ), 
  ""NO ENCONTRADO EN MAESTRO""
)"),"NO ENCONTRADO EN MAESTRO")</f>
        <v>NO ENCONTRADO EN MAESTRO</v>
      </c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ht="22.5" customHeight="1">
      <c r="A445" s="25">
        <f>IFERROR(__xludf.DUMMYFUNCTION("""COMPUTED_VALUE"""),46174.0)</f>
        <v>46174</v>
      </c>
      <c r="B445" s="15">
        <f>IFERROR(__xludf.DUMMYFUNCTION("""COMPUTED_VALUE"""),424.0)</f>
        <v>424</v>
      </c>
      <c r="C445" s="21">
        <f>IFERROR(__xludf.DUMMYFUNCTION("""COMPUTED_VALUE"""),187425.0)</f>
        <v>187425</v>
      </c>
      <c r="D445" s="22" t="str">
        <f>IFERROR(__xludf.DUMMYFUNCTION("""COMPUTED_VALUE"""),"VES")</f>
        <v>VES</v>
      </c>
      <c r="E445" s="22" t="str">
        <f>IFERROR(__xludf.DUMMYFUNCTION("""COMPUTED_VALUE"""),"Bancamiga")</f>
        <v>Bancamiga</v>
      </c>
      <c r="F445" s="22" t="str">
        <f>IFERROR(__xludf.DUMMYFUNCTION("""COMPUTED_VALUE"""),"Antonio Terán")</f>
        <v>Antonio Terán</v>
      </c>
      <c r="G445" s="19">
        <v>557.9741</v>
      </c>
      <c r="H445" s="13"/>
      <c r="I445" s="14">
        <f t="shared" si="1"/>
        <v>335.902688</v>
      </c>
      <c r="J445" s="15">
        <f t="shared" si="2"/>
        <v>0</v>
      </c>
      <c r="K445" s="14">
        <f t="shared" si="3"/>
        <v>335.902688</v>
      </c>
      <c r="L445" s="16" t="str">
        <f>IFERROR(__xludf.DUMMYFUNCTION("IFERROR(
  IF(
    VLOOKUP(C445, IMPORTRANGE(""gid=860555792"", ""Maestro!B:C""), 2, FALSE) = D445, 
    ""CONCILIADO"", 
    ""ERROR EN MONTO""
  ), 
  ""NO ENCONTRADO EN MAESTRO""
)"),"NO ENCONTRADO EN MAESTRO")</f>
        <v>NO ENCONTRADO EN MAESTRO</v>
      </c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ht="22.5" customHeight="1">
      <c r="A446" s="25">
        <f>IFERROR(__xludf.DUMMYFUNCTION("""COMPUTED_VALUE"""),46175.0)</f>
        <v>46175</v>
      </c>
      <c r="B446" s="15">
        <f>IFERROR(__xludf.DUMMYFUNCTION("""COMPUTED_VALUE"""),26.0)</f>
        <v>26</v>
      </c>
      <c r="C446" s="21">
        <f>IFERROR(__xludf.DUMMYFUNCTION("""COMPUTED_VALUE"""),30.0)</f>
        <v>30</v>
      </c>
      <c r="D446" s="22" t="str">
        <f>IFERROR(__xludf.DUMMYFUNCTION("""COMPUTED_VALUE"""),"USD")</f>
        <v>USD</v>
      </c>
      <c r="E446" s="22" t="str">
        <f>IFERROR(__xludf.DUMMYFUNCTION("""COMPUTED_VALUE"""),"Efectivo USD")</f>
        <v>Efectivo USD</v>
      </c>
      <c r="F446" s="22" t="str">
        <f>IFERROR(__xludf.DUMMYFUNCTION("""COMPUTED_VALUE"""),"Joel Duque")</f>
        <v>Joel Duque</v>
      </c>
      <c r="G446" s="19">
        <v>557.9741</v>
      </c>
      <c r="H446" s="13"/>
      <c r="I446" s="14">
        <f t="shared" si="1"/>
        <v>30</v>
      </c>
      <c r="J446" s="15">
        <f t="shared" si="2"/>
        <v>30</v>
      </c>
      <c r="K446" s="14">
        <f t="shared" si="3"/>
        <v>30</v>
      </c>
      <c r="L446" s="16" t="str">
        <f>IFERROR(__xludf.DUMMYFUNCTION("IFERROR(
  IF(
    VLOOKUP(C446, IMPORTRANGE(""gid=860555792"", ""Maestro!B:C""), 2, FALSE) = D446, 
    ""CONCILIADO"", 
    ""ERROR EN MONTO""
  ), 
  ""NO ENCONTRADO EN MAESTRO""
)"),"NO ENCONTRADO EN MAESTRO")</f>
        <v>NO ENCONTRADO EN MAESTRO</v>
      </c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ht="22.5" customHeight="1">
      <c r="A447" s="25">
        <f>IFERROR(__xludf.DUMMYFUNCTION("""COMPUTED_VALUE"""),46164.0)</f>
        <v>46164</v>
      </c>
      <c r="B447" s="15">
        <f>IFERROR(__xludf.DUMMYFUNCTION("""COMPUTED_VALUE"""),435.0)</f>
        <v>435</v>
      </c>
      <c r="C447" s="21">
        <f>IFERROR(__xludf.DUMMYFUNCTION("""COMPUTED_VALUE"""),1298311.58)</f>
        <v>1298311.58</v>
      </c>
      <c r="D447" s="22" t="str">
        <f>IFERROR(__xludf.DUMMYFUNCTION("""COMPUTED_VALUE"""),"VES")</f>
        <v>VES</v>
      </c>
      <c r="E447" s="22" t="str">
        <f>IFERROR(__xludf.DUMMYFUNCTION("""COMPUTED_VALUE"""),"Bancamiga")</f>
        <v>Bancamiga</v>
      </c>
      <c r="F447" s="22" t="str">
        <f>IFERROR(__xludf.DUMMYFUNCTION("""COMPUTED_VALUE"""),"PROYECTOS Y DESARROLLO TOMTOM,C.A.")</f>
        <v>PROYECTOS Y DESARROLLO TOMTOM,C.A.</v>
      </c>
      <c r="G447" s="19">
        <v>526.8694</v>
      </c>
      <c r="H447" s="13"/>
      <c r="I447" s="14">
        <f t="shared" si="1"/>
        <v>2464.200009</v>
      </c>
      <c r="J447" s="15">
        <f t="shared" si="2"/>
        <v>0</v>
      </c>
      <c r="K447" s="14">
        <f t="shared" si="3"/>
        <v>2464.200009</v>
      </c>
      <c r="L447" s="16" t="str">
        <f>IFERROR(__xludf.DUMMYFUNCTION("IFERROR(
  IF(
    VLOOKUP(C447, IMPORTRANGE(""gid=860555792"", ""Maestro!B:C""), 2, FALSE) = D447, 
    ""CONCILIADO"", 
    ""ERROR EN MONTO""
  ), 
  ""NO ENCONTRADO EN MAESTRO""
)"),"NO ENCONTRADO EN MAESTRO")</f>
        <v>NO ENCONTRADO EN MAESTRO</v>
      </c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ht="22.5" customHeight="1">
      <c r="A448" s="25">
        <f>IFERROR(__xludf.DUMMYFUNCTION("""COMPUTED_VALUE"""),46173.0)</f>
        <v>46173</v>
      </c>
      <c r="B448" s="15">
        <f>IFERROR(__xludf.DUMMYFUNCTION("""COMPUTED_VALUE"""),131.0)</f>
        <v>131</v>
      </c>
      <c r="C448" s="21">
        <f>IFERROR(__xludf.DUMMYFUNCTION("""COMPUTED_VALUE"""),10.0)</f>
        <v>10</v>
      </c>
      <c r="D448" s="22" t="str">
        <f>IFERROR(__xludf.DUMMYFUNCTION("""COMPUTED_VALUE"""),"USD")</f>
        <v>USD</v>
      </c>
      <c r="E448" s="22" t="str">
        <f>IFERROR(__xludf.DUMMYFUNCTION("""COMPUTED_VALUE"""),"Efectivo USD")</f>
        <v>Efectivo USD</v>
      </c>
      <c r="F448" s="22" t="str">
        <f>IFERROR(__xludf.DUMMYFUNCTION("""COMPUTED_VALUE"""),"Neykel Quevedo")</f>
        <v>Neykel Quevedo</v>
      </c>
      <c r="G448" s="19">
        <v>554.4258</v>
      </c>
      <c r="H448" s="13"/>
      <c r="I448" s="14">
        <f t="shared" si="1"/>
        <v>10</v>
      </c>
      <c r="J448" s="15">
        <f t="shared" si="2"/>
        <v>10</v>
      </c>
      <c r="K448" s="14">
        <f t="shared" si="3"/>
        <v>10</v>
      </c>
      <c r="L448" s="16" t="str">
        <f>IFERROR(__xludf.DUMMYFUNCTION("IFERROR(
  IF(
    VLOOKUP(C448, IMPORTRANGE(""gid=860555792"", ""Maestro!B:C""), 2, FALSE) = D448, 
    ""CONCILIADO"", 
    ""ERROR EN MONTO""
  ), 
  ""NO ENCONTRADO EN MAESTRO""
)"),"NO ENCONTRADO EN MAESTRO")</f>
        <v>NO ENCONTRADO EN MAESTRO</v>
      </c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ht="22.5" customHeight="1">
      <c r="A449" s="25">
        <f>IFERROR(__xludf.DUMMYFUNCTION("""COMPUTED_VALUE"""),46175.0)</f>
        <v>46175</v>
      </c>
      <c r="B449" s="15">
        <f>IFERROR(__xludf.DUMMYFUNCTION("""COMPUTED_VALUE"""),44.0)</f>
        <v>44</v>
      </c>
      <c r="C449" s="21">
        <f>IFERROR(__xludf.DUMMYFUNCTION("""COMPUTED_VALUE"""),200.0)</f>
        <v>200</v>
      </c>
      <c r="D449" s="22" t="str">
        <f>IFERROR(__xludf.DUMMYFUNCTION("""COMPUTED_VALUE"""),"USD")</f>
        <v>USD</v>
      </c>
      <c r="E449" s="22" t="str">
        <f>IFERROR(__xludf.DUMMYFUNCTION("""COMPUTED_VALUE"""),"Efectivo USD")</f>
        <v>Efectivo USD</v>
      </c>
      <c r="F449" s="22" t="str">
        <f>IFERROR(__xludf.DUMMYFUNCTION("""COMPUTED_VALUE"""),"Comercializadora Garabote")</f>
        <v>Comercializadora Garabote</v>
      </c>
      <c r="G449" s="19">
        <v>557.9741</v>
      </c>
      <c r="H449" s="13"/>
      <c r="I449" s="14">
        <f t="shared" si="1"/>
        <v>200</v>
      </c>
      <c r="J449" s="15">
        <f t="shared" si="2"/>
        <v>200</v>
      </c>
      <c r="K449" s="14">
        <f t="shared" si="3"/>
        <v>200</v>
      </c>
      <c r="L449" s="16" t="str">
        <f>IFERROR(__xludf.DUMMYFUNCTION("IFERROR(
  IF(
    VLOOKUP(C449, IMPORTRANGE(""gid=860555792"", ""Maestro!B:C""), 2, FALSE) = D449, 
    ""CONCILIADO"", 
    ""ERROR EN MONTO""
  ), 
  ""NO ENCONTRADO EN MAESTRO""
)"),"NO ENCONTRADO EN MAESTRO")</f>
        <v>NO ENCONTRADO EN MAESTRO</v>
      </c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ht="22.5" customHeight="1">
      <c r="A450" s="25">
        <f>IFERROR(__xludf.DUMMYFUNCTION("""COMPUTED_VALUE"""),46175.0)</f>
        <v>46175</v>
      </c>
      <c r="B450" s="15">
        <f>IFERROR(__xludf.DUMMYFUNCTION("""COMPUTED_VALUE"""),248.0)</f>
        <v>248</v>
      </c>
      <c r="C450" s="21">
        <f>IFERROR(__xludf.DUMMYFUNCTION("""COMPUTED_VALUE"""),15.0)</f>
        <v>15</v>
      </c>
      <c r="D450" s="22" t="str">
        <f>IFERROR(__xludf.DUMMYFUNCTION("""COMPUTED_VALUE"""),"USD")</f>
        <v>USD</v>
      </c>
      <c r="E450" s="22" t="str">
        <f>IFERROR(__xludf.DUMMYFUNCTION("""COMPUTED_VALUE"""),"Efectivo USD")</f>
        <v>Efectivo USD</v>
      </c>
      <c r="F450" s="22" t="str">
        <f>IFERROR(__xludf.DUMMYFUNCTION("""COMPUTED_VALUE"""),"Abraham almenar")</f>
        <v>Abraham almenar</v>
      </c>
      <c r="G450" s="19">
        <v>557.9741</v>
      </c>
      <c r="H450" s="13"/>
      <c r="I450" s="14">
        <f t="shared" si="1"/>
        <v>15</v>
      </c>
      <c r="J450" s="15">
        <f t="shared" si="2"/>
        <v>15</v>
      </c>
      <c r="K450" s="14">
        <f t="shared" si="3"/>
        <v>15</v>
      </c>
      <c r="L450" s="16" t="str">
        <f>IFERROR(__xludf.DUMMYFUNCTION("IFERROR(
  IF(
    VLOOKUP(C450, IMPORTRANGE(""gid=860555792"", ""Maestro!B:C""), 2, FALSE) = D450, 
    ""CONCILIADO"", 
    ""ERROR EN MONTO""
  ), 
  ""NO ENCONTRADO EN MAESTRO""
)"),"NO ENCONTRADO EN MAESTRO")</f>
        <v>NO ENCONTRADO EN MAESTRO</v>
      </c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ht="22.5" customHeight="1">
      <c r="A451" s="25">
        <f>IFERROR(__xludf.DUMMYFUNCTION("""COMPUTED_VALUE"""),46174.0)</f>
        <v>46174</v>
      </c>
      <c r="B451" s="15">
        <f>IFERROR(__xludf.DUMMYFUNCTION("""COMPUTED_VALUE"""),471.0)</f>
        <v>471</v>
      </c>
      <c r="C451" s="21">
        <f>IFERROR(__xludf.DUMMYFUNCTION("""COMPUTED_VALUE"""),80.0)</f>
        <v>80</v>
      </c>
      <c r="D451" s="22" t="str">
        <f>IFERROR(__xludf.DUMMYFUNCTION("""COMPUTED_VALUE"""),"USD")</f>
        <v>USD</v>
      </c>
      <c r="E451" s="22" t="str">
        <f>IFERROR(__xludf.DUMMYFUNCTION("""COMPUTED_VALUE"""),"Efectivo USD")</f>
        <v>Efectivo USD</v>
      </c>
      <c r="F451" s="22" t="str">
        <f>IFERROR(__xludf.DUMMYFUNCTION("""COMPUTED_VALUE"""),"José Gregorio Hernández")</f>
        <v>José Gregorio Hernández</v>
      </c>
      <c r="G451" s="19">
        <v>557.9741</v>
      </c>
      <c r="H451" s="13"/>
      <c r="I451" s="14">
        <f t="shared" si="1"/>
        <v>80</v>
      </c>
      <c r="J451" s="15">
        <f t="shared" si="2"/>
        <v>80</v>
      </c>
      <c r="K451" s="14">
        <f t="shared" si="3"/>
        <v>80</v>
      </c>
      <c r="L451" s="16" t="str">
        <f>IFERROR(__xludf.DUMMYFUNCTION("IFERROR(
  IF(
    VLOOKUP(C451, IMPORTRANGE(""gid=860555792"", ""Maestro!B:C""), 2, FALSE) = D451, 
    ""CONCILIADO"", 
    ""ERROR EN MONTO""
  ), 
  ""NO ENCONTRADO EN MAESTRO""
)"),"NO ENCONTRADO EN MAESTRO")</f>
        <v>NO ENCONTRADO EN MAESTRO</v>
      </c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ht="22.5" customHeight="1">
      <c r="A452" s="25">
        <f>IFERROR(__xludf.DUMMYFUNCTION("""COMPUTED_VALUE"""),46174.0)</f>
        <v>46174</v>
      </c>
      <c r="B452" s="15">
        <f>IFERROR(__xludf.DUMMYFUNCTION("""COMPUTED_VALUE"""),471.0)</f>
        <v>471</v>
      </c>
      <c r="C452" s="21">
        <f>IFERROR(__xludf.DUMMYFUNCTION("""COMPUTED_VALUE"""),67086.0)</f>
        <v>67086</v>
      </c>
      <c r="D452" s="22" t="str">
        <f>IFERROR(__xludf.DUMMYFUNCTION("""COMPUTED_VALUE"""),"VES")</f>
        <v>VES</v>
      </c>
      <c r="E452" s="22" t="str">
        <f>IFERROR(__xludf.DUMMYFUNCTION("""COMPUTED_VALUE"""),"Bancamiga")</f>
        <v>Bancamiga</v>
      </c>
      <c r="F452" s="22" t="str">
        <f>IFERROR(__xludf.DUMMYFUNCTION("""COMPUTED_VALUE"""),"José Gregorio Hernández")</f>
        <v>José Gregorio Hernández</v>
      </c>
      <c r="G452" s="19">
        <v>557.9741</v>
      </c>
      <c r="H452" s="13"/>
      <c r="I452" s="14">
        <f t="shared" si="1"/>
        <v>120.2313871</v>
      </c>
      <c r="J452" s="15">
        <f t="shared" si="2"/>
        <v>0</v>
      </c>
      <c r="K452" s="14">
        <f t="shared" si="3"/>
        <v>120.2313871</v>
      </c>
      <c r="L452" s="16" t="str">
        <f>IFERROR(__xludf.DUMMYFUNCTION("IFERROR(
  IF(
    VLOOKUP(C452, IMPORTRANGE(""gid=860555792"", ""Maestro!B:C""), 2, FALSE) = D452, 
    ""CONCILIADO"", 
    ""ERROR EN MONTO""
  ), 
  ""NO ENCONTRADO EN MAESTRO""
)"),"NO ENCONTRADO EN MAESTRO")</f>
        <v>NO ENCONTRADO EN MAESTRO</v>
      </c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ht="22.5" customHeight="1">
      <c r="A453" s="25">
        <f>IFERROR(__xludf.DUMMYFUNCTION("""COMPUTED_VALUE"""),46175.0)</f>
        <v>46175</v>
      </c>
      <c r="B453" s="15">
        <f>IFERROR(__xludf.DUMMYFUNCTION("""COMPUTED_VALUE"""),480.0)</f>
        <v>480</v>
      </c>
      <c r="C453" s="21">
        <f>IFERROR(__xludf.DUMMYFUNCTION("""COMPUTED_VALUE"""),64725.0)</f>
        <v>64725</v>
      </c>
      <c r="D453" s="22" t="str">
        <f>IFERROR(__xludf.DUMMYFUNCTION("""COMPUTED_VALUE"""),"VES")</f>
        <v>VES</v>
      </c>
      <c r="E453" s="22" t="str">
        <f>IFERROR(__xludf.DUMMYFUNCTION("""COMPUTED_VALUE"""),"Bancamiga")</f>
        <v>Bancamiga</v>
      </c>
      <c r="F453" s="22" t="str">
        <f>IFERROR(__xludf.DUMMYFUNCTION("""COMPUTED_VALUE"""),"Alejandro Zorrilla")</f>
        <v>Alejandro Zorrilla</v>
      </c>
      <c r="G453" s="19">
        <v>557.9741</v>
      </c>
      <c r="H453" s="13"/>
      <c r="I453" s="14">
        <f t="shared" si="1"/>
        <v>116.0000079</v>
      </c>
      <c r="J453" s="15">
        <f t="shared" si="2"/>
        <v>0</v>
      </c>
      <c r="K453" s="14">
        <f t="shared" si="3"/>
        <v>116.0000079</v>
      </c>
      <c r="L453" s="16" t="str">
        <f>IFERROR(__xludf.DUMMYFUNCTION("IFERROR(
  IF(
    VLOOKUP(C453, IMPORTRANGE(""gid=860555792"", ""Maestro!B:C""), 2, FALSE) = D453, 
    ""CONCILIADO"", 
    ""ERROR EN MONTO""
  ), 
  ""NO ENCONTRADO EN MAESTRO""
)"),"NO ENCONTRADO EN MAESTRO")</f>
        <v>NO ENCONTRADO EN MAESTRO</v>
      </c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ht="22.5" customHeight="1">
      <c r="A454" s="25">
        <f>IFERROR(__xludf.DUMMYFUNCTION("""COMPUTED_VALUE"""),46175.0)</f>
        <v>46175</v>
      </c>
      <c r="B454" s="15">
        <f>IFERROR(__xludf.DUMMYFUNCTION("""COMPUTED_VALUE"""),324.0)</f>
        <v>324</v>
      </c>
      <c r="C454" s="21">
        <f>IFERROR(__xludf.DUMMYFUNCTION("""COMPUTED_VALUE"""),40.0)</f>
        <v>40</v>
      </c>
      <c r="D454" s="22" t="str">
        <f>IFERROR(__xludf.DUMMYFUNCTION("""COMPUTED_VALUE"""),"USD")</f>
        <v>USD</v>
      </c>
      <c r="E454" s="22" t="str">
        <f>IFERROR(__xludf.DUMMYFUNCTION("""COMPUTED_VALUE"""),"Efectivo USD")</f>
        <v>Efectivo USD</v>
      </c>
      <c r="F454" s="22" t="str">
        <f>IFERROR(__xludf.DUMMYFUNCTION("""COMPUTED_VALUE"""),"Nemer Bourji")</f>
        <v>Nemer Bourji</v>
      </c>
      <c r="G454" s="19">
        <v>557.9741</v>
      </c>
      <c r="H454" s="13"/>
      <c r="I454" s="14">
        <f t="shared" si="1"/>
        <v>40</v>
      </c>
      <c r="J454" s="15">
        <f t="shared" si="2"/>
        <v>40</v>
      </c>
      <c r="K454" s="14">
        <f t="shared" si="3"/>
        <v>40</v>
      </c>
      <c r="L454" s="16" t="str">
        <f>IFERROR(__xludf.DUMMYFUNCTION("IFERROR(
  IF(
    VLOOKUP(C454, IMPORTRANGE(""gid=860555792"", ""Maestro!B:C""), 2, FALSE) = D454, 
    ""CONCILIADO"", 
    ""ERROR EN MONTO""
  ), 
  ""NO ENCONTRADO EN MAESTRO""
)"),"NO ENCONTRADO EN MAESTRO")</f>
        <v>NO ENCONTRADO EN MAESTRO</v>
      </c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ht="22.5" customHeight="1">
      <c r="A455" s="25">
        <f>IFERROR(__xludf.DUMMYFUNCTION("""COMPUTED_VALUE"""),46175.0)</f>
        <v>46175</v>
      </c>
      <c r="B455" s="15">
        <f>IFERROR(__xludf.DUMMYFUNCTION("""COMPUTED_VALUE"""),83.0)</f>
        <v>83</v>
      </c>
      <c r="C455" s="21">
        <f>IFERROR(__xludf.DUMMYFUNCTION("""COMPUTED_VALUE"""),35.0)</f>
        <v>35</v>
      </c>
      <c r="D455" s="22" t="str">
        <f>IFERROR(__xludf.DUMMYFUNCTION("""COMPUTED_VALUE"""),"USD")</f>
        <v>USD</v>
      </c>
      <c r="E455" s="22" t="str">
        <f>IFERROR(__xludf.DUMMYFUNCTION("""COMPUTED_VALUE"""),"Efectivo USD")</f>
        <v>Efectivo USD</v>
      </c>
      <c r="F455" s="22" t="str">
        <f>IFERROR(__xludf.DUMMYFUNCTION("""COMPUTED_VALUE"""),"Inversiones Famasa, C.A")</f>
        <v>Inversiones Famasa, C.A</v>
      </c>
      <c r="G455" s="19">
        <v>557.9741</v>
      </c>
      <c r="H455" s="13"/>
      <c r="I455" s="14">
        <f t="shared" si="1"/>
        <v>35</v>
      </c>
      <c r="J455" s="15">
        <f t="shared" si="2"/>
        <v>35</v>
      </c>
      <c r="K455" s="14">
        <f t="shared" si="3"/>
        <v>35</v>
      </c>
      <c r="L455" s="16" t="str">
        <f>IFERROR(__xludf.DUMMYFUNCTION("IFERROR(
  IF(
    VLOOKUP(C455, IMPORTRANGE(""gid=860555792"", ""Maestro!B:C""), 2, FALSE) = D455, 
    ""CONCILIADO"", 
    ""ERROR EN MONTO""
  ), 
  ""NO ENCONTRADO EN MAESTRO""
)"),"NO ENCONTRADO EN MAESTRO")</f>
        <v>NO ENCONTRADO EN MAESTRO</v>
      </c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ht="22.5" customHeight="1">
      <c r="A456" s="25">
        <f>IFERROR(__xludf.DUMMYFUNCTION("""COMPUTED_VALUE"""),46175.0)</f>
        <v>46175</v>
      </c>
      <c r="B456" s="15">
        <f>IFERROR(__xludf.DUMMYFUNCTION("""COMPUTED_VALUE"""),330.0)</f>
        <v>330</v>
      </c>
      <c r="C456" s="21">
        <f>IFERROR(__xludf.DUMMYFUNCTION("""COMPUTED_VALUE"""),16740.0)</f>
        <v>16740</v>
      </c>
      <c r="D456" s="22" t="str">
        <f>IFERROR(__xludf.DUMMYFUNCTION("""COMPUTED_VALUE"""),"VES")</f>
        <v>VES</v>
      </c>
      <c r="E456" s="22" t="str">
        <f>IFERROR(__xludf.DUMMYFUNCTION("""COMPUTED_VALUE"""),"Bancamiga")</f>
        <v>Bancamiga</v>
      </c>
      <c r="F456" s="22" t="str">
        <f>IFERROR(__xludf.DUMMYFUNCTION("""COMPUTED_VALUE"""),"Diana Carolina Torres")</f>
        <v>Diana Carolina Torres</v>
      </c>
      <c r="G456" s="19">
        <v>557.9741</v>
      </c>
      <c r="H456" s="13"/>
      <c r="I456" s="14">
        <f t="shared" si="1"/>
        <v>30.00139254</v>
      </c>
      <c r="J456" s="15">
        <f t="shared" si="2"/>
        <v>0</v>
      </c>
      <c r="K456" s="14">
        <f t="shared" si="3"/>
        <v>30.00139254</v>
      </c>
      <c r="L456" s="16" t="str">
        <f>IFERROR(__xludf.DUMMYFUNCTION("IFERROR(
  IF(
    VLOOKUP(C456, IMPORTRANGE(""gid=860555792"", ""Maestro!B:C""), 2, FALSE) = D456, 
    ""CONCILIADO"", 
    ""ERROR EN MONTO""
  ), 
  ""NO ENCONTRADO EN MAESTRO""
)"),"NO ENCONTRADO EN MAESTRO")</f>
        <v>NO ENCONTRADO EN MAESTRO</v>
      </c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ht="22.5" customHeight="1">
      <c r="A457" s="25">
        <f>IFERROR(__xludf.DUMMYFUNCTION("""COMPUTED_VALUE"""),46175.0)</f>
        <v>46175</v>
      </c>
      <c r="B457" s="15">
        <f>IFERROR(__xludf.DUMMYFUNCTION("""COMPUTED_VALUE"""),394.0)</f>
        <v>394</v>
      </c>
      <c r="C457" s="21">
        <f>IFERROR(__xludf.DUMMYFUNCTION("""COMPUTED_VALUE"""),189364.13)</f>
        <v>189364.13</v>
      </c>
      <c r="D457" s="22" t="str">
        <f>IFERROR(__xludf.DUMMYFUNCTION("""COMPUTED_VALUE"""),"VES")</f>
        <v>VES</v>
      </c>
      <c r="E457" s="22" t="str">
        <f>IFERROR(__xludf.DUMMYFUNCTION("""COMPUTED_VALUE"""),"Bancamiga")</f>
        <v>Bancamiga</v>
      </c>
      <c r="F457" s="22" t="str">
        <f>IFERROR(__xludf.DUMMYFUNCTION("""COMPUTED_VALUE"""),"Sandra Katherine Quintero Crespo")</f>
        <v>Sandra Katherine Quintero Crespo</v>
      </c>
      <c r="G457" s="19">
        <v>557.9741</v>
      </c>
      <c r="H457" s="13"/>
      <c r="I457" s="14">
        <f t="shared" si="1"/>
        <v>339.3779926</v>
      </c>
      <c r="J457" s="15">
        <f t="shared" si="2"/>
        <v>0</v>
      </c>
      <c r="K457" s="14">
        <f t="shared" si="3"/>
        <v>339.3779926</v>
      </c>
      <c r="L457" s="16" t="str">
        <f>IFERROR(__xludf.DUMMYFUNCTION("IFERROR(
  IF(
    VLOOKUP(C457, IMPORTRANGE(""gid=860555792"", ""Maestro!B:C""), 2, FALSE) = D457, 
    ""CONCILIADO"", 
    ""ERROR EN MONTO""
  ), 
  ""NO ENCONTRADO EN MAESTRO""
)"),"NO ENCONTRADO EN MAESTRO")</f>
        <v>NO ENCONTRADO EN MAESTRO</v>
      </c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ht="22.5" customHeight="1">
      <c r="A458" s="25">
        <f>IFERROR(__xludf.DUMMYFUNCTION("""COMPUTED_VALUE"""),46175.0)</f>
        <v>46175</v>
      </c>
      <c r="B458" s="15">
        <f>IFERROR(__xludf.DUMMYFUNCTION("""COMPUTED_VALUE"""),27.0)</f>
        <v>27</v>
      </c>
      <c r="C458" s="21">
        <f>IFERROR(__xludf.DUMMYFUNCTION("""COMPUTED_VALUE"""),20.0)</f>
        <v>20</v>
      </c>
      <c r="D458" s="22" t="str">
        <f>IFERROR(__xludf.DUMMYFUNCTION("""COMPUTED_VALUE"""),"USD")</f>
        <v>USD</v>
      </c>
      <c r="E458" s="22" t="str">
        <f>IFERROR(__xludf.DUMMYFUNCTION("""COMPUTED_VALUE"""),"Efectivo USD")</f>
        <v>Efectivo USD</v>
      </c>
      <c r="F458" s="22" t="str">
        <f>IFERROR(__xludf.DUMMYFUNCTION("""COMPUTED_VALUE"""),"Moises Alejandro Mares")</f>
        <v>Moises Alejandro Mares</v>
      </c>
      <c r="G458" s="19">
        <v>557.9741</v>
      </c>
      <c r="H458" s="13"/>
      <c r="I458" s="14">
        <f t="shared" si="1"/>
        <v>20</v>
      </c>
      <c r="J458" s="15">
        <f t="shared" si="2"/>
        <v>20</v>
      </c>
      <c r="K458" s="14">
        <f t="shared" si="3"/>
        <v>20</v>
      </c>
      <c r="L458" s="16" t="str">
        <f>IFERROR(__xludf.DUMMYFUNCTION("IFERROR(
  IF(
    VLOOKUP(C458, IMPORTRANGE(""gid=860555792"", ""Maestro!B:C""), 2, FALSE) = D458, 
    ""CONCILIADO"", 
    ""ERROR EN MONTO""
  ), 
  ""NO ENCONTRADO EN MAESTRO""
)"),"NO ENCONTRADO EN MAESTRO")</f>
        <v>NO ENCONTRADO EN MAESTRO</v>
      </c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ht="22.5" customHeight="1">
      <c r="A459" s="25">
        <f>IFERROR(__xludf.DUMMYFUNCTION("""COMPUTED_VALUE"""),46175.0)</f>
        <v>46175</v>
      </c>
      <c r="B459" s="15">
        <f>IFERROR(__xludf.DUMMYFUNCTION("""COMPUTED_VALUE"""),118.0)</f>
        <v>118</v>
      </c>
      <c r="C459" s="21">
        <f>IFERROR(__xludf.DUMMYFUNCTION("""COMPUTED_VALUE"""),14.0)</f>
        <v>14</v>
      </c>
      <c r="D459" s="22" t="str">
        <f>IFERROR(__xludf.DUMMYFUNCTION("""COMPUTED_VALUE"""),"USD")</f>
        <v>USD</v>
      </c>
      <c r="E459" s="22" t="str">
        <f>IFERROR(__xludf.DUMMYFUNCTION("""COMPUTED_VALUE"""),"Efectivo USD")</f>
        <v>Efectivo USD</v>
      </c>
      <c r="F459" s="22" t="str">
        <f>IFERROR(__xludf.DUMMYFUNCTION("""COMPUTED_VALUE"""),"ELIVAN2025, C.A")</f>
        <v>ELIVAN2025, C.A</v>
      </c>
      <c r="G459" s="19">
        <v>557.9741</v>
      </c>
      <c r="H459" s="13"/>
      <c r="I459" s="14">
        <f t="shared" si="1"/>
        <v>14</v>
      </c>
      <c r="J459" s="15">
        <f t="shared" si="2"/>
        <v>14</v>
      </c>
      <c r="K459" s="14">
        <f t="shared" si="3"/>
        <v>14</v>
      </c>
      <c r="L459" s="16" t="str">
        <f>IFERROR(__xludf.DUMMYFUNCTION("IFERROR(
  IF(
    VLOOKUP(C459, IMPORTRANGE(""gid=860555792"", ""Maestro!B:C""), 2, FALSE) = D459, 
    ""CONCILIADO"", 
    ""ERROR EN MONTO""
  ), 
  ""NO ENCONTRADO EN MAESTRO""
)"),"NO ENCONTRADO EN MAESTRO")</f>
        <v>NO ENCONTRADO EN MAESTRO</v>
      </c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ht="22.5" customHeight="1">
      <c r="A460" s="25">
        <f>IFERROR(__xludf.DUMMYFUNCTION("""COMPUTED_VALUE"""),46175.0)</f>
        <v>46175</v>
      </c>
      <c r="B460" s="15">
        <f>IFERROR(__xludf.DUMMYFUNCTION("""COMPUTED_VALUE"""),449.0)</f>
        <v>449</v>
      </c>
      <c r="C460" s="21">
        <f>IFERROR(__xludf.DUMMYFUNCTION("""COMPUTED_VALUE"""),1000.0)</f>
        <v>1000</v>
      </c>
      <c r="D460" s="22" t="str">
        <f>IFERROR(__xludf.DUMMYFUNCTION("""COMPUTED_VALUE"""),"USD")</f>
        <v>USD</v>
      </c>
      <c r="E460" s="22" t="str">
        <f>IFERROR(__xludf.DUMMYFUNCTION("""COMPUTED_VALUE"""),"Efectivo USD")</f>
        <v>Efectivo USD</v>
      </c>
      <c r="F460" s="22" t="str">
        <f>IFERROR(__xludf.DUMMYFUNCTION("""COMPUTED_VALUE"""),"Alexander Quiroz")</f>
        <v>Alexander Quiroz</v>
      </c>
      <c r="G460" s="19">
        <v>557.9741</v>
      </c>
      <c r="H460" s="13"/>
      <c r="I460" s="14">
        <f t="shared" si="1"/>
        <v>1000</v>
      </c>
      <c r="J460" s="15">
        <f t="shared" si="2"/>
        <v>1000</v>
      </c>
      <c r="K460" s="14">
        <f t="shared" si="3"/>
        <v>1000</v>
      </c>
      <c r="L460" s="16" t="str">
        <f>IFERROR(__xludf.DUMMYFUNCTION("IFERROR(
  IF(
    VLOOKUP(C460, IMPORTRANGE(""gid=860555792"", ""Maestro!B:C""), 2, FALSE) = D460, 
    ""CONCILIADO"", 
    ""ERROR EN MONTO""
  ), 
  ""NO ENCONTRADO EN MAESTRO""
)"),"NO ENCONTRADO EN MAESTRO")</f>
        <v>NO ENCONTRADO EN MAESTRO</v>
      </c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ht="22.5" customHeight="1">
      <c r="A461" s="25">
        <f>IFERROR(__xludf.DUMMYFUNCTION("""COMPUTED_VALUE"""),46175.0)</f>
        <v>46175</v>
      </c>
      <c r="B461" s="15">
        <f>IFERROR(__xludf.DUMMYFUNCTION("""COMPUTED_VALUE"""),204.0)</f>
        <v>204</v>
      </c>
      <c r="C461" s="21">
        <f>IFERROR(__xludf.DUMMYFUNCTION("""COMPUTED_VALUE"""),100.0)</f>
        <v>100</v>
      </c>
      <c r="D461" s="22" t="str">
        <f>IFERROR(__xludf.DUMMYFUNCTION("""COMPUTED_VALUE"""),"USD")</f>
        <v>USD</v>
      </c>
      <c r="E461" s="22" t="str">
        <f>IFERROR(__xludf.DUMMYFUNCTION("""COMPUTED_VALUE"""),"Efectivo USD")</f>
        <v>Efectivo USD</v>
      </c>
      <c r="F461" s="22" t="str">
        <f>IFERROR(__xludf.DUMMYFUNCTION("""COMPUTED_VALUE"""),"Motolavado Yahir")</f>
        <v>Motolavado Yahir</v>
      </c>
      <c r="G461" s="19">
        <v>557.9741</v>
      </c>
      <c r="H461" s="13"/>
      <c r="I461" s="14">
        <f t="shared" si="1"/>
        <v>100</v>
      </c>
      <c r="J461" s="15">
        <f t="shared" si="2"/>
        <v>100</v>
      </c>
      <c r="K461" s="14">
        <f t="shared" si="3"/>
        <v>100</v>
      </c>
      <c r="L461" s="16" t="str">
        <f>IFERROR(__xludf.DUMMYFUNCTION("IFERROR(
  IF(
    VLOOKUP(C461, IMPORTRANGE(""gid=860555792"", ""Maestro!B:C""), 2, FALSE) = D461, 
    ""CONCILIADO"", 
    ""ERROR EN MONTO""
  ), 
  ""NO ENCONTRADO EN MAESTRO""
)"),"NO ENCONTRADO EN MAESTRO")</f>
        <v>NO ENCONTRADO EN MAESTRO</v>
      </c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ht="22.5" customHeight="1">
      <c r="A462" s="25">
        <f>IFERROR(__xludf.DUMMYFUNCTION("""COMPUTED_VALUE"""),46175.0)</f>
        <v>46175</v>
      </c>
      <c r="B462" s="15">
        <f>IFERROR(__xludf.DUMMYFUNCTION("""COMPUTED_VALUE"""),327.0)</f>
        <v>327</v>
      </c>
      <c r="C462" s="21">
        <f>IFERROR(__xludf.DUMMYFUNCTION("""COMPUTED_VALUE"""),302.0)</f>
        <v>302</v>
      </c>
      <c r="D462" s="22" t="str">
        <f>IFERROR(__xludf.DUMMYFUNCTION("""COMPUTED_VALUE"""),"USD")</f>
        <v>USD</v>
      </c>
      <c r="E462" s="22" t="str">
        <f>IFERROR(__xludf.DUMMYFUNCTION("""COMPUTED_VALUE"""),"Efectivo USD")</f>
        <v>Efectivo USD</v>
      </c>
      <c r="F462" s="22" t="str">
        <f>IFERROR(__xludf.DUMMYFUNCTION("""COMPUTED_VALUE"""),"Kervin baez")</f>
        <v>Kervin baez</v>
      </c>
      <c r="G462" s="19">
        <v>557.9741</v>
      </c>
      <c r="H462" s="13"/>
      <c r="I462" s="14">
        <f t="shared" si="1"/>
        <v>302</v>
      </c>
      <c r="J462" s="15">
        <f t="shared" si="2"/>
        <v>302</v>
      </c>
      <c r="K462" s="14">
        <f t="shared" si="3"/>
        <v>302</v>
      </c>
      <c r="L462" s="16" t="str">
        <f>IFERROR(__xludf.DUMMYFUNCTION("IFERROR(
  IF(
    VLOOKUP(C462, IMPORTRANGE(""gid=860555792"", ""Maestro!B:C""), 2, FALSE) = D462, 
    ""CONCILIADO"", 
    ""ERROR EN MONTO""
  ), 
  ""NO ENCONTRADO EN MAESTRO""
)"),"NO ENCONTRADO EN MAESTRO")</f>
        <v>NO ENCONTRADO EN MAESTRO</v>
      </c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ht="22.5" customHeight="1">
      <c r="A463" s="25">
        <f>IFERROR(__xludf.DUMMYFUNCTION("""COMPUTED_VALUE"""),46175.0)</f>
        <v>46175</v>
      </c>
      <c r="B463" s="15">
        <f>IFERROR(__xludf.DUMMYFUNCTION("""COMPUTED_VALUE"""),222.0)</f>
        <v>222</v>
      </c>
      <c r="C463" s="21">
        <f>IFERROR(__xludf.DUMMYFUNCTION("""COMPUTED_VALUE"""),40.0)</f>
        <v>40</v>
      </c>
      <c r="D463" s="22" t="str">
        <f>IFERROR(__xludf.DUMMYFUNCTION("""COMPUTED_VALUE"""),"USD")</f>
        <v>USD</v>
      </c>
      <c r="E463" s="22" t="str">
        <f>IFERROR(__xludf.DUMMYFUNCTION("""COMPUTED_VALUE"""),"Efectivo USD")</f>
        <v>Efectivo USD</v>
      </c>
      <c r="F463" s="22" t="str">
        <f>IFERROR(__xludf.DUMMYFUNCTION("""COMPUTED_VALUE"""),"Braulio R. Cedeño Gonzalez.")</f>
        <v>Braulio R. Cedeño Gonzalez.</v>
      </c>
      <c r="G463" s="19">
        <v>557.9741</v>
      </c>
      <c r="H463" s="13"/>
      <c r="I463" s="14">
        <f t="shared" si="1"/>
        <v>40</v>
      </c>
      <c r="J463" s="15">
        <f t="shared" si="2"/>
        <v>40</v>
      </c>
      <c r="K463" s="14">
        <f t="shared" si="3"/>
        <v>40</v>
      </c>
      <c r="L463" s="16" t="str">
        <f>IFERROR(__xludf.DUMMYFUNCTION("IFERROR(
  IF(
    VLOOKUP(C463, IMPORTRANGE(""gid=860555792"", ""Maestro!B:C""), 2, FALSE) = D463, 
    ""CONCILIADO"", 
    ""ERROR EN MONTO""
  ), 
  ""NO ENCONTRADO EN MAESTRO""
)"),"NO ENCONTRADO EN MAESTRO")</f>
        <v>NO ENCONTRADO EN MAESTRO</v>
      </c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ht="22.5" customHeight="1">
      <c r="A464" s="25">
        <f>IFERROR(__xludf.DUMMYFUNCTION("""COMPUTED_VALUE"""),46175.0)</f>
        <v>46175</v>
      </c>
      <c r="B464" s="15">
        <f>IFERROR(__xludf.DUMMYFUNCTION("""COMPUTED_VALUE"""),411.0)</f>
        <v>411</v>
      </c>
      <c r="C464" s="21">
        <f>IFERROR(__xludf.DUMMYFUNCTION("""COMPUTED_VALUE"""),150.0)</f>
        <v>150</v>
      </c>
      <c r="D464" s="22" t="str">
        <f>IFERROR(__xludf.DUMMYFUNCTION("""COMPUTED_VALUE"""),"USD")</f>
        <v>USD</v>
      </c>
      <c r="E464" s="22" t="str">
        <f>IFERROR(__xludf.DUMMYFUNCTION("""COMPUTED_VALUE"""),"Efectivo USD")</f>
        <v>Efectivo USD</v>
      </c>
      <c r="F464" s="22" t="str">
        <f>IFERROR(__xludf.DUMMYFUNCTION("""COMPUTED_VALUE"""),"Pedro Castro")</f>
        <v>Pedro Castro</v>
      </c>
      <c r="G464" s="19">
        <v>557.9741</v>
      </c>
      <c r="H464" s="13"/>
      <c r="I464" s="14">
        <f t="shared" si="1"/>
        <v>150</v>
      </c>
      <c r="J464" s="15">
        <f t="shared" si="2"/>
        <v>150</v>
      </c>
      <c r="K464" s="14">
        <f t="shared" si="3"/>
        <v>150</v>
      </c>
      <c r="L464" s="16" t="str">
        <f>IFERROR(__xludf.DUMMYFUNCTION("IFERROR(
  IF(
    VLOOKUP(C464, IMPORTRANGE(""gid=860555792"", ""Maestro!B:C""), 2, FALSE) = D464, 
    ""CONCILIADO"", 
    ""ERROR EN MONTO""
  ), 
  ""NO ENCONTRADO EN MAESTRO""
)"),"NO ENCONTRADO EN MAESTRO")</f>
        <v>NO ENCONTRADO EN MAESTRO</v>
      </c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ht="22.5" customHeight="1">
      <c r="A465" s="25">
        <f>IFERROR(__xludf.DUMMYFUNCTION("""COMPUTED_VALUE"""),46175.0)</f>
        <v>46175</v>
      </c>
      <c r="B465" s="15">
        <f>IFERROR(__xludf.DUMMYFUNCTION("""COMPUTED_VALUE"""),54.0)</f>
        <v>54</v>
      </c>
      <c r="C465" s="21">
        <f>IFERROR(__xludf.DUMMYFUNCTION("""COMPUTED_VALUE"""),32412.0)</f>
        <v>32412</v>
      </c>
      <c r="D465" s="22" t="str">
        <f>IFERROR(__xludf.DUMMYFUNCTION("""COMPUTED_VALUE"""),"VES")</f>
        <v>VES</v>
      </c>
      <c r="E465" s="22" t="str">
        <f>IFERROR(__xludf.DUMMYFUNCTION("""COMPUTED_VALUE"""),"Bancamiga")</f>
        <v>Bancamiga</v>
      </c>
      <c r="F465" s="22" t="str">
        <f>IFERROR(__xludf.DUMMYFUNCTION("""COMPUTED_VALUE"""),"Corporación Lubricantes 7ma Av.C.A")</f>
        <v>Corporación Lubricantes 7ma Av.C.A</v>
      </c>
      <c r="G465" s="19">
        <v>557.9741</v>
      </c>
      <c r="H465" s="13"/>
      <c r="I465" s="14">
        <f t="shared" si="1"/>
        <v>58.08871774</v>
      </c>
      <c r="J465" s="15">
        <f t="shared" si="2"/>
        <v>0</v>
      </c>
      <c r="K465" s="14">
        <f t="shared" si="3"/>
        <v>58.08871774</v>
      </c>
      <c r="L465" s="16" t="str">
        <f>IFERROR(__xludf.DUMMYFUNCTION("IFERROR(
  IF(
    VLOOKUP(C465, IMPORTRANGE(""gid=860555792"", ""Maestro!B:C""), 2, FALSE) = D465, 
    ""CONCILIADO"", 
    ""ERROR EN MONTO""
  ), 
  ""NO ENCONTRADO EN MAESTRO""
)"),"NO ENCONTRADO EN MAESTRO")</f>
        <v>NO ENCONTRADO EN MAESTRO</v>
      </c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ht="22.5" customHeight="1">
      <c r="A466" s="25">
        <f>IFERROR(__xludf.DUMMYFUNCTION("""COMPUTED_VALUE"""),46176.0)</f>
        <v>46176</v>
      </c>
      <c r="B466" s="15">
        <f>IFERROR(__xludf.DUMMYFUNCTION("""COMPUTED_VALUE"""),164.0)</f>
        <v>164</v>
      </c>
      <c r="C466" s="21">
        <f>IFERROR(__xludf.DUMMYFUNCTION("""COMPUTED_VALUE"""),62.0)</f>
        <v>62</v>
      </c>
      <c r="D466" s="22" t="str">
        <f>IFERROR(__xludf.DUMMYFUNCTION("""COMPUTED_VALUE"""),"USD")</f>
        <v>USD</v>
      </c>
      <c r="E466" s="22" t="str">
        <f>IFERROR(__xludf.DUMMYFUNCTION("""COMPUTED_VALUE"""),"Efectivo USD")</f>
        <v>Efectivo USD</v>
      </c>
      <c r="F466" s="22" t="str">
        <f>IFERROR(__xludf.DUMMYFUNCTION("""COMPUTED_VALUE"""),"INVERSIONES IRETE SUKA, C.A")</f>
        <v>INVERSIONES IRETE SUKA, C.A</v>
      </c>
      <c r="G466" s="19">
        <v>558.6436</v>
      </c>
      <c r="H466" s="13"/>
      <c r="I466" s="14">
        <f t="shared" si="1"/>
        <v>62</v>
      </c>
      <c r="J466" s="15">
        <f t="shared" si="2"/>
        <v>62</v>
      </c>
      <c r="K466" s="14">
        <f t="shared" si="3"/>
        <v>62</v>
      </c>
      <c r="L466" s="16" t="str">
        <f>IFERROR(__xludf.DUMMYFUNCTION("IFERROR(
  IF(
    VLOOKUP(C466, IMPORTRANGE(""gid=860555792"", ""Maestro!B:C""), 2, FALSE) = D466, 
    ""CONCILIADO"", 
    ""ERROR EN MONTO""
  ), 
  ""NO ENCONTRADO EN MAESTRO""
)"),"NO ENCONTRADO EN MAESTRO")</f>
        <v>NO ENCONTRADO EN MAESTRO</v>
      </c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ht="22.5" customHeight="1">
      <c r="A467" s="25">
        <f>IFERROR(__xludf.DUMMYFUNCTION("""COMPUTED_VALUE"""),46176.0)</f>
        <v>46176</v>
      </c>
      <c r="B467" s="15">
        <f>IFERROR(__xludf.DUMMYFUNCTION("""COMPUTED_VALUE"""),293.0)</f>
        <v>293</v>
      </c>
      <c r="C467" s="21">
        <f>IFERROR(__xludf.DUMMYFUNCTION("""COMPUTED_VALUE"""),198.0)</f>
        <v>198</v>
      </c>
      <c r="D467" s="22" t="str">
        <f>IFERROR(__xludf.DUMMYFUNCTION("""COMPUTED_VALUE"""),"USD")</f>
        <v>USD</v>
      </c>
      <c r="E467" s="22" t="str">
        <f>IFERROR(__xludf.DUMMYFUNCTION("""COMPUTED_VALUE"""),"Efectivo USD")</f>
        <v>Efectivo USD</v>
      </c>
      <c r="F467" s="22" t="str">
        <f>IFERROR(__xludf.DUMMYFUNCTION("""COMPUTED_VALUE"""),"Jose Becerra")</f>
        <v>Jose Becerra</v>
      </c>
      <c r="G467" s="19">
        <v>558.6436</v>
      </c>
      <c r="H467" s="13"/>
      <c r="I467" s="14">
        <f t="shared" si="1"/>
        <v>198</v>
      </c>
      <c r="J467" s="15">
        <f t="shared" si="2"/>
        <v>198</v>
      </c>
      <c r="K467" s="14">
        <f t="shared" si="3"/>
        <v>198</v>
      </c>
      <c r="L467" s="16" t="str">
        <f>IFERROR(__xludf.DUMMYFUNCTION("IFERROR(
  IF(
    VLOOKUP(C467, IMPORTRANGE(""gid=860555792"", ""Maestro!B:C""), 2, FALSE) = D467, 
    ""CONCILIADO"", 
    ""ERROR EN MONTO""
  ), 
  ""NO ENCONTRADO EN MAESTRO""
)"),"NO ENCONTRADO EN MAESTRO")</f>
        <v>NO ENCONTRADO EN MAESTRO</v>
      </c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ht="22.5" customHeight="1">
      <c r="A468" s="25">
        <f>IFERROR(__xludf.DUMMYFUNCTION("""COMPUTED_VALUE"""),46176.0)</f>
        <v>46176</v>
      </c>
      <c r="B468" s="15">
        <f>IFERROR(__xludf.DUMMYFUNCTION("""COMPUTED_VALUE"""),61.0)</f>
        <v>61</v>
      </c>
      <c r="C468" s="21">
        <f>IFERROR(__xludf.DUMMYFUNCTION("""COMPUTED_VALUE"""),190.0)</f>
        <v>190</v>
      </c>
      <c r="D468" s="22" t="str">
        <f>IFERROR(__xludf.DUMMYFUNCTION("""COMPUTED_VALUE"""),"USD")</f>
        <v>USD</v>
      </c>
      <c r="E468" s="22" t="str">
        <f>IFERROR(__xludf.DUMMYFUNCTION("""COMPUTED_VALUE"""),"Efectivo USD")</f>
        <v>Efectivo USD</v>
      </c>
      <c r="F468" s="22" t="str">
        <f>IFERROR(__xludf.DUMMYFUNCTION("""COMPUTED_VALUE"""),"SJMG 2012 C.A")</f>
        <v>SJMG 2012 C.A</v>
      </c>
      <c r="G468" s="19">
        <v>558.6436</v>
      </c>
      <c r="H468" s="13"/>
      <c r="I468" s="14">
        <f t="shared" si="1"/>
        <v>190</v>
      </c>
      <c r="J468" s="15">
        <f t="shared" si="2"/>
        <v>190</v>
      </c>
      <c r="K468" s="14">
        <f t="shared" si="3"/>
        <v>190</v>
      </c>
      <c r="L468" s="16" t="str">
        <f>IFERROR(__xludf.DUMMYFUNCTION("IFERROR(
  IF(
    VLOOKUP(C468, IMPORTRANGE(""gid=860555792"", ""Maestro!B:C""), 2, FALSE) = D468, 
    ""CONCILIADO"", 
    ""ERROR EN MONTO""
  ), 
  ""NO ENCONTRADO EN MAESTRO""
)"),"NO ENCONTRADO EN MAESTRO")</f>
        <v>NO ENCONTRADO EN MAESTRO</v>
      </c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ht="22.5" customHeight="1">
      <c r="A469" s="25">
        <f>IFERROR(__xludf.DUMMYFUNCTION("""COMPUTED_VALUE"""),46176.0)</f>
        <v>46176</v>
      </c>
      <c r="B469" s="15">
        <f>IFERROR(__xludf.DUMMYFUNCTION("""COMPUTED_VALUE"""),330.0)</f>
        <v>330</v>
      </c>
      <c r="C469" s="21">
        <f>IFERROR(__xludf.DUMMYFUNCTION("""COMPUTED_VALUE"""),19565.0)</f>
        <v>19565</v>
      </c>
      <c r="D469" s="22" t="str">
        <f>IFERROR(__xludf.DUMMYFUNCTION("""COMPUTED_VALUE"""),"VES")</f>
        <v>VES</v>
      </c>
      <c r="E469" s="22" t="str">
        <f>IFERROR(__xludf.DUMMYFUNCTION("""COMPUTED_VALUE"""),"Bancamiga")</f>
        <v>Bancamiga</v>
      </c>
      <c r="F469" s="22" t="str">
        <f>IFERROR(__xludf.DUMMYFUNCTION("""COMPUTED_VALUE"""),"Diana Carolina Torres")</f>
        <v>Diana Carolina Torres</v>
      </c>
      <c r="G469" s="19">
        <v>558.6436</v>
      </c>
      <c r="H469" s="13"/>
      <c r="I469" s="14">
        <f t="shared" si="1"/>
        <v>35.02232908</v>
      </c>
      <c r="J469" s="15">
        <f t="shared" si="2"/>
        <v>0</v>
      </c>
      <c r="K469" s="14">
        <f t="shared" si="3"/>
        <v>35.02232908</v>
      </c>
      <c r="L469" s="16" t="str">
        <f>IFERROR(__xludf.DUMMYFUNCTION("IFERROR(
  IF(
    VLOOKUP(C469, IMPORTRANGE(""gid=860555792"", ""Maestro!B:C""), 2, FALSE) = D469, 
    ""CONCILIADO"", 
    ""ERROR EN MONTO""
  ), 
  ""NO ENCONTRADO EN MAESTRO""
)"),"NO ENCONTRADO EN MAESTRO")</f>
        <v>NO ENCONTRADO EN MAESTRO</v>
      </c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ht="22.5" customHeight="1">
      <c r="A470" s="25">
        <f>IFERROR(__xludf.DUMMYFUNCTION("""COMPUTED_VALUE"""),46176.0)</f>
        <v>46176</v>
      </c>
      <c r="B470" s="15">
        <f>IFERROR(__xludf.DUMMYFUNCTION("""COMPUTED_VALUE"""),259.0)</f>
        <v>259</v>
      </c>
      <c r="C470" s="21">
        <f>IFERROR(__xludf.DUMMYFUNCTION("""COMPUTED_VALUE"""),20.0)</f>
        <v>20</v>
      </c>
      <c r="D470" s="22" t="str">
        <f>IFERROR(__xludf.DUMMYFUNCTION("""COMPUTED_VALUE"""),"USD")</f>
        <v>USD</v>
      </c>
      <c r="E470" s="22" t="str">
        <f>IFERROR(__xludf.DUMMYFUNCTION("""COMPUTED_VALUE"""),"Efectivo USD")</f>
        <v>Efectivo USD</v>
      </c>
      <c r="F470" s="22" t="str">
        <f>IFERROR(__xludf.DUMMYFUNCTION("""COMPUTED_VALUE"""),"Multiservicio Tocome, C.A")</f>
        <v>Multiservicio Tocome, C.A</v>
      </c>
      <c r="G470" s="19">
        <v>558.6436</v>
      </c>
      <c r="H470" s="13"/>
      <c r="I470" s="14">
        <f t="shared" si="1"/>
        <v>20</v>
      </c>
      <c r="J470" s="15">
        <f t="shared" si="2"/>
        <v>20</v>
      </c>
      <c r="K470" s="14">
        <f t="shared" si="3"/>
        <v>20</v>
      </c>
      <c r="L470" s="16" t="str">
        <f>IFERROR(__xludf.DUMMYFUNCTION("IFERROR(
  IF(
    VLOOKUP(C470, IMPORTRANGE(""gid=860555792"", ""Maestro!B:C""), 2, FALSE) = D470, 
    ""CONCILIADO"", 
    ""ERROR EN MONTO""
  ), 
  ""NO ENCONTRADO EN MAESTRO""
)"),"NO ENCONTRADO EN MAESTRO")</f>
        <v>NO ENCONTRADO EN MAESTRO</v>
      </c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ht="22.5" customHeight="1">
      <c r="A471" s="25">
        <f>IFERROR(__xludf.DUMMYFUNCTION("""COMPUTED_VALUE"""),46176.0)</f>
        <v>46176</v>
      </c>
      <c r="B471" s="15">
        <f>IFERROR(__xludf.DUMMYFUNCTION("""COMPUTED_VALUE"""),223.0)</f>
        <v>223</v>
      </c>
      <c r="C471" s="21">
        <f>IFERROR(__xludf.DUMMYFUNCTION("""COMPUTED_VALUE"""),275.0)</f>
        <v>275</v>
      </c>
      <c r="D471" s="22" t="str">
        <f>IFERROR(__xludf.DUMMYFUNCTION("""COMPUTED_VALUE"""),"USD")</f>
        <v>USD</v>
      </c>
      <c r="E471" s="22" t="str">
        <f>IFERROR(__xludf.DUMMYFUNCTION("""COMPUTED_VALUE"""),"Efectivo USD")</f>
        <v>Efectivo USD</v>
      </c>
      <c r="F471" s="22" t="str">
        <f>IFERROR(__xludf.DUMMYFUNCTION("""COMPUTED_VALUE"""),"Autorepuestos el Florin,c.a.")</f>
        <v>Autorepuestos el Florin,c.a.</v>
      </c>
      <c r="G471" s="19">
        <v>558.6436</v>
      </c>
      <c r="H471" s="13"/>
      <c r="I471" s="14">
        <f t="shared" si="1"/>
        <v>275</v>
      </c>
      <c r="J471" s="15">
        <f t="shared" si="2"/>
        <v>275</v>
      </c>
      <c r="K471" s="14">
        <f t="shared" si="3"/>
        <v>275</v>
      </c>
      <c r="L471" s="16" t="str">
        <f>IFERROR(__xludf.DUMMYFUNCTION("IFERROR(
  IF(
    VLOOKUP(C471, IMPORTRANGE(""gid=860555792"", ""Maestro!B:C""), 2, FALSE) = D471, 
    ""CONCILIADO"", 
    ""ERROR EN MONTO""
  ), 
  ""NO ENCONTRADO EN MAESTRO""
)"),"NO ENCONTRADO EN MAESTRO")</f>
        <v>NO ENCONTRADO EN MAESTRO</v>
      </c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ht="22.5" customHeight="1">
      <c r="A472" s="25">
        <f>IFERROR(__xludf.DUMMYFUNCTION("""COMPUTED_VALUE"""),46176.0)</f>
        <v>46176</v>
      </c>
      <c r="B472" s="15">
        <f>IFERROR(__xludf.DUMMYFUNCTION("""COMPUTED_VALUE"""),280.0)</f>
        <v>280</v>
      </c>
      <c r="C472" s="21">
        <f>IFERROR(__xludf.DUMMYFUNCTION("""COMPUTED_VALUE"""),88784.19)</f>
        <v>88784.19</v>
      </c>
      <c r="D472" s="22" t="str">
        <f>IFERROR(__xludf.DUMMYFUNCTION("""COMPUTED_VALUE"""),"VES")</f>
        <v>VES</v>
      </c>
      <c r="E472" s="22" t="str">
        <f>IFERROR(__xludf.DUMMYFUNCTION("""COMPUTED_VALUE"""),"Bancamiga")</f>
        <v>Bancamiga</v>
      </c>
      <c r="F472" s="22" t="str">
        <f>IFERROR(__xludf.DUMMYFUNCTION("""COMPUTED_VALUE"""),"Lubristation, C.A.")</f>
        <v>Lubristation, C.A.</v>
      </c>
      <c r="G472" s="19">
        <v>558.6436</v>
      </c>
      <c r="H472" s="13"/>
      <c r="I472" s="14">
        <f t="shared" si="1"/>
        <v>158.9281431</v>
      </c>
      <c r="J472" s="15">
        <f t="shared" si="2"/>
        <v>0</v>
      </c>
      <c r="K472" s="14">
        <f t="shared" si="3"/>
        <v>158.9281431</v>
      </c>
      <c r="L472" s="16" t="str">
        <f>IFERROR(__xludf.DUMMYFUNCTION("IFERROR(
  IF(
    VLOOKUP(C472, IMPORTRANGE(""gid=860555792"", ""Maestro!B:C""), 2, FALSE) = D472, 
    ""CONCILIADO"", 
    ""ERROR EN MONTO""
  ), 
  ""NO ENCONTRADO EN MAESTRO""
)"),"NO ENCONTRADO EN MAESTRO")</f>
        <v>NO ENCONTRADO EN MAESTRO</v>
      </c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ht="22.5" customHeight="1">
      <c r="A473" s="25">
        <f>IFERROR(__xludf.DUMMYFUNCTION("""COMPUTED_VALUE"""),46176.0)</f>
        <v>46176</v>
      </c>
      <c r="B473" s="15">
        <f>IFERROR(__xludf.DUMMYFUNCTION("""COMPUTED_VALUE"""),358.0)</f>
        <v>358</v>
      </c>
      <c r="C473" s="21">
        <f>IFERROR(__xludf.DUMMYFUNCTION("""COMPUTED_VALUE"""),539470.0)</f>
        <v>539470</v>
      </c>
      <c r="D473" s="22" t="str">
        <f>IFERROR(__xludf.DUMMYFUNCTION("""COMPUTED_VALUE"""),"VES")</f>
        <v>VES</v>
      </c>
      <c r="E473" s="22" t="str">
        <f>IFERROR(__xludf.DUMMYFUNCTION("""COMPUTED_VALUE"""),"Bancamiga")</f>
        <v>Bancamiga</v>
      </c>
      <c r="F473" s="22" t="str">
        <f>IFERROR(__xludf.DUMMYFUNCTION("""COMPUTED_VALUE"""),"E&amp;M CAR SHOP C.A")</f>
        <v>E&amp;M CAR SHOP C.A</v>
      </c>
      <c r="G473" s="19">
        <v>558.6436</v>
      </c>
      <c r="H473" s="13"/>
      <c r="I473" s="14">
        <f t="shared" si="1"/>
        <v>965.6782965</v>
      </c>
      <c r="J473" s="15">
        <f t="shared" si="2"/>
        <v>0</v>
      </c>
      <c r="K473" s="14">
        <f t="shared" si="3"/>
        <v>965.6782965</v>
      </c>
      <c r="L473" s="16" t="str">
        <f>IFERROR(__xludf.DUMMYFUNCTION("IFERROR(
  IF(
    VLOOKUP(C473, IMPORTRANGE(""gid=860555792"", ""Maestro!B:C""), 2, FALSE) = D473, 
    ""CONCILIADO"", 
    ""ERROR EN MONTO""
  ), 
  ""NO ENCONTRADO EN MAESTRO""
)"),"NO ENCONTRADO EN MAESTRO")</f>
        <v>NO ENCONTRADO EN MAESTRO</v>
      </c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ht="22.5" customHeight="1">
      <c r="A474" s="25">
        <f>IFERROR(__xludf.DUMMYFUNCTION("""COMPUTED_VALUE"""),46176.0)</f>
        <v>46176</v>
      </c>
      <c r="B474" s="15">
        <f>IFERROR(__xludf.DUMMYFUNCTION("""COMPUTED_VALUE"""),127.0)</f>
        <v>127</v>
      </c>
      <c r="C474" s="21">
        <f>IFERROR(__xludf.DUMMYFUNCTION("""COMPUTED_VALUE"""),50.0)</f>
        <v>50</v>
      </c>
      <c r="D474" s="22" t="str">
        <f>IFERROR(__xludf.DUMMYFUNCTION("""COMPUTED_VALUE"""),"USD")</f>
        <v>USD</v>
      </c>
      <c r="E474" s="22" t="str">
        <f>IFERROR(__xludf.DUMMYFUNCTION("""COMPUTED_VALUE"""),"Efectivo USD")</f>
        <v>Efectivo USD</v>
      </c>
      <c r="F474" s="22" t="str">
        <f>IFERROR(__xludf.DUMMYFUNCTION("""COMPUTED_VALUE"""),"Emprendimiento José Sánchez 203 c.a")</f>
        <v>Emprendimiento José Sánchez 203 c.a</v>
      </c>
      <c r="G474" s="19">
        <v>558.6436</v>
      </c>
      <c r="H474" s="13"/>
      <c r="I474" s="14">
        <f t="shared" si="1"/>
        <v>50</v>
      </c>
      <c r="J474" s="15">
        <f t="shared" si="2"/>
        <v>50</v>
      </c>
      <c r="K474" s="14">
        <f t="shared" si="3"/>
        <v>50</v>
      </c>
      <c r="L474" s="16" t="str">
        <f>IFERROR(__xludf.DUMMYFUNCTION("IFERROR(
  IF(
    VLOOKUP(C474, IMPORTRANGE(""gid=860555792"", ""Maestro!B:C""), 2, FALSE) = D474, 
    ""CONCILIADO"", 
    ""ERROR EN MONTO""
  ), 
  ""NO ENCONTRADO EN MAESTRO""
)"),"NO ENCONTRADO EN MAESTRO")</f>
        <v>NO ENCONTRADO EN MAESTRO</v>
      </c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ht="22.5" customHeight="1">
      <c r="A475" s="25">
        <f>IFERROR(__xludf.DUMMYFUNCTION("""COMPUTED_VALUE"""),46176.0)</f>
        <v>46176</v>
      </c>
      <c r="B475" s="15">
        <f>IFERROR(__xludf.DUMMYFUNCTION("""COMPUTED_VALUE"""),178.0)</f>
        <v>178</v>
      </c>
      <c r="C475" s="21">
        <f>IFERROR(__xludf.DUMMYFUNCTION("""COMPUTED_VALUE"""),40.0)</f>
        <v>40</v>
      </c>
      <c r="D475" s="22" t="str">
        <f>IFERROR(__xludf.DUMMYFUNCTION("""COMPUTED_VALUE"""),"USD")</f>
        <v>USD</v>
      </c>
      <c r="E475" s="22" t="str">
        <f>IFERROR(__xludf.DUMMYFUNCTION("""COMPUTED_VALUE"""),"Binance")</f>
        <v>Binance</v>
      </c>
      <c r="F475" s="22" t="str">
        <f>IFERROR(__xludf.DUMMYFUNCTION("""COMPUTED_VALUE"""),"Distribuidora Nesmari 2050 c.a")</f>
        <v>Distribuidora Nesmari 2050 c.a</v>
      </c>
      <c r="G475" s="19">
        <v>558.6436</v>
      </c>
      <c r="H475" s="13"/>
      <c r="I475" s="14">
        <f t="shared" si="1"/>
        <v>40</v>
      </c>
      <c r="J475" s="15">
        <f t="shared" si="2"/>
        <v>40</v>
      </c>
      <c r="K475" s="14">
        <f t="shared" si="3"/>
        <v>40</v>
      </c>
      <c r="L475" s="16" t="str">
        <f>IFERROR(__xludf.DUMMYFUNCTION("IFERROR(
  IF(
    VLOOKUP(C475, IMPORTRANGE(""gid=860555792"", ""Maestro!B:C""), 2, FALSE) = D475, 
    ""CONCILIADO"", 
    ""ERROR EN MONTO""
  ), 
  ""NO ENCONTRADO EN MAESTRO""
)"),"NO ENCONTRADO EN MAESTRO")</f>
        <v>NO ENCONTRADO EN MAESTRO</v>
      </c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ht="22.5" customHeight="1">
      <c r="A476" s="25">
        <f>IFERROR(__xludf.DUMMYFUNCTION("""COMPUTED_VALUE"""),46177.0)</f>
        <v>46177</v>
      </c>
      <c r="B476" s="15">
        <f>IFERROR(__xludf.DUMMYFUNCTION("""COMPUTED_VALUE"""),274.0)</f>
        <v>274</v>
      </c>
      <c r="C476" s="21">
        <f>IFERROR(__xludf.DUMMYFUNCTION("""COMPUTED_VALUE"""),40.0)</f>
        <v>40</v>
      </c>
      <c r="D476" s="22" t="str">
        <f>IFERROR(__xludf.DUMMYFUNCTION("""COMPUTED_VALUE"""),"USD")</f>
        <v>USD</v>
      </c>
      <c r="E476" s="22" t="str">
        <f>IFERROR(__xludf.DUMMYFUNCTION("""COMPUTED_VALUE"""),"Efectivo USD")</f>
        <v>Efectivo USD</v>
      </c>
      <c r="F476" s="22" t="str">
        <f>IFERROR(__xludf.DUMMYFUNCTION("""COMPUTED_VALUE"""),"ADS SERVICE C.A")</f>
        <v>ADS SERVICE C.A</v>
      </c>
      <c r="G476" s="19">
        <v>560.3753</v>
      </c>
      <c r="H476" s="13"/>
      <c r="I476" s="14">
        <f t="shared" si="1"/>
        <v>40</v>
      </c>
      <c r="J476" s="15">
        <f t="shared" si="2"/>
        <v>40</v>
      </c>
      <c r="K476" s="14">
        <f t="shared" si="3"/>
        <v>40</v>
      </c>
      <c r="L476" s="16" t="str">
        <f>IFERROR(__xludf.DUMMYFUNCTION("IFERROR(
  IF(
    VLOOKUP(C476, IMPORTRANGE(""gid=860555792"", ""Maestro!B:C""), 2, FALSE) = D476, 
    ""CONCILIADO"", 
    ""ERROR EN MONTO""
  ), 
  ""NO ENCONTRADO EN MAESTRO""
)"),"NO ENCONTRADO EN MAESTRO")</f>
        <v>NO ENCONTRADO EN MAESTRO</v>
      </c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ht="22.5" customHeight="1">
      <c r="A477" s="25">
        <f>IFERROR(__xludf.DUMMYFUNCTION("""COMPUTED_VALUE"""),46177.0)</f>
        <v>46177</v>
      </c>
      <c r="B477" s="15">
        <f>IFERROR(__xludf.DUMMYFUNCTION("""COMPUTED_VALUE"""),93.0)</f>
        <v>93</v>
      </c>
      <c r="C477" s="21">
        <f>IFERROR(__xludf.DUMMYFUNCTION("""COMPUTED_VALUE"""),20.0)</f>
        <v>20</v>
      </c>
      <c r="D477" s="22" t="str">
        <f>IFERROR(__xludf.DUMMYFUNCTION("""COMPUTED_VALUE"""),"USD")</f>
        <v>USD</v>
      </c>
      <c r="E477" s="22" t="str">
        <f>IFERROR(__xludf.DUMMYFUNCTION("""COMPUTED_VALUE"""),"Efectivo USD")</f>
        <v>Efectivo USD</v>
      </c>
      <c r="F477" s="22" t="str">
        <f>IFERROR(__xludf.DUMMYFUNCTION("""COMPUTED_VALUE"""),"Emprendimiento YSKRA")</f>
        <v>Emprendimiento YSKRA</v>
      </c>
      <c r="G477" s="19">
        <v>560.3753</v>
      </c>
      <c r="H477" s="13"/>
      <c r="I477" s="14">
        <f t="shared" si="1"/>
        <v>20</v>
      </c>
      <c r="J477" s="15">
        <f t="shared" si="2"/>
        <v>20</v>
      </c>
      <c r="K477" s="14">
        <f t="shared" si="3"/>
        <v>20</v>
      </c>
      <c r="L477" s="16" t="str">
        <f>IFERROR(__xludf.DUMMYFUNCTION("IFERROR(
  IF(
    VLOOKUP(C477, IMPORTRANGE(""gid=860555792"", ""Maestro!B:C""), 2, FALSE) = D477, 
    ""CONCILIADO"", 
    ""ERROR EN MONTO""
  ), 
  ""NO ENCONTRADO EN MAESTRO""
)"),"NO ENCONTRADO EN MAESTRO")</f>
        <v>NO ENCONTRADO EN MAESTRO</v>
      </c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ht="22.5" customHeight="1">
      <c r="A478" s="25">
        <f>IFERROR(__xludf.DUMMYFUNCTION("""COMPUTED_VALUE"""),46177.0)</f>
        <v>46177</v>
      </c>
      <c r="B478" s="15">
        <f>IFERROR(__xludf.DUMMYFUNCTION("""COMPUTED_VALUE"""),20.0)</f>
        <v>20</v>
      </c>
      <c r="C478" s="21">
        <f>IFERROR(__xludf.DUMMYFUNCTION("""COMPUTED_VALUE"""),13010.0)</f>
        <v>13010</v>
      </c>
      <c r="D478" s="22" t="str">
        <f>IFERROR(__xludf.DUMMYFUNCTION("""COMPUTED_VALUE"""),"VES")</f>
        <v>VES</v>
      </c>
      <c r="E478" s="22" t="str">
        <f>IFERROR(__xludf.DUMMYFUNCTION("""COMPUTED_VALUE"""),"Bancamiga")</f>
        <v>Bancamiga</v>
      </c>
      <c r="F478" s="22" t="str">
        <f>IFERROR(__xludf.DUMMYFUNCTION("""COMPUTED_VALUE"""),"EMPRENDIMIENTO TOMAS MARCANO 5")</f>
        <v>EMPRENDIMIENTO TOMAS MARCANO 5</v>
      </c>
      <c r="G478" s="19">
        <v>560.3753</v>
      </c>
      <c r="H478" s="13"/>
      <c r="I478" s="14">
        <f t="shared" si="1"/>
        <v>23.2165836</v>
      </c>
      <c r="J478" s="15">
        <f t="shared" si="2"/>
        <v>0</v>
      </c>
      <c r="K478" s="14">
        <f t="shared" si="3"/>
        <v>23.2165836</v>
      </c>
      <c r="L478" s="16" t="str">
        <f>IFERROR(__xludf.DUMMYFUNCTION("IFERROR(
  IF(
    VLOOKUP(C478, IMPORTRANGE(""gid=860555792"", ""Maestro!B:C""), 2, FALSE) = D478, 
    ""CONCILIADO"", 
    ""ERROR EN MONTO""
  ), 
  ""NO ENCONTRADO EN MAESTRO""
)"),"NO ENCONTRADO EN MAESTRO")</f>
        <v>NO ENCONTRADO EN MAESTRO</v>
      </c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ht="22.5" customHeight="1">
      <c r="A479" s="25">
        <f>IFERROR(__xludf.DUMMYFUNCTION("""COMPUTED_VALUE"""),46177.0)</f>
        <v>46177</v>
      </c>
      <c r="B479" s="15">
        <f>IFERROR(__xludf.DUMMYFUNCTION("""COMPUTED_VALUE"""),398.0)</f>
        <v>398</v>
      </c>
      <c r="C479" s="21">
        <f>IFERROR(__xludf.DUMMYFUNCTION("""COMPUTED_VALUE"""),39686.0)</f>
        <v>39686</v>
      </c>
      <c r="D479" s="22" t="str">
        <f>IFERROR(__xludf.DUMMYFUNCTION("""COMPUTED_VALUE"""),"VES")</f>
        <v>VES</v>
      </c>
      <c r="E479" s="22" t="str">
        <f>IFERROR(__xludf.DUMMYFUNCTION("""COMPUTED_VALUE"""),"Bancamiga")</f>
        <v>Bancamiga</v>
      </c>
      <c r="F479" s="22" t="str">
        <f>IFERROR(__xludf.DUMMYFUNCTION("""COMPUTED_VALUE"""),"Moto repuestos jj")</f>
        <v>Moto repuestos jj</v>
      </c>
      <c r="G479" s="19">
        <v>560.3753</v>
      </c>
      <c r="H479" s="13"/>
      <c r="I479" s="14">
        <f t="shared" si="1"/>
        <v>70.82039483</v>
      </c>
      <c r="J479" s="15">
        <f t="shared" si="2"/>
        <v>0</v>
      </c>
      <c r="K479" s="14">
        <f t="shared" si="3"/>
        <v>70.82039483</v>
      </c>
      <c r="L479" s="16" t="str">
        <f>IFERROR(__xludf.DUMMYFUNCTION("IFERROR(
  IF(
    VLOOKUP(C479, IMPORTRANGE(""gid=860555792"", ""Maestro!B:C""), 2, FALSE) = D479, 
    ""CONCILIADO"", 
    ""ERROR EN MONTO""
  ), 
  ""NO ENCONTRADO EN MAESTRO""
)"),"NO ENCONTRADO EN MAESTRO")</f>
        <v>NO ENCONTRADO EN MAESTRO</v>
      </c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ht="22.5" customHeight="1">
      <c r="A480" s="25">
        <f>IFERROR(__xludf.DUMMYFUNCTION("""COMPUTED_VALUE"""),46177.0)</f>
        <v>46177</v>
      </c>
      <c r="B480" s="15">
        <f>IFERROR(__xludf.DUMMYFUNCTION("""COMPUTED_VALUE"""),353.0)</f>
        <v>353</v>
      </c>
      <c r="C480" s="21">
        <f>IFERROR(__xludf.DUMMYFUNCTION("""COMPUTED_VALUE"""),40.0)</f>
        <v>40</v>
      </c>
      <c r="D480" s="22" t="str">
        <f>IFERROR(__xludf.DUMMYFUNCTION("""COMPUTED_VALUE"""),"USD")</f>
        <v>USD</v>
      </c>
      <c r="E480" s="22" t="str">
        <f>IFERROR(__xludf.DUMMYFUNCTION("""COMPUTED_VALUE"""),"Efectivo USD")</f>
        <v>Efectivo USD</v>
      </c>
      <c r="F480" s="22" t="str">
        <f>IFERROR(__xludf.DUMMYFUNCTION("""COMPUTED_VALUE"""),"Emprendimiento Tomas Paz")</f>
        <v>Emprendimiento Tomas Paz</v>
      </c>
      <c r="G480" s="19">
        <v>560.3753</v>
      </c>
      <c r="H480" s="13"/>
      <c r="I480" s="14">
        <f t="shared" si="1"/>
        <v>40</v>
      </c>
      <c r="J480" s="15">
        <f t="shared" si="2"/>
        <v>40</v>
      </c>
      <c r="K480" s="14">
        <f t="shared" si="3"/>
        <v>40</v>
      </c>
      <c r="L480" s="16" t="str">
        <f>IFERROR(__xludf.DUMMYFUNCTION("IFERROR(
  IF(
    VLOOKUP(C480, IMPORTRANGE(""gid=860555792"", ""Maestro!B:C""), 2, FALSE) = D480, 
    ""CONCILIADO"", 
    ""ERROR EN MONTO""
  ), 
  ""NO ENCONTRADO EN MAESTRO""
)"),"NO ENCONTRADO EN MAESTRO")</f>
        <v>NO ENCONTRADO EN MAESTRO</v>
      </c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ht="22.5" customHeight="1">
      <c r="A481" s="25">
        <f>IFERROR(__xludf.DUMMYFUNCTION("""COMPUTED_VALUE"""),46177.0)</f>
        <v>46177</v>
      </c>
      <c r="B481" s="15">
        <f>IFERROR(__xludf.DUMMYFUNCTION("""COMPUTED_VALUE"""),159.0)</f>
        <v>159</v>
      </c>
      <c r="C481" s="21">
        <f>IFERROR(__xludf.DUMMYFUNCTION("""COMPUTED_VALUE"""),200.0)</f>
        <v>200</v>
      </c>
      <c r="D481" s="22" t="str">
        <f>IFERROR(__xludf.DUMMYFUNCTION("""COMPUTED_VALUE"""),"USD")</f>
        <v>USD</v>
      </c>
      <c r="E481" s="22" t="str">
        <f>IFERROR(__xludf.DUMMYFUNCTION("""COMPUTED_VALUE"""),"Efectivo USD")</f>
        <v>Efectivo USD</v>
      </c>
      <c r="F481" s="22" t="str">
        <f>IFERROR(__xludf.DUMMYFUNCTION("""COMPUTED_VALUE"""),"Grupo 3030, C.A")</f>
        <v>Grupo 3030, C.A</v>
      </c>
      <c r="G481" s="19">
        <v>560.3753</v>
      </c>
      <c r="H481" s="13"/>
      <c r="I481" s="14">
        <f t="shared" si="1"/>
        <v>200</v>
      </c>
      <c r="J481" s="15">
        <f t="shared" si="2"/>
        <v>200</v>
      </c>
      <c r="K481" s="14">
        <f t="shared" si="3"/>
        <v>200</v>
      </c>
      <c r="L481" s="16" t="str">
        <f>IFERROR(__xludf.DUMMYFUNCTION("IFERROR(
  IF(
    VLOOKUP(C481, IMPORTRANGE(""gid=860555792"", ""Maestro!B:C""), 2, FALSE) = D481, 
    ""CONCILIADO"", 
    ""ERROR EN MONTO""
  ), 
  ""NO ENCONTRADO EN MAESTRO""
)"),"NO ENCONTRADO EN MAESTRO")</f>
        <v>NO ENCONTRADO EN MAESTRO</v>
      </c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ht="22.5" customHeight="1">
      <c r="A482" s="25">
        <f>IFERROR(__xludf.DUMMYFUNCTION("""COMPUTED_VALUE"""),46177.0)</f>
        <v>46177</v>
      </c>
      <c r="B482" s="15">
        <f>IFERROR(__xludf.DUMMYFUNCTION("""COMPUTED_VALUE"""),348.0)</f>
        <v>348</v>
      </c>
      <c r="C482" s="21">
        <f>IFERROR(__xludf.DUMMYFUNCTION("""COMPUTED_VALUE"""),152745.65)</f>
        <v>152745.65</v>
      </c>
      <c r="D482" s="22" t="str">
        <f>IFERROR(__xludf.DUMMYFUNCTION("""COMPUTED_VALUE"""),"VES")</f>
        <v>VES</v>
      </c>
      <c r="E482" s="22" t="str">
        <f>IFERROR(__xludf.DUMMYFUNCTION("""COMPUTED_VALUE"""),"Bancamiga")</f>
        <v>Bancamiga</v>
      </c>
      <c r="F482" s="22" t="str">
        <f>IFERROR(__xludf.DUMMYFUNCTION("""COMPUTED_VALUE"""),"Comercial Rio Paraguas C.A")</f>
        <v>Comercial Rio Paraguas C.A</v>
      </c>
      <c r="G482" s="19">
        <v>560.3753</v>
      </c>
      <c r="H482" s="13"/>
      <c r="I482" s="14">
        <f t="shared" si="1"/>
        <v>272.5774137</v>
      </c>
      <c r="J482" s="15">
        <f t="shared" si="2"/>
        <v>0</v>
      </c>
      <c r="K482" s="14">
        <f t="shared" si="3"/>
        <v>272.5774137</v>
      </c>
      <c r="L482" s="16" t="str">
        <f>IFERROR(__xludf.DUMMYFUNCTION("IFERROR(
  IF(
    VLOOKUP(C482, IMPORTRANGE(""gid=860555792"", ""Maestro!B:C""), 2, FALSE) = D482, 
    ""CONCILIADO"", 
    ""ERROR EN MONTO""
  ), 
  ""NO ENCONTRADO EN MAESTRO""
)"),"NO ENCONTRADO EN MAESTRO")</f>
        <v>NO ENCONTRADO EN MAESTRO</v>
      </c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ht="22.5" customHeight="1">
      <c r="A483" s="25">
        <f>IFERROR(__xludf.DUMMYFUNCTION("""COMPUTED_VALUE"""),46177.0)</f>
        <v>46177</v>
      </c>
      <c r="B483" s="15">
        <f>IFERROR(__xludf.DUMMYFUNCTION("""COMPUTED_VALUE"""),502.0)</f>
        <v>502</v>
      </c>
      <c r="C483" s="21">
        <f>IFERROR(__xludf.DUMMYFUNCTION("""COMPUTED_VALUE"""),70.0)</f>
        <v>70</v>
      </c>
      <c r="D483" s="22" t="str">
        <f>IFERROR(__xludf.DUMMYFUNCTION("""COMPUTED_VALUE"""),"USD")</f>
        <v>USD</v>
      </c>
      <c r="E483" s="22" t="str">
        <f>IFERROR(__xludf.DUMMYFUNCTION("""COMPUTED_VALUE"""),"Efectivo USD")</f>
        <v>Efectivo USD</v>
      </c>
      <c r="F483" s="22" t="str">
        <f>IFERROR(__xludf.DUMMYFUNCTION("""COMPUTED_VALUE"""),"Hector Griman")</f>
        <v>Hector Griman</v>
      </c>
      <c r="G483" s="19">
        <v>560.3753</v>
      </c>
      <c r="H483" s="13"/>
      <c r="I483" s="14">
        <f t="shared" si="1"/>
        <v>70</v>
      </c>
      <c r="J483" s="15">
        <f t="shared" si="2"/>
        <v>70</v>
      </c>
      <c r="K483" s="14">
        <f t="shared" si="3"/>
        <v>70</v>
      </c>
      <c r="L483" s="16" t="str">
        <f>IFERROR(__xludf.DUMMYFUNCTION("IFERROR(
  IF(
    VLOOKUP(C483, IMPORTRANGE(""gid=860555792"", ""Maestro!B:C""), 2, FALSE) = D483, 
    ""CONCILIADO"", 
    ""ERROR EN MONTO""
  ), 
  ""NO ENCONTRADO EN MAESTRO""
)"),"NO ENCONTRADO EN MAESTRO")</f>
        <v>NO ENCONTRADO EN MAESTRO</v>
      </c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ht="22.5" customHeight="1">
      <c r="A484" s="25">
        <f>IFERROR(__xludf.DUMMYFUNCTION("""COMPUTED_VALUE"""),46177.0)</f>
        <v>46177</v>
      </c>
      <c r="B484" s="15">
        <f>IFERROR(__xludf.DUMMYFUNCTION("""COMPUTED_VALUE"""),218.0)</f>
        <v>218</v>
      </c>
      <c r="C484" s="21">
        <f>IFERROR(__xludf.DUMMYFUNCTION("""COMPUTED_VALUE"""),70.0)</f>
        <v>70</v>
      </c>
      <c r="D484" s="22" t="str">
        <f>IFERROR(__xludf.DUMMYFUNCTION("""COMPUTED_VALUE"""),"USD")</f>
        <v>USD</v>
      </c>
      <c r="E484" s="22" t="str">
        <f>IFERROR(__xludf.DUMMYFUNCTION("""COMPUTED_VALUE"""),"Efectivo USD")</f>
        <v>Efectivo USD</v>
      </c>
      <c r="F484" s="22" t="str">
        <f>IFERROR(__xludf.DUMMYFUNCTION("""COMPUTED_VALUE"""),"Cooperativa Dios mi Amparo, R.L.")</f>
        <v>Cooperativa Dios mi Amparo, R.L.</v>
      </c>
      <c r="G484" s="19">
        <v>560.3753</v>
      </c>
      <c r="H484" s="13"/>
      <c r="I484" s="14">
        <f t="shared" si="1"/>
        <v>70</v>
      </c>
      <c r="J484" s="15">
        <f t="shared" si="2"/>
        <v>70</v>
      </c>
      <c r="K484" s="14">
        <f t="shared" si="3"/>
        <v>70</v>
      </c>
      <c r="L484" s="16" t="str">
        <f>IFERROR(__xludf.DUMMYFUNCTION("IFERROR(
  IF(
    VLOOKUP(C484, IMPORTRANGE(""gid=860555792"", ""Maestro!B:C""), 2, FALSE) = D484, 
    ""CONCILIADO"", 
    ""ERROR EN MONTO""
  ), 
  ""NO ENCONTRADO EN MAESTRO""
)"),"NO ENCONTRADO EN MAESTRO")</f>
        <v>NO ENCONTRADO EN MAESTRO</v>
      </c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ht="22.5" customHeight="1">
      <c r="A485" s="25">
        <f>IFERROR(__xludf.DUMMYFUNCTION("""COMPUTED_VALUE"""),46177.0)</f>
        <v>46177</v>
      </c>
      <c r="B485" s="15">
        <f>IFERROR(__xludf.DUMMYFUNCTION("""COMPUTED_VALUE"""),395.0)</f>
        <v>395</v>
      </c>
      <c r="C485" s="21">
        <f>IFERROR(__xludf.DUMMYFUNCTION("""COMPUTED_VALUE"""),11.94)</f>
        <v>11.94</v>
      </c>
      <c r="D485" s="22" t="str">
        <f>IFERROR(__xludf.DUMMYFUNCTION("""COMPUTED_VALUE"""),"USD")</f>
        <v>USD</v>
      </c>
      <c r="E485" s="22" t="str">
        <f>IFERROR(__xludf.DUMMYFUNCTION("""COMPUTED_VALUE"""),"Efectivo USD")</f>
        <v>Efectivo USD</v>
      </c>
      <c r="F485" s="22" t="str">
        <f>IFERROR(__xludf.DUMMYFUNCTION("""COMPUTED_VALUE"""),"Emprendimiento Eduardo Pérez 6")</f>
        <v>Emprendimiento Eduardo Pérez 6</v>
      </c>
      <c r="G485" s="19">
        <v>560.3753</v>
      </c>
      <c r="H485" s="13"/>
      <c r="I485" s="14">
        <f t="shared" si="1"/>
        <v>11.94</v>
      </c>
      <c r="J485" s="15">
        <f t="shared" si="2"/>
        <v>11.94</v>
      </c>
      <c r="K485" s="14">
        <f t="shared" si="3"/>
        <v>11.94</v>
      </c>
      <c r="L485" s="16" t="str">
        <f>IFERROR(__xludf.DUMMYFUNCTION("IFERROR(
  IF(
    VLOOKUP(C485, IMPORTRANGE(""gid=860555792"", ""Maestro!B:C""), 2, FALSE) = D485, 
    ""CONCILIADO"", 
    ""ERROR EN MONTO""
  ), 
  ""NO ENCONTRADO EN MAESTRO""
)"),"NO ENCONTRADO EN MAESTRO")</f>
        <v>NO ENCONTRADO EN MAESTRO</v>
      </c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ht="22.5" customHeight="1">
      <c r="A486" s="25">
        <f>IFERROR(__xludf.DUMMYFUNCTION("""COMPUTED_VALUE"""),46177.0)</f>
        <v>46177</v>
      </c>
      <c r="B486" s="15">
        <f>IFERROR(__xludf.DUMMYFUNCTION("""COMPUTED_VALUE"""),475.0)</f>
        <v>475</v>
      </c>
      <c r="C486" s="21">
        <f>IFERROR(__xludf.DUMMYFUNCTION("""COMPUTED_VALUE"""),8.06)</f>
        <v>8.06</v>
      </c>
      <c r="D486" s="22" t="str">
        <f>IFERROR(__xludf.DUMMYFUNCTION("""COMPUTED_VALUE"""),"USD")</f>
        <v>USD</v>
      </c>
      <c r="E486" s="22" t="str">
        <f>IFERROR(__xludf.DUMMYFUNCTION("""COMPUTED_VALUE"""),"Efectivo USD")</f>
        <v>Efectivo USD</v>
      </c>
      <c r="F486" s="22" t="str">
        <f>IFERROR(__xludf.DUMMYFUNCTION("""COMPUTED_VALUE"""),"Emprendimiento Eduardo Pérez 6")</f>
        <v>Emprendimiento Eduardo Pérez 6</v>
      </c>
      <c r="G486" s="19">
        <v>560.3753</v>
      </c>
      <c r="H486" s="13"/>
      <c r="I486" s="14">
        <f t="shared" si="1"/>
        <v>8.06</v>
      </c>
      <c r="J486" s="15">
        <f t="shared" si="2"/>
        <v>8.06</v>
      </c>
      <c r="K486" s="14">
        <f t="shared" si="3"/>
        <v>8.06</v>
      </c>
      <c r="L486" s="16" t="str">
        <f>IFERROR(__xludf.DUMMYFUNCTION("IFERROR(
  IF(
    VLOOKUP(C486, IMPORTRANGE(""gid=860555792"", ""Maestro!B:C""), 2, FALSE) = D486, 
    ""CONCILIADO"", 
    ""ERROR EN MONTO""
  ), 
  ""NO ENCONTRADO EN MAESTRO""
)"),"NO ENCONTRADO EN MAESTRO")</f>
        <v>NO ENCONTRADO EN MAESTRO</v>
      </c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ht="22.5" customHeight="1">
      <c r="A487" s="25">
        <f>IFERROR(__xludf.DUMMYFUNCTION("""COMPUTED_VALUE"""),46177.0)</f>
        <v>46177</v>
      </c>
      <c r="B487" s="15">
        <f>IFERROR(__xludf.DUMMYFUNCTION("""COMPUTED_VALUE"""),265.0)</f>
        <v>265</v>
      </c>
      <c r="C487" s="21">
        <f>IFERROR(__xludf.DUMMYFUNCTION("""COMPUTED_VALUE"""),20.0)</f>
        <v>20</v>
      </c>
      <c r="D487" s="22" t="str">
        <f>IFERROR(__xludf.DUMMYFUNCTION("""COMPUTED_VALUE"""),"USD")</f>
        <v>USD</v>
      </c>
      <c r="E487" s="22" t="str">
        <f>IFERROR(__xludf.DUMMYFUNCTION("""COMPUTED_VALUE"""),"Efectivo USD")</f>
        <v>Efectivo USD</v>
      </c>
      <c r="F487" s="22" t="str">
        <f>IFERROR(__xludf.DUMMYFUNCTION("""COMPUTED_VALUE"""),"Repuestos Guia Dios Nuestro Camino,c.a.")</f>
        <v>Repuestos Guia Dios Nuestro Camino,c.a.</v>
      </c>
      <c r="G487" s="19">
        <v>560.3753</v>
      </c>
      <c r="H487" s="13"/>
      <c r="I487" s="14">
        <f t="shared" si="1"/>
        <v>20</v>
      </c>
      <c r="J487" s="15">
        <f t="shared" si="2"/>
        <v>20</v>
      </c>
      <c r="K487" s="14">
        <f t="shared" si="3"/>
        <v>20</v>
      </c>
      <c r="L487" s="16" t="str">
        <f>IFERROR(__xludf.DUMMYFUNCTION("IFERROR(
  IF(
    VLOOKUP(C487, IMPORTRANGE(""gid=860555792"", ""Maestro!B:C""), 2, FALSE) = D487, 
    ""CONCILIADO"", 
    ""ERROR EN MONTO""
  ), 
  ""NO ENCONTRADO EN MAESTRO""
)"),"NO ENCONTRADO EN MAESTRO")</f>
        <v>NO ENCONTRADO EN MAESTRO</v>
      </c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ht="22.5" customHeight="1">
      <c r="A488" s="25">
        <f>IFERROR(__xludf.DUMMYFUNCTION("""COMPUTED_VALUE"""),46177.0)</f>
        <v>46177</v>
      </c>
      <c r="B488" s="15">
        <f>IFERROR(__xludf.DUMMYFUNCTION("""COMPUTED_VALUE"""),264.0)</f>
        <v>264</v>
      </c>
      <c r="C488" s="21">
        <f>IFERROR(__xludf.DUMMYFUNCTION("""COMPUTED_VALUE"""),40.0)</f>
        <v>40</v>
      </c>
      <c r="D488" s="22" t="str">
        <f>IFERROR(__xludf.DUMMYFUNCTION("""COMPUTED_VALUE"""),"USD")</f>
        <v>USD</v>
      </c>
      <c r="E488" s="22" t="str">
        <f>IFERROR(__xludf.DUMMYFUNCTION("""COMPUTED_VALUE"""),"Efectivo USD")</f>
        <v>Efectivo USD</v>
      </c>
      <c r="F488" s="22" t="str">
        <f>IFERROR(__xludf.DUMMYFUNCTION("""COMPUTED_VALUE"""),"Inversiones Los compadres 7686, c.a.")</f>
        <v>Inversiones Los compadres 7686, c.a.</v>
      </c>
      <c r="G488" s="19">
        <v>560.3753</v>
      </c>
      <c r="H488" s="13"/>
      <c r="I488" s="14">
        <f t="shared" si="1"/>
        <v>40</v>
      </c>
      <c r="J488" s="15">
        <f t="shared" si="2"/>
        <v>40</v>
      </c>
      <c r="K488" s="14">
        <f t="shared" si="3"/>
        <v>40</v>
      </c>
      <c r="L488" s="16" t="str">
        <f>IFERROR(__xludf.DUMMYFUNCTION("IFERROR(
  IF(
    VLOOKUP(C488, IMPORTRANGE(""gid=860555792"", ""Maestro!B:C""), 2, FALSE) = D488, 
    ""CONCILIADO"", 
    ""ERROR EN MONTO""
  ), 
  ""NO ENCONTRADO EN MAESTRO""
)"),"NO ENCONTRADO EN MAESTRO")</f>
        <v>NO ENCONTRADO EN MAESTRO</v>
      </c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ht="22.5" customHeight="1">
      <c r="A489" s="25">
        <f>IFERROR(__xludf.DUMMYFUNCTION("""COMPUTED_VALUE"""),46140.0)</f>
        <v>46140</v>
      </c>
      <c r="B489" s="15">
        <f>IFERROR(__xludf.DUMMYFUNCTION("""COMPUTED_VALUE"""),262.0)</f>
        <v>262</v>
      </c>
      <c r="C489" s="21">
        <f>IFERROR(__xludf.DUMMYFUNCTION("""COMPUTED_VALUE"""),2499654.49)</f>
        <v>2499654.49</v>
      </c>
      <c r="D489" s="22" t="str">
        <f>IFERROR(__xludf.DUMMYFUNCTION("""COMPUTED_VALUE"""),"VES")</f>
        <v>VES</v>
      </c>
      <c r="E489" s="22" t="str">
        <f>IFERROR(__xludf.DUMMYFUNCTION("""COMPUTED_VALUE"""),"Venezuela")</f>
        <v>Venezuela</v>
      </c>
      <c r="F489" s="22" t="str">
        <f>IFERROR(__xludf.DUMMYFUNCTION("""COMPUTED_VALUE"""),"Desarrollo Agrario Integral DAI Los Pucheros 13, C. A.")</f>
        <v>Desarrollo Agrario Integral DAI Los Pucheros 13, C. A.</v>
      </c>
      <c r="G489" s="19">
        <v>486.1955</v>
      </c>
      <c r="H489" s="13"/>
      <c r="I489" s="14">
        <f t="shared" si="1"/>
        <v>5141.253858</v>
      </c>
      <c r="J489" s="15">
        <f t="shared" si="2"/>
        <v>0</v>
      </c>
      <c r="K489" s="14">
        <f t="shared" si="3"/>
        <v>5141.253858</v>
      </c>
      <c r="L489" s="16" t="str">
        <f>IFERROR(__xludf.DUMMYFUNCTION("IFERROR(
  IF(
    VLOOKUP(C489, IMPORTRANGE(""gid=860555792"", ""Maestro!B:C""), 2, FALSE) = D489, 
    ""CONCILIADO"", 
    ""ERROR EN MONTO""
  ), 
  ""NO ENCONTRADO EN MAESTRO""
)"),"NO ENCONTRADO EN MAESTRO")</f>
        <v>NO ENCONTRADO EN MAESTRO</v>
      </c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ht="22.5" customHeight="1">
      <c r="A490" s="25">
        <f>IFERROR(__xludf.DUMMYFUNCTION("""COMPUTED_VALUE"""),46163.0)</f>
        <v>46163</v>
      </c>
      <c r="B490" s="15">
        <f>IFERROR(__xludf.DUMMYFUNCTION("""COMPUTED_VALUE"""),428.0)</f>
        <v>428</v>
      </c>
      <c r="C490" s="21">
        <f>IFERROR(__xludf.DUMMYFUNCTION("""COMPUTED_VALUE"""),76.0)</f>
        <v>76</v>
      </c>
      <c r="D490" s="22" t="str">
        <f>IFERROR(__xludf.DUMMYFUNCTION("""COMPUTED_VALUE"""),"USD")</f>
        <v>USD</v>
      </c>
      <c r="E490" s="22" t="str">
        <f>IFERROR(__xludf.DUMMYFUNCTION("""COMPUTED_VALUE"""),"Efectivo USD")</f>
        <v>Efectivo USD</v>
      </c>
      <c r="F490" s="22" t="str">
        <f>IFERROR(__xludf.DUMMYFUNCTION("""COMPUTED_VALUE"""),"Angel ARMAS")</f>
        <v>Angel ARMAS</v>
      </c>
      <c r="G490" s="19">
        <v>523.675</v>
      </c>
      <c r="H490" s="13"/>
      <c r="I490" s="14">
        <f t="shared" si="1"/>
        <v>76</v>
      </c>
      <c r="J490" s="15">
        <f t="shared" si="2"/>
        <v>76</v>
      </c>
      <c r="K490" s="14">
        <f t="shared" si="3"/>
        <v>76</v>
      </c>
      <c r="L490" s="16" t="str">
        <f>IFERROR(__xludf.DUMMYFUNCTION("IFERROR(
  IF(
    VLOOKUP(C490, IMPORTRANGE(""gid=860555792"", ""Maestro!B:C""), 2, FALSE) = D490, 
    ""CONCILIADO"", 
    ""ERROR EN MONTO""
  ), 
  ""NO ENCONTRADO EN MAESTRO""
)"),"NO ENCONTRADO EN MAESTRO")</f>
        <v>NO ENCONTRADO EN MAESTRO</v>
      </c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ht="22.5" customHeight="1">
      <c r="A491" s="25">
        <f>IFERROR(__xludf.DUMMYFUNCTION("""COMPUTED_VALUE"""),46178.0)</f>
        <v>46178</v>
      </c>
      <c r="B491" s="15">
        <f>IFERROR(__xludf.DUMMYFUNCTION("""COMPUTED_VALUE"""),506.0)</f>
        <v>506</v>
      </c>
      <c r="C491" s="21">
        <f>IFERROR(__xludf.DUMMYFUNCTION("""COMPUTED_VALUE"""),75.0)</f>
        <v>75</v>
      </c>
      <c r="D491" s="22" t="str">
        <f>IFERROR(__xludf.DUMMYFUNCTION("""COMPUTED_VALUE"""),"USD")</f>
        <v>USD</v>
      </c>
      <c r="E491" s="22" t="str">
        <f>IFERROR(__xludf.DUMMYFUNCTION("""COMPUTED_VALUE"""),"Efectivo USD")</f>
        <v>Efectivo USD</v>
      </c>
      <c r="F491" s="22" t="str">
        <f>IFERROR(__xludf.DUMMYFUNCTION("""COMPUTED_VALUE"""),"Angel ARMAS")</f>
        <v>Angel ARMAS</v>
      </c>
      <c r="G491" s="19">
        <v>563.2892</v>
      </c>
      <c r="H491" s="13"/>
      <c r="I491" s="14">
        <f t="shared" si="1"/>
        <v>75</v>
      </c>
      <c r="J491" s="15">
        <f t="shared" si="2"/>
        <v>75</v>
      </c>
      <c r="K491" s="14">
        <f t="shared" si="3"/>
        <v>75</v>
      </c>
      <c r="L491" s="16" t="str">
        <f>IFERROR(__xludf.DUMMYFUNCTION("IFERROR(
  IF(
    VLOOKUP(C491, IMPORTRANGE(""gid=860555792"", ""Maestro!B:C""), 2, FALSE) = D491, 
    ""CONCILIADO"", 
    ""ERROR EN MONTO""
  ), 
  ""NO ENCONTRADO EN MAESTRO""
)"),"NO ENCONTRADO EN MAESTRO")</f>
        <v>NO ENCONTRADO EN MAESTRO</v>
      </c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ht="22.5" customHeight="1">
      <c r="A492" s="25">
        <f>IFERROR(__xludf.DUMMYFUNCTION("""COMPUTED_VALUE"""),46178.0)</f>
        <v>46178</v>
      </c>
      <c r="B492" s="15">
        <f>IFERROR(__xludf.DUMMYFUNCTION("""COMPUTED_VALUE"""),428.0)</f>
        <v>428</v>
      </c>
      <c r="C492" s="21">
        <f>IFERROR(__xludf.DUMMYFUNCTION("""COMPUTED_VALUE"""),282.0)</f>
        <v>282</v>
      </c>
      <c r="D492" s="22" t="str">
        <f>IFERROR(__xludf.DUMMYFUNCTION("""COMPUTED_VALUE"""),"USD")</f>
        <v>USD</v>
      </c>
      <c r="E492" s="22" t="str">
        <f>IFERROR(__xludf.DUMMYFUNCTION("""COMPUTED_VALUE"""),"Efectivo USD")</f>
        <v>Efectivo USD</v>
      </c>
      <c r="F492" s="22" t="str">
        <f>IFERROR(__xludf.DUMMYFUNCTION("""COMPUTED_VALUE"""),"Angel ARMAS")</f>
        <v>Angel ARMAS</v>
      </c>
      <c r="G492" s="19">
        <v>563.2892</v>
      </c>
      <c r="H492" s="13"/>
      <c r="I492" s="14">
        <f t="shared" si="1"/>
        <v>282</v>
      </c>
      <c r="J492" s="15">
        <f t="shared" si="2"/>
        <v>282</v>
      </c>
      <c r="K492" s="14">
        <f t="shared" si="3"/>
        <v>282</v>
      </c>
      <c r="L492" s="16" t="str">
        <f>IFERROR(__xludf.DUMMYFUNCTION("IFERROR(
  IF(
    VLOOKUP(C492, IMPORTRANGE(""gid=860555792"", ""Maestro!B:C""), 2, FALSE) = D492, 
    ""CONCILIADO"", 
    ""ERROR EN MONTO""
  ), 
  ""NO ENCONTRADO EN MAESTRO""
)"),"NO ENCONTRADO EN MAESTRO")</f>
        <v>NO ENCONTRADO EN MAESTRO</v>
      </c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ht="22.5" customHeight="1">
      <c r="A493" s="25">
        <f>IFERROR(__xludf.DUMMYFUNCTION("""COMPUTED_VALUE"""),46178.0)</f>
        <v>46178</v>
      </c>
      <c r="B493" s="15">
        <f>IFERROR(__xludf.DUMMYFUNCTION("""COMPUTED_VALUE"""),213.0)</f>
        <v>213</v>
      </c>
      <c r="C493" s="21">
        <f>IFERROR(__xludf.DUMMYFUNCTION("""COMPUTED_VALUE"""),75.0)</f>
        <v>75</v>
      </c>
      <c r="D493" s="22" t="str">
        <f>IFERROR(__xludf.DUMMYFUNCTION("""COMPUTED_VALUE"""),"USD")</f>
        <v>USD</v>
      </c>
      <c r="E493" s="22" t="str">
        <f>IFERROR(__xludf.DUMMYFUNCTION("""COMPUTED_VALUE"""),"Efectivo USD")</f>
        <v>Efectivo USD</v>
      </c>
      <c r="F493" s="22" t="str">
        <f>IFERROR(__xludf.DUMMYFUNCTION("""COMPUTED_VALUE"""),"Angel ARMAS")</f>
        <v>Angel ARMAS</v>
      </c>
      <c r="G493" s="19">
        <v>563.2892</v>
      </c>
      <c r="H493" s="13"/>
      <c r="I493" s="14">
        <f t="shared" si="1"/>
        <v>75</v>
      </c>
      <c r="J493" s="15">
        <f t="shared" si="2"/>
        <v>75</v>
      </c>
      <c r="K493" s="14">
        <f t="shared" si="3"/>
        <v>75</v>
      </c>
      <c r="L493" s="16" t="str">
        <f>IFERROR(__xludf.DUMMYFUNCTION("IFERROR(
  IF(
    VLOOKUP(C493, IMPORTRANGE(""gid=860555792"", ""Maestro!B:C""), 2, FALSE) = D493, 
    ""CONCILIADO"", 
    ""ERROR EN MONTO""
  ), 
  ""NO ENCONTRADO EN MAESTRO""
)"),"NO ENCONTRADO EN MAESTRO")</f>
        <v>NO ENCONTRADO EN MAESTRO</v>
      </c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ht="22.5" customHeight="1">
      <c r="A494" s="25">
        <f>IFERROR(__xludf.DUMMYFUNCTION("""COMPUTED_VALUE"""),46178.0)</f>
        <v>46178</v>
      </c>
      <c r="B494" s="15">
        <f>IFERROR(__xludf.DUMMYFUNCTION("""COMPUTED_VALUE"""),61.0)</f>
        <v>61</v>
      </c>
      <c r="C494" s="21">
        <f>IFERROR(__xludf.DUMMYFUNCTION("""COMPUTED_VALUE"""),250.0)</f>
        <v>250</v>
      </c>
      <c r="D494" s="22" t="str">
        <f>IFERROR(__xludf.DUMMYFUNCTION("""COMPUTED_VALUE"""),"USD")</f>
        <v>USD</v>
      </c>
      <c r="E494" s="22" t="str">
        <f>IFERROR(__xludf.DUMMYFUNCTION("""COMPUTED_VALUE"""),"Efectivo USD")</f>
        <v>Efectivo USD</v>
      </c>
      <c r="F494" s="22" t="str">
        <f>IFERROR(__xludf.DUMMYFUNCTION("""COMPUTED_VALUE"""),"SJMG 2012 C.A")</f>
        <v>SJMG 2012 C.A</v>
      </c>
      <c r="G494" s="19">
        <v>563.2892</v>
      </c>
      <c r="H494" s="13"/>
      <c r="I494" s="14">
        <f t="shared" si="1"/>
        <v>250</v>
      </c>
      <c r="J494" s="15">
        <f t="shared" si="2"/>
        <v>250</v>
      </c>
      <c r="K494" s="14">
        <f t="shared" si="3"/>
        <v>250</v>
      </c>
      <c r="L494" s="16" t="str">
        <f>IFERROR(__xludf.DUMMYFUNCTION("IFERROR(
  IF(
    VLOOKUP(C494, IMPORTRANGE(""gid=860555792"", ""Maestro!B:C""), 2, FALSE) = D494, 
    ""CONCILIADO"", 
    ""ERROR EN MONTO""
  ), 
  ""NO ENCONTRADO EN MAESTRO""
)"),"NO ENCONTRADO EN MAESTRO")</f>
        <v>NO ENCONTRADO EN MAESTRO</v>
      </c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ht="22.5" customHeight="1">
      <c r="A495" s="25">
        <f>IFERROR(__xludf.DUMMYFUNCTION("""COMPUTED_VALUE"""),46178.0)</f>
        <v>46178</v>
      </c>
      <c r="B495" s="15">
        <f>IFERROR(__xludf.DUMMYFUNCTION("""COMPUTED_VALUE"""),209.0)</f>
        <v>209</v>
      </c>
      <c r="C495" s="21">
        <f>IFERROR(__xludf.DUMMYFUNCTION("""COMPUTED_VALUE"""),60.0)</f>
        <v>60</v>
      </c>
      <c r="D495" s="22" t="str">
        <f>IFERROR(__xludf.DUMMYFUNCTION("""COMPUTED_VALUE"""),"USD")</f>
        <v>USD</v>
      </c>
      <c r="E495" s="22" t="str">
        <f>IFERROR(__xludf.DUMMYFUNCTION("""COMPUTED_VALUE"""),"Efectivo USD")</f>
        <v>Efectivo USD</v>
      </c>
      <c r="F495" s="22" t="str">
        <f>IFERROR(__xludf.DUMMYFUNCTION("""COMPUTED_VALUE"""),"Inversiones Mirelkys C.A")</f>
        <v>Inversiones Mirelkys C.A</v>
      </c>
      <c r="G495" s="19">
        <v>563.2892</v>
      </c>
      <c r="H495" s="13"/>
      <c r="I495" s="14">
        <f t="shared" si="1"/>
        <v>60</v>
      </c>
      <c r="J495" s="15">
        <f t="shared" si="2"/>
        <v>60</v>
      </c>
      <c r="K495" s="14">
        <f t="shared" si="3"/>
        <v>60</v>
      </c>
      <c r="L495" s="16" t="str">
        <f>IFERROR(__xludf.DUMMYFUNCTION("IFERROR(
  IF(
    VLOOKUP(C495, IMPORTRANGE(""gid=860555792"", ""Maestro!B:C""), 2, FALSE) = D495, 
    ""CONCILIADO"", 
    ""ERROR EN MONTO""
  ), 
  ""NO ENCONTRADO EN MAESTRO""
)"),"NO ENCONTRADO EN MAESTRO")</f>
        <v>NO ENCONTRADO EN MAESTRO</v>
      </c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ht="22.5" customHeight="1">
      <c r="A496" s="25">
        <f>IFERROR(__xludf.DUMMYFUNCTION("""COMPUTED_VALUE"""),46178.0)</f>
        <v>46178</v>
      </c>
      <c r="B496" s="15">
        <f>IFERROR(__xludf.DUMMYFUNCTION("""COMPUTED_VALUE"""),298.0)</f>
        <v>298</v>
      </c>
      <c r="C496" s="21">
        <f>IFERROR(__xludf.DUMMYFUNCTION("""COMPUTED_VALUE"""),40.0)</f>
        <v>40</v>
      </c>
      <c r="D496" s="22" t="str">
        <f>IFERROR(__xludf.DUMMYFUNCTION("""COMPUTED_VALUE"""),"USD")</f>
        <v>USD</v>
      </c>
      <c r="E496" s="22" t="str">
        <f>IFERROR(__xludf.DUMMYFUNCTION("""COMPUTED_VALUE"""),"Efectivo USD")</f>
        <v>Efectivo USD</v>
      </c>
      <c r="F496" s="22" t="str">
        <f>IFERROR(__xludf.DUMMYFUNCTION("""COMPUTED_VALUE"""),"Inversiones Brayan CT C.A")</f>
        <v>Inversiones Brayan CT C.A</v>
      </c>
      <c r="G496" s="19">
        <v>563.2892</v>
      </c>
      <c r="H496" s="13"/>
      <c r="I496" s="14">
        <f t="shared" si="1"/>
        <v>40</v>
      </c>
      <c r="J496" s="15">
        <f t="shared" si="2"/>
        <v>40</v>
      </c>
      <c r="K496" s="14">
        <f t="shared" si="3"/>
        <v>40</v>
      </c>
      <c r="L496" s="16" t="str">
        <f>IFERROR(__xludf.DUMMYFUNCTION("IFERROR(
  IF(
    VLOOKUP(C496, IMPORTRANGE(""gid=860555792"", ""Maestro!B:C""), 2, FALSE) = D496, 
    ""CONCILIADO"", 
    ""ERROR EN MONTO""
  ), 
  ""NO ENCONTRADO EN MAESTRO""
)"),"NO ENCONTRADO EN MAESTRO")</f>
        <v>NO ENCONTRADO EN MAESTRO</v>
      </c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ht="22.5" customHeight="1">
      <c r="A497" s="25">
        <f>IFERROR(__xludf.DUMMYFUNCTION("""COMPUTED_VALUE"""),46178.0)</f>
        <v>46178</v>
      </c>
      <c r="B497" s="15">
        <f>IFERROR(__xludf.DUMMYFUNCTION("""COMPUTED_VALUE"""),408.0)</f>
        <v>408</v>
      </c>
      <c r="C497" s="21">
        <f>IFERROR(__xludf.DUMMYFUNCTION("""COMPUTED_VALUE"""),105.0)</f>
        <v>105</v>
      </c>
      <c r="D497" s="22" t="str">
        <f>IFERROR(__xludf.DUMMYFUNCTION("""COMPUTED_VALUE"""),"USD")</f>
        <v>USD</v>
      </c>
      <c r="E497" s="22" t="str">
        <f>IFERROR(__xludf.DUMMYFUNCTION("""COMPUTED_VALUE"""),"Efectivo USD")</f>
        <v>Efectivo USD</v>
      </c>
      <c r="F497" s="22" t="str">
        <f>IFERROR(__xludf.DUMMYFUNCTION("""COMPUTED_VALUE"""),"HIDRAULICAS CAICEDO C.A.")</f>
        <v>HIDRAULICAS CAICEDO C.A.</v>
      </c>
      <c r="G497" s="19">
        <v>563.2892</v>
      </c>
      <c r="H497" s="13"/>
      <c r="I497" s="14">
        <f t="shared" si="1"/>
        <v>105</v>
      </c>
      <c r="J497" s="15">
        <f t="shared" si="2"/>
        <v>105</v>
      </c>
      <c r="K497" s="14">
        <f t="shared" si="3"/>
        <v>105</v>
      </c>
      <c r="L497" s="16" t="str">
        <f>IFERROR(__xludf.DUMMYFUNCTION("IFERROR(
  IF(
    VLOOKUP(C497, IMPORTRANGE(""gid=860555792"", ""Maestro!B:C""), 2, FALSE) = D497, 
    ""CONCILIADO"", 
    ""ERROR EN MONTO""
  ), 
  ""NO ENCONTRADO EN MAESTRO""
)"),"NO ENCONTRADO EN MAESTRO")</f>
        <v>NO ENCONTRADO EN MAESTRO</v>
      </c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ht="22.5" customHeight="1">
      <c r="A498" s="25">
        <f>IFERROR(__xludf.DUMMYFUNCTION("""COMPUTED_VALUE"""),46178.0)</f>
        <v>46178</v>
      </c>
      <c r="B498" s="15">
        <f>IFERROR(__xludf.DUMMYFUNCTION("""COMPUTED_VALUE"""),330.0)</f>
        <v>330</v>
      </c>
      <c r="C498" s="21">
        <f>IFERROR(__xludf.DUMMYFUNCTION("""COMPUTED_VALUE"""),19670.0)</f>
        <v>19670</v>
      </c>
      <c r="D498" s="22" t="str">
        <f>IFERROR(__xludf.DUMMYFUNCTION("""COMPUTED_VALUE"""),"VES")</f>
        <v>VES</v>
      </c>
      <c r="E498" s="22" t="str">
        <f>IFERROR(__xludf.DUMMYFUNCTION("""COMPUTED_VALUE"""),"Bancamiga")</f>
        <v>Bancamiga</v>
      </c>
      <c r="F498" s="22" t="str">
        <f>IFERROR(__xludf.DUMMYFUNCTION("""COMPUTED_VALUE"""),"Diana Carolina Torres")</f>
        <v>Diana Carolina Torres</v>
      </c>
      <c r="G498" s="19">
        <v>563.2892</v>
      </c>
      <c r="H498" s="13"/>
      <c r="I498" s="14">
        <f t="shared" si="1"/>
        <v>34.9198955</v>
      </c>
      <c r="J498" s="15">
        <f t="shared" si="2"/>
        <v>0</v>
      </c>
      <c r="K498" s="14">
        <f t="shared" si="3"/>
        <v>34.9198955</v>
      </c>
      <c r="L498" s="16" t="str">
        <f>IFERROR(__xludf.DUMMYFUNCTION("IFERROR(
  IF(
    VLOOKUP(C498, IMPORTRANGE(""gid=860555792"", ""Maestro!B:C""), 2, FALSE) = D498, 
    ""CONCILIADO"", 
    ""ERROR EN MONTO""
  ), 
  ""NO ENCONTRADO EN MAESTRO""
)"),"NO ENCONTRADO EN MAESTRO")</f>
        <v>NO ENCONTRADO EN MAESTRO</v>
      </c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ht="22.5" customHeight="1">
      <c r="A499" s="25">
        <f>IFERROR(__xludf.DUMMYFUNCTION("""COMPUTED_VALUE"""),46178.0)</f>
        <v>46178</v>
      </c>
      <c r="B499" s="15">
        <f>IFERROR(__xludf.DUMMYFUNCTION("""COMPUTED_VALUE"""),249.0)</f>
        <v>249</v>
      </c>
      <c r="C499" s="21">
        <f>IFERROR(__xludf.DUMMYFUNCTION("""COMPUTED_VALUE"""),200.0)</f>
        <v>200</v>
      </c>
      <c r="D499" s="22" t="str">
        <f>IFERROR(__xludf.DUMMYFUNCTION("""COMPUTED_VALUE"""),"USD")</f>
        <v>USD</v>
      </c>
      <c r="E499" s="22" t="str">
        <f>IFERROR(__xludf.DUMMYFUNCTION("""COMPUTED_VALUE"""),"Efectivo USD")</f>
        <v>Efectivo USD</v>
      </c>
      <c r="F499" s="22" t="str">
        <f>IFERROR(__xludf.DUMMYFUNCTION("""COMPUTED_VALUE"""),"Comercializadora Dimon c.a")</f>
        <v>Comercializadora Dimon c.a</v>
      </c>
      <c r="G499" s="19">
        <v>563.2892</v>
      </c>
      <c r="H499" s="13"/>
      <c r="I499" s="14">
        <f t="shared" si="1"/>
        <v>200</v>
      </c>
      <c r="J499" s="15">
        <f t="shared" si="2"/>
        <v>200</v>
      </c>
      <c r="K499" s="14">
        <f t="shared" si="3"/>
        <v>200</v>
      </c>
      <c r="L499" s="16" t="str">
        <f>IFERROR(__xludf.DUMMYFUNCTION("IFERROR(
  IF(
    VLOOKUP(C499, IMPORTRANGE(""gid=860555792"", ""Maestro!B:C""), 2, FALSE) = D499, 
    ""CONCILIADO"", 
    ""ERROR EN MONTO""
  ), 
  ""NO ENCONTRADO EN MAESTRO""
)"),"NO ENCONTRADO EN MAESTRO")</f>
        <v>NO ENCONTRADO EN MAESTRO</v>
      </c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ht="22.5" customHeight="1">
      <c r="A500" s="25">
        <f>IFERROR(__xludf.DUMMYFUNCTION("""COMPUTED_VALUE"""),46178.0)</f>
        <v>46178</v>
      </c>
      <c r="B500" s="15">
        <f>IFERROR(__xludf.DUMMYFUNCTION("""COMPUTED_VALUE"""),44.0)</f>
        <v>44</v>
      </c>
      <c r="C500" s="21">
        <f>IFERROR(__xludf.DUMMYFUNCTION("""COMPUTED_VALUE"""),100.0)</f>
        <v>100</v>
      </c>
      <c r="D500" s="22" t="str">
        <f>IFERROR(__xludf.DUMMYFUNCTION("""COMPUTED_VALUE"""),"USD")</f>
        <v>USD</v>
      </c>
      <c r="E500" s="22" t="str">
        <f>IFERROR(__xludf.DUMMYFUNCTION("""COMPUTED_VALUE"""),"Efectivo USD")</f>
        <v>Efectivo USD</v>
      </c>
      <c r="F500" s="22" t="str">
        <f>IFERROR(__xludf.DUMMYFUNCTION("""COMPUTED_VALUE"""),"Comercializadora Garabote")</f>
        <v>Comercializadora Garabote</v>
      </c>
      <c r="G500" s="19">
        <v>563.2892</v>
      </c>
      <c r="H500" s="13"/>
      <c r="I500" s="14">
        <f t="shared" si="1"/>
        <v>100</v>
      </c>
      <c r="J500" s="15">
        <f t="shared" si="2"/>
        <v>100</v>
      </c>
      <c r="K500" s="14">
        <f t="shared" si="3"/>
        <v>100</v>
      </c>
      <c r="L500" s="16" t="str">
        <f>IFERROR(__xludf.DUMMYFUNCTION("IFERROR(
  IF(
    VLOOKUP(C500, IMPORTRANGE(""gid=860555792"", ""Maestro!B:C""), 2, FALSE) = D500, 
    ""CONCILIADO"", 
    ""ERROR EN MONTO""
  ), 
  ""NO ENCONTRADO EN MAESTRO""
)"),"NO ENCONTRADO EN MAESTRO")</f>
        <v>NO ENCONTRADO EN MAESTRO</v>
      </c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ht="22.5" customHeight="1">
      <c r="A501" s="25">
        <f>IFERROR(__xludf.DUMMYFUNCTION("""COMPUTED_VALUE"""),46178.0)</f>
        <v>46178</v>
      </c>
      <c r="B501" s="15">
        <f>IFERROR(__xludf.DUMMYFUNCTION("""COMPUTED_VALUE"""),159.0)</f>
        <v>159</v>
      </c>
      <c r="C501" s="21">
        <f>IFERROR(__xludf.DUMMYFUNCTION("""COMPUTED_VALUE"""),223.0)</f>
        <v>223</v>
      </c>
      <c r="D501" s="22" t="str">
        <f>IFERROR(__xludf.DUMMYFUNCTION("""COMPUTED_VALUE"""),"USD")</f>
        <v>USD</v>
      </c>
      <c r="E501" s="22" t="str">
        <f>IFERROR(__xludf.DUMMYFUNCTION("""COMPUTED_VALUE"""),"Efectivo USD")</f>
        <v>Efectivo USD</v>
      </c>
      <c r="F501" s="22" t="str">
        <f>IFERROR(__xludf.DUMMYFUNCTION("""COMPUTED_VALUE"""),"Grupo 3030, C.A")</f>
        <v>Grupo 3030, C.A</v>
      </c>
      <c r="G501" s="19">
        <v>563.2892</v>
      </c>
      <c r="H501" s="13"/>
      <c r="I501" s="14">
        <f t="shared" si="1"/>
        <v>223</v>
      </c>
      <c r="J501" s="15">
        <f t="shared" si="2"/>
        <v>223</v>
      </c>
      <c r="K501" s="14">
        <f t="shared" si="3"/>
        <v>223</v>
      </c>
      <c r="L501" s="16" t="str">
        <f>IFERROR(__xludf.DUMMYFUNCTION("IFERROR(
  IF(
    VLOOKUP(C501, IMPORTRANGE(""gid=860555792"", ""Maestro!B:C""), 2, FALSE) = D501, 
    ""CONCILIADO"", 
    ""ERROR EN MONTO""
  ), 
  ""NO ENCONTRADO EN MAESTRO""
)"),"NO ENCONTRADO EN MAESTRO")</f>
        <v>NO ENCONTRADO EN MAESTRO</v>
      </c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ht="22.5" customHeight="1">
      <c r="A502" s="25">
        <f>IFERROR(__xludf.DUMMYFUNCTION("""COMPUTED_VALUE"""),46181.0)</f>
        <v>46181</v>
      </c>
      <c r="B502" s="15">
        <f>IFERROR(__xludf.DUMMYFUNCTION("""COMPUTED_VALUE"""),205.0)</f>
        <v>205</v>
      </c>
      <c r="C502" s="21">
        <f>IFERROR(__xludf.DUMMYFUNCTION("""COMPUTED_VALUE"""),278.0)</f>
        <v>278</v>
      </c>
      <c r="D502" s="22" t="str">
        <f>IFERROR(__xludf.DUMMYFUNCTION("""COMPUTED_VALUE"""),"USD")</f>
        <v>USD</v>
      </c>
      <c r="E502" s="22" t="str">
        <f>IFERROR(__xludf.DUMMYFUNCTION("""COMPUTED_VALUE"""),"Efectivo USD")</f>
        <v>Efectivo USD</v>
      </c>
      <c r="F502" s="22" t="str">
        <f>IFERROR(__xludf.DUMMYFUNCTION("""COMPUTED_VALUE"""),"Inversiones Marfran 2025, C. A.")</f>
        <v>Inversiones Marfran 2025, C. A.</v>
      </c>
      <c r="G502" s="19">
        <v>567.6828</v>
      </c>
      <c r="H502" s="13"/>
      <c r="I502" s="14">
        <f t="shared" si="1"/>
        <v>278</v>
      </c>
      <c r="J502" s="15">
        <f t="shared" si="2"/>
        <v>278</v>
      </c>
      <c r="K502" s="14">
        <f t="shared" si="3"/>
        <v>278</v>
      </c>
      <c r="L502" s="16" t="str">
        <f>IFERROR(__xludf.DUMMYFUNCTION("IFERROR(
  IF(
    VLOOKUP(C502, IMPORTRANGE(""gid=860555792"", ""Maestro!B:C""), 2, FALSE) = D502, 
    ""CONCILIADO"", 
    ""ERROR EN MONTO""
  ), 
  ""NO ENCONTRADO EN MAESTRO""
)"),"NO ENCONTRADO EN MAESTRO")</f>
        <v>NO ENCONTRADO EN MAESTRO</v>
      </c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ht="22.5" customHeight="1">
      <c r="A503" s="25">
        <f>IFERROR(__xludf.DUMMYFUNCTION("""COMPUTED_VALUE"""),46181.0)</f>
        <v>46181</v>
      </c>
      <c r="B503" s="15">
        <f>IFERROR(__xludf.DUMMYFUNCTION("""COMPUTED_VALUE"""),44.0)</f>
        <v>44</v>
      </c>
      <c r="C503" s="21">
        <f>IFERROR(__xludf.DUMMYFUNCTION("""COMPUTED_VALUE"""),300.0)</f>
        <v>300</v>
      </c>
      <c r="D503" s="22" t="str">
        <f>IFERROR(__xludf.DUMMYFUNCTION("""COMPUTED_VALUE"""),"USD")</f>
        <v>USD</v>
      </c>
      <c r="E503" s="22" t="str">
        <f>IFERROR(__xludf.DUMMYFUNCTION("""COMPUTED_VALUE"""),"Efectivo USD")</f>
        <v>Efectivo USD</v>
      </c>
      <c r="F503" s="22" t="str">
        <f>IFERROR(__xludf.DUMMYFUNCTION("""COMPUTED_VALUE"""),"Comercializadora Garabote")</f>
        <v>Comercializadora Garabote</v>
      </c>
      <c r="G503" s="19">
        <v>567.6828</v>
      </c>
      <c r="H503" s="13"/>
      <c r="I503" s="14">
        <f t="shared" si="1"/>
        <v>300</v>
      </c>
      <c r="J503" s="15">
        <f t="shared" si="2"/>
        <v>300</v>
      </c>
      <c r="K503" s="14">
        <f t="shared" si="3"/>
        <v>300</v>
      </c>
      <c r="L503" s="16" t="str">
        <f>IFERROR(__xludf.DUMMYFUNCTION("IFERROR(
  IF(
    VLOOKUP(C503, IMPORTRANGE(""gid=860555792"", ""Maestro!B:C""), 2, FALSE) = D503, 
    ""CONCILIADO"", 
    ""ERROR EN MONTO""
  ), 
  ""NO ENCONTRADO EN MAESTRO""
)"),"NO ENCONTRADO EN MAESTRO")</f>
        <v>NO ENCONTRADO EN MAESTRO</v>
      </c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ht="22.5" customHeight="1">
      <c r="A504" s="25">
        <f>IFERROR(__xludf.DUMMYFUNCTION("""COMPUTED_VALUE"""),46181.0)</f>
        <v>46181</v>
      </c>
      <c r="B504" s="15">
        <f>IFERROR(__xludf.DUMMYFUNCTION("""COMPUTED_VALUE"""),10.0)</f>
        <v>10</v>
      </c>
      <c r="C504" s="21">
        <f>IFERROR(__xludf.DUMMYFUNCTION("""COMPUTED_VALUE"""),27781.08)</f>
        <v>27781.08</v>
      </c>
      <c r="D504" s="22" t="str">
        <f>IFERROR(__xludf.DUMMYFUNCTION("""COMPUTED_VALUE"""),"USD")</f>
        <v>USD</v>
      </c>
      <c r="E504" s="22" t="str">
        <f>IFERROR(__xludf.DUMMYFUNCTION("""COMPUTED_VALUE"""),"Efectivo USD")</f>
        <v>Efectivo USD</v>
      </c>
      <c r="F504" s="22" t="str">
        <f>IFERROR(__xludf.DUMMYFUNCTION("""COMPUTED_VALUE"""),"TERA INGENIERIA Y SERVICIOS INDUSTRIALES, C.A")</f>
        <v>TERA INGENIERIA Y SERVICIOS INDUSTRIALES, C.A</v>
      </c>
      <c r="G504" s="19">
        <v>567.6828</v>
      </c>
      <c r="H504" s="13"/>
      <c r="I504" s="14">
        <f t="shared" si="1"/>
        <v>27781.08</v>
      </c>
      <c r="J504" s="15">
        <f t="shared" si="2"/>
        <v>27781.08</v>
      </c>
      <c r="K504" s="14">
        <f t="shared" si="3"/>
        <v>27781.08</v>
      </c>
      <c r="L504" s="16" t="str">
        <f>IFERROR(__xludf.DUMMYFUNCTION("IFERROR(
  IF(
    VLOOKUP(C504, IMPORTRANGE(""gid=860555792"", ""Maestro!B:C""), 2, FALSE) = D504, 
    ""CONCILIADO"", 
    ""ERROR EN MONTO""
  ), 
  ""NO ENCONTRADO EN MAESTRO""
)"),"NO ENCONTRADO EN MAESTRO")</f>
        <v>NO ENCONTRADO EN MAESTRO</v>
      </c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ht="22.5" customHeight="1">
      <c r="A505" s="25">
        <f>IFERROR(__xludf.DUMMYFUNCTION("""COMPUTED_VALUE"""),46180.0)</f>
        <v>46180</v>
      </c>
      <c r="B505" s="15">
        <f>IFERROR(__xludf.DUMMYFUNCTION("""COMPUTED_VALUE"""),78.0)</f>
        <v>78</v>
      </c>
      <c r="C505" s="21">
        <f>IFERROR(__xludf.DUMMYFUNCTION("""COMPUTED_VALUE"""),22708.0)</f>
        <v>22708</v>
      </c>
      <c r="D505" s="22" t="str">
        <f>IFERROR(__xludf.DUMMYFUNCTION("""COMPUTED_VALUE"""),"VES")</f>
        <v>VES</v>
      </c>
      <c r="E505" s="22" t="str">
        <f>IFERROR(__xludf.DUMMYFUNCTION("""COMPUTED_VALUE"""),"Bancamiga")</f>
        <v>Bancamiga</v>
      </c>
      <c r="F505" s="22" t="str">
        <f>IFERROR(__xludf.DUMMYFUNCTION("""COMPUTED_VALUE"""),"MULTISERVICIOS RECAM13, C.A.")</f>
        <v>MULTISERVICIOS RECAM13, C.A.</v>
      </c>
      <c r="G505" s="19">
        <v>567.6828</v>
      </c>
      <c r="H505" s="13"/>
      <c r="I505" s="14">
        <f t="shared" si="1"/>
        <v>40.00121194</v>
      </c>
      <c r="J505" s="15">
        <f t="shared" si="2"/>
        <v>0</v>
      </c>
      <c r="K505" s="14">
        <f t="shared" si="3"/>
        <v>40.00121194</v>
      </c>
      <c r="L505" s="16" t="str">
        <f>IFERROR(__xludf.DUMMYFUNCTION("IFERROR(
  IF(
    VLOOKUP(C505, IMPORTRANGE(""gid=860555792"", ""Maestro!B:C""), 2, FALSE) = D505, 
    ""CONCILIADO"", 
    ""ERROR EN MONTO""
  ), 
  ""NO ENCONTRADO EN MAESTRO""
)"),"NO ENCONTRADO EN MAESTRO")</f>
        <v>NO ENCONTRADO EN MAESTRO</v>
      </c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ht="22.5" customHeight="1">
      <c r="A506" s="25">
        <f>IFERROR(__xludf.DUMMYFUNCTION("""COMPUTED_VALUE"""),46181.0)</f>
        <v>46181</v>
      </c>
      <c r="B506" s="15">
        <f>IFERROR(__xludf.DUMMYFUNCTION("""COMPUTED_VALUE"""),400.0)</f>
        <v>400</v>
      </c>
      <c r="C506" s="21">
        <f>IFERROR(__xludf.DUMMYFUNCTION("""COMPUTED_VALUE"""),16898.68)</f>
        <v>16898.68</v>
      </c>
      <c r="D506" s="22" t="str">
        <f>IFERROR(__xludf.DUMMYFUNCTION("""COMPUTED_VALUE"""),"VES")</f>
        <v>VES</v>
      </c>
      <c r="E506" s="22" t="str">
        <f>IFERROR(__xludf.DUMMYFUNCTION("""COMPUTED_VALUE"""),"Bancamiga")</f>
        <v>Bancamiga</v>
      </c>
      <c r="F506" s="22" t="str">
        <f>IFERROR(__xludf.DUMMYFUNCTION("""COMPUTED_VALUE"""),"TALLER Y REPUESTOS CHOPPERS, C.A.")</f>
        <v>TALLER Y REPUESTOS CHOPPERS, C.A.</v>
      </c>
      <c r="G506" s="19">
        <v>567.6828</v>
      </c>
      <c r="H506" s="13"/>
      <c r="I506" s="14">
        <f t="shared" si="1"/>
        <v>29.76782104</v>
      </c>
      <c r="J506" s="15">
        <f t="shared" si="2"/>
        <v>0</v>
      </c>
      <c r="K506" s="14">
        <f t="shared" si="3"/>
        <v>29.76782104</v>
      </c>
      <c r="L506" s="16" t="str">
        <f>IFERROR(__xludf.DUMMYFUNCTION("IFERROR(
  IF(
    VLOOKUP(C506, IMPORTRANGE(""gid=860555792"", ""Maestro!B:C""), 2, FALSE) = D506, 
    ""CONCILIADO"", 
    ""ERROR EN MONTO""
  ), 
  ""NO ENCONTRADO EN MAESTRO""
)"),"NO ENCONTRADO EN MAESTRO")</f>
        <v>NO ENCONTRADO EN MAESTRO</v>
      </c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ht="22.5" customHeight="1">
      <c r="A507" s="25">
        <f>IFERROR(__xludf.DUMMYFUNCTION("""COMPUTED_VALUE"""),46181.0)</f>
        <v>46181</v>
      </c>
      <c r="B507" s="15">
        <f>IFERROR(__xludf.DUMMYFUNCTION("""COMPUTED_VALUE"""),283.0)</f>
        <v>283</v>
      </c>
      <c r="C507" s="21">
        <f>IFERROR(__xludf.DUMMYFUNCTION("""COMPUTED_VALUE"""),63.0)</f>
        <v>63</v>
      </c>
      <c r="D507" s="22" t="str">
        <f>IFERROR(__xludf.DUMMYFUNCTION("""COMPUTED_VALUE"""),"USD")</f>
        <v>USD</v>
      </c>
      <c r="E507" s="22" t="str">
        <f>IFERROR(__xludf.DUMMYFUNCTION("""COMPUTED_VALUE"""),"Efectivo USD")</f>
        <v>Efectivo USD</v>
      </c>
      <c r="F507" s="22" t="str">
        <f>IFERROR(__xludf.DUMMYFUNCTION("""COMPUTED_VALUE"""),"LA CASA DE LAS BATERIAS")</f>
        <v>LA CASA DE LAS BATERIAS</v>
      </c>
      <c r="G507" s="19">
        <v>567.6828</v>
      </c>
      <c r="H507" s="13"/>
      <c r="I507" s="14">
        <f t="shared" si="1"/>
        <v>63</v>
      </c>
      <c r="J507" s="15">
        <f t="shared" si="2"/>
        <v>63</v>
      </c>
      <c r="K507" s="14">
        <f t="shared" si="3"/>
        <v>63</v>
      </c>
      <c r="L507" s="16" t="str">
        <f>IFERROR(__xludf.DUMMYFUNCTION("IFERROR(
  IF(
    VLOOKUP(C507, IMPORTRANGE(""gid=860555792"", ""Maestro!B:C""), 2, FALSE) = D507, 
    ""CONCILIADO"", 
    ""ERROR EN MONTO""
  ), 
  ""NO ENCONTRADO EN MAESTRO""
)"),"NO ENCONTRADO EN MAESTRO")</f>
        <v>NO ENCONTRADO EN MAESTRO</v>
      </c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ht="22.5" customHeight="1">
      <c r="A508" s="25">
        <f>IFERROR(__xludf.DUMMYFUNCTION("""COMPUTED_VALUE"""),46181.0)</f>
        <v>46181</v>
      </c>
      <c r="B508" s="15">
        <f>IFERROR(__xludf.DUMMYFUNCTION("""COMPUTED_VALUE"""),376.0)</f>
        <v>376</v>
      </c>
      <c r="C508" s="21">
        <f>IFERROR(__xludf.DUMMYFUNCTION("""COMPUTED_VALUE"""),67.0)</f>
        <v>67</v>
      </c>
      <c r="D508" s="22" t="str">
        <f>IFERROR(__xludf.DUMMYFUNCTION("""COMPUTED_VALUE"""),"USD")</f>
        <v>USD</v>
      </c>
      <c r="E508" s="22" t="str">
        <f>IFERROR(__xludf.DUMMYFUNCTION("""COMPUTED_VALUE"""),"Efectivo USD")</f>
        <v>Efectivo USD</v>
      </c>
      <c r="F508" s="22" t="str">
        <f>IFERROR(__xludf.DUMMYFUNCTION("""COMPUTED_VALUE"""),"CLUDE CARVALHO DE ACOSTA")</f>
        <v>CLUDE CARVALHO DE ACOSTA</v>
      </c>
      <c r="G508" s="19">
        <v>567.6828</v>
      </c>
      <c r="H508" s="13"/>
      <c r="I508" s="14">
        <f t="shared" si="1"/>
        <v>67</v>
      </c>
      <c r="J508" s="15">
        <f t="shared" si="2"/>
        <v>67</v>
      </c>
      <c r="K508" s="14">
        <f t="shared" si="3"/>
        <v>67</v>
      </c>
      <c r="L508" s="16" t="str">
        <f>IFERROR(__xludf.DUMMYFUNCTION("IFERROR(
  IF(
    VLOOKUP(C508, IMPORTRANGE(""gid=860555792"", ""Maestro!B:C""), 2, FALSE) = D508, 
    ""CONCILIADO"", 
    ""ERROR EN MONTO""
  ), 
  ""NO ENCONTRADO EN MAESTRO""
)"),"NO ENCONTRADO EN MAESTRO")</f>
        <v>NO ENCONTRADO EN MAESTRO</v>
      </c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ht="22.5" customHeight="1">
      <c r="A509" s="25">
        <f>IFERROR(__xludf.DUMMYFUNCTION("""COMPUTED_VALUE"""),46181.0)</f>
        <v>46181</v>
      </c>
      <c r="B509" s="15">
        <f>IFERROR(__xludf.DUMMYFUNCTION("""COMPUTED_VALUE"""),338.0)</f>
        <v>338</v>
      </c>
      <c r="C509" s="21">
        <f>IFERROR(__xludf.DUMMYFUNCTION("""COMPUTED_VALUE"""),66.0)</f>
        <v>66</v>
      </c>
      <c r="D509" s="22" t="str">
        <f>IFERROR(__xludf.DUMMYFUNCTION("""COMPUTED_VALUE"""),"USD")</f>
        <v>USD</v>
      </c>
      <c r="E509" s="22" t="str">
        <f>IFERROR(__xludf.DUMMYFUNCTION("""COMPUTED_VALUE"""),"Efectivo USD")</f>
        <v>Efectivo USD</v>
      </c>
      <c r="F509" s="22" t="str">
        <f>IFERROR(__xludf.DUMMYFUNCTION("""COMPUTED_VALUE"""),"TorniRepuesto BA 2015, C.A")</f>
        <v>TorniRepuesto BA 2015, C.A</v>
      </c>
      <c r="G509" s="19">
        <v>567.6828</v>
      </c>
      <c r="H509" s="13"/>
      <c r="I509" s="14">
        <f t="shared" si="1"/>
        <v>66</v>
      </c>
      <c r="J509" s="15">
        <f t="shared" si="2"/>
        <v>66</v>
      </c>
      <c r="K509" s="14">
        <f t="shared" si="3"/>
        <v>66</v>
      </c>
      <c r="L509" s="16" t="str">
        <f>IFERROR(__xludf.DUMMYFUNCTION("IFERROR(
  IF(
    VLOOKUP(C509, IMPORTRANGE(""gid=860555792"", ""Maestro!B:C""), 2, FALSE) = D509, 
    ""CONCILIADO"", 
    ""ERROR EN MONTO""
  ), 
  ""NO ENCONTRADO EN MAESTRO""
)"),"NO ENCONTRADO EN MAESTRO")</f>
        <v>NO ENCONTRADO EN MAESTRO</v>
      </c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ht="22.5" customHeight="1">
      <c r="A510" s="25">
        <f>IFERROR(__xludf.DUMMYFUNCTION("""COMPUTED_VALUE"""),46181.0)</f>
        <v>46181</v>
      </c>
      <c r="B510" s="15">
        <f>IFERROR(__xludf.DUMMYFUNCTION("""COMPUTED_VALUE"""),233.0)</f>
        <v>233</v>
      </c>
      <c r="C510" s="21">
        <f>IFERROR(__xludf.DUMMYFUNCTION("""COMPUTED_VALUE"""),28384.0)</f>
        <v>28384</v>
      </c>
      <c r="D510" s="22" t="str">
        <f>IFERROR(__xludf.DUMMYFUNCTION("""COMPUTED_VALUE"""),"VES")</f>
        <v>VES</v>
      </c>
      <c r="E510" s="22" t="str">
        <f>IFERROR(__xludf.DUMMYFUNCTION("""COMPUTED_VALUE"""),"Bancamiga")</f>
        <v>Bancamiga</v>
      </c>
      <c r="F510" s="22" t="str">
        <f>IFERROR(__xludf.DUMMYFUNCTION("""COMPUTED_VALUE"""),"Auto Partes Y Repuestos Encava Express,c.a.")</f>
        <v>Auto Partes Y Repuestos Encava Express,c.a.</v>
      </c>
      <c r="G510" s="19">
        <v>567.6828</v>
      </c>
      <c r="H510" s="13"/>
      <c r="I510" s="14">
        <f t="shared" si="1"/>
        <v>49.99975338</v>
      </c>
      <c r="J510" s="15">
        <f t="shared" si="2"/>
        <v>0</v>
      </c>
      <c r="K510" s="14">
        <f t="shared" si="3"/>
        <v>49.99975338</v>
      </c>
      <c r="L510" s="16" t="str">
        <f>IFERROR(__xludf.DUMMYFUNCTION("IFERROR(
  IF(
    VLOOKUP(C510, IMPORTRANGE(""gid=860555792"", ""Maestro!B:C""), 2, FALSE) = D510, 
    ""CONCILIADO"", 
    ""ERROR EN MONTO""
  ), 
  ""NO ENCONTRADO EN MAESTRO""
)"),"NO ENCONTRADO EN MAESTRO")</f>
        <v>NO ENCONTRADO EN MAESTRO</v>
      </c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ht="22.5" customHeight="1">
      <c r="A511" s="25">
        <f>IFERROR(__xludf.DUMMYFUNCTION("""COMPUTED_VALUE"""),46181.0)</f>
        <v>46181</v>
      </c>
      <c r="B511" s="15">
        <f>IFERROR(__xludf.DUMMYFUNCTION("""COMPUTED_VALUE"""),124.0)</f>
        <v>124</v>
      </c>
      <c r="C511" s="21">
        <f>IFERROR(__xludf.DUMMYFUNCTION("""COMPUTED_VALUE"""),300.0)</f>
        <v>300</v>
      </c>
      <c r="D511" s="22" t="str">
        <f>IFERROR(__xludf.DUMMYFUNCTION("""COMPUTED_VALUE"""),"USD")</f>
        <v>USD</v>
      </c>
      <c r="E511" s="22" t="str">
        <f>IFERROR(__xludf.DUMMYFUNCTION("""COMPUTED_VALUE"""),"Efectivo USD")</f>
        <v>Efectivo USD</v>
      </c>
      <c r="F511" s="22" t="str">
        <f>IFERROR(__xludf.DUMMYFUNCTION("""COMPUTED_VALUE"""),"M.L.P Repuestos y Otros, C.A")</f>
        <v>M.L.P Repuestos y Otros, C.A</v>
      </c>
      <c r="G511" s="19">
        <v>567.6828</v>
      </c>
      <c r="H511" s="13"/>
      <c r="I511" s="14">
        <f t="shared" si="1"/>
        <v>300</v>
      </c>
      <c r="J511" s="15">
        <f t="shared" si="2"/>
        <v>300</v>
      </c>
      <c r="K511" s="14">
        <f t="shared" si="3"/>
        <v>300</v>
      </c>
      <c r="L511" s="16" t="str">
        <f>IFERROR(__xludf.DUMMYFUNCTION("IFERROR(
  IF(
    VLOOKUP(C511, IMPORTRANGE(""gid=860555792"", ""Maestro!B:C""), 2, FALSE) = D511, 
    ""CONCILIADO"", 
    ""ERROR EN MONTO""
  ), 
  ""NO ENCONTRADO EN MAESTRO""
)"),"NO ENCONTRADO EN MAESTRO")</f>
        <v>NO ENCONTRADO EN MAESTRO</v>
      </c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ht="22.5" customHeight="1">
      <c r="A512" s="25">
        <f>IFERROR(__xludf.DUMMYFUNCTION("""COMPUTED_VALUE"""),46147.0)</f>
        <v>46147</v>
      </c>
      <c r="B512" s="15">
        <f>IFERROR(__xludf.DUMMYFUNCTION("""COMPUTED_VALUE"""),441.0)</f>
        <v>441</v>
      </c>
      <c r="C512" s="21">
        <f>IFERROR(__xludf.DUMMYFUNCTION("""COMPUTED_VALUE"""),1203.0)</f>
        <v>1203</v>
      </c>
      <c r="D512" s="22" t="str">
        <f>IFERROR(__xludf.DUMMYFUNCTION("""COMPUTED_VALUE"""),"USD")</f>
        <v>USD</v>
      </c>
      <c r="E512" s="22" t="str">
        <f>IFERROR(__xludf.DUMMYFUNCTION("""COMPUTED_VALUE"""),"Zelle")</f>
        <v>Zelle</v>
      </c>
      <c r="F512" s="22" t="str">
        <f>IFERROR(__xludf.DUMMYFUNCTION("""COMPUTED_VALUE"""),"GASOLVEN DISTRIBUIDORA, C.A")</f>
        <v>GASOLVEN DISTRIBUIDORA, C.A</v>
      </c>
      <c r="G512" s="19">
        <v>563.2892</v>
      </c>
      <c r="H512" s="13"/>
      <c r="I512" s="14">
        <f t="shared" si="1"/>
        <v>1203</v>
      </c>
      <c r="J512" s="15">
        <f t="shared" si="2"/>
        <v>1203</v>
      </c>
      <c r="K512" s="14">
        <f t="shared" si="3"/>
        <v>1203</v>
      </c>
      <c r="L512" s="16" t="str">
        <f>IFERROR(__xludf.DUMMYFUNCTION("IFERROR(
  IF(
    VLOOKUP(C512, IMPORTRANGE(""gid=860555792"", ""Maestro!B:C""), 2, FALSE) = D512, 
    ""CONCILIADO"", 
    ""ERROR EN MONTO""
  ), 
  ""NO ENCONTRADO EN MAESTRO""
)"),"NO ENCONTRADO EN MAESTRO")</f>
        <v>NO ENCONTRADO EN MAESTRO</v>
      </c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ht="22.5" customHeight="1">
      <c r="A513" s="25">
        <f>IFERROR(__xludf.DUMMYFUNCTION("""COMPUTED_VALUE"""),46182.0)</f>
        <v>46182</v>
      </c>
      <c r="B513" s="15">
        <f>IFERROR(__xludf.DUMMYFUNCTION("""COMPUTED_VALUE"""),513.0)</f>
        <v>513</v>
      </c>
      <c r="C513" s="21">
        <f>IFERROR(__xludf.DUMMYFUNCTION("""COMPUTED_VALUE"""),70.0)</f>
        <v>70</v>
      </c>
      <c r="D513" s="22" t="str">
        <f>IFERROR(__xludf.DUMMYFUNCTION("""COMPUTED_VALUE"""),"USD")</f>
        <v>USD</v>
      </c>
      <c r="E513" s="22" t="str">
        <f>IFERROR(__xludf.DUMMYFUNCTION("""COMPUTED_VALUE"""),"Efectivo USD")</f>
        <v>Efectivo USD</v>
      </c>
      <c r="F513" s="22" t="str">
        <f>IFERROR(__xludf.DUMMYFUNCTION("""COMPUTED_VALUE"""),"ELENA MEJIAS")</f>
        <v>ELENA MEJIAS</v>
      </c>
      <c r="G513" s="19">
        <v>572.67</v>
      </c>
      <c r="H513" s="13"/>
      <c r="I513" s="14">
        <f t="shared" si="1"/>
        <v>70</v>
      </c>
      <c r="J513" s="15">
        <f t="shared" si="2"/>
        <v>70</v>
      </c>
      <c r="K513" s="14">
        <f t="shared" si="3"/>
        <v>70</v>
      </c>
      <c r="L513" s="16" t="str">
        <f>IFERROR(__xludf.DUMMYFUNCTION("IFERROR(
  IF(
    VLOOKUP(C513, IMPORTRANGE(""gid=860555792"", ""Maestro!B:C""), 2, FALSE) = D513, 
    ""CONCILIADO"", 
    ""ERROR EN MONTO""
  ), 
  ""NO ENCONTRADO EN MAESTRO""
)"),"NO ENCONTRADO EN MAESTRO")</f>
        <v>NO ENCONTRADO EN MAESTRO</v>
      </c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ht="22.5" customHeight="1">
      <c r="A514" s="25">
        <f>IFERROR(__xludf.DUMMYFUNCTION("""COMPUTED_VALUE"""),46182.0)</f>
        <v>46182</v>
      </c>
      <c r="B514" s="15">
        <f>IFERROR(__xludf.DUMMYFUNCTION("""COMPUTED_VALUE"""),44.0)</f>
        <v>44</v>
      </c>
      <c r="C514" s="21">
        <f>IFERROR(__xludf.DUMMYFUNCTION("""COMPUTED_VALUE"""),207.0)</f>
        <v>207</v>
      </c>
      <c r="D514" s="22" t="str">
        <f>IFERROR(__xludf.DUMMYFUNCTION("""COMPUTED_VALUE"""),"USD")</f>
        <v>USD</v>
      </c>
      <c r="E514" s="22" t="str">
        <f>IFERROR(__xludf.DUMMYFUNCTION("""COMPUTED_VALUE"""),"Efectivo USD")</f>
        <v>Efectivo USD</v>
      </c>
      <c r="F514" s="22" t="str">
        <f>IFERROR(__xludf.DUMMYFUNCTION("""COMPUTED_VALUE"""),"Comercializadora Garabote")</f>
        <v>Comercializadora Garabote</v>
      </c>
      <c r="G514" s="19">
        <v>572.67</v>
      </c>
      <c r="H514" s="13"/>
      <c r="I514" s="14">
        <f t="shared" si="1"/>
        <v>207</v>
      </c>
      <c r="J514" s="15">
        <f t="shared" si="2"/>
        <v>207</v>
      </c>
      <c r="K514" s="14">
        <f t="shared" si="3"/>
        <v>207</v>
      </c>
      <c r="L514" s="16" t="str">
        <f>IFERROR(__xludf.DUMMYFUNCTION("IFERROR(
  IF(
    VLOOKUP(C514, IMPORTRANGE(""gid=860555792"", ""Maestro!B:C""), 2, FALSE) = D514, 
    ""CONCILIADO"", 
    ""ERROR EN MONTO""
  ), 
  ""NO ENCONTRADO EN MAESTRO""
)"),"NO ENCONTRADO EN MAESTRO")</f>
        <v>NO ENCONTRADO EN MAESTRO</v>
      </c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ht="22.5" customHeight="1">
      <c r="A515" s="25">
        <f>IFERROR(__xludf.DUMMYFUNCTION("""COMPUTED_VALUE"""),46182.0)</f>
        <v>46182</v>
      </c>
      <c r="B515" s="15">
        <f>IFERROR(__xludf.DUMMYFUNCTION("""COMPUTED_VALUE"""),149.0)</f>
        <v>149</v>
      </c>
      <c r="C515" s="21">
        <f>IFERROR(__xludf.DUMMYFUNCTION("""COMPUTED_VALUE"""),300.0)</f>
        <v>300</v>
      </c>
      <c r="D515" s="22" t="str">
        <f>IFERROR(__xludf.DUMMYFUNCTION("""COMPUTED_VALUE"""),"USD")</f>
        <v>USD</v>
      </c>
      <c r="E515" s="22" t="str">
        <f>IFERROR(__xludf.DUMMYFUNCTION("""COMPUTED_VALUE"""),"Efectivo USD")</f>
        <v>Efectivo USD</v>
      </c>
      <c r="F515" s="22" t="str">
        <f>IFERROR(__xludf.DUMMYFUNCTION("""COMPUTED_VALUE"""),"Emprendimiento ilaris cancelo")</f>
        <v>Emprendimiento ilaris cancelo</v>
      </c>
      <c r="G515" s="19">
        <v>572.67</v>
      </c>
      <c r="H515" s="13"/>
      <c r="I515" s="14">
        <f t="shared" si="1"/>
        <v>300</v>
      </c>
      <c r="J515" s="15">
        <f t="shared" si="2"/>
        <v>300</v>
      </c>
      <c r="K515" s="14">
        <f t="shared" si="3"/>
        <v>300</v>
      </c>
      <c r="L515" s="16" t="str">
        <f>IFERROR(__xludf.DUMMYFUNCTION("IFERROR(
  IF(
    VLOOKUP(C515, IMPORTRANGE(""gid=860555792"", ""Maestro!B:C""), 2, FALSE) = D515, 
    ""CONCILIADO"", 
    ""ERROR EN MONTO""
  ), 
  ""NO ENCONTRADO EN MAESTRO""
)"),"NO ENCONTRADO EN MAESTRO")</f>
        <v>NO ENCONTRADO EN MAESTRO</v>
      </c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ht="22.5" customHeight="1">
      <c r="A516" s="25">
        <f>IFERROR(__xludf.DUMMYFUNCTION("""COMPUTED_VALUE"""),46154.0)</f>
        <v>46154</v>
      </c>
      <c r="B516" s="15">
        <f>IFERROR(__xludf.DUMMYFUNCTION("""COMPUTED_VALUE"""),369.0)</f>
        <v>369</v>
      </c>
      <c r="C516" s="21">
        <f>IFERROR(__xludf.DUMMYFUNCTION("""COMPUTED_VALUE"""),76.0)</f>
        <v>76</v>
      </c>
      <c r="D516" s="22" t="str">
        <f>IFERROR(__xludf.DUMMYFUNCTION("""COMPUTED_VALUE"""),"USD")</f>
        <v>USD</v>
      </c>
      <c r="E516" s="22" t="str">
        <f>IFERROR(__xludf.DUMMYFUNCTION("""COMPUTED_VALUE"""),"Efectivo USD")</f>
        <v>Efectivo USD</v>
      </c>
      <c r="F516" s="22" t="str">
        <f>IFERROR(__xludf.DUMMYFUNCTION("""COMPUTED_VALUE"""),"ELENA MEJIAS")</f>
        <v>ELENA MEJIAS</v>
      </c>
      <c r="G516" s="19">
        <v>572.67</v>
      </c>
      <c r="H516" s="13"/>
      <c r="I516" s="14">
        <f t="shared" si="1"/>
        <v>76</v>
      </c>
      <c r="J516" s="15">
        <f t="shared" si="2"/>
        <v>76</v>
      </c>
      <c r="K516" s="14">
        <f t="shared" si="3"/>
        <v>76</v>
      </c>
      <c r="L516" s="16" t="str">
        <f>IFERROR(__xludf.DUMMYFUNCTION("IFERROR(
  IF(
    VLOOKUP(C516, IMPORTRANGE(""gid=860555792"", ""Maestro!B:C""), 2, FALSE) = D516, 
    ""CONCILIADO"", 
    ""ERROR EN MONTO""
  ), 
  ""NO ENCONTRADO EN MAESTRO""
)"),"NO ENCONTRADO EN MAESTRO")</f>
        <v>NO ENCONTRADO EN MAESTRO</v>
      </c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ht="22.5" customHeight="1">
      <c r="A517" s="25">
        <f>IFERROR(__xludf.DUMMYFUNCTION("""COMPUTED_VALUE"""),46182.0)</f>
        <v>46182</v>
      </c>
      <c r="B517" s="15">
        <f>IFERROR(__xludf.DUMMYFUNCTION("""COMPUTED_VALUE"""),125.0)</f>
        <v>125</v>
      </c>
      <c r="C517" s="21">
        <f>IFERROR(__xludf.DUMMYFUNCTION("""COMPUTED_VALUE"""),15.0)</f>
        <v>15</v>
      </c>
      <c r="D517" s="22" t="str">
        <f>IFERROR(__xludf.DUMMYFUNCTION("""COMPUTED_VALUE"""),"USD")</f>
        <v>USD</v>
      </c>
      <c r="E517" s="22" t="str">
        <f>IFERROR(__xludf.DUMMYFUNCTION("""COMPUTED_VALUE"""),"Efectivo USD")</f>
        <v>Efectivo USD</v>
      </c>
      <c r="F517" s="22" t="str">
        <f>IFERROR(__xludf.DUMMYFUNCTION("""COMPUTED_VALUE"""),"Megacar2020.c.a")</f>
        <v>Megacar2020.c.a</v>
      </c>
      <c r="G517" s="19">
        <v>572.67</v>
      </c>
      <c r="H517" s="13"/>
      <c r="I517" s="14">
        <f t="shared" si="1"/>
        <v>15</v>
      </c>
      <c r="J517" s="15">
        <f t="shared" si="2"/>
        <v>15</v>
      </c>
      <c r="K517" s="14">
        <f t="shared" si="3"/>
        <v>15</v>
      </c>
      <c r="L517" s="16" t="str">
        <f>IFERROR(__xludf.DUMMYFUNCTION("IFERROR(
  IF(
    VLOOKUP(C517, IMPORTRANGE(""gid=860555792"", ""Maestro!B:C""), 2, FALSE) = D517, 
    ""CONCILIADO"", 
    ""ERROR EN MONTO""
  ), 
  ""NO ENCONTRADO EN MAESTRO""
)"),"NO ENCONTRADO EN MAESTRO")</f>
        <v>NO ENCONTRADO EN MAESTRO</v>
      </c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ht="22.5" customHeight="1">
      <c r="A518" s="25">
        <f>IFERROR(__xludf.DUMMYFUNCTION("""COMPUTED_VALUE"""),46182.0)</f>
        <v>46182</v>
      </c>
      <c r="B518" s="15">
        <f>IFERROR(__xludf.DUMMYFUNCTION("""COMPUTED_VALUE"""),364.0)</f>
        <v>364</v>
      </c>
      <c r="C518" s="21">
        <f>IFERROR(__xludf.DUMMYFUNCTION("""COMPUTED_VALUE"""),106.0)</f>
        <v>106</v>
      </c>
      <c r="D518" s="22" t="str">
        <f>IFERROR(__xludf.DUMMYFUNCTION("""COMPUTED_VALUE"""),"USD")</f>
        <v>USD</v>
      </c>
      <c r="E518" s="22" t="str">
        <f>IFERROR(__xludf.DUMMYFUNCTION("""COMPUTED_VALUE"""),"Efectivo USD")</f>
        <v>Efectivo USD</v>
      </c>
      <c r="F518" s="22" t="str">
        <f>IFERROR(__xludf.DUMMYFUNCTION("""COMPUTED_VALUE"""),"CAUCHOS NUÑEZ, C.A.")</f>
        <v>CAUCHOS NUÑEZ, C.A.</v>
      </c>
      <c r="G518" s="19">
        <v>572.67</v>
      </c>
      <c r="H518" s="13"/>
      <c r="I518" s="14">
        <f t="shared" si="1"/>
        <v>106</v>
      </c>
      <c r="J518" s="15">
        <f t="shared" si="2"/>
        <v>106</v>
      </c>
      <c r="K518" s="14">
        <f t="shared" si="3"/>
        <v>106</v>
      </c>
      <c r="L518" s="16" t="str">
        <f>IFERROR(__xludf.DUMMYFUNCTION("IFERROR(
  IF(
    VLOOKUP(C518, IMPORTRANGE(""gid=860555792"", ""Maestro!B:C""), 2, FALSE) = D518, 
    ""CONCILIADO"", 
    ""ERROR EN MONTO""
  ), 
  ""NO ENCONTRADO EN MAESTRO""
)"),"NO ENCONTRADO EN MAESTRO")</f>
        <v>NO ENCONTRADO EN MAESTRO</v>
      </c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ht="22.5" customHeight="1">
      <c r="A519" s="25">
        <f>IFERROR(__xludf.DUMMYFUNCTION("""COMPUTED_VALUE"""),46178.0)</f>
        <v>46178</v>
      </c>
      <c r="B519" s="15">
        <f>IFERROR(__xludf.DUMMYFUNCTION("""COMPUTED_VALUE"""),396.0)</f>
        <v>396</v>
      </c>
      <c r="C519" s="21">
        <f>IFERROR(__xludf.DUMMYFUNCTION("""COMPUTED_VALUE"""),72849.0)</f>
        <v>72849</v>
      </c>
      <c r="D519" s="22" t="str">
        <f>IFERROR(__xludf.DUMMYFUNCTION("""COMPUTED_VALUE"""),"VES")</f>
        <v>VES</v>
      </c>
      <c r="E519" s="22" t="str">
        <f>IFERROR(__xludf.DUMMYFUNCTION("""COMPUTED_VALUE"""),"Bancamiga")</f>
        <v>Bancamiga</v>
      </c>
      <c r="F519" s="22" t="str">
        <f>IFERROR(__xludf.DUMMYFUNCTION("""COMPUTED_VALUE"""),"INVERSIONES ARCOSOL 21, C.A.")</f>
        <v>INVERSIONES ARCOSOL 21, C.A.</v>
      </c>
      <c r="G519" s="19">
        <v>504.9146</v>
      </c>
      <c r="H519" s="13"/>
      <c r="I519" s="14">
        <f t="shared" si="1"/>
        <v>144.2798446</v>
      </c>
      <c r="J519" s="15">
        <f t="shared" si="2"/>
        <v>0</v>
      </c>
      <c r="K519" s="14">
        <f t="shared" si="3"/>
        <v>144.2798446</v>
      </c>
      <c r="L519" s="16" t="str">
        <f>IFERROR(__xludf.DUMMYFUNCTION("IFERROR(
  IF(
    VLOOKUP(C519, IMPORTRANGE(""gid=860555792"", ""Maestro!B:C""), 2, FALSE) = D519, 
    ""CONCILIADO"", 
    ""ERROR EN MONTO""
  ), 
  ""NO ENCONTRADO EN MAESTRO""
)"),"NO ENCONTRADO EN MAESTRO")</f>
        <v>NO ENCONTRADO EN MAESTRO</v>
      </c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ht="22.5" customHeight="1">
      <c r="A520" s="25">
        <f>IFERROR(__xludf.DUMMYFUNCTION("""COMPUTED_VALUE"""),46182.0)</f>
        <v>46182</v>
      </c>
      <c r="B520" s="15">
        <f>IFERROR(__xludf.DUMMYFUNCTION("""COMPUTED_VALUE"""),207.0)</f>
        <v>207</v>
      </c>
      <c r="C520" s="21">
        <f>IFERROR(__xludf.DUMMYFUNCTION("""COMPUTED_VALUE"""),200.0)</f>
        <v>200</v>
      </c>
      <c r="D520" s="22" t="str">
        <f>IFERROR(__xludf.DUMMYFUNCTION("""COMPUTED_VALUE"""),"USD")</f>
        <v>USD</v>
      </c>
      <c r="E520" s="22" t="str">
        <f>IFERROR(__xludf.DUMMYFUNCTION("""COMPUTED_VALUE"""),"Efectivo USD")</f>
        <v>Efectivo USD</v>
      </c>
      <c r="F520" s="22" t="str">
        <f>IFERROR(__xludf.DUMMYFUNCTION("""COMPUTED_VALUE"""),"Ingrit Martinez")</f>
        <v>Ingrit Martinez</v>
      </c>
      <c r="G520" s="19">
        <v>572.67</v>
      </c>
      <c r="H520" s="13"/>
      <c r="I520" s="14">
        <f t="shared" si="1"/>
        <v>200</v>
      </c>
      <c r="J520" s="15">
        <f t="shared" si="2"/>
        <v>200</v>
      </c>
      <c r="K520" s="14">
        <f t="shared" si="3"/>
        <v>200</v>
      </c>
      <c r="L520" s="16" t="str">
        <f>IFERROR(__xludf.DUMMYFUNCTION("IFERROR(
  IF(
    VLOOKUP(C520, IMPORTRANGE(""gid=860555792"", ""Maestro!B:C""), 2, FALSE) = D520, 
    ""CONCILIADO"", 
    ""ERROR EN MONTO""
  ), 
  ""NO ENCONTRADO EN MAESTRO""
)"),"NO ENCONTRADO EN MAESTRO")</f>
        <v>NO ENCONTRADO EN MAESTRO</v>
      </c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ht="22.5" customHeight="1">
      <c r="A521" s="25">
        <f>IFERROR(__xludf.DUMMYFUNCTION("""COMPUTED_VALUE"""),46182.0)</f>
        <v>46182</v>
      </c>
      <c r="B521" s="15">
        <f>IFERROR(__xludf.DUMMYFUNCTION("""COMPUTED_VALUE"""),334.0)</f>
        <v>334</v>
      </c>
      <c r="C521" s="21">
        <f>IFERROR(__xludf.DUMMYFUNCTION("""COMPUTED_VALUE"""),195.0)</f>
        <v>195</v>
      </c>
      <c r="D521" s="22" t="str">
        <f>IFERROR(__xludf.DUMMYFUNCTION("""COMPUTED_VALUE"""),"USD")</f>
        <v>USD</v>
      </c>
      <c r="E521" s="22" t="str">
        <f>IFERROR(__xludf.DUMMYFUNCTION("""COMPUTED_VALUE"""),"Zelle")</f>
        <v>Zelle</v>
      </c>
      <c r="F521" s="22" t="str">
        <f>IFERROR(__xludf.DUMMYFUNCTION("""COMPUTED_VALUE"""),"LOGISTICA Y CONSULTORIA VINCARS, C.A.")</f>
        <v>LOGISTICA Y CONSULTORIA VINCARS, C.A.</v>
      </c>
      <c r="G521" s="19">
        <v>572.67</v>
      </c>
      <c r="H521" s="13"/>
      <c r="I521" s="14">
        <f t="shared" si="1"/>
        <v>195</v>
      </c>
      <c r="J521" s="15">
        <f t="shared" si="2"/>
        <v>195</v>
      </c>
      <c r="K521" s="14">
        <f t="shared" si="3"/>
        <v>195</v>
      </c>
      <c r="L521" s="16" t="str">
        <f>IFERROR(__xludf.DUMMYFUNCTION("IFERROR(
  IF(
    VLOOKUP(C521, IMPORTRANGE(""gid=860555792"", ""Maestro!B:C""), 2, FALSE) = D521, 
    ""CONCILIADO"", 
    ""ERROR EN MONTO""
  ), 
  ""NO ENCONTRADO EN MAESTRO""
)"),"NO ENCONTRADO EN MAESTRO")</f>
        <v>NO ENCONTRADO EN MAESTRO</v>
      </c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ht="22.5" customHeight="1">
      <c r="A522" s="25">
        <f>IFERROR(__xludf.DUMMYFUNCTION("""COMPUTED_VALUE"""),46182.0)</f>
        <v>46182</v>
      </c>
      <c r="B522" s="15">
        <f>IFERROR(__xludf.DUMMYFUNCTION("""COMPUTED_VALUE"""),59.0)</f>
        <v>59</v>
      </c>
      <c r="C522" s="21">
        <f>IFERROR(__xludf.DUMMYFUNCTION("""COMPUTED_VALUE"""),200.0)</f>
        <v>200</v>
      </c>
      <c r="D522" s="22" t="str">
        <f>IFERROR(__xludf.DUMMYFUNCTION("""COMPUTED_VALUE"""),"USD")</f>
        <v>USD</v>
      </c>
      <c r="E522" s="22" t="str">
        <f>IFERROR(__xludf.DUMMYFUNCTION("""COMPUTED_VALUE"""),"Efectivo USD")</f>
        <v>Efectivo USD</v>
      </c>
      <c r="F522" s="22" t="str">
        <f>IFERROR(__xludf.DUMMYFUNCTION("""COMPUTED_VALUE"""),"Rhino Toyo Parts, C.A.")</f>
        <v>Rhino Toyo Parts, C.A.</v>
      </c>
      <c r="G522" s="19">
        <v>572.67</v>
      </c>
      <c r="H522" s="13"/>
      <c r="I522" s="14">
        <f t="shared" si="1"/>
        <v>200</v>
      </c>
      <c r="J522" s="15">
        <f t="shared" si="2"/>
        <v>200</v>
      </c>
      <c r="K522" s="14">
        <f t="shared" si="3"/>
        <v>200</v>
      </c>
      <c r="L522" s="16" t="str">
        <f>IFERROR(__xludf.DUMMYFUNCTION("IFERROR(
  IF(
    VLOOKUP(C522, IMPORTRANGE(""gid=860555792"", ""Maestro!B:C""), 2, FALSE) = D522, 
    ""CONCILIADO"", 
    ""ERROR EN MONTO""
  ), 
  ""NO ENCONTRADO EN MAESTRO""
)"),"NO ENCONTRADO EN MAESTRO")</f>
        <v>NO ENCONTRADO EN MAESTRO</v>
      </c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ht="22.5" customHeight="1">
      <c r="A523" s="25">
        <f>IFERROR(__xludf.DUMMYFUNCTION("""COMPUTED_VALUE"""),46182.0)</f>
        <v>46182</v>
      </c>
      <c r="B523" s="15">
        <f>IFERROR(__xludf.DUMMYFUNCTION("""COMPUTED_VALUE"""),204.0)</f>
        <v>204</v>
      </c>
      <c r="C523" s="21">
        <f>IFERROR(__xludf.DUMMYFUNCTION("""COMPUTED_VALUE"""),120.0)</f>
        <v>120</v>
      </c>
      <c r="D523" s="22" t="str">
        <f>IFERROR(__xludf.DUMMYFUNCTION("""COMPUTED_VALUE"""),"USD")</f>
        <v>USD</v>
      </c>
      <c r="E523" s="22" t="str">
        <f>IFERROR(__xludf.DUMMYFUNCTION("""COMPUTED_VALUE"""),"Efectivo USD")</f>
        <v>Efectivo USD</v>
      </c>
      <c r="F523" s="22" t="str">
        <f>IFERROR(__xludf.DUMMYFUNCTION("""COMPUTED_VALUE"""),"Motolavado Yahir")</f>
        <v>Motolavado Yahir</v>
      </c>
      <c r="G523" s="19">
        <v>572.67</v>
      </c>
      <c r="H523" s="13"/>
      <c r="I523" s="14">
        <f t="shared" si="1"/>
        <v>120</v>
      </c>
      <c r="J523" s="15">
        <f t="shared" si="2"/>
        <v>120</v>
      </c>
      <c r="K523" s="14">
        <f t="shared" si="3"/>
        <v>120</v>
      </c>
      <c r="L523" s="16" t="str">
        <f>IFERROR(__xludf.DUMMYFUNCTION("IFERROR(
  IF(
    VLOOKUP(C523, IMPORTRANGE(""gid=860555792"", ""Maestro!B:C""), 2, FALSE) = D523, 
    ""CONCILIADO"", 
    ""ERROR EN MONTO""
  ), 
  ""NO ENCONTRADO EN MAESTRO""
)"),"NO ENCONTRADO EN MAESTRO")</f>
        <v>NO ENCONTRADO EN MAESTRO</v>
      </c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ht="22.5" customHeight="1">
      <c r="A524" s="25">
        <f>IFERROR(__xludf.DUMMYFUNCTION("""COMPUTED_VALUE"""),46182.0)</f>
        <v>46182</v>
      </c>
      <c r="B524" s="15">
        <f>IFERROR(__xludf.DUMMYFUNCTION("""COMPUTED_VALUE"""),518.0)</f>
        <v>518</v>
      </c>
      <c r="C524" s="21">
        <f>IFERROR(__xludf.DUMMYFUNCTION("""COMPUTED_VALUE"""),103.0)</f>
        <v>103</v>
      </c>
      <c r="D524" s="22" t="str">
        <f>IFERROR(__xludf.DUMMYFUNCTION("""COMPUTED_VALUE"""),"USD")</f>
        <v>USD</v>
      </c>
      <c r="E524" s="22" t="str">
        <f>IFERROR(__xludf.DUMMYFUNCTION("""COMPUTED_VALUE"""),"Efectivo USD")</f>
        <v>Efectivo USD</v>
      </c>
      <c r="F524" s="22" t="str">
        <f>IFERROR(__xludf.DUMMYFUNCTION("""COMPUTED_VALUE"""),"EMPRENDIMIENTO IRMA RODRIGUEZ 6")</f>
        <v>EMPRENDIMIENTO IRMA RODRIGUEZ 6</v>
      </c>
      <c r="G524" s="19">
        <v>572.67</v>
      </c>
      <c r="H524" s="13"/>
      <c r="I524" s="14">
        <f t="shared" si="1"/>
        <v>103</v>
      </c>
      <c r="J524" s="15">
        <f t="shared" si="2"/>
        <v>103</v>
      </c>
      <c r="K524" s="14">
        <f t="shared" si="3"/>
        <v>103</v>
      </c>
      <c r="L524" s="16" t="str">
        <f>IFERROR(__xludf.DUMMYFUNCTION("IFERROR(
  IF(
    VLOOKUP(C524, IMPORTRANGE(""gid=860555792"", ""Maestro!B:C""), 2, FALSE) = D524, 
    ""CONCILIADO"", 
    ""ERROR EN MONTO""
  ), 
  ""NO ENCONTRADO EN MAESTRO""
)"),"NO ENCONTRADO EN MAESTRO")</f>
        <v>NO ENCONTRADO EN MAESTRO</v>
      </c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ht="22.5" customHeight="1">
      <c r="A525" s="25">
        <f>IFERROR(__xludf.DUMMYFUNCTION("""COMPUTED_VALUE"""),46182.0)</f>
        <v>46182</v>
      </c>
      <c r="B525" s="15">
        <f>IFERROR(__xludf.DUMMYFUNCTION("""COMPUTED_VALUE"""),222.0)</f>
        <v>222</v>
      </c>
      <c r="C525" s="21">
        <f>IFERROR(__xludf.DUMMYFUNCTION("""COMPUTED_VALUE"""),80.0)</f>
        <v>80</v>
      </c>
      <c r="D525" s="22" t="str">
        <f>IFERROR(__xludf.DUMMYFUNCTION("""COMPUTED_VALUE"""),"USD")</f>
        <v>USD</v>
      </c>
      <c r="E525" s="22" t="str">
        <f>IFERROR(__xludf.DUMMYFUNCTION("""COMPUTED_VALUE"""),"Efectivo USD")</f>
        <v>Efectivo USD</v>
      </c>
      <c r="F525" s="22" t="str">
        <f>IFERROR(__xludf.DUMMYFUNCTION("""COMPUTED_VALUE"""),"Braulio R. Cedeño Gonzalez.")</f>
        <v>Braulio R. Cedeño Gonzalez.</v>
      </c>
      <c r="G525" s="19">
        <v>572.67</v>
      </c>
      <c r="H525" s="13"/>
      <c r="I525" s="14">
        <f t="shared" si="1"/>
        <v>80</v>
      </c>
      <c r="J525" s="15">
        <f t="shared" si="2"/>
        <v>80</v>
      </c>
      <c r="K525" s="14">
        <f t="shared" si="3"/>
        <v>80</v>
      </c>
      <c r="L525" s="16" t="str">
        <f>IFERROR(__xludf.DUMMYFUNCTION("IFERROR(
  IF(
    VLOOKUP(C525, IMPORTRANGE(""gid=860555792"", ""Maestro!B:C""), 2, FALSE) = D525, 
    ""CONCILIADO"", 
    ""ERROR EN MONTO""
  ), 
  ""NO ENCONTRADO EN MAESTRO""
)"),"NO ENCONTRADO EN MAESTRO")</f>
        <v>NO ENCONTRADO EN MAESTRO</v>
      </c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ht="22.5" customHeight="1">
      <c r="A526" s="25">
        <f>IFERROR(__xludf.DUMMYFUNCTION("""COMPUTED_VALUE"""),46182.0)</f>
        <v>46182</v>
      </c>
      <c r="B526" s="15">
        <f>IFERROR(__xludf.DUMMYFUNCTION("""COMPUTED_VALUE"""),298.0)</f>
        <v>298</v>
      </c>
      <c r="C526" s="21">
        <f>IFERROR(__xludf.DUMMYFUNCTION("""COMPUTED_VALUE"""),30.0)</f>
        <v>30</v>
      </c>
      <c r="D526" s="22" t="str">
        <f>IFERROR(__xludf.DUMMYFUNCTION("""COMPUTED_VALUE"""),"USD")</f>
        <v>USD</v>
      </c>
      <c r="E526" s="22" t="str">
        <f>IFERROR(__xludf.DUMMYFUNCTION("""COMPUTED_VALUE"""),"Efectivo USD")</f>
        <v>Efectivo USD</v>
      </c>
      <c r="F526" s="22" t="str">
        <f>IFERROR(__xludf.DUMMYFUNCTION("""COMPUTED_VALUE"""),"Inversiones Brayan CT C.A")</f>
        <v>Inversiones Brayan CT C.A</v>
      </c>
      <c r="G526" s="19">
        <v>572.67</v>
      </c>
      <c r="H526" s="13"/>
      <c r="I526" s="14">
        <f t="shared" si="1"/>
        <v>30</v>
      </c>
      <c r="J526" s="15">
        <f t="shared" si="2"/>
        <v>30</v>
      </c>
      <c r="K526" s="14">
        <f t="shared" si="3"/>
        <v>30</v>
      </c>
      <c r="L526" s="16" t="str">
        <f>IFERROR(__xludf.DUMMYFUNCTION("IFERROR(
  IF(
    VLOOKUP(C526, IMPORTRANGE(""gid=860555792"", ""Maestro!B:C""), 2, FALSE) = D526, 
    ""CONCILIADO"", 
    ""ERROR EN MONTO""
  ), 
  ""NO ENCONTRADO EN MAESTRO""
)"),"NO ENCONTRADO EN MAESTRO")</f>
        <v>NO ENCONTRADO EN MAESTRO</v>
      </c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ht="22.5" customHeight="1">
      <c r="A527" s="25">
        <f>IFERROR(__xludf.DUMMYFUNCTION("""COMPUTED_VALUE"""),46182.0)</f>
        <v>46182</v>
      </c>
      <c r="B527" s="15">
        <f>IFERROR(__xludf.DUMMYFUNCTION("""COMPUTED_VALUE"""),366.0)</f>
        <v>366</v>
      </c>
      <c r="C527" s="21">
        <f>IFERROR(__xludf.DUMMYFUNCTION("""COMPUTED_VALUE"""),76.0)</f>
        <v>76</v>
      </c>
      <c r="D527" s="22" t="str">
        <f>IFERROR(__xludf.DUMMYFUNCTION("""COMPUTED_VALUE"""),"USD")</f>
        <v>USD</v>
      </c>
      <c r="E527" s="22" t="str">
        <f>IFERROR(__xludf.DUMMYFUNCTION("""COMPUTED_VALUE"""),"Efectivo USD")</f>
        <v>Efectivo USD</v>
      </c>
      <c r="F527" s="22" t="str">
        <f>IFERROR(__xludf.DUMMYFUNCTION("""COMPUTED_VALUE"""),"Auto repuestos Fontalvo")</f>
        <v>Auto repuestos Fontalvo</v>
      </c>
      <c r="G527" s="19">
        <v>572.67</v>
      </c>
      <c r="H527" s="13"/>
      <c r="I527" s="14">
        <f t="shared" si="1"/>
        <v>76</v>
      </c>
      <c r="J527" s="15">
        <f t="shared" si="2"/>
        <v>76</v>
      </c>
      <c r="K527" s="14">
        <f t="shared" si="3"/>
        <v>76</v>
      </c>
      <c r="L527" s="16" t="str">
        <f>IFERROR(__xludf.DUMMYFUNCTION("IFERROR(
  IF(
    VLOOKUP(C527, IMPORTRANGE(""gid=860555792"", ""Maestro!B:C""), 2, FALSE) = D527, 
    ""CONCILIADO"", 
    ""ERROR EN MONTO""
  ), 
  ""NO ENCONTRADO EN MAESTRO""
)"),"NO ENCONTRADO EN MAESTRO")</f>
        <v>NO ENCONTRADO EN MAESTRO</v>
      </c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ht="22.5" customHeight="1">
      <c r="A528" s="25">
        <f>IFERROR(__xludf.DUMMYFUNCTION("""COMPUTED_VALUE"""),46182.0)</f>
        <v>46182</v>
      </c>
      <c r="B528" s="15">
        <f>IFERROR(__xludf.DUMMYFUNCTION("""COMPUTED_VALUE"""),335.0)</f>
        <v>335</v>
      </c>
      <c r="C528" s="21">
        <f>IFERROR(__xludf.DUMMYFUNCTION("""COMPUTED_VALUE"""),50.0)</f>
        <v>50</v>
      </c>
      <c r="D528" s="22" t="str">
        <f>IFERROR(__xludf.DUMMYFUNCTION("""COMPUTED_VALUE"""),"USD")</f>
        <v>USD</v>
      </c>
      <c r="E528" s="22" t="str">
        <f>IFERROR(__xludf.DUMMYFUNCTION("""COMPUTED_VALUE"""),"Efectivo USD")</f>
        <v>Efectivo USD</v>
      </c>
      <c r="F528" s="22" t="str">
        <f>IFERROR(__xludf.DUMMYFUNCTION("""COMPUTED_VALUE"""),"Wili Mervin León Romero")</f>
        <v>Wili Mervin León Romero</v>
      </c>
      <c r="G528" s="19">
        <v>572.67</v>
      </c>
      <c r="H528" s="13"/>
      <c r="I528" s="14">
        <f t="shared" si="1"/>
        <v>50</v>
      </c>
      <c r="J528" s="15">
        <f t="shared" si="2"/>
        <v>50</v>
      </c>
      <c r="K528" s="14">
        <f t="shared" si="3"/>
        <v>50</v>
      </c>
      <c r="L528" s="16" t="str">
        <f>IFERROR(__xludf.DUMMYFUNCTION("IFERROR(
  IF(
    VLOOKUP(C528, IMPORTRANGE(""gid=860555792"", ""Maestro!B:C""), 2, FALSE) = D528, 
    ""CONCILIADO"", 
    ""ERROR EN MONTO""
  ), 
  ""NO ENCONTRADO EN MAESTRO""
)"),"NO ENCONTRADO EN MAESTRO")</f>
        <v>NO ENCONTRADO EN MAESTRO</v>
      </c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ht="22.5" customHeight="1">
      <c r="A529" s="25">
        <f>IFERROR(__xludf.DUMMYFUNCTION("""COMPUTED_VALUE"""),46182.0)</f>
        <v>46182</v>
      </c>
      <c r="B529" s="15">
        <f>IFERROR(__xludf.DUMMYFUNCTION("""COMPUTED_VALUE"""),324.0)</f>
        <v>324</v>
      </c>
      <c r="C529" s="21">
        <f>IFERROR(__xludf.DUMMYFUNCTION("""COMPUTED_VALUE"""),40.0)</f>
        <v>40</v>
      </c>
      <c r="D529" s="22" t="str">
        <f>IFERROR(__xludf.DUMMYFUNCTION("""COMPUTED_VALUE"""),"USD")</f>
        <v>USD</v>
      </c>
      <c r="E529" s="22" t="str">
        <f>IFERROR(__xludf.DUMMYFUNCTION("""COMPUTED_VALUE"""),"Efectivo USD")</f>
        <v>Efectivo USD</v>
      </c>
      <c r="F529" s="22" t="str">
        <f>IFERROR(__xludf.DUMMYFUNCTION("""COMPUTED_VALUE"""),"Nemer Bourji")</f>
        <v>Nemer Bourji</v>
      </c>
      <c r="G529" s="19">
        <v>572.67</v>
      </c>
      <c r="H529" s="13"/>
      <c r="I529" s="14">
        <f t="shared" si="1"/>
        <v>40</v>
      </c>
      <c r="J529" s="15">
        <f t="shared" si="2"/>
        <v>40</v>
      </c>
      <c r="K529" s="14">
        <f t="shared" si="3"/>
        <v>40</v>
      </c>
      <c r="L529" s="16" t="str">
        <f>IFERROR(__xludf.DUMMYFUNCTION("IFERROR(
  IF(
    VLOOKUP(C529, IMPORTRANGE(""gid=860555792"", ""Maestro!B:C""), 2, FALSE) = D529, 
    ""CONCILIADO"", 
    ""ERROR EN MONTO""
  ), 
  ""NO ENCONTRADO EN MAESTRO""
)"),"NO ENCONTRADO EN MAESTRO")</f>
        <v>NO ENCONTRADO EN MAESTRO</v>
      </c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ht="22.5" customHeight="1">
      <c r="A530" s="25">
        <f>IFERROR(__xludf.DUMMYFUNCTION("""COMPUTED_VALUE"""),46182.0)</f>
        <v>46182</v>
      </c>
      <c r="B530" s="15">
        <f>IFERROR(__xludf.DUMMYFUNCTION("""COMPUTED_VALUE"""),27.0)</f>
        <v>27</v>
      </c>
      <c r="C530" s="21">
        <f>IFERROR(__xludf.DUMMYFUNCTION("""COMPUTED_VALUE"""),20.0)</f>
        <v>20</v>
      </c>
      <c r="D530" s="22" t="str">
        <f>IFERROR(__xludf.DUMMYFUNCTION("""COMPUTED_VALUE"""),"USD")</f>
        <v>USD</v>
      </c>
      <c r="E530" s="22" t="str">
        <f>IFERROR(__xludf.DUMMYFUNCTION("""COMPUTED_VALUE"""),"Efectivo USD")</f>
        <v>Efectivo USD</v>
      </c>
      <c r="F530" s="22" t="str">
        <f>IFERROR(__xludf.DUMMYFUNCTION("""COMPUTED_VALUE"""),"Moises Alejandro Mares")</f>
        <v>Moises Alejandro Mares</v>
      </c>
      <c r="G530" s="19">
        <v>572.67</v>
      </c>
      <c r="H530" s="13"/>
      <c r="I530" s="14">
        <f t="shared" si="1"/>
        <v>20</v>
      </c>
      <c r="J530" s="15">
        <f t="shared" si="2"/>
        <v>20</v>
      </c>
      <c r="K530" s="14">
        <f t="shared" si="3"/>
        <v>20</v>
      </c>
      <c r="L530" s="16" t="str">
        <f>IFERROR(__xludf.DUMMYFUNCTION("IFERROR(
  IF(
    VLOOKUP(C530, IMPORTRANGE(""gid=860555792"", ""Maestro!B:C""), 2, FALSE) = D530, 
    ""CONCILIADO"", 
    ""ERROR EN MONTO""
  ), 
  ""NO ENCONTRADO EN MAESTRO""
)"),"NO ENCONTRADO EN MAESTRO")</f>
        <v>NO ENCONTRADO EN MAESTRO</v>
      </c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ht="22.5" customHeight="1">
      <c r="A531" s="25">
        <f>IFERROR(__xludf.DUMMYFUNCTION("""COMPUTED_VALUE"""),46182.0)</f>
        <v>46182</v>
      </c>
      <c r="B531" s="15">
        <f>IFERROR(__xludf.DUMMYFUNCTION("""COMPUTED_VALUE"""),61.0)</f>
        <v>61</v>
      </c>
      <c r="C531" s="21">
        <f>IFERROR(__xludf.DUMMYFUNCTION("""COMPUTED_VALUE"""),150.0)</f>
        <v>150</v>
      </c>
      <c r="D531" s="22" t="str">
        <f>IFERROR(__xludf.DUMMYFUNCTION("""COMPUTED_VALUE"""),"USD")</f>
        <v>USD</v>
      </c>
      <c r="E531" s="22" t="str">
        <f>IFERROR(__xludf.DUMMYFUNCTION("""COMPUTED_VALUE"""),"Zelle")</f>
        <v>Zelle</v>
      </c>
      <c r="F531" s="22" t="str">
        <f>IFERROR(__xludf.DUMMYFUNCTION("""COMPUTED_VALUE"""),"SJMG 2012 C.A")</f>
        <v>SJMG 2012 C.A</v>
      </c>
      <c r="G531" s="19">
        <v>572.67</v>
      </c>
      <c r="H531" s="13"/>
      <c r="I531" s="14">
        <f t="shared" si="1"/>
        <v>150</v>
      </c>
      <c r="J531" s="15">
        <f t="shared" si="2"/>
        <v>150</v>
      </c>
      <c r="K531" s="14">
        <f t="shared" si="3"/>
        <v>150</v>
      </c>
      <c r="L531" s="16" t="str">
        <f>IFERROR(__xludf.DUMMYFUNCTION("IFERROR(
  IF(
    VLOOKUP(C531, IMPORTRANGE(""gid=860555792"", ""Maestro!B:C""), 2, FALSE) = D531, 
    ""CONCILIADO"", 
    ""ERROR EN MONTO""
  ), 
  ""NO ENCONTRADO EN MAESTRO""
)"),"NO ENCONTRADO EN MAESTRO")</f>
        <v>NO ENCONTRADO EN MAESTRO</v>
      </c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ht="22.5" customHeight="1">
      <c r="A532" s="25">
        <f>IFERROR(__xludf.DUMMYFUNCTION("""COMPUTED_VALUE"""),46182.0)</f>
        <v>46182</v>
      </c>
      <c r="B532" s="15">
        <f>IFERROR(__xludf.DUMMYFUNCTION("""COMPUTED_VALUE"""),525.0)</f>
        <v>525</v>
      </c>
      <c r="C532" s="21">
        <f>IFERROR(__xludf.DUMMYFUNCTION("""COMPUTED_VALUE"""),56.0)</f>
        <v>56</v>
      </c>
      <c r="D532" s="22" t="str">
        <f>IFERROR(__xludf.DUMMYFUNCTION("""COMPUTED_VALUE"""),"USD")</f>
        <v>USD</v>
      </c>
      <c r="E532" s="22" t="str">
        <f>IFERROR(__xludf.DUMMYFUNCTION("""COMPUTED_VALUE"""),"Efectivo USD")</f>
        <v>Efectivo USD</v>
      </c>
      <c r="F532" s="22" t="str">
        <f>IFERROR(__xludf.DUMMYFUNCTION("""COMPUTED_VALUE"""),"Juan antonio salaverria herrera")</f>
        <v>Juan antonio salaverria herrera</v>
      </c>
      <c r="G532" s="19">
        <v>572.67</v>
      </c>
      <c r="H532" s="13"/>
      <c r="I532" s="14">
        <f t="shared" si="1"/>
        <v>56</v>
      </c>
      <c r="J532" s="15">
        <f t="shared" si="2"/>
        <v>56</v>
      </c>
      <c r="K532" s="14">
        <f t="shared" si="3"/>
        <v>56</v>
      </c>
      <c r="L532" s="16" t="str">
        <f>IFERROR(__xludf.DUMMYFUNCTION("IFERROR(
  IF(
    VLOOKUP(C532, IMPORTRANGE(""gid=860555792"", ""Maestro!B:C""), 2, FALSE) = D532, 
    ""CONCILIADO"", 
    ""ERROR EN MONTO""
  ), 
  ""NO ENCONTRADO EN MAESTRO""
)"),"NO ENCONTRADO EN MAESTRO")</f>
        <v>NO ENCONTRADO EN MAESTRO</v>
      </c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ht="22.5" customHeight="1">
      <c r="A533" s="25">
        <f>IFERROR(__xludf.DUMMYFUNCTION("""COMPUTED_VALUE"""),46182.0)</f>
        <v>46182</v>
      </c>
      <c r="B533" s="15">
        <f>IFERROR(__xludf.DUMMYFUNCTION("""COMPUTED_VALUE"""),310.0)</f>
        <v>310</v>
      </c>
      <c r="C533" s="21">
        <f>IFERROR(__xludf.DUMMYFUNCTION("""COMPUTED_VALUE"""),35.0)</f>
        <v>35</v>
      </c>
      <c r="D533" s="22" t="str">
        <f>IFERROR(__xludf.DUMMYFUNCTION("""COMPUTED_VALUE"""),"USD")</f>
        <v>USD</v>
      </c>
      <c r="E533" s="22" t="str">
        <f>IFERROR(__xludf.DUMMYFUNCTION("""COMPUTED_VALUE"""),"Efectivo USD")</f>
        <v>Efectivo USD</v>
      </c>
      <c r="F533" s="22" t="str">
        <f>IFERROR(__xludf.DUMMYFUNCTION("""COMPUTED_VALUE"""),"Multiservicio SOS Cars, C.A")</f>
        <v>Multiservicio SOS Cars, C.A</v>
      </c>
      <c r="G533" s="19">
        <v>572.67</v>
      </c>
      <c r="H533" s="13"/>
      <c r="I533" s="14">
        <f t="shared" si="1"/>
        <v>35</v>
      </c>
      <c r="J533" s="15">
        <f t="shared" si="2"/>
        <v>35</v>
      </c>
      <c r="K533" s="14">
        <f t="shared" si="3"/>
        <v>35</v>
      </c>
      <c r="L533" s="16" t="str">
        <f>IFERROR(__xludf.DUMMYFUNCTION("IFERROR(
  IF(
    VLOOKUP(C533, IMPORTRANGE(""gid=860555792"", ""Maestro!B:C""), 2, FALSE) = D533, 
    ""CONCILIADO"", 
    ""ERROR EN MONTO""
  ), 
  ""NO ENCONTRADO EN MAESTRO""
)"),"NO ENCONTRADO EN MAESTRO")</f>
        <v>NO ENCONTRADO EN MAESTRO</v>
      </c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ht="22.5" customHeight="1">
      <c r="A534" s="25">
        <f>IFERROR(__xludf.DUMMYFUNCTION("""COMPUTED_VALUE"""),46181.0)</f>
        <v>46181</v>
      </c>
      <c r="B534" s="15">
        <f>IFERROR(__xludf.DUMMYFUNCTION("""COMPUTED_VALUE"""),427.0)</f>
        <v>427</v>
      </c>
      <c r="C534" s="21">
        <f>IFERROR(__xludf.DUMMYFUNCTION("""COMPUTED_VALUE"""),1541764.04)</f>
        <v>1541764.04</v>
      </c>
      <c r="D534" s="22" t="str">
        <f>IFERROR(__xludf.DUMMYFUNCTION("""COMPUTED_VALUE"""),"VES")</f>
        <v>VES</v>
      </c>
      <c r="E534" s="22" t="str">
        <f>IFERROR(__xludf.DUMMYFUNCTION("""COMPUTED_VALUE"""),"Bancamiga")</f>
        <v>Bancamiga</v>
      </c>
      <c r="F534" s="22" t="str">
        <f>IFERROR(__xludf.DUMMYFUNCTION("""COMPUTED_VALUE"""),"CONSTRUCTORA GRANO AGREGADO, C.A")</f>
        <v>CONSTRUCTORA GRANO AGREGADO, C.A</v>
      </c>
      <c r="G534" s="19">
        <v>567.6828</v>
      </c>
      <c r="H534" s="13"/>
      <c r="I534" s="14">
        <f t="shared" si="1"/>
        <v>2715.890001</v>
      </c>
      <c r="J534" s="15">
        <f t="shared" si="2"/>
        <v>0</v>
      </c>
      <c r="K534" s="14">
        <f t="shared" si="3"/>
        <v>2715.890001</v>
      </c>
      <c r="L534" s="16" t="str">
        <f>IFERROR(__xludf.DUMMYFUNCTION("IFERROR(
  IF(
    VLOOKUP(C534, IMPORTRANGE(""gid=860555792"", ""Maestro!B:C""), 2, FALSE) = D534, 
    ""CONCILIADO"", 
    ""ERROR EN MONTO""
  ), 
  ""NO ENCONTRADO EN MAESTRO""
)"),"NO ENCONTRADO EN MAESTRO")</f>
        <v>NO ENCONTRADO EN MAESTRO</v>
      </c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ht="22.5" customHeight="1">
      <c r="A535" s="25">
        <f>IFERROR(__xludf.DUMMYFUNCTION("""COMPUTED_VALUE"""),46183.0)</f>
        <v>46183</v>
      </c>
      <c r="B535" s="15">
        <f>IFERROR(__xludf.DUMMYFUNCTION("""COMPUTED_VALUE"""),472.0)</f>
        <v>472</v>
      </c>
      <c r="C535" s="21">
        <f>IFERROR(__xludf.DUMMYFUNCTION("""COMPUTED_VALUE"""),94080.0)</f>
        <v>94080</v>
      </c>
      <c r="D535" s="22" t="str">
        <f>IFERROR(__xludf.DUMMYFUNCTION("""COMPUTED_VALUE"""),"VES")</f>
        <v>VES</v>
      </c>
      <c r="E535" s="22" t="str">
        <f>IFERROR(__xludf.DUMMYFUNCTION("""COMPUTED_VALUE"""),"Bancamiga")</f>
        <v>Bancamiga</v>
      </c>
      <c r="F535" s="22" t="str">
        <f>IFERROR(__xludf.DUMMYFUNCTION("""COMPUTED_VALUE"""),"Antonio Terán")</f>
        <v>Antonio Terán</v>
      </c>
      <c r="G535" s="19">
        <v>572.6784</v>
      </c>
      <c r="H535" s="13"/>
      <c r="I535" s="14">
        <f t="shared" si="1"/>
        <v>164.2806853</v>
      </c>
      <c r="J535" s="15">
        <f t="shared" si="2"/>
        <v>0</v>
      </c>
      <c r="K535" s="14">
        <f t="shared" si="3"/>
        <v>164.2806853</v>
      </c>
      <c r="L535" s="16" t="str">
        <f>IFERROR(__xludf.DUMMYFUNCTION("IFERROR(
  IF(
    VLOOKUP(C535, IMPORTRANGE(""gid=860555792"", ""Maestro!B:C""), 2, FALSE) = D535, 
    ""CONCILIADO"", 
    ""ERROR EN MONTO""
  ), 
  ""NO ENCONTRADO EN MAESTRO""
)"),"NO ENCONTRADO EN MAESTRO")</f>
        <v>NO ENCONTRADO EN MAESTRO</v>
      </c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ht="22.5" customHeight="1">
      <c r="A536" s="25">
        <f>IFERROR(__xludf.DUMMYFUNCTION("""COMPUTED_VALUE"""),46183.0)</f>
        <v>46183</v>
      </c>
      <c r="B536" s="15">
        <f>IFERROR(__xludf.DUMMYFUNCTION("""COMPUTED_VALUE"""),114.0)</f>
        <v>114</v>
      </c>
      <c r="C536" s="21">
        <f>IFERROR(__xludf.DUMMYFUNCTION("""COMPUTED_VALUE"""),20.0)</f>
        <v>20</v>
      </c>
      <c r="D536" s="22" t="str">
        <f>IFERROR(__xludf.DUMMYFUNCTION("""COMPUTED_VALUE"""),"USD")</f>
        <v>USD</v>
      </c>
      <c r="E536" s="22" t="str">
        <f>IFERROR(__xludf.DUMMYFUNCTION("""COMPUTED_VALUE"""),"Efectivo USD")</f>
        <v>Efectivo USD</v>
      </c>
      <c r="F536" s="22" t="str">
        <f>IFERROR(__xludf.DUMMYFUNCTION("""COMPUTED_VALUE"""),"Autoasesorio maxi motor")</f>
        <v>Autoasesorio maxi motor</v>
      </c>
      <c r="G536" s="19">
        <v>572.6784</v>
      </c>
      <c r="H536" s="13"/>
      <c r="I536" s="14">
        <f t="shared" si="1"/>
        <v>20</v>
      </c>
      <c r="J536" s="15">
        <f t="shared" si="2"/>
        <v>20</v>
      </c>
      <c r="K536" s="14">
        <f t="shared" si="3"/>
        <v>20</v>
      </c>
      <c r="L536" s="16" t="str">
        <f>IFERROR(__xludf.DUMMYFUNCTION("IFERROR(
  IF(
    VLOOKUP(C536, IMPORTRANGE(""gid=860555792"", ""Maestro!B:C""), 2, FALSE) = D536, 
    ""CONCILIADO"", 
    ""ERROR EN MONTO""
  ), 
  ""NO ENCONTRADO EN MAESTRO""
)"),"NO ENCONTRADO EN MAESTRO")</f>
        <v>NO ENCONTRADO EN MAESTRO</v>
      </c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ht="22.5" customHeight="1">
      <c r="A537" s="25">
        <f>IFERROR(__xludf.DUMMYFUNCTION("""COMPUTED_VALUE"""),46183.0)</f>
        <v>46183</v>
      </c>
      <c r="B537" s="15">
        <f>IFERROR(__xludf.DUMMYFUNCTION("""COMPUTED_VALUE"""),226.0)</f>
        <v>226</v>
      </c>
      <c r="C537" s="21">
        <f>IFERROR(__xludf.DUMMYFUNCTION("""COMPUTED_VALUE"""),30.0)</f>
        <v>30</v>
      </c>
      <c r="D537" s="22" t="str">
        <f>IFERROR(__xludf.DUMMYFUNCTION("""COMPUTED_VALUE"""),"USD")</f>
        <v>USD</v>
      </c>
      <c r="E537" s="22" t="str">
        <f>IFERROR(__xludf.DUMMYFUNCTION("""COMPUTED_VALUE"""),"Efectivo USD")</f>
        <v>Efectivo USD</v>
      </c>
      <c r="F537" s="22" t="str">
        <f>IFERROR(__xludf.DUMMYFUNCTION("""COMPUTED_VALUE"""),"Josefina Guevera")</f>
        <v>Josefina Guevera</v>
      </c>
      <c r="G537" s="19">
        <v>572.6784</v>
      </c>
      <c r="H537" s="13"/>
      <c r="I537" s="14">
        <f t="shared" si="1"/>
        <v>30</v>
      </c>
      <c r="J537" s="15">
        <f t="shared" si="2"/>
        <v>30</v>
      </c>
      <c r="K537" s="14">
        <f t="shared" si="3"/>
        <v>30</v>
      </c>
      <c r="L537" s="16" t="str">
        <f>IFERROR(__xludf.DUMMYFUNCTION("IFERROR(
  IF(
    VLOOKUP(C537, IMPORTRANGE(""gid=860555792"", ""Maestro!B:C""), 2, FALSE) = D537, 
    ""CONCILIADO"", 
    ""ERROR EN MONTO""
  ), 
  ""NO ENCONTRADO EN MAESTRO""
)"),"NO ENCONTRADO EN MAESTRO")</f>
        <v>NO ENCONTRADO EN MAESTRO</v>
      </c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ht="22.5" customHeight="1">
      <c r="A538" s="25">
        <f>IFERROR(__xludf.DUMMYFUNCTION("""COMPUTED_VALUE"""),46182.0)</f>
        <v>46182</v>
      </c>
      <c r="B538" s="15">
        <f>IFERROR(__xludf.DUMMYFUNCTION("""COMPUTED_VALUE"""),330.0)</f>
        <v>330</v>
      </c>
      <c r="C538" s="21">
        <f>IFERROR(__xludf.DUMMYFUNCTION("""COMPUTED_VALUE"""),19880.0)</f>
        <v>19880</v>
      </c>
      <c r="D538" s="22" t="str">
        <f>IFERROR(__xludf.DUMMYFUNCTION("""COMPUTED_VALUE"""),"VES")</f>
        <v>VES</v>
      </c>
      <c r="E538" s="22" t="str">
        <f>IFERROR(__xludf.DUMMYFUNCTION("""COMPUTED_VALUE"""),"Bancamiga")</f>
        <v>Bancamiga</v>
      </c>
      <c r="F538" s="22" t="str">
        <f>IFERROR(__xludf.DUMMYFUNCTION("""COMPUTED_VALUE"""),"Diana Carolina Torres")</f>
        <v>Diana Carolina Torres</v>
      </c>
      <c r="G538" s="19">
        <v>572.67</v>
      </c>
      <c r="H538" s="13"/>
      <c r="I538" s="14">
        <f t="shared" si="1"/>
        <v>34.71458257</v>
      </c>
      <c r="J538" s="15">
        <f t="shared" si="2"/>
        <v>0</v>
      </c>
      <c r="K538" s="14">
        <f t="shared" si="3"/>
        <v>34.71458257</v>
      </c>
      <c r="L538" s="16" t="str">
        <f>IFERROR(__xludf.DUMMYFUNCTION("IFERROR(
  IF(
    VLOOKUP(C538, IMPORTRANGE(""gid=860555792"", ""Maestro!B:C""), 2, FALSE) = D538, 
    ""CONCILIADO"", 
    ""ERROR EN MONTO""
  ), 
  ""NO ENCONTRADO EN MAESTRO""
)"),"NO ENCONTRADO EN MAESTRO")</f>
        <v>NO ENCONTRADO EN MAESTRO</v>
      </c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ht="22.5" customHeight="1">
      <c r="A539" s="25">
        <f>IFERROR(__xludf.DUMMYFUNCTION("""COMPUTED_VALUE"""),46183.0)</f>
        <v>46183</v>
      </c>
      <c r="B539" s="15">
        <f>IFERROR(__xludf.DUMMYFUNCTION("""COMPUTED_VALUE"""),330.0)</f>
        <v>330</v>
      </c>
      <c r="C539" s="21">
        <f>IFERROR(__xludf.DUMMYFUNCTION("""COMPUTED_VALUE"""),10465.0)</f>
        <v>10465</v>
      </c>
      <c r="D539" s="22" t="str">
        <f>IFERROR(__xludf.DUMMYFUNCTION("""COMPUTED_VALUE"""),"VES")</f>
        <v>VES</v>
      </c>
      <c r="E539" s="22" t="str">
        <f>IFERROR(__xludf.DUMMYFUNCTION("""COMPUTED_VALUE"""),"Bancamiga")</f>
        <v>Bancamiga</v>
      </c>
      <c r="F539" s="22" t="str">
        <f>IFERROR(__xludf.DUMMYFUNCTION("""COMPUTED_VALUE"""),"Diana Carolina Torres")</f>
        <v>Diana Carolina Torres</v>
      </c>
      <c r="G539" s="19">
        <v>572.6784</v>
      </c>
      <c r="H539" s="13"/>
      <c r="I539" s="14">
        <f t="shared" si="1"/>
        <v>18.27378158</v>
      </c>
      <c r="J539" s="15">
        <f t="shared" si="2"/>
        <v>0</v>
      </c>
      <c r="K539" s="14">
        <f t="shared" si="3"/>
        <v>18.27378158</v>
      </c>
      <c r="L539" s="16" t="str">
        <f>IFERROR(__xludf.DUMMYFUNCTION("IFERROR(
  IF(
    VLOOKUP(C539, IMPORTRANGE(""gid=860555792"", ""Maestro!B:C""), 2, FALSE) = D539, 
    ""CONCILIADO"", 
    ""ERROR EN MONTO""
  ), 
  ""NO ENCONTRADO EN MAESTRO""
)"),"NO ENCONTRADO EN MAESTRO")</f>
        <v>NO ENCONTRADO EN MAESTRO</v>
      </c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ht="22.5" customHeight="1">
      <c r="A540" s="25">
        <f>IFERROR(__xludf.DUMMYFUNCTION("""COMPUTED_VALUE"""),46183.0)</f>
        <v>46183</v>
      </c>
      <c r="B540" s="15">
        <f>IFERROR(__xludf.DUMMYFUNCTION("""COMPUTED_VALUE"""),373.0)</f>
        <v>373</v>
      </c>
      <c r="C540" s="21">
        <f>IFERROR(__xludf.DUMMYFUNCTION("""COMPUTED_VALUE"""),80.0)</f>
        <v>80</v>
      </c>
      <c r="D540" s="22" t="str">
        <f>IFERROR(__xludf.DUMMYFUNCTION("""COMPUTED_VALUE"""),"USD")</f>
        <v>USD</v>
      </c>
      <c r="E540" s="22" t="str">
        <f>IFERROR(__xludf.DUMMYFUNCTION("""COMPUTED_VALUE"""),"Efectivo USD")</f>
        <v>Efectivo USD</v>
      </c>
      <c r="F540" s="22" t="str">
        <f>IFERROR(__xludf.DUMMYFUNCTION("""COMPUTED_VALUE"""),"INVERSIONES DA &amp; JE,")</f>
        <v>INVERSIONES DA &amp; JE,</v>
      </c>
      <c r="G540" s="19">
        <v>572.6784</v>
      </c>
      <c r="H540" s="13"/>
      <c r="I540" s="14">
        <f t="shared" si="1"/>
        <v>80</v>
      </c>
      <c r="J540" s="15">
        <f t="shared" si="2"/>
        <v>80</v>
      </c>
      <c r="K540" s="14">
        <f t="shared" si="3"/>
        <v>80</v>
      </c>
      <c r="L540" s="16" t="str">
        <f>IFERROR(__xludf.DUMMYFUNCTION("IFERROR(
  IF(
    VLOOKUP(C540, IMPORTRANGE(""gid=860555792"", ""Maestro!B:C""), 2, FALSE) = D540, 
    ""CONCILIADO"", 
    ""ERROR EN MONTO""
  ), 
  ""NO ENCONTRADO EN MAESTRO""
)"),"NO ENCONTRADO EN MAESTRO")</f>
        <v>NO ENCONTRADO EN MAESTRO</v>
      </c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ht="22.5" customHeight="1">
      <c r="A541" s="25">
        <f>IFERROR(__xludf.DUMMYFUNCTION("""COMPUTED_VALUE"""),46183.0)</f>
        <v>46183</v>
      </c>
      <c r="B541" s="15">
        <f>IFERROR(__xludf.DUMMYFUNCTION("""COMPUTED_VALUE"""),449.0)</f>
        <v>449</v>
      </c>
      <c r="C541" s="21">
        <f>IFERROR(__xludf.DUMMYFUNCTION("""COMPUTED_VALUE"""),354.0)</f>
        <v>354</v>
      </c>
      <c r="D541" s="22" t="str">
        <f>IFERROR(__xludf.DUMMYFUNCTION("""COMPUTED_VALUE"""),"USD")</f>
        <v>USD</v>
      </c>
      <c r="E541" s="22" t="str">
        <f>IFERROR(__xludf.DUMMYFUNCTION("""COMPUTED_VALUE"""),"Efectivo USD")</f>
        <v>Efectivo USD</v>
      </c>
      <c r="F541" s="22" t="str">
        <f>IFERROR(__xludf.DUMMYFUNCTION("""COMPUTED_VALUE"""),"Alexander Quiroz")</f>
        <v>Alexander Quiroz</v>
      </c>
      <c r="G541" s="19">
        <v>572.6784</v>
      </c>
      <c r="H541" s="13"/>
      <c r="I541" s="14">
        <f t="shared" si="1"/>
        <v>354</v>
      </c>
      <c r="J541" s="15">
        <f t="shared" si="2"/>
        <v>354</v>
      </c>
      <c r="K541" s="14">
        <f t="shared" si="3"/>
        <v>354</v>
      </c>
      <c r="L541" s="16" t="str">
        <f>IFERROR(__xludf.DUMMYFUNCTION("IFERROR(
  IF(
    VLOOKUP(C541, IMPORTRANGE(""gid=860555792"", ""Maestro!B:C""), 2, FALSE) = D541, 
    ""CONCILIADO"", 
    ""ERROR EN MONTO""
  ), 
  ""NO ENCONTRADO EN MAESTRO""
)"),"NO ENCONTRADO EN MAESTRO")</f>
        <v>NO ENCONTRADO EN MAESTRO</v>
      </c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ht="22.5" customHeight="1">
      <c r="A542" s="25">
        <f>IFERROR(__xludf.DUMMYFUNCTION("""COMPUTED_VALUE"""),46183.0)</f>
        <v>46183</v>
      </c>
      <c r="B542" s="15">
        <f>IFERROR(__xludf.DUMMYFUNCTION("""COMPUTED_VALUE"""),261.0)</f>
        <v>261</v>
      </c>
      <c r="C542" s="21">
        <f>IFERROR(__xludf.DUMMYFUNCTION("""COMPUTED_VALUE"""),150.0)</f>
        <v>150</v>
      </c>
      <c r="D542" s="22" t="str">
        <f>IFERROR(__xludf.DUMMYFUNCTION("""COMPUTED_VALUE"""),"USD")</f>
        <v>USD</v>
      </c>
      <c r="E542" s="22" t="str">
        <f>IFERROR(__xludf.DUMMYFUNCTION("""COMPUTED_VALUE"""),"Efectivo USD")</f>
        <v>Efectivo USD</v>
      </c>
      <c r="F542" s="22" t="str">
        <f>IFERROR(__xludf.DUMMYFUNCTION("""COMPUTED_VALUE"""),"Autopartes Munich PH 168 C.A.")</f>
        <v>Autopartes Munich PH 168 C.A.</v>
      </c>
      <c r="G542" s="19">
        <v>572.6784</v>
      </c>
      <c r="H542" s="13"/>
      <c r="I542" s="14">
        <f t="shared" si="1"/>
        <v>150</v>
      </c>
      <c r="J542" s="15">
        <f t="shared" si="2"/>
        <v>150</v>
      </c>
      <c r="K542" s="14">
        <f t="shared" si="3"/>
        <v>150</v>
      </c>
      <c r="L542" s="16" t="str">
        <f>IFERROR(__xludf.DUMMYFUNCTION("IFERROR(
  IF(
    VLOOKUP(C542, IMPORTRANGE(""gid=860555792"", ""Maestro!B:C""), 2, FALSE) = D542, 
    ""CONCILIADO"", 
    ""ERROR EN MONTO""
  ), 
  ""NO ENCONTRADO EN MAESTRO""
)"),"NO ENCONTRADO EN MAESTRO")</f>
        <v>NO ENCONTRADO EN MAESTRO</v>
      </c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ht="22.5" customHeight="1">
      <c r="A543" s="25">
        <f>IFERROR(__xludf.DUMMYFUNCTION("""COMPUTED_VALUE"""),46183.0)</f>
        <v>46183</v>
      </c>
      <c r="B543" s="15">
        <f>IFERROR(__xludf.DUMMYFUNCTION("""COMPUTED_VALUE"""),422.0)</f>
        <v>422</v>
      </c>
      <c r="C543" s="21">
        <f>IFERROR(__xludf.DUMMYFUNCTION("""COMPUTED_VALUE"""),60.0)</f>
        <v>60</v>
      </c>
      <c r="D543" s="22" t="str">
        <f>IFERROR(__xludf.DUMMYFUNCTION("""COMPUTED_VALUE"""),"USD")</f>
        <v>USD</v>
      </c>
      <c r="E543" s="22" t="str">
        <f>IFERROR(__xludf.DUMMYFUNCTION("""COMPUTED_VALUE"""),"Efectivo USD")</f>
        <v>Efectivo USD</v>
      </c>
      <c r="F543" s="22" t="str">
        <f>IFERROR(__xludf.DUMMYFUNCTION("""COMPUTED_VALUE"""),"INVERSIONES R&amp;C 1817,  c.a.")</f>
        <v>INVERSIONES R&amp;C 1817,  c.a.</v>
      </c>
      <c r="G543" s="19">
        <v>572.6784</v>
      </c>
      <c r="H543" s="13"/>
      <c r="I543" s="14">
        <f t="shared" si="1"/>
        <v>60</v>
      </c>
      <c r="J543" s="15">
        <f t="shared" si="2"/>
        <v>60</v>
      </c>
      <c r="K543" s="14">
        <f t="shared" si="3"/>
        <v>60</v>
      </c>
      <c r="L543" s="16" t="str">
        <f>IFERROR(__xludf.DUMMYFUNCTION("IFERROR(
  IF(
    VLOOKUP(C543, IMPORTRANGE(""gid=860555792"", ""Maestro!B:C""), 2, FALSE) = D543, 
    ""CONCILIADO"", 
    ""ERROR EN MONTO""
  ), 
  ""NO ENCONTRADO EN MAESTRO""
)"),"NO ENCONTRADO EN MAESTRO")</f>
        <v>NO ENCONTRADO EN MAESTRO</v>
      </c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ht="22.5" customHeight="1">
      <c r="A544" s="25">
        <f>IFERROR(__xludf.DUMMYFUNCTION("""COMPUTED_VALUE"""),46183.0)</f>
        <v>46183</v>
      </c>
      <c r="B544" s="15">
        <f>IFERROR(__xludf.DUMMYFUNCTION("""COMPUTED_VALUE"""),31.0)</f>
        <v>31</v>
      </c>
      <c r="C544" s="21">
        <f>IFERROR(__xludf.DUMMYFUNCTION("""COMPUTED_VALUE"""),28633.92)</f>
        <v>28633.92</v>
      </c>
      <c r="D544" s="22" t="str">
        <f>IFERROR(__xludf.DUMMYFUNCTION("""COMPUTED_VALUE"""),"VES")</f>
        <v>VES</v>
      </c>
      <c r="E544" s="22" t="str">
        <f>IFERROR(__xludf.DUMMYFUNCTION("""COMPUTED_VALUE"""),"Bancamiga")</f>
        <v>Bancamiga</v>
      </c>
      <c r="F544" s="22" t="str">
        <f>IFERROR(__xludf.DUMMYFUNCTION("""COMPUTED_VALUE"""),"COMERCIAL REPUESTOS MUNDIALES RMS 2022 C.A.")</f>
        <v>COMERCIAL REPUESTOS MUNDIALES RMS 2022 C.A.</v>
      </c>
      <c r="G544" s="19">
        <v>572.6784</v>
      </c>
      <c r="H544" s="13"/>
      <c r="I544" s="14">
        <f t="shared" si="1"/>
        <v>50</v>
      </c>
      <c r="J544" s="15">
        <f t="shared" si="2"/>
        <v>0</v>
      </c>
      <c r="K544" s="14">
        <f t="shared" si="3"/>
        <v>50</v>
      </c>
      <c r="L544" s="16" t="str">
        <f>IFERROR(__xludf.DUMMYFUNCTION("IFERROR(
  IF(
    VLOOKUP(C544, IMPORTRANGE(""gid=860555792"", ""Maestro!B:C""), 2, FALSE) = D544, 
    ""CONCILIADO"", 
    ""ERROR EN MONTO""
  ), 
  ""NO ENCONTRADO EN MAESTRO""
)"),"NO ENCONTRADO EN MAESTRO")</f>
        <v>NO ENCONTRADO EN MAESTRO</v>
      </c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ht="22.5" customHeight="1">
      <c r="A545" s="25">
        <f>IFERROR(__xludf.DUMMYFUNCTION("""COMPUTED_VALUE"""),46183.0)</f>
        <v>46183</v>
      </c>
      <c r="B545" s="15">
        <f>IFERROR(__xludf.DUMMYFUNCTION("""COMPUTED_VALUE"""),133.0)</f>
        <v>133</v>
      </c>
      <c r="C545" s="21">
        <f>IFERROR(__xludf.DUMMYFUNCTION("""COMPUTED_VALUE"""),500.0)</f>
        <v>500</v>
      </c>
      <c r="D545" s="22" t="str">
        <f>IFERROR(__xludf.DUMMYFUNCTION("""COMPUTED_VALUE"""),"USD")</f>
        <v>USD</v>
      </c>
      <c r="E545" s="22" t="str">
        <f>IFERROR(__xludf.DUMMYFUNCTION("""COMPUTED_VALUE"""),"Efectivo USD")</f>
        <v>Efectivo USD</v>
      </c>
      <c r="F545" s="22" t="str">
        <f>IFERROR(__xludf.DUMMYFUNCTION("""COMPUTED_VALUE"""),"Inversiones La Bendición del Nazareno, C.A")</f>
        <v>Inversiones La Bendición del Nazareno, C.A</v>
      </c>
      <c r="G545" s="19">
        <v>572.6784</v>
      </c>
      <c r="H545" s="13"/>
      <c r="I545" s="14">
        <f t="shared" si="1"/>
        <v>500</v>
      </c>
      <c r="J545" s="15">
        <f t="shared" si="2"/>
        <v>500</v>
      </c>
      <c r="K545" s="14">
        <f t="shared" si="3"/>
        <v>500</v>
      </c>
      <c r="L545" s="16" t="str">
        <f>IFERROR(__xludf.DUMMYFUNCTION("IFERROR(
  IF(
    VLOOKUP(C545, IMPORTRANGE(""gid=860555792"", ""Maestro!B:C""), 2, FALSE) = D545, 
    ""CONCILIADO"", 
    ""ERROR EN MONTO""
  ), 
  ""NO ENCONTRADO EN MAESTRO""
)"),"NO ENCONTRADO EN MAESTRO")</f>
        <v>NO ENCONTRADO EN MAESTRO</v>
      </c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ht="22.5" customHeight="1">
      <c r="A546" s="25">
        <f>IFERROR(__xludf.DUMMYFUNCTION("""COMPUTED_VALUE"""),46184.0)</f>
        <v>46184</v>
      </c>
      <c r="B546" s="15">
        <f>IFERROR(__xludf.DUMMYFUNCTION("""COMPUTED_VALUE"""),274.0)</f>
        <v>274</v>
      </c>
      <c r="C546" s="21">
        <f>IFERROR(__xludf.DUMMYFUNCTION("""COMPUTED_VALUE"""),34.0)</f>
        <v>34</v>
      </c>
      <c r="D546" s="22" t="str">
        <f>IFERROR(__xludf.DUMMYFUNCTION("""COMPUTED_VALUE"""),"USD")</f>
        <v>USD</v>
      </c>
      <c r="E546" s="22" t="str">
        <f>IFERROR(__xludf.DUMMYFUNCTION("""COMPUTED_VALUE"""),"Efectivo USD")</f>
        <v>Efectivo USD</v>
      </c>
      <c r="F546" s="22" t="str">
        <f>IFERROR(__xludf.DUMMYFUNCTION("""COMPUTED_VALUE"""),"ADS SERVICE C.A")</f>
        <v>ADS SERVICE C.A</v>
      </c>
      <c r="G546" s="19">
        <v>577.5461</v>
      </c>
      <c r="H546" s="13"/>
      <c r="I546" s="14">
        <f t="shared" si="1"/>
        <v>34</v>
      </c>
      <c r="J546" s="15">
        <f t="shared" si="2"/>
        <v>34</v>
      </c>
      <c r="K546" s="14">
        <f t="shared" si="3"/>
        <v>34</v>
      </c>
      <c r="L546" s="16" t="str">
        <f>IFERROR(__xludf.DUMMYFUNCTION("IFERROR(
  IF(
    VLOOKUP(C546, IMPORTRANGE(""gid=860555792"", ""Maestro!B:C""), 2, FALSE) = D546, 
    ""CONCILIADO"", 
    ""ERROR EN MONTO""
  ), 
  ""NO ENCONTRADO EN MAESTRO""
)"),"NO ENCONTRADO EN MAESTRO")</f>
        <v>NO ENCONTRADO EN MAESTRO</v>
      </c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ht="22.5" customHeight="1">
      <c r="A547" s="25">
        <f>IFERROR(__xludf.DUMMYFUNCTION("""COMPUTED_VALUE"""),46184.0)</f>
        <v>46184</v>
      </c>
      <c r="B547" s="15">
        <f>IFERROR(__xludf.DUMMYFUNCTION("""COMPUTED_VALUE"""),61.0)</f>
        <v>61</v>
      </c>
      <c r="C547" s="21">
        <f>IFERROR(__xludf.DUMMYFUNCTION("""COMPUTED_VALUE"""),400.0)</f>
        <v>400</v>
      </c>
      <c r="D547" s="22" t="str">
        <f>IFERROR(__xludf.DUMMYFUNCTION("""COMPUTED_VALUE"""),"USD")</f>
        <v>USD</v>
      </c>
      <c r="E547" s="22" t="str">
        <f>IFERROR(__xludf.DUMMYFUNCTION("""COMPUTED_VALUE"""),"Zelle")</f>
        <v>Zelle</v>
      </c>
      <c r="F547" s="22" t="str">
        <f>IFERROR(__xludf.DUMMYFUNCTION("""COMPUTED_VALUE"""),"SJMG 2012 C.A")</f>
        <v>SJMG 2012 C.A</v>
      </c>
      <c r="G547" s="19">
        <v>577.5461</v>
      </c>
      <c r="H547" s="13"/>
      <c r="I547" s="14">
        <f t="shared" si="1"/>
        <v>400</v>
      </c>
      <c r="J547" s="15">
        <f t="shared" si="2"/>
        <v>400</v>
      </c>
      <c r="K547" s="14">
        <f t="shared" si="3"/>
        <v>400</v>
      </c>
      <c r="L547" s="16" t="str">
        <f>IFERROR(__xludf.DUMMYFUNCTION("IFERROR(
  IF(
    VLOOKUP(C547, IMPORTRANGE(""gid=860555792"", ""Maestro!B:C""), 2, FALSE) = D547, 
    ""CONCILIADO"", 
    ""ERROR EN MONTO""
  ), 
  ""NO ENCONTRADO EN MAESTRO""
)"),"NO ENCONTRADO EN MAESTRO")</f>
        <v>NO ENCONTRADO EN MAESTRO</v>
      </c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ht="22.5" customHeight="1">
      <c r="A548" s="25">
        <f>IFERROR(__xludf.DUMMYFUNCTION("""COMPUTED_VALUE"""),46184.0)</f>
        <v>46184</v>
      </c>
      <c r="B548" s="15">
        <f>IFERROR(__xludf.DUMMYFUNCTION("""COMPUTED_VALUE"""),243.0)</f>
        <v>243</v>
      </c>
      <c r="C548" s="21">
        <f>IFERROR(__xludf.DUMMYFUNCTION("""COMPUTED_VALUE"""),38.0)</f>
        <v>38</v>
      </c>
      <c r="D548" s="22" t="str">
        <f>IFERROR(__xludf.DUMMYFUNCTION("""COMPUTED_VALUE"""),"USD")</f>
        <v>USD</v>
      </c>
      <c r="E548" s="22" t="str">
        <f>IFERROR(__xludf.DUMMYFUNCTION("""COMPUTED_VALUE"""),"Efectivo USD")</f>
        <v>Efectivo USD</v>
      </c>
      <c r="F548" s="22" t="str">
        <f>IFERROR(__xludf.DUMMYFUNCTION("""COMPUTED_VALUE"""),"Cauchera William 2018, C.A")</f>
        <v>Cauchera William 2018, C.A</v>
      </c>
      <c r="G548" s="19">
        <v>577.5461</v>
      </c>
      <c r="H548" s="13"/>
      <c r="I548" s="14">
        <f t="shared" si="1"/>
        <v>38</v>
      </c>
      <c r="J548" s="15">
        <f t="shared" si="2"/>
        <v>38</v>
      </c>
      <c r="K548" s="14">
        <f t="shared" si="3"/>
        <v>38</v>
      </c>
      <c r="L548" s="16" t="str">
        <f>IFERROR(__xludf.DUMMYFUNCTION("IFERROR(
  IF(
    VLOOKUP(C548, IMPORTRANGE(""gid=860555792"", ""Maestro!B:C""), 2, FALSE) = D548, 
    ""CONCILIADO"", 
    ""ERROR EN MONTO""
  ), 
  ""NO ENCONTRADO EN MAESTRO""
)"),"NO ENCONTRADO EN MAESTRO")</f>
        <v>NO ENCONTRADO EN MAESTRO</v>
      </c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ht="22.5" customHeight="1">
      <c r="A549" s="25">
        <f>IFERROR(__xludf.DUMMYFUNCTION("""COMPUTED_VALUE"""),46184.0)</f>
        <v>46184</v>
      </c>
      <c r="B549" s="15">
        <f>IFERROR(__xludf.DUMMYFUNCTION("""COMPUTED_VALUE"""),231.0)</f>
        <v>231</v>
      </c>
      <c r="C549" s="21">
        <f>IFERROR(__xludf.DUMMYFUNCTION("""COMPUTED_VALUE"""),174.0)</f>
        <v>174</v>
      </c>
      <c r="D549" s="22" t="str">
        <f>IFERROR(__xludf.DUMMYFUNCTION("""COMPUTED_VALUE"""),"USD")</f>
        <v>USD</v>
      </c>
      <c r="E549" s="22" t="str">
        <f>IFERROR(__xludf.DUMMYFUNCTION("""COMPUTED_VALUE"""),"Efectivo USD")</f>
        <v>Efectivo USD</v>
      </c>
      <c r="F549" s="22" t="str">
        <f>IFERROR(__xludf.DUMMYFUNCTION("""COMPUTED_VALUE"""),"Constructora  Campo Urbano,c.a.")</f>
        <v>Constructora  Campo Urbano,c.a.</v>
      </c>
      <c r="G549" s="19">
        <v>577.5461</v>
      </c>
      <c r="H549" s="13"/>
      <c r="I549" s="14">
        <f t="shared" si="1"/>
        <v>174</v>
      </c>
      <c r="J549" s="15">
        <f t="shared" si="2"/>
        <v>174</v>
      </c>
      <c r="K549" s="14">
        <f t="shared" si="3"/>
        <v>174</v>
      </c>
      <c r="L549" s="16" t="str">
        <f>IFERROR(__xludf.DUMMYFUNCTION("IFERROR(
  IF(
    VLOOKUP(C549, IMPORTRANGE(""gid=860555792"", ""Maestro!B:C""), 2, FALSE) = D549, 
    ""CONCILIADO"", 
    ""ERROR EN MONTO""
  ), 
  ""NO ENCONTRADO EN MAESTRO""
)"),"NO ENCONTRADO EN MAESTRO")</f>
        <v>NO ENCONTRADO EN MAESTRO</v>
      </c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ht="22.5" customHeight="1">
      <c r="A550" s="25">
        <f>IFERROR(__xludf.DUMMYFUNCTION("""COMPUTED_VALUE"""),46184.0)</f>
        <v>46184</v>
      </c>
      <c r="B550" s="15">
        <f>IFERROR(__xludf.DUMMYFUNCTION("""COMPUTED_VALUE"""),341.0)</f>
        <v>341</v>
      </c>
      <c r="C550" s="21">
        <f>IFERROR(__xludf.DUMMYFUNCTION("""COMPUTED_VALUE"""),33.5)</f>
        <v>33.5</v>
      </c>
      <c r="D550" s="22" t="str">
        <f>IFERROR(__xludf.DUMMYFUNCTION("""COMPUTED_VALUE"""),"USD")</f>
        <v>USD</v>
      </c>
      <c r="E550" s="22" t="str">
        <f>IFERROR(__xludf.DUMMYFUNCTION("""COMPUTED_VALUE"""),"Efectivo USD")</f>
        <v>Efectivo USD</v>
      </c>
      <c r="F550" s="22" t="str">
        <f>IFERROR(__xludf.DUMMYFUNCTION("""COMPUTED_VALUE"""),"Automecanica Marilu 2014, C.A")</f>
        <v>Automecanica Marilu 2014, C.A</v>
      </c>
      <c r="G550" s="19">
        <v>577.5461</v>
      </c>
      <c r="H550" s="13"/>
      <c r="I550" s="14">
        <f t="shared" si="1"/>
        <v>33.5</v>
      </c>
      <c r="J550" s="15">
        <f t="shared" si="2"/>
        <v>33.5</v>
      </c>
      <c r="K550" s="14">
        <f t="shared" si="3"/>
        <v>33.5</v>
      </c>
      <c r="L550" s="16" t="str">
        <f>IFERROR(__xludf.DUMMYFUNCTION("IFERROR(
  IF(
    VLOOKUP(C550, IMPORTRANGE(""gid=860555792"", ""Maestro!B:C""), 2, FALSE) = D550, 
    ""CONCILIADO"", 
    ""ERROR EN MONTO""
  ), 
  ""NO ENCONTRADO EN MAESTRO""
)"),"NO ENCONTRADO EN MAESTRO")</f>
        <v>NO ENCONTRADO EN MAESTRO</v>
      </c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ht="22.5" customHeight="1">
      <c r="A551" s="25">
        <f>IFERROR(__xludf.DUMMYFUNCTION("""COMPUTED_VALUE"""),46184.0)</f>
        <v>46184</v>
      </c>
      <c r="B551" s="15">
        <f>IFERROR(__xludf.DUMMYFUNCTION("""COMPUTED_VALUE"""),96.0)</f>
        <v>96</v>
      </c>
      <c r="C551" s="21">
        <f>IFERROR(__xludf.DUMMYFUNCTION("""COMPUTED_VALUE"""),68000.0)</f>
        <v>68000</v>
      </c>
      <c r="D551" s="22" t="str">
        <f>IFERROR(__xludf.DUMMYFUNCTION("""COMPUTED_VALUE"""),"VES")</f>
        <v>VES</v>
      </c>
      <c r="E551" s="22" t="str">
        <f>IFERROR(__xludf.DUMMYFUNCTION("""COMPUTED_VALUE"""),"Bancamiga")</f>
        <v>Bancamiga</v>
      </c>
      <c r="F551" s="22" t="str">
        <f>IFERROR(__xludf.DUMMYFUNCTION("""COMPUTED_VALUE"""),"Video Electrónica Fermat, C.A")</f>
        <v>Video Electrónica Fermat, C.A</v>
      </c>
      <c r="G551" s="19">
        <v>577.5461</v>
      </c>
      <c r="H551" s="13"/>
      <c r="I551" s="14">
        <f t="shared" si="1"/>
        <v>117.739519</v>
      </c>
      <c r="J551" s="15">
        <f t="shared" si="2"/>
        <v>0</v>
      </c>
      <c r="K551" s="14">
        <f t="shared" si="3"/>
        <v>117.739519</v>
      </c>
      <c r="L551" s="16" t="str">
        <f>IFERROR(__xludf.DUMMYFUNCTION("IFERROR(
  IF(
    VLOOKUP(C551, IMPORTRANGE(""gid=860555792"", ""Maestro!B:C""), 2, FALSE) = D551, 
    ""CONCILIADO"", 
    ""ERROR EN MONTO""
  ), 
  ""NO ENCONTRADO EN MAESTRO""
)"),"NO ENCONTRADO EN MAESTRO")</f>
        <v>NO ENCONTRADO EN MAESTRO</v>
      </c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ht="22.5" customHeight="1">
      <c r="A552" s="25">
        <f>IFERROR(__xludf.DUMMYFUNCTION("""COMPUTED_VALUE"""),46184.0)</f>
        <v>46184</v>
      </c>
      <c r="B552" s="15">
        <f>IFERROR(__xludf.DUMMYFUNCTION("""COMPUTED_VALUE"""),379.0)</f>
        <v>379</v>
      </c>
      <c r="C552" s="21">
        <f>IFERROR(__xludf.DUMMYFUNCTION("""COMPUTED_VALUE"""),40428.23)</f>
        <v>40428.23</v>
      </c>
      <c r="D552" s="22" t="str">
        <f>IFERROR(__xludf.DUMMYFUNCTION("""COMPUTED_VALUE"""),"VES")</f>
        <v>VES</v>
      </c>
      <c r="E552" s="22" t="str">
        <f>IFERROR(__xludf.DUMMYFUNCTION("""COMPUTED_VALUE"""),"Venezuela")</f>
        <v>Venezuela</v>
      </c>
      <c r="F552" s="22" t="str">
        <f>IFERROR(__xludf.DUMMYFUNCTION("""COMPUTED_VALUE"""),"DISTRIBUIDORA PINOS 181297 C.A")</f>
        <v>DISTRIBUIDORA PINOS 181297 C.A</v>
      </c>
      <c r="G552" s="19">
        <v>577.5461</v>
      </c>
      <c r="H552" s="13"/>
      <c r="I552" s="14">
        <f t="shared" si="1"/>
        <v>70.00000519</v>
      </c>
      <c r="J552" s="15">
        <f t="shared" si="2"/>
        <v>0</v>
      </c>
      <c r="K552" s="14">
        <f t="shared" si="3"/>
        <v>70.00000519</v>
      </c>
      <c r="L552" s="16" t="str">
        <f>IFERROR(__xludf.DUMMYFUNCTION("IFERROR(
  IF(
    VLOOKUP(C552, IMPORTRANGE(""gid=860555792"", ""Maestro!B:C""), 2, FALSE) = D552, 
    ""CONCILIADO"", 
    ""ERROR EN MONTO""
  ), 
  ""NO ENCONTRADO EN MAESTRO""
)"),"NO ENCONTRADO EN MAESTRO")</f>
        <v>NO ENCONTRADO EN MAESTRO</v>
      </c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ht="22.5" customHeight="1">
      <c r="A553" s="25">
        <f>IFERROR(__xludf.DUMMYFUNCTION("""COMPUTED_VALUE"""),46185.0)</f>
        <v>46185</v>
      </c>
      <c r="B553" s="15">
        <f>IFERROR(__xludf.DUMMYFUNCTION("""COMPUTED_VALUE"""),331.0)</f>
        <v>331</v>
      </c>
      <c r="C553" s="21">
        <f>IFERROR(__xludf.DUMMYFUNCTION("""COMPUTED_VALUE"""),64.0)</f>
        <v>64</v>
      </c>
      <c r="D553" s="22" t="str">
        <f>IFERROR(__xludf.DUMMYFUNCTION("""COMPUTED_VALUE"""),"USD")</f>
        <v>USD</v>
      </c>
      <c r="E553" s="22" t="str">
        <f>IFERROR(__xludf.DUMMYFUNCTION("""COMPUTED_VALUE"""),"Efectivo USD")</f>
        <v>Efectivo USD</v>
      </c>
      <c r="F553" s="22" t="str">
        <f>IFERROR(__xludf.DUMMYFUNCTION("""COMPUTED_VALUE"""),"ALI ALEXANDER MORENO FIGUEREDO")</f>
        <v>ALI ALEXANDER MORENO FIGUEREDO</v>
      </c>
      <c r="G553" s="19">
        <v>582.6862</v>
      </c>
      <c r="H553" s="13"/>
      <c r="I553" s="14">
        <f t="shared" si="1"/>
        <v>64</v>
      </c>
      <c r="J553" s="15">
        <f t="shared" si="2"/>
        <v>64</v>
      </c>
      <c r="K553" s="14">
        <f t="shared" si="3"/>
        <v>64</v>
      </c>
      <c r="L553" s="16" t="str">
        <f>IFERROR(__xludf.DUMMYFUNCTION("IFERROR(
  IF(
    VLOOKUP(C553, IMPORTRANGE(""gid=860555792"", ""Maestro!B:C""), 2, FALSE) = D553, 
    ""CONCILIADO"", 
    ""ERROR EN MONTO""
  ), 
  ""NO ENCONTRADO EN MAESTRO""
)"),"NO ENCONTRADO EN MAESTRO")</f>
        <v>NO ENCONTRADO EN MAESTRO</v>
      </c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ht="22.5" customHeight="1">
      <c r="A554" s="25">
        <f>IFERROR(__xludf.DUMMYFUNCTION("""COMPUTED_VALUE"""),46185.0)</f>
        <v>46185</v>
      </c>
      <c r="B554" s="15">
        <f>IFERROR(__xludf.DUMMYFUNCTION("""COMPUTED_VALUE"""),93.0)</f>
        <v>93</v>
      </c>
      <c r="C554" s="21">
        <f>IFERROR(__xludf.DUMMYFUNCTION("""COMPUTED_VALUE"""),20.0)</f>
        <v>20</v>
      </c>
      <c r="D554" s="22" t="str">
        <f>IFERROR(__xludf.DUMMYFUNCTION("""COMPUTED_VALUE"""),"USD")</f>
        <v>USD</v>
      </c>
      <c r="E554" s="22" t="str">
        <f>IFERROR(__xludf.DUMMYFUNCTION("""COMPUTED_VALUE"""),"Efectivo USD")</f>
        <v>Efectivo USD</v>
      </c>
      <c r="F554" s="22" t="str">
        <f>IFERROR(__xludf.DUMMYFUNCTION("""COMPUTED_VALUE"""),"Emprendimiento YSKRA")</f>
        <v>Emprendimiento YSKRA</v>
      </c>
      <c r="G554" s="19">
        <v>582.6862</v>
      </c>
      <c r="H554" s="13"/>
      <c r="I554" s="14">
        <f t="shared" si="1"/>
        <v>20</v>
      </c>
      <c r="J554" s="15">
        <f t="shared" si="2"/>
        <v>20</v>
      </c>
      <c r="K554" s="14">
        <f t="shared" si="3"/>
        <v>20</v>
      </c>
      <c r="L554" s="16" t="str">
        <f>IFERROR(__xludf.DUMMYFUNCTION("IFERROR(
  IF(
    VLOOKUP(C554, IMPORTRANGE(""gid=860555792"", ""Maestro!B:C""), 2, FALSE) = D554, 
    ""CONCILIADO"", 
    ""ERROR EN MONTO""
  ), 
  ""NO ENCONTRADO EN MAESTRO""
)"),"NO ENCONTRADO EN MAESTRO")</f>
        <v>NO ENCONTRADO EN MAESTRO</v>
      </c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ht="22.5" customHeight="1">
      <c r="A555" s="25">
        <f>IFERROR(__xludf.DUMMYFUNCTION("""COMPUTED_VALUE"""),46185.0)</f>
        <v>46185</v>
      </c>
      <c r="B555" s="15">
        <f>IFERROR(__xludf.DUMMYFUNCTION("""COMPUTED_VALUE"""),429.0)</f>
        <v>429</v>
      </c>
      <c r="C555" s="21">
        <f>IFERROR(__xludf.DUMMYFUNCTION("""COMPUTED_VALUE"""),55.0)</f>
        <v>55</v>
      </c>
      <c r="D555" s="22" t="str">
        <f>IFERROR(__xludf.DUMMYFUNCTION("""COMPUTED_VALUE"""),"USD")</f>
        <v>USD</v>
      </c>
      <c r="E555" s="22" t="str">
        <f>IFERROR(__xludf.DUMMYFUNCTION("""COMPUTED_VALUE"""),"Efectivo USD")</f>
        <v>Efectivo USD</v>
      </c>
      <c r="F555" s="22" t="str">
        <f>IFERROR(__xludf.DUMMYFUNCTION("""COMPUTED_VALUE"""),"INVERSIONES SM 2191, C.A.")</f>
        <v>INVERSIONES SM 2191, C.A.</v>
      </c>
      <c r="G555" s="19">
        <v>582.6862</v>
      </c>
      <c r="H555" s="13"/>
      <c r="I555" s="14">
        <f t="shared" si="1"/>
        <v>55</v>
      </c>
      <c r="J555" s="15">
        <f t="shared" si="2"/>
        <v>55</v>
      </c>
      <c r="K555" s="14">
        <f t="shared" si="3"/>
        <v>55</v>
      </c>
      <c r="L555" s="16" t="str">
        <f>IFERROR(__xludf.DUMMYFUNCTION("IFERROR(
  IF(
    VLOOKUP(C555, IMPORTRANGE(""gid=860555792"", ""Maestro!B:C""), 2, FALSE) = D555, 
    ""CONCILIADO"", 
    ""ERROR EN MONTO""
  ), 
  ""NO ENCONTRADO EN MAESTRO""
)"),"NO ENCONTRADO EN MAESTRO")</f>
        <v>NO ENCONTRADO EN MAESTRO</v>
      </c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ht="22.5" customHeight="1">
      <c r="A556" s="25">
        <f>IFERROR(__xludf.DUMMYFUNCTION("""COMPUTED_VALUE"""),46185.0)</f>
        <v>46185</v>
      </c>
      <c r="B556" s="15">
        <f>IFERROR(__xludf.DUMMYFUNCTION("""COMPUTED_VALUE"""),413.0)</f>
        <v>413</v>
      </c>
      <c r="C556" s="21">
        <f>IFERROR(__xludf.DUMMYFUNCTION("""COMPUTED_VALUE"""),23.0)</f>
        <v>23</v>
      </c>
      <c r="D556" s="22" t="str">
        <f>IFERROR(__xludf.DUMMYFUNCTION("""COMPUTED_VALUE"""),"USD")</f>
        <v>USD</v>
      </c>
      <c r="E556" s="22" t="str">
        <f>IFERROR(__xludf.DUMMYFUNCTION("""COMPUTED_VALUE"""),"Efectivo USD")</f>
        <v>Efectivo USD</v>
      </c>
      <c r="F556" s="22" t="str">
        <f>IFERROR(__xludf.DUMMYFUNCTION("""COMPUTED_VALUE"""),"ERICH GILBERTO CASERES MELENDEZ")</f>
        <v>ERICH GILBERTO CASERES MELENDEZ</v>
      </c>
      <c r="G556" s="19">
        <v>582.6862</v>
      </c>
      <c r="H556" s="13"/>
      <c r="I556" s="14">
        <f t="shared" si="1"/>
        <v>23</v>
      </c>
      <c r="J556" s="15">
        <f t="shared" si="2"/>
        <v>23</v>
      </c>
      <c r="K556" s="14">
        <f t="shared" si="3"/>
        <v>23</v>
      </c>
      <c r="L556" s="16" t="str">
        <f>IFERROR(__xludf.DUMMYFUNCTION("IFERROR(
  IF(
    VLOOKUP(C556, IMPORTRANGE(""gid=860555792"", ""Maestro!B:C""), 2, FALSE) = D556, 
    ""CONCILIADO"", 
    ""ERROR EN MONTO""
  ), 
  ""NO ENCONTRADO EN MAESTRO""
)"),"NO ENCONTRADO EN MAESTRO")</f>
        <v>NO ENCONTRADO EN MAESTRO</v>
      </c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ht="22.5" customHeight="1">
      <c r="A557" s="25">
        <f>IFERROR(__xludf.DUMMYFUNCTION("""COMPUTED_VALUE"""),46185.0)</f>
        <v>46185</v>
      </c>
      <c r="B557" s="15">
        <f>IFERROR(__xludf.DUMMYFUNCTION("""COMPUTED_VALUE"""),325.0)</f>
        <v>325</v>
      </c>
      <c r="C557" s="21">
        <f>IFERROR(__xludf.DUMMYFUNCTION("""COMPUTED_VALUE"""),52.0)</f>
        <v>52</v>
      </c>
      <c r="D557" s="22" t="str">
        <f>IFERROR(__xludf.DUMMYFUNCTION("""COMPUTED_VALUE"""),"USD")</f>
        <v>USD</v>
      </c>
      <c r="E557" s="22" t="str">
        <f>IFERROR(__xludf.DUMMYFUNCTION("""COMPUTED_VALUE"""),"Efectivo USD")</f>
        <v>Efectivo USD</v>
      </c>
      <c r="F557" s="22" t="str">
        <f>IFERROR(__xludf.DUMMYFUNCTION("""COMPUTED_VALUE"""),"Comercializadora El Fénix de Catia")</f>
        <v>Comercializadora El Fénix de Catia</v>
      </c>
      <c r="G557" s="19">
        <v>582.6862</v>
      </c>
      <c r="H557" s="13"/>
      <c r="I557" s="14">
        <f t="shared" si="1"/>
        <v>52</v>
      </c>
      <c r="J557" s="15">
        <f t="shared" si="2"/>
        <v>52</v>
      </c>
      <c r="K557" s="14">
        <f t="shared" si="3"/>
        <v>52</v>
      </c>
      <c r="L557" s="16" t="str">
        <f>IFERROR(__xludf.DUMMYFUNCTION("IFERROR(
  IF(
    VLOOKUP(C557, IMPORTRANGE(""gid=860555792"", ""Maestro!B:C""), 2, FALSE) = D557, 
    ""CONCILIADO"", 
    ""ERROR EN MONTO""
  ), 
  ""NO ENCONTRADO EN MAESTRO""
)"),"NO ENCONTRADO EN MAESTRO")</f>
        <v>NO ENCONTRADO EN MAESTRO</v>
      </c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ht="22.5" customHeight="1">
      <c r="A558" s="25">
        <f>IFERROR(__xludf.DUMMYFUNCTION("""COMPUTED_VALUE"""),46185.0)</f>
        <v>46185</v>
      </c>
      <c r="B558" s="15">
        <f>IFERROR(__xludf.DUMMYFUNCTION("""COMPUTED_VALUE"""),356.0)</f>
        <v>356</v>
      </c>
      <c r="C558" s="21">
        <f>IFERROR(__xludf.DUMMYFUNCTION("""COMPUTED_VALUE"""),75.0)</f>
        <v>75</v>
      </c>
      <c r="D558" s="22" t="str">
        <f>IFERROR(__xludf.DUMMYFUNCTION("""COMPUTED_VALUE"""),"USD")</f>
        <v>USD</v>
      </c>
      <c r="E558" s="22" t="str">
        <f>IFERROR(__xludf.DUMMYFUNCTION("""COMPUTED_VALUE"""),"Efectivo USD")</f>
        <v>Efectivo USD</v>
      </c>
      <c r="F558" s="22" t="str">
        <f>IFERROR(__xludf.DUMMYFUNCTION("""COMPUTED_VALUE"""),"Asociación Cooperativa la Esquina del Lubricante 9999 R.L")</f>
        <v>Asociación Cooperativa la Esquina del Lubricante 9999 R.L</v>
      </c>
      <c r="G558" s="19">
        <v>582.6862</v>
      </c>
      <c r="H558" s="13"/>
      <c r="I558" s="14">
        <f t="shared" si="1"/>
        <v>75</v>
      </c>
      <c r="J558" s="15">
        <f t="shared" si="2"/>
        <v>75</v>
      </c>
      <c r="K558" s="14">
        <f t="shared" si="3"/>
        <v>75</v>
      </c>
      <c r="L558" s="16" t="str">
        <f>IFERROR(__xludf.DUMMYFUNCTION("IFERROR(
  IF(
    VLOOKUP(C558, IMPORTRANGE(""gid=860555792"", ""Maestro!B:C""), 2, FALSE) = D558, 
    ""CONCILIADO"", 
    ""ERROR EN MONTO""
  ), 
  ""NO ENCONTRADO EN MAESTRO""
)"),"NO ENCONTRADO EN MAESTRO")</f>
        <v>NO ENCONTRADO EN MAESTRO</v>
      </c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ht="22.5" customHeight="1">
      <c r="A559" s="25">
        <f>IFERROR(__xludf.DUMMYFUNCTION("""COMPUTED_VALUE"""),46185.0)</f>
        <v>46185</v>
      </c>
      <c r="B559" s="15">
        <f>IFERROR(__xludf.DUMMYFUNCTION("""COMPUTED_VALUE"""),298.0)</f>
        <v>298</v>
      </c>
      <c r="C559" s="21">
        <f>IFERROR(__xludf.DUMMYFUNCTION("""COMPUTED_VALUE"""),30.0)</f>
        <v>30</v>
      </c>
      <c r="D559" s="22" t="str">
        <f>IFERROR(__xludf.DUMMYFUNCTION("""COMPUTED_VALUE"""),"USD")</f>
        <v>USD</v>
      </c>
      <c r="E559" s="22" t="str">
        <f>IFERROR(__xludf.DUMMYFUNCTION("""COMPUTED_VALUE"""),"Efectivo USD")</f>
        <v>Efectivo USD</v>
      </c>
      <c r="F559" s="22" t="str">
        <f>IFERROR(__xludf.DUMMYFUNCTION("""COMPUTED_VALUE"""),"Inversiones Brayan CT C.A")</f>
        <v>Inversiones Brayan CT C.A</v>
      </c>
      <c r="G559" s="19">
        <v>582.6862</v>
      </c>
      <c r="H559" s="13"/>
      <c r="I559" s="14">
        <f t="shared" si="1"/>
        <v>30</v>
      </c>
      <c r="J559" s="15">
        <f t="shared" si="2"/>
        <v>30</v>
      </c>
      <c r="K559" s="14">
        <f t="shared" si="3"/>
        <v>30</v>
      </c>
      <c r="L559" s="16" t="str">
        <f>IFERROR(__xludf.DUMMYFUNCTION("IFERROR(
  IF(
    VLOOKUP(C559, IMPORTRANGE(""gid=860555792"", ""Maestro!B:C""), 2, FALSE) = D559, 
    ""CONCILIADO"", 
    ""ERROR EN MONTO""
  ), 
  ""NO ENCONTRADO EN MAESTRO""
)"),"NO ENCONTRADO EN MAESTRO")</f>
        <v>NO ENCONTRADO EN MAESTRO</v>
      </c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ht="22.5" customHeight="1">
      <c r="A560" s="25">
        <f>IFERROR(__xludf.DUMMYFUNCTION("""COMPUTED_VALUE"""),46185.0)</f>
        <v>46185</v>
      </c>
      <c r="B560" s="15">
        <f>IFERROR(__xludf.DUMMYFUNCTION("""COMPUTED_VALUE"""),179.0)</f>
        <v>179</v>
      </c>
      <c r="C560" s="21">
        <f>IFERROR(__xludf.DUMMYFUNCTION("""COMPUTED_VALUE"""),160.0)</f>
        <v>160</v>
      </c>
      <c r="D560" s="22" t="str">
        <f>IFERROR(__xludf.DUMMYFUNCTION("""COMPUTED_VALUE"""),"USD")</f>
        <v>USD</v>
      </c>
      <c r="E560" s="22" t="str">
        <f>IFERROR(__xludf.DUMMYFUNCTION("""COMPUTED_VALUE"""),"Efectivo USD")</f>
        <v>Efectivo USD</v>
      </c>
      <c r="F560" s="22" t="str">
        <f>IFERROR(__xludf.DUMMYFUNCTION("""COMPUTED_VALUE"""),"Inversiones Vercris 17 C.A")</f>
        <v>Inversiones Vercris 17 C.A</v>
      </c>
      <c r="G560" s="19">
        <v>582.6862</v>
      </c>
      <c r="H560" s="13"/>
      <c r="I560" s="14">
        <f t="shared" si="1"/>
        <v>160</v>
      </c>
      <c r="J560" s="15">
        <f t="shared" si="2"/>
        <v>160</v>
      </c>
      <c r="K560" s="14">
        <f t="shared" si="3"/>
        <v>160</v>
      </c>
      <c r="L560" s="16" t="str">
        <f>IFERROR(__xludf.DUMMYFUNCTION("IFERROR(
  IF(
    VLOOKUP(C560, IMPORTRANGE(""gid=860555792"", ""Maestro!B:C""), 2, FALSE) = D560, 
    ""CONCILIADO"", 
    ""ERROR EN MONTO""
  ), 
  ""NO ENCONTRADO EN MAESTRO""
)"),"NO ENCONTRADO EN MAESTRO")</f>
        <v>NO ENCONTRADO EN MAESTRO</v>
      </c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ht="22.5" customHeight="1">
      <c r="A561" s="25">
        <f>IFERROR(__xludf.DUMMYFUNCTION("""COMPUTED_VALUE"""),46185.0)</f>
        <v>46185</v>
      </c>
      <c r="B561" s="15">
        <f>IFERROR(__xludf.DUMMYFUNCTION("""COMPUTED_VALUE"""),209.0)</f>
        <v>209</v>
      </c>
      <c r="C561" s="21">
        <f>IFERROR(__xludf.DUMMYFUNCTION("""COMPUTED_VALUE"""),50.0)</f>
        <v>50</v>
      </c>
      <c r="D561" s="22" t="str">
        <f>IFERROR(__xludf.DUMMYFUNCTION("""COMPUTED_VALUE"""),"USD")</f>
        <v>USD</v>
      </c>
      <c r="E561" s="22" t="str">
        <f>IFERROR(__xludf.DUMMYFUNCTION("""COMPUTED_VALUE"""),"Efectivo USD")</f>
        <v>Efectivo USD</v>
      </c>
      <c r="F561" s="22" t="str">
        <f>IFERROR(__xludf.DUMMYFUNCTION("""COMPUTED_VALUE"""),"Inversiones Mirelkys C.A")</f>
        <v>Inversiones Mirelkys C.A</v>
      </c>
      <c r="G561" s="19">
        <v>582.6862</v>
      </c>
      <c r="H561" s="13"/>
      <c r="I561" s="14">
        <f t="shared" si="1"/>
        <v>50</v>
      </c>
      <c r="J561" s="15">
        <f t="shared" si="2"/>
        <v>50</v>
      </c>
      <c r="K561" s="14">
        <f t="shared" si="3"/>
        <v>50</v>
      </c>
      <c r="L561" s="16" t="str">
        <f>IFERROR(__xludf.DUMMYFUNCTION("IFERROR(
  IF(
    VLOOKUP(C561, IMPORTRANGE(""gid=860555792"", ""Maestro!B:C""), 2, FALSE) = D561, 
    ""CONCILIADO"", 
    ""ERROR EN MONTO""
  ), 
  ""NO ENCONTRADO EN MAESTRO""
)"),"NO ENCONTRADO EN MAESTRO")</f>
        <v>NO ENCONTRADO EN MAESTRO</v>
      </c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ht="22.5" customHeight="1">
      <c r="A562" s="25">
        <f>IFERROR(__xludf.DUMMYFUNCTION("""COMPUTED_VALUE"""),46185.0)</f>
        <v>46185</v>
      </c>
      <c r="B562" s="15">
        <f>IFERROR(__xludf.DUMMYFUNCTION("""COMPUTED_VALUE"""),336.0)</f>
        <v>336</v>
      </c>
      <c r="C562" s="21">
        <f>IFERROR(__xludf.DUMMYFUNCTION("""COMPUTED_VALUE"""),60.0)</f>
        <v>60</v>
      </c>
      <c r="D562" s="22" t="str">
        <f>IFERROR(__xludf.DUMMYFUNCTION("""COMPUTED_VALUE"""),"USD")</f>
        <v>USD</v>
      </c>
      <c r="E562" s="22" t="str">
        <f>IFERROR(__xludf.DUMMYFUNCTION("""COMPUTED_VALUE"""),"Efectivo USD")</f>
        <v>Efectivo USD</v>
      </c>
      <c r="F562" s="22" t="str">
        <f>IFERROR(__xludf.DUMMYFUNCTION("""COMPUTED_VALUE"""),"Asociación Cooperativa la Esquina del Lubricante 9999 R.L")</f>
        <v>Asociación Cooperativa la Esquina del Lubricante 9999 R.L</v>
      </c>
      <c r="G562" s="19">
        <v>582.6862</v>
      </c>
      <c r="H562" s="13"/>
      <c r="I562" s="14">
        <f t="shared" si="1"/>
        <v>60</v>
      </c>
      <c r="J562" s="15">
        <f t="shared" si="2"/>
        <v>60</v>
      </c>
      <c r="K562" s="14">
        <f t="shared" si="3"/>
        <v>60</v>
      </c>
      <c r="L562" s="16" t="str">
        <f>IFERROR(__xludf.DUMMYFUNCTION("IFERROR(
  IF(
    VLOOKUP(C562, IMPORTRANGE(""gid=860555792"", ""Maestro!B:C""), 2, FALSE) = D562, 
    ""CONCILIADO"", 
    ""ERROR EN MONTO""
  ), 
  ""NO ENCONTRADO EN MAESTRO""
)"),"NO ENCONTRADO EN MAESTRO")</f>
        <v>NO ENCONTRADO EN MAESTRO</v>
      </c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ht="22.5" customHeight="1">
      <c r="A563" s="25">
        <f>IFERROR(__xludf.DUMMYFUNCTION("""COMPUTED_VALUE"""),46185.0)</f>
        <v>46185</v>
      </c>
      <c r="B563" s="15">
        <f>IFERROR(__xludf.DUMMYFUNCTION("""COMPUTED_VALUE"""),218.0)</f>
        <v>218</v>
      </c>
      <c r="C563" s="21">
        <f>IFERROR(__xludf.DUMMYFUNCTION("""COMPUTED_VALUE"""),40.0)</f>
        <v>40</v>
      </c>
      <c r="D563" s="22" t="str">
        <f>IFERROR(__xludf.DUMMYFUNCTION("""COMPUTED_VALUE"""),"USD")</f>
        <v>USD</v>
      </c>
      <c r="E563" s="22" t="str">
        <f>IFERROR(__xludf.DUMMYFUNCTION("""COMPUTED_VALUE"""),"Efectivo USD")</f>
        <v>Efectivo USD</v>
      </c>
      <c r="F563" s="22" t="str">
        <f>IFERROR(__xludf.DUMMYFUNCTION("""COMPUTED_VALUE"""),"Cooperativa Dios mi Amparo, R.L.")</f>
        <v>Cooperativa Dios mi Amparo, R.L.</v>
      </c>
      <c r="G563" s="19">
        <v>582.6862</v>
      </c>
      <c r="H563" s="13"/>
      <c r="I563" s="14">
        <f t="shared" si="1"/>
        <v>40</v>
      </c>
      <c r="J563" s="15">
        <f t="shared" si="2"/>
        <v>40</v>
      </c>
      <c r="K563" s="14">
        <f t="shared" si="3"/>
        <v>40</v>
      </c>
      <c r="L563" s="16" t="str">
        <f>IFERROR(__xludf.DUMMYFUNCTION("IFERROR(
  IF(
    VLOOKUP(C563, IMPORTRANGE(""gid=860555792"", ""Maestro!B:C""), 2, FALSE) = D563, 
    ""CONCILIADO"", 
    ""ERROR EN MONTO""
  ), 
  ""NO ENCONTRADO EN MAESTRO""
)"),"NO ENCONTRADO EN MAESTRO")</f>
        <v>NO ENCONTRADO EN MAESTRO</v>
      </c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ht="22.5" customHeight="1">
      <c r="A564" s="25">
        <f>IFERROR(__xludf.DUMMYFUNCTION("""COMPUTED_VALUE"""),46185.0)</f>
        <v>46185</v>
      </c>
      <c r="B564" s="15">
        <f>IFERROR(__xludf.DUMMYFUNCTION("""COMPUTED_VALUE"""),178.0)</f>
        <v>178</v>
      </c>
      <c r="C564" s="21">
        <f>IFERROR(__xludf.DUMMYFUNCTION("""COMPUTED_VALUE"""),80.0)</f>
        <v>80</v>
      </c>
      <c r="D564" s="22" t="str">
        <f>IFERROR(__xludf.DUMMYFUNCTION("""COMPUTED_VALUE"""),"USD")</f>
        <v>USD</v>
      </c>
      <c r="E564" s="22" t="str">
        <f>IFERROR(__xludf.DUMMYFUNCTION("""COMPUTED_VALUE"""),"Efectivo USD")</f>
        <v>Efectivo USD</v>
      </c>
      <c r="F564" s="22" t="str">
        <f>IFERROR(__xludf.DUMMYFUNCTION("""COMPUTED_VALUE"""),"Distribuidora Nesmari 2050 c.a")</f>
        <v>Distribuidora Nesmari 2050 c.a</v>
      </c>
      <c r="G564" s="19">
        <v>582.6862</v>
      </c>
      <c r="H564" s="13"/>
      <c r="I564" s="14">
        <f t="shared" si="1"/>
        <v>80</v>
      </c>
      <c r="J564" s="15">
        <f t="shared" si="2"/>
        <v>80</v>
      </c>
      <c r="K564" s="14">
        <f t="shared" si="3"/>
        <v>80</v>
      </c>
      <c r="L564" s="16" t="str">
        <f>IFERROR(__xludf.DUMMYFUNCTION("IFERROR(
  IF(
    VLOOKUP(C564, IMPORTRANGE(""gid=860555792"", ""Maestro!B:C""), 2, FALSE) = D564, 
    ""CONCILIADO"", 
    ""ERROR EN MONTO""
  ), 
  ""NO ENCONTRADO EN MAESTRO""
)"),"NO ENCONTRADO EN MAESTRO")</f>
        <v>NO ENCONTRADO EN MAESTRO</v>
      </c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ht="22.5" customHeight="1">
      <c r="A565" s="25">
        <f>IFERROR(__xludf.DUMMYFUNCTION("""COMPUTED_VALUE"""),46185.0)</f>
        <v>46185</v>
      </c>
      <c r="B565" s="15">
        <f>IFERROR(__xludf.DUMMYFUNCTION("""COMPUTED_VALUE"""),249.0)</f>
        <v>249</v>
      </c>
      <c r="C565" s="21">
        <f>IFERROR(__xludf.DUMMYFUNCTION("""COMPUTED_VALUE"""),100.0)</f>
        <v>100</v>
      </c>
      <c r="D565" s="22" t="str">
        <f>IFERROR(__xludf.DUMMYFUNCTION("""COMPUTED_VALUE"""),"USD")</f>
        <v>USD</v>
      </c>
      <c r="E565" s="22" t="str">
        <f>IFERROR(__xludf.DUMMYFUNCTION("""COMPUTED_VALUE"""),"Efectivo USD")</f>
        <v>Efectivo USD</v>
      </c>
      <c r="F565" s="22" t="str">
        <f>IFERROR(__xludf.DUMMYFUNCTION("""COMPUTED_VALUE"""),"Comercializadora Dimon c.a")</f>
        <v>Comercializadora Dimon c.a</v>
      </c>
      <c r="G565" s="19">
        <v>582.6862</v>
      </c>
      <c r="H565" s="13"/>
      <c r="I565" s="14">
        <f t="shared" si="1"/>
        <v>100</v>
      </c>
      <c r="J565" s="15">
        <f t="shared" si="2"/>
        <v>100</v>
      </c>
      <c r="K565" s="14">
        <f t="shared" si="3"/>
        <v>100</v>
      </c>
      <c r="L565" s="16" t="str">
        <f>IFERROR(__xludf.DUMMYFUNCTION("IFERROR(
  IF(
    VLOOKUP(C565, IMPORTRANGE(""gid=860555792"", ""Maestro!B:C""), 2, FALSE) = D565, 
    ""CONCILIADO"", 
    ""ERROR EN MONTO""
  ), 
  ""NO ENCONTRADO EN MAESTRO""
)"),"NO ENCONTRADO EN MAESTRO")</f>
        <v>NO ENCONTRADO EN MAESTRO</v>
      </c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ht="22.5" customHeight="1">
      <c r="A566" s="25">
        <f>IFERROR(__xludf.DUMMYFUNCTION("""COMPUTED_VALUE"""),46188.0)</f>
        <v>46188</v>
      </c>
      <c r="B566" s="15">
        <f>IFERROR(__xludf.DUMMYFUNCTION("""COMPUTED_VALUE"""),149.0)</f>
        <v>149</v>
      </c>
      <c r="C566" s="21">
        <f>IFERROR(__xludf.DUMMYFUNCTION("""COMPUTED_VALUE"""),650.0)</f>
        <v>650</v>
      </c>
      <c r="D566" s="22" t="str">
        <f>IFERROR(__xludf.DUMMYFUNCTION("""COMPUTED_VALUE"""),"USD")</f>
        <v>USD</v>
      </c>
      <c r="E566" s="22" t="str">
        <f>IFERROR(__xludf.DUMMYFUNCTION("""COMPUTED_VALUE"""),"Binance")</f>
        <v>Binance</v>
      </c>
      <c r="F566" s="22" t="str">
        <f>IFERROR(__xludf.DUMMYFUNCTION("""COMPUTED_VALUE"""),"Emprendimiento ilaris cancelo")</f>
        <v>Emprendimiento ilaris cancelo</v>
      </c>
      <c r="G566" s="19">
        <v>587.4059</v>
      </c>
      <c r="H566" s="13"/>
      <c r="I566" s="14">
        <f t="shared" si="1"/>
        <v>650</v>
      </c>
      <c r="J566" s="15">
        <f t="shared" si="2"/>
        <v>650</v>
      </c>
      <c r="K566" s="14">
        <f t="shared" si="3"/>
        <v>650</v>
      </c>
      <c r="L566" s="16" t="str">
        <f>IFERROR(__xludf.DUMMYFUNCTION("IFERROR(
  IF(
    VLOOKUP(C566, IMPORTRANGE(""gid=860555792"", ""Maestro!B:C""), 2, FALSE) = D566, 
    ""CONCILIADO"", 
    ""ERROR EN MONTO""
  ), 
  ""NO ENCONTRADO EN MAESTRO""
)"),"NO ENCONTRADO EN MAESTRO")</f>
        <v>NO ENCONTRADO EN MAESTRO</v>
      </c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ht="22.5" customHeight="1">
      <c r="A567" s="25">
        <f>IFERROR(__xludf.DUMMYFUNCTION("""COMPUTED_VALUE"""),46188.0)</f>
        <v>46188</v>
      </c>
      <c r="B567" s="15">
        <f>IFERROR(__xludf.DUMMYFUNCTION("""COMPUTED_VALUE"""),339.0)</f>
        <v>339</v>
      </c>
      <c r="C567" s="21">
        <f>IFERROR(__xludf.DUMMYFUNCTION("""COMPUTED_VALUE"""),100.0)</f>
        <v>100</v>
      </c>
      <c r="D567" s="22" t="str">
        <f>IFERROR(__xludf.DUMMYFUNCTION("""COMPUTED_VALUE"""),"USD")</f>
        <v>USD</v>
      </c>
      <c r="E567" s="22" t="str">
        <f>IFERROR(__xludf.DUMMYFUNCTION("""COMPUTED_VALUE"""),"Efectivo USD")</f>
        <v>Efectivo USD</v>
      </c>
      <c r="F567" s="22" t="str">
        <f>IFERROR(__xludf.DUMMYFUNCTION("""COMPUTED_VALUE"""),"La cámara perfecta")</f>
        <v>La cámara perfecta</v>
      </c>
      <c r="G567" s="19">
        <v>587.4059</v>
      </c>
      <c r="H567" s="13"/>
      <c r="I567" s="14">
        <f t="shared" si="1"/>
        <v>100</v>
      </c>
      <c r="J567" s="15">
        <f t="shared" si="2"/>
        <v>100</v>
      </c>
      <c r="K567" s="14">
        <f t="shared" si="3"/>
        <v>100</v>
      </c>
      <c r="L567" s="16" t="str">
        <f>IFERROR(__xludf.DUMMYFUNCTION("IFERROR(
  IF(
    VLOOKUP(C567, IMPORTRANGE(""gid=860555792"", ""Maestro!B:C""), 2, FALSE) = D567, 
    ""CONCILIADO"", 
    ""ERROR EN MONTO""
  ), 
  ""NO ENCONTRADO EN MAESTRO""
)"),"NO ENCONTRADO EN MAESTRO")</f>
        <v>NO ENCONTRADO EN MAESTRO</v>
      </c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ht="22.5" customHeight="1">
      <c r="A568" s="25">
        <f>IFERROR(__xludf.DUMMYFUNCTION("""COMPUTED_VALUE"""),46188.0)</f>
        <v>46188</v>
      </c>
      <c r="B568" s="15">
        <f>IFERROR(__xludf.DUMMYFUNCTION("""COMPUTED_VALUE"""),317.0)</f>
        <v>317</v>
      </c>
      <c r="C568" s="21">
        <f>IFERROR(__xludf.DUMMYFUNCTION("""COMPUTED_VALUE"""),100.0)</f>
        <v>100</v>
      </c>
      <c r="D568" s="22" t="str">
        <f>IFERROR(__xludf.DUMMYFUNCTION("""COMPUTED_VALUE"""),"USD")</f>
        <v>USD</v>
      </c>
      <c r="E568" s="22" t="str">
        <f>IFERROR(__xludf.DUMMYFUNCTION("""COMPUTED_VALUE"""),"Efectivo USD")</f>
        <v>Efectivo USD</v>
      </c>
      <c r="F568" s="22" t="str">
        <f>IFERROR(__xludf.DUMMYFUNCTION("""COMPUTED_VALUE"""),"ACCESORIOS Y REPUESTOS MOTO CAR 20-11-C.A")</f>
        <v>ACCESORIOS Y REPUESTOS MOTO CAR 20-11-C.A</v>
      </c>
      <c r="G568" s="19">
        <v>587.4059</v>
      </c>
      <c r="H568" s="13"/>
      <c r="I568" s="14">
        <f t="shared" si="1"/>
        <v>100</v>
      </c>
      <c r="J568" s="15">
        <f t="shared" si="2"/>
        <v>100</v>
      </c>
      <c r="K568" s="14">
        <f t="shared" si="3"/>
        <v>100</v>
      </c>
      <c r="L568" s="16" t="str">
        <f>IFERROR(__xludf.DUMMYFUNCTION("IFERROR(
  IF(
    VLOOKUP(C568, IMPORTRANGE(""gid=860555792"", ""Maestro!B:C""), 2, FALSE) = D568, 
    ""CONCILIADO"", 
    ""ERROR EN MONTO""
  ), 
  ""NO ENCONTRADO EN MAESTRO""
)"),"NO ENCONTRADO EN MAESTRO")</f>
        <v>NO ENCONTRADO EN MAESTRO</v>
      </c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ht="22.5" customHeight="1">
      <c r="A569" s="25">
        <f>IFERROR(__xludf.DUMMYFUNCTION("""COMPUTED_VALUE"""),46188.0)</f>
        <v>46188</v>
      </c>
      <c r="B569" s="15">
        <f>IFERROR(__xludf.DUMMYFUNCTION("""COMPUTED_VALUE"""),346.0)</f>
        <v>346</v>
      </c>
      <c r="C569" s="21">
        <f>IFERROR(__xludf.DUMMYFUNCTION("""COMPUTED_VALUE"""),100.0)</f>
        <v>100</v>
      </c>
      <c r="D569" s="22" t="str">
        <f>IFERROR(__xludf.DUMMYFUNCTION("""COMPUTED_VALUE"""),"USD")</f>
        <v>USD</v>
      </c>
      <c r="E569" s="22" t="str">
        <f>IFERROR(__xludf.DUMMYFUNCTION("""COMPUTED_VALUE"""),"Efectivo USD")</f>
        <v>Efectivo USD</v>
      </c>
      <c r="F569" s="22" t="str">
        <f>IFERROR(__xludf.DUMMYFUNCTION("""COMPUTED_VALUE"""),"AUTOPERIQUITO EL PEQUEÑO CHAMOY, C.A.")</f>
        <v>AUTOPERIQUITO EL PEQUEÑO CHAMOY, C.A.</v>
      </c>
      <c r="G569" s="19">
        <v>587.4059</v>
      </c>
      <c r="H569" s="13"/>
      <c r="I569" s="14">
        <f t="shared" si="1"/>
        <v>100</v>
      </c>
      <c r="J569" s="15">
        <f t="shared" si="2"/>
        <v>100</v>
      </c>
      <c r="K569" s="14">
        <f t="shared" si="3"/>
        <v>100</v>
      </c>
      <c r="L569" s="16" t="str">
        <f>IFERROR(__xludf.DUMMYFUNCTION("IFERROR(
  IF(
    VLOOKUP(C569, IMPORTRANGE(""gid=860555792"", ""Maestro!B:C""), 2, FALSE) = D569, 
    ""CONCILIADO"", 
    ""ERROR EN MONTO""
  ), 
  ""NO ENCONTRADO EN MAESTRO""
)"),"NO ENCONTRADO EN MAESTRO")</f>
        <v>NO ENCONTRADO EN MAESTRO</v>
      </c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ht="22.5" customHeight="1">
      <c r="A570" s="25">
        <f>IFERROR(__xludf.DUMMYFUNCTION("""COMPUTED_VALUE"""),46186.0)</f>
        <v>46186</v>
      </c>
      <c r="B570" s="15">
        <f>IFERROR(__xludf.DUMMYFUNCTION("""COMPUTED_VALUE"""),174.0)</f>
        <v>174</v>
      </c>
      <c r="C570" s="21">
        <f>IFERROR(__xludf.DUMMYFUNCTION("""COMPUTED_VALUE"""),47040.0)</f>
        <v>47040</v>
      </c>
      <c r="D570" s="22" t="str">
        <f>IFERROR(__xludf.DUMMYFUNCTION("""COMPUTED_VALUE"""),"VES")</f>
        <v>VES</v>
      </c>
      <c r="E570" s="22" t="str">
        <f>IFERROR(__xludf.DUMMYFUNCTION("""COMPUTED_VALUE"""),"Bancamiga")</f>
        <v>Bancamiga</v>
      </c>
      <c r="F570" s="22" t="str">
        <f>IFERROR(__xludf.DUMMYFUNCTION("""COMPUTED_VALUE"""),"DISTRIBUIDORA E.P.L.C  2017, c.a.")</f>
        <v>DISTRIBUIDORA E.P.L.C  2017, c.a.</v>
      </c>
      <c r="G570" s="19">
        <v>582.6862</v>
      </c>
      <c r="H570" s="13"/>
      <c r="I570" s="14">
        <f t="shared" si="1"/>
        <v>80.72955907</v>
      </c>
      <c r="J570" s="15">
        <f t="shared" si="2"/>
        <v>0</v>
      </c>
      <c r="K570" s="14">
        <f t="shared" si="3"/>
        <v>80.72955907</v>
      </c>
      <c r="L570" s="16" t="str">
        <f>IFERROR(__xludf.DUMMYFUNCTION("IFERROR(
  IF(
    VLOOKUP(C570, IMPORTRANGE(""gid=860555792"", ""Maestro!B:C""), 2, FALSE) = D570, 
    ""CONCILIADO"", 
    ""ERROR EN MONTO""
  ), 
  ""NO ENCONTRADO EN MAESTRO""
)"),"NO ENCONTRADO EN MAESTRO")</f>
        <v>NO ENCONTRADO EN MAESTRO</v>
      </c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ht="22.5" customHeight="1">
      <c r="A571" s="25">
        <f>IFERROR(__xludf.DUMMYFUNCTION("""COMPUTED_VALUE"""),46188.0)</f>
        <v>46188</v>
      </c>
      <c r="B571" s="15">
        <f>IFERROR(__xludf.DUMMYFUNCTION("""COMPUTED_VALUE"""),349.0)</f>
        <v>349</v>
      </c>
      <c r="C571" s="21">
        <f>IFERROR(__xludf.DUMMYFUNCTION("""COMPUTED_VALUE"""),36654.4)</f>
        <v>36654.4</v>
      </c>
      <c r="D571" s="22" t="str">
        <f>IFERROR(__xludf.DUMMYFUNCTION("""COMPUTED_VALUE"""),"VES")</f>
        <v>VES</v>
      </c>
      <c r="E571" s="22" t="str">
        <f>IFERROR(__xludf.DUMMYFUNCTION("""COMPUTED_VALUE"""),"Bancamiga")</f>
        <v>Bancamiga</v>
      </c>
      <c r="F571" s="22" t="str">
        <f>IFERROR(__xludf.DUMMYFUNCTION("""COMPUTED_VALUE"""),"INVERSIONES BECLA PARTS C.A.")</f>
        <v>INVERSIONES BECLA PARTS C.A.</v>
      </c>
      <c r="G571" s="19">
        <v>587.4059</v>
      </c>
      <c r="H571" s="13"/>
      <c r="I571" s="14">
        <f t="shared" si="1"/>
        <v>62.40046278</v>
      </c>
      <c r="J571" s="15">
        <f t="shared" si="2"/>
        <v>0</v>
      </c>
      <c r="K571" s="14">
        <f t="shared" si="3"/>
        <v>62.40046278</v>
      </c>
      <c r="L571" s="16" t="str">
        <f>IFERROR(__xludf.DUMMYFUNCTION("IFERROR(
  IF(
    VLOOKUP(C571, IMPORTRANGE(""gid=860555792"", ""Maestro!B:C""), 2, FALSE) = D571, 
    ""CONCILIADO"", 
    ""ERROR EN MONTO""
  ), 
  ""NO ENCONTRADO EN MAESTRO""
)"),"NO ENCONTRADO EN MAESTRO")</f>
        <v>NO ENCONTRADO EN MAESTRO</v>
      </c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ht="22.5" customHeight="1">
      <c r="A572" s="25">
        <f>IFERROR(__xludf.DUMMYFUNCTION("""COMPUTED_VALUE"""),46183.0)</f>
        <v>46183</v>
      </c>
      <c r="B572" s="15">
        <f>IFERROR(__xludf.DUMMYFUNCTION("""COMPUTED_VALUE"""),361.0)</f>
        <v>361</v>
      </c>
      <c r="C572" s="21">
        <f>IFERROR(__xludf.DUMMYFUNCTION("""COMPUTED_VALUE"""),182461.0)</f>
        <v>182461</v>
      </c>
      <c r="D572" s="22" t="str">
        <f>IFERROR(__xludf.DUMMYFUNCTION("""COMPUTED_VALUE"""),"VES")</f>
        <v>VES</v>
      </c>
      <c r="E572" s="22" t="str">
        <f>IFERROR(__xludf.DUMMYFUNCTION("""COMPUTED_VALUE"""),"Bancamiga")</f>
        <v>Bancamiga</v>
      </c>
      <c r="F572" s="22" t="str">
        <f>IFERROR(__xludf.DUMMYFUNCTION("""COMPUTED_VALUE"""),"Comercializadora Estoril 25,c.a.")</f>
        <v>Comercializadora Estoril 25,c.a.</v>
      </c>
      <c r="G572" s="19">
        <v>572.6748</v>
      </c>
      <c r="H572" s="13"/>
      <c r="I572" s="14">
        <f t="shared" si="1"/>
        <v>318.6118893</v>
      </c>
      <c r="J572" s="15">
        <f t="shared" si="2"/>
        <v>0</v>
      </c>
      <c r="K572" s="14">
        <f t="shared" si="3"/>
        <v>318.6118893</v>
      </c>
      <c r="L572" s="16" t="str">
        <f>IFERROR(__xludf.DUMMYFUNCTION("IFERROR(
  IF(
    VLOOKUP(C572, IMPORTRANGE(""gid=860555792"", ""Maestro!B:C""), 2, FALSE) = D572, 
    ""CONCILIADO"", 
    ""ERROR EN MONTO""
  ), 
  ""NO ENCONTRADO EN MAESTRO""
)"),"NO ENCONTRADO EN MAESTRO")</f>
        <v>NO ENCONTRADO EN MAESTRO</v>
      </c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ht="22.5" customHeight="1">
      <c r="A573" s="25">
        <f>IFERROR(__xludf.DUMMYFUNCTION("""COMPUTED_VALUE"""),46189.0)</f>
        <v>46189</v>
      </c>
      <c r="B573" s="15">
        <f>IFERROR(__xludf.DUMMYFUNCTION("""COMPUTED_VALUE"""),540.0)</f>
        <v>540</v>
      </c>
      <c r="C573" s="21">
        <f>IFERROR(__xludf.DUMMYFUNCTION("""COMPUTED_VALUE"""),162503.52)</f>
        <v>162503.52</v>
      </c>
      <c r="D573" s="22" t="str">
        <f>IFERROR(__xludf.DUMMYFUNCTION("""COMPUTED_VALUE"""),"VES")</f>
        <v>VES</v>
      </c>
      <c r="E573" s="22" t="str">
        <f>IFERROR(__xludf.DUMMYFUNCTION("""COMPUTED_VALUE"""),"Bancamiga")</f>
        <v>Bancamiga</v>
      </c>
      <c r="F573" s="22" t="str">
        <f>IFERROR(__xludf.DUMMYFUNCTION("""COMPUTED_VALUE"""),"GARAJE Y TALLERES FRIDELBA, C.A")</f>
        <v>GARAJE Y TALLERES FRIDELBA, C.A</v>
      </c>
      <c r="G573" s="19">
        <v>592.5163</v>
      </c>
      <c r="H573" s="13"/>
      <c r="I573" s="14">
        <f t="shared" si="1"/>
        <v>274.2599993</v>
      </c>
      <c r="J573" s="15">
        <f t="shared" si="2"/>
        <v>0</v>
      </c>
      <c r="K573" s="14">
        <f t="shared" si="3"/>
        <v>274.2599993</v>
      </c>
      <c r="L573" s="16" t="str">
        <f>IFERROR(__xludf.DUMMYFUNCTION("IFERROR(
  IF(
    VLOOKUP(C573, IMPORTRANGE(""gid=860555792"", ""Maestro!B:C""), 2, FALSE) = D573, 
    ""CONCILIADO"", 
    ""ERROR EN MONTO""
  ), 
  ""NO ENCONTRADO EN MAESTRO""
)"),"NO ENCONTRADO EN MAESTRO")</f>
        <v>NO ENCONTRADO EN MAESTRO</v>
      </c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ht="22.5" customHeight="1">
      <c r="A574" s="25">
        <f>IFERROR(__xludf.DUMMYFUNCTION("""COMPUTED_VALUE"""),46189.0)</f>
        <v>46189</v>
      </c>
      <c r="B574" s="15">
        <f>IFERROR(__xludf.DUMMYFUNCTION("""COMPUTED_VALUE"""),414.0)</f>
        <v>414</v>
      </c>
      <c r="C574" s="21">
        <f>IFERROR(__xludf.DUMMYFUNCTION("""COMPUTED_VALUE"""),59300.0)</f>
        <v>59300</v>
      </c>
      <c r="D574" s="22" t="str">
        <f>IFERROR(__xludf.DUMMYFUNCTION("""COMPUTED_VALUE"""),"VES")</f>
        <v>VES</v>
      </c>
      <c r="E574" s="22" t="str">
        <f>IFERROR(__xludf.DUMMYFUNCTION("""COMPUTED_VALUE"""),"Bancamiga")</f>
        <v>Bancamiga</v>
      </c>
      <c r="F574" s="22" t="str">
        <f>IFERROR(__xludf.DUMMYFUNCTION("""COMPUTED_VALUE"""),"Javier Cardenas Prato.")</f>
        <v>Javier Cardenas Prato.</v>
      </c>
      <c r="G574" s="19">
        <v>592.5163</v>
      </c>
      <c r="H574" s="13"/>
      <c r="I574" s="14">
        <f t="shared" si="1"/>
        <v>100.0816349</v>
      </c>
      <c r="J574" s="15">
        <f t="shared" si="2"/>
        <v>0</v>
      </c>
      <c r="K574" s="14">
        <f t="shared" si="3"/>
        <v>100.0816349</v>
      </c>
      <c r="L574" s="16" t="str">
        <f>IFERROR(__xludf.DUMMYFUNCTION("IFERROR(
  IF(
    VLOOKUP(C574, IMPORTRANGE(""gid=860555792"", ""Maestro!B:C""), 2, FALSE) = D574, 
    ""CONCILIADO"", 
    ""ERROR EN MONTO""
  ), 
  ""NO ENCONTRADO EN MAESTRO""
)"),"NO ENCONTRADO EN MAESTRO")</f>
        <v>NO ENCONTRADO EN MAESTRO</v>
      </c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ht="22.5" customHeight="1">
      <c r="A575" s="25">
        <f>IFERROR(__xludf.DUMMYFUNCTION("""COMPUTED_VALUE"""),46189.0)</f>
        <v>46189</v>
      </c>
      <c r="B575" s="15">
        <f>IFERROR(__xludf.DUMMYFUNCTION("""COMPUTED_VALUE"""),457.0)</f>
        <v>457</v>
      </c>
      <c r="C575" s="21">
        <f>IFERROR(__xludf.DUMMYFUNCTION("""COMPUTED_VALUE"""),885.0)</f>
        <v>885</v>
      </c>
      <c r="D575" s="22" t="str">
        <f>IFERROR(__xludf.DUMMYFUNCTION("""COMPUTED_VALUE"""),"USD")</f>
        <v>USD</v>
      </c>
      <c r="E575" s="22" t="str">
        <f>IFERROR(__xludf.DUMMYFUNCTION("""COMPUTED_VALUE"""),"Efectivo USD")</f>
        <v>Efectivo USD</v>
      </c>
      <c r="F575" s="22" t="str">
        <f>IFERROR(__xludf.DUMMYFUNCTION("""COMPUTED_VALUE"""),"Anthony Jose Quijada Diaz.")</f>
        <v>Anthony Jose Quijada Diaz.</v>
      </c>
      <c r="G575" s="19">
        <v>592.5163</v>
      </c>
      <c r="H575" s="13"/>
      <c r="I575" s="14">
        <f t="shared" si="1"/>
        <v>885</v>
      </c>
      <c r="J575" s="15">
        <f t="shared" si="2"/>
        <v>885</v>
      </c>
      <c r="K575" s="14">
        <f t="shared" si="3"/>
        <v>885</v>
      </c>
      <c r="L575" s="16" t="str">
        <f>IFERROR(__xludf.DUMMYFUNCTION("IFERROR(
  IF(
    VLOOKUP(C575, IMPORTRANGE(""gid=860555792"", ""Maestro!B:C""), 2, FALSE) = D575, 
    ""CONCILIADO"", 
    ""ERROR EN MONTO""
  ), 
  ""NO ENCONTRADO EN MAESTRO""
)"),"NO ENCONTRADO EN MAESTRO")</f>
        <v>NO ENCONTRADO EN MAESTRO</v>
      </c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ht="22.5" customHeight="1">
      <c r="A576" s="25">
        <f>IFERROR(__xludf.DUMMYFUNCTION("""COMPUTED_VALUE"""),46189.0)</f>
        <v>46189</v>
      </c>
      <c r="B576" s="15">
        <f>IFERROR(__xludf.DUMMYFUNCTION("""COMPUTED_VALUE"""),61.0)</f>
        <v>61</v>
      </c>
      <c r="C576" s="21">
        <f>IFERROR(__xludf.DUMMYFUNCTION("""COMPUTED_VALUE"""),100.0)</f>
        <v>100</v>
      </c>
      <c r="D576" s="22" t="str">
        <f>IFERROR(__xludf.DUMMYFUNCTION("""COMPUTED_VALUE"""),"USD")</f>
        <v>USD</v>
      </c>
      <c r="E576" s="22" t="str">
        <f>IFERROR(__xludf.DUMMYFUNCTION("""COMPUTED_VALUE"""),"Efectivo USD")</f>
        <v>Efectivo USD</v>
      </c>
      <c r="F576" s="22" t="str">
        <f>IFERROR(__xludf.DUMMYFUNCTION("""COMPUTED_VALUE"""),"SJMG 2012 C.A")</f>
        <v>SJMG 2012 C.A</v>
      </c>
      <c r="G576" s="19">
        <v>592.5163</v>
      </c>
      <c r="H576" s="13"/>
      <c r="I576" s="14">
        <f t="shared" si="1"/>
        <v>100</v>
      </c>
      <c r="J576" s="15">
        <f t="shared" si="2"/>
        <v>100</v>
      </c>
      <c r="K576" s="14">
        <f t="shared" si="3"/>
        <v>100</v>
      </c>
      <c r="L576" s="16" t="str">
        <f>IFERROR(__xludf.DUMMYFUNCTION("IFERROR(
  IF(
    VLOOKUP(C576, IMPORTRANGE(""gid=860555792"", ""Maestro!B:C""), 2, FALSE) = D576, 
    ""CONCILIADO"", 
    ""ERROR EN MONTO""
  ), 
  ""NO ENCONTRADO EN MAESTRO""
)"),"NO ENCONTRADO EN MAESTRO")</f>
        <v>NO ENCONTRADO EN MAESTRO</v>
      </c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ht="22.5" customHeight="1">
      <c r="A577" s="25">
        <f>IFERROR(__xludf.DUMMYFUNCTION("""COMPUTED_VALUE"""),46189.0)</f>
        <v>46189</v>
      </c>
      <c r="B577" s="15">
        <f>IFERROR(__xludf.DUMMYFUNCTION("""COMPUTED_VALUE"""),354.0)</f>
        <v>354</v>
      </c>
      <c r="C577" s="21">
        <f>IFERROR(__xludf.DUMMYFUNCTION("""COMPUTED_VALUE"""),100.0)</f>
        <v>100</v>
      </c>
      <c r="D577" s="22" t="str">
        <f>IFERROR(__xludf.DUMMYFUNCTION("""COMPUTED_VALUE"""),"USD")</f>
        <v>USD</v>
      </c>
      <c r="E577" s="22" t="str">
        <f>IFERROR(__xludf.DUMMYFUNCTION("""COMPUTED_VALUE"""),"Efectivo USD")</f>
        <v>Efectivo USD</v>
      </c>
      <c r="F577" s="22" t="str">
        <f>IFERROR(__xludf.DUMMYFUNCTION("""COMPUTED_VALUE"""),"REPRESENTACIONES LAGUS MEL, C. A")</f>
        <v>REPRESENTACIONES LAGUS MEL, C. A</v>
      </c>
      <c r="G577" s="19">
        <v>592.5163</v>
      </c>
      <c r="H577" s="13"/>
      <c r="I577" s="14">
        <f t="shared" si="1"/>
        <v>100</v>
      </c>
      <c r="J577" s="15">
        <f t="shared" si="2"/>
        <v>100</v>
      </c>
      <c r="K577" s="14">
        <f t="shared" si="3"/>
        <v>100</v>
      </c>
      <c r="L577" s="16" t="str">
        <f>IFERROR(__xludf.DUMMYFUNCTION("IFERROR(
  IF(
    VLOOKUP(C577, IMPORTRANGE(""gid=860555792"", ""Maestro!B:C""), 2, FALSE) = D577, 
    ""CONCILIADO"", 
    ""ERROR EN MONTO""
  ), 
  ""NO ENCONTRADO EN MAESTRO""
)"),"NO ENCONTRADO EN MAESTRO")</f>
        <v>NO ENCONTRADO EN MAESTRO</v>
      </c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ht="22.5" customHeight="1">
      <c r="A578" s="25">
        <f>IFERROR(__xludf.DUMMYFUNCTION("""COMPUTED_VALUE"""),46189.0)</f>
        <v>46189</v>
      </c>
      <c r="B578" s="15">
        <f>IFERROR(__xludf.DUMMYFUNCTION("""COMPUTED_VALUE"""),472.0)</f>
        <v>472</v>
      </c>
      <c r="C578" s="21">
        <f>IFERROR(__xludf.DUMMYFUNCTION("""COMPUTED_VALUE"""),191167.2)</f>
        <v>191167.2</v>
      </c>
      <c r="D578" s="22" t="str">
        <f>IFERROR(__xludf.DUMMYFUNCTION("""COMPUTED_VALUE"""),"VES")</f>
        <v>VES</v>
      </c>
      <c r="E578" s="22" t="str">
        <f>IFERROR(__xludf.DUMMYFUNCTION("""COMPUTED_VALUE"""),"Bancamiga")</f>
        <v>Bancamiga</v>
      </c>
      <c r="F578" s="22" t="str">
        <f>IFERROR(__xludf.DUMMYFUNCTION("""COMPUTED_VALUE"""),"Antonio Terán")</f>
        <v>Antonio Terán</v>
      </c>
      <c r="G578" s="19">
        <v>592.5163</v>
      </c>
      <c r="H578" s="13"/>
      <c r="I578" s="14">
        <f t="shared" si="1"/>
        <v>322.6361874</v>
      </c>
      <c r="J578" s="15">
        <f t="shared" si="2"/>
        <v>0</v>
      </c>
      <c r="K578" s="14">
        <f t="shared" si="3"/>
        <v>322.6361874</v>
      </c>
      <c r="L578" s="16" t="str">
        <f>IFERROR(__xludf.DUMMYFUNCTION("IFERROR(
  IF(
    VLOOKUP(C578, IMPORTRANGE(""gid=860555792"", ""Maestro!B:C""), 2, FALSE) = D578, 
    ""CONCILIADO"", 
    ""ERROR EN MONTO""
  ), 
  ""NO ENCONTRADO EN MAESTRO""
)"),"NO ENCONTRADO EN MAESTRO")</f>
        <v>NO ENCONTRADO EN MAESTRO</v>
      </c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ht="22.5" customHeight="1">
      <c r="A579" s="25">
        <f>IFERROR(__xludf.DUMMYFUNCTION("""COMPUTED_VALUE"""),46189.0)</f>
        <v>46189</v>
      </c>
      <c r="B579" s="15">
        <f>IFERROR(__xludf.DUMMYFUNCTION("""COMPUTED_VALUE"""),350.0)</f>
        <v>350</v>
      </c>
      <c r="C579" s="21">
        <f>IFERROR(__xludf.DUMMYFUNCTION("""COMPUTED_VALUE"""),200.0)</f>
        <v>200</v>
      </c>
      <c r="D579" s="22" t="str">
        <f>IFERROR(__xludf.DUMMYFUNCTION("""COMPUTED_VALUE"""),"USD")</f>
        <v>USD</v>
      </c>
      <c r="E579" s="22" t="str">
        <f>IFERROR(__xludf.DUMMYFUNCTION("""COMPUTED_VALUE"""),"Efectivo USD")</f>
        <v>Efectivo USD</v>
      </c>
      <c r="F579" s="22" t="str">
        <f>IFERROR(__xludf.DUMMYFUNCTION("""COMPUTED_VALUE"""),"Melany Madrid")</f>
        <v>Melany Madrid</v>
      </c>
      <c r="G579" s="19">
        <v>592.5163</v>
      </c>
      <c r="H579" s="13"/>
      <c r="I579" s="14">
        <f t="shared" si="1"/>
        <v>200</v>
      </c>
      <c r="J579" s="15">
        <f t="shared" si="2"/>
        <v>200</v>
      </c>
      <c r="K579" s="14">
        <f t="shared" si="3"/>
        <v>200</v>
      </c>
      <c r="L579" s="16" t="str">
        <f>IFERROR(__xludf.DUMMYFUNCTION("IFERROR(
  IF(
    VLOOKUP(C579, IMPORTRANGE(""gid=860555792"", ""Maestro!B:C""), 2, FALSE) = D579, 
    ""CONCILIADO"", 
    ""ERROR EN MONTO""
  ), 
  ""NO ENCONTRADO EN MAESTRO""
)"),"NO ENCONTRADO EN MAESTRO")</f>
        <v>NO ENCONTRADO EN MAESTRO</v>
      </c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ht="22.5" customHeight="1">
      <c r="A580" s="25">
        <f>IFERROR(__xludf.DUMMYFUNCTION("""COMPUTED_VALUE"""),46189.0)</f>
        <v>46189</v>
      </c>
      <c r="B580" s="15">
        <f>IFERROR(__xludf.DUMMYFUNCTION("""COMPUTED_VALUE"""),138.0)</f>
        <v>138</v>
      </c>
      <c r="C580" s="21">
        <f>IFERROR(__xludf.DUMMYFUNCTION("""COMPUTED_VALUE"""),100.0)</f>
        <v>100</v>
      </c>
      <c r="D580" s="22" t="str">
        <f>IFERROR(__xludf.DUMMYFUNCTION("""COMPUTED_VALUE"""),"USD")</f>
        <v>USD</v>
      </c>
      <c r="E580" s="22" t="str">
        <f>IFERROR(__xludf.DUMMYFUNCTION("""COMPUTED_VALUE"""),"Efectivo USD")</f>
        <v>Efectivo USD</v>
      </c>
      <c r="F580" s="22" t="str">
        <f>IFERROR(__xludf.DUMMYFUNCTION("""COMPUTED_VALUE"""),"Benefit c.a")</f>
        <v>Benefit c.a</v>
      </c>
      <c r="G580" s="19">
        <v>592.5163</v>
      </c>
      <c r="H580" s="13"/>
      <c r="I580" s="14">
        <f t="shared" si="1"/>
        <v>100</v>
      </c>
      <c r="J580" s="15">
        <f t="shared" si="2"/>
        <v>100</v>
      </c>
      <c r="K580" s="14">
        <f t="shared" si="3"/>
        <v>100</v>
      </c>
      <c r="L580" s="16" t="str">
        <f>IFERROR(__xludf.DUMMYFUNCTION("IFERROR(
  IF(
    VLOOKUP(C580, IMPORTRANGE(""gid=860555792"", ""Maestro!B:C""), 2, FALSE) = D580, 
    ""CONCILIADO"", 
    ""ERROR EN MONTO""
  ), 
  ""NO ENCONTRADO EN MAESTRO""
)"),"NO ENCONTRADO EN MAESTRO")</f>
        <v>NO ENCONTRADO EN MAESTRO</v>
      </c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ht="22.5" customHeight="1">
      <c r="A581" s="25">
        <f>IFERROR(__xludf.DUMMYFUNCTION("""COMPUTED_VALUE"""),46189.0)</f>
        <v>46189</v>
      </c>
      <c r="B581" s="15">
        <f>IFERROR(__xludf.DUMMYFUNCTION("""COMPUTED_VALUE"""),49.0)</f>
        <v>49</v>
      </c>
      <c r="C581" s="21">
        <f>IFERROR(__xludf.DUMMYFUNCTION("""COMPUTED_VALUE"""),100.0)</f>
        <v>100</v>
      </c>
      <c r="D581" s="22" t="str">
        <f>IFERROR(__xludf.DUMMYFUNCTION("""COMPUTED_VALUE"""),"USD")</f>
        <v>USD</v>
      </c>
      <c r="E581" s="22" t="str">
        <f>IFERROR(__xludf.DUMMYFUNCTION("""COMPUTED_VALUE"""),"Efectivo USD")</f>
        <v>Efectivo USD</v>
      </c>
      <c r="F581" s="22" t="str">
        <f>IFERROR(__xludf.DUMMYFUNCTION("""COMPUTED_VALUE"""),"Marlene Herrera")</f>
        <v>Marlene Herrera</v>
      </c>
      <c r="G581" s="19">
        <v>592.5163</v>
      </c>
      <c r="H581" s="13"/>
      <c r="I581" s="14">
        <f t="shared" si="1"/>
        <v>100</v>
      </c>
      <c r="J581" s="15">
        <f t="shared" si="2"/>
        <v>100</v>
      </c>
      <c r="K581" s="14">
        <f t="shared" si="3"/>
        <v>100</v>
      </c>
      <c r="L581" s="16" t="str">
        <f>IFERROR(__xludf.DUMMYFUNCTION("IFERROR(
  IF(
    VLOOKUP(C581, IMPORTRANGE(""gid=860555792"", ""Maestro!B:C""), 2, FALSE) = D581, 
    ""CONCILIADO"", 
    ""ERROR EN MONTO""
  ), 
  ""NO ENCONTRADO EN MAESTRO""
)"),"NO ENCONTRADO EN MAESTRO")</f>
        <v>NO ENCONTRADO EN MAESTRO</v>
      </c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ht="22.5" customHeight="1">
      <c r="A582" s="25">
        <f>IFERROR(__xludf.DUMMYFUNCTION("""COMPUTED_VALUE"""),46189.0)</f>
        <v>46189</v>
      </c>
      <c r="B582" s="15">
        <f>IFERROR(__xludf.DUMMYFUNCTION("""COMPUTED_VALUE"""),126.0)</f>
        <v>126</v>
      </c>
      <c r="C582" s="21">
        <f>IFERROR(__xludf.DUMMYFUNCTION("""COMPUTED_VALUE"""),360.0)</f>
        <v>360</v>
      </c>
      <c r="D582" s="22" t="str">
        <f>IFERROR(__xludf.DUMMYFUNCTION("""COMPUTED_VALUE"""),"USD")</f>
        <v>USD</v>
      </c>
      <c r="E582" s="22" t="str">
        <f>IFERROR(__xludf.DUMMYFUNCTION("""COMPUTED_VALUE"""),"Efectivo USD")</f>
        <v>Efectivo USD</v>
      </c>
      <c r="F582" s="22" t="str">
        <f>IFERROR(__xludf.DUMMYFUNCTION("""COMPUTED_VALUE"""),"Victor Ordaz")</f>
        <v>Victor Ordaz</v>
      </c>
      <c r="G582" s="19">
        <v>592.5163</v>
      </c>
      <c r="H582" s="13"/>
      <c r="I582" s="14">
        <f t="shared" si="1"/>
        <v>360</v>
      </c>
      <c r="J582" s="15">
        <f t="shared" si="2"/>
        <v>360</v>
      </c>
      <c r="K582" s="14">
        <f t="shared" si="3"/>
        <v>360</v>
      </c>
      <c r="L582" s="16" t="str">
        <f>IFERROR(__xludf.DUMMYFUNCTION("IFERROR(
  IF(
    VLOOKUP(C582, IMPORTRANGE(""gid=860555792"", ""Maestro!B:C""), 2, FALSE) = D582, 
    ""CONCILIADO"", 
    ""ERROR EN MONTO""
  ), 
  ""NO ENCONTRADO EN MAESTRO""
)"),"NO ENCONTRADO EN MAESTRO")</f>
        <v>NO ENCONTRADO EN MAESTRO</v>
      </c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ht="22.5" customHeight="1">
      <c r="A583" s="25">
        <f>IFERROR(__xludf.DUMMYFUNCTION("""COMPUTED_VALUE"""),46189.0)</f>
        <v>46189</v>
      </c>
      <c r="B583" s="15">
        <f>IFERROR(__xludf.DUMMYFUNCTION("""COMPUTED_VALUE"""),177.0)</f>
        <v>177</v>
      </c>
      <c r="C583" s="21">
        <f>IFERROR(__xludf.DUMMYFUNCTION("""COMPUTED_VALUE"""),50.0)</f>
        <v>50</v>
      </c>
      <c r="D583" s="22" t="str">
        <f>IFERROR(__xludf.DUMMYFUNCTION("""COMPUTED_VALUE"""),"USD")</f>
        <v>USD</v>
      </c>
      <c r="E583" s="22" t="str">
        <f>IFERROR(__xludf.DUMMYFUNCTION("""COMPUTED_VALUE"""),"Efectivo USD")</f>
        <v>Efectivo USD</v>
      </c>
      <c r="F583" s="22" t="str">
        <f>IFERROR(__xludf.DUMMYFUNCTION("""COMPUTED_VALUE"""),"Jhon Morales")</f>
        <v>Jhon Morales</v>
      </c>
      <c r="G583" s="19">
        <v>592.5163</v>
      </c>
      <c r="H583" s="13"/>
      <c r="I583" s="14">
        <f t="shared" si="1"/>
        <v>50</v>
      </c>
      <c r="J583" s="15">
        <f t="shared" si="2"/>
        <v>50</v>
      </c>
      <c r="K583" s="14">
        <f t="shared" si="3"/>
        <v>50</v>
      </c>
      <c r="L583" s="16" t="str">
        <f>IFERROR(__xludf.DUMMYFUNCTION("IFERROR(
  IF(
    VLOOKUP(C583, IMPORTRANGE(""gid=860555792"", ""Maestro!B:C""), 2, FALSE) = D583, 
    ""CONCILIADO"", 
    ""ERROR EN MONTO""
  ), 
  ""NO ENCONTRADO EN MAESTRO""
)"),"NO ENCONTRADO EN MAESTRO")</f>
        <v>NO ENCONTRADO EN MAESTRO</v>
      </c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ht="22.5" customHeight="1">
      <c r="A584" s="25">
        <f>IFERROR(__xludf.DUMMYFUNCTION("""COMPUTED_VALUE"""),46190.0)</f>
        <v>46190</v>
      </c>
      <c r="B584" s="15">
        <f>IFERROR(__xludf.DUMMYFUNCTION("""COMPUTED_VALUE"""),93.0)</f>
        <v>93</v>
      </c>
      <c r="C584" s="21">
        <f>IFERROR(__xludf.DUMMYFUNCTION("""COMPUTED_VALUE"""),28.0)</f>
        <v>28</v>
      </c>
      <c r="D584" s="22" t="str">
        <f>IFERROR(__xludf.DUMMYFUNCTION("""COMPUTED_VALUE"""),"USD")</f>
        <v>USD</v>
      </c>
      <c r="E584" s="22" t="str">
        <f>IFERROR(__xludf.DUMMYFUNCTION("""COMPUTED_VALUE"""),"Efectivo USD")</f>
        <v>Efectivo USD</v>
      </c>
      <c r="F584" s="22" t="str">
        <f>IFERROR(__xludf.DUMMYFUNCTION("""COMPUTED_VALUE"""),"Emprendimiento YSKRA")</f>
        <v>Emprendimiento YSKRA</v>
      </c>
      <c r="G584" s="19">
        <v>596.7824</v>
      </c>
      <c r="H584" s="13"/>
      <c r="I584" s="14">
        <f t="shared" si="1"/>
        <v>28</v>
      </c>
      <c r="J584" s="15">
        <f t="shared" si="2"/>
        <v>28</v>
      </c>
      <c r="K584" s="14">
        <f t="shared" si="3"/>
        <v>28</v>
      </c>
      <c r="L584" s="16" t="str">
        <f>IFERROR(__xludf.DUMMYFUNCTION("IFERROR(
  IF(
    VLOOKUP(C584, IMPORTRANGE(""gid=860555792"", ""Maestro!B:C""), 2, FALSE) = D584, 
    ""CONCILIADO"", 
    ""ERROR EN MONTO""
  ), 
  ""NO ENCONTRADO EN MAESTRO""
)"),"NO ENCONTRADO EN MAESTRO")</f>
        <v>NO ENCONTRADO EN MAESTRO</v>
      </c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ht="22.5" customHeight="1">
      <c r="A585" s="25">
        <f>IFERROR(__xludf.DUMMYFUNCTION("""COMPUTED_VALUE"""),46190.0)</f>
        <v>46190</v>
      </c>
      <c r="B585" s="15">
        <f>IFERROR(__xludf.DUMMYFUNCTION("""COMPUTED_VALUE"""),248.0)</f>
        <v>248</v>
      </c>
      <c r="C585" s="21">
        <f>IFERROR(__xludf.DUMMYFUNCTION("""COMPUTED_VALUE"""),32.0)</f>
        <v>32</v>
      </c>
      <c r="D585" s="22" t="str">
        <f>IFERROR(__xludf.DUMMYFUNCTION("""COMPUTED_VALUE"""),"USD")</f>
        <v>USD</v>
      </c>
      <c r="E585" s="22" t="str">
        <f>IFERROR(__xludf.DUMMYFUNCTION("""COMPUTED_VALUE"""),"Efectivo USD")</f>
        <v>Efectivo USD</v>
      </c>
      <c r="F585" s="22" t="str">
        <f>IFERROR(__xludf.DUMMYFUNCTION("""COMPUTED_VALUE"""),"Abraham almenar")</f>
        <v>Abraham almenar</v>
      </c>
      <c r="G585" s="19">
        <v>596.7824</v>
      </c>
      <c r="H585" s="13"/>
      <c r="I585" s="14">
        <f t="shared" si="1"/>
        <v>32</v>
      </c>
      <c r="J585" s="15">
        <f t="shared" si="2"/>
        <v>32</v>
      </c>
      <c r="K585" s="14">
        <f t="shared" si="3"/>
        <v>32</v>
      </c>
      <c r="L585" s="16" t="str">
        <f>IFERROR(__xludf.DUMMYFUNCTION("IFERROR(
  IF(
    VLOOKUP(C585, IMPORTRANGE(""gid=860555792"", ""Maestro!B:C""), 2, FALSE) = D585, 
    ""CONCILIADO"", 
    ""ERROR EN MONTO""
  ), 
  ""NO ENCONTRADO EN MAESTRO""
)"),"NO ENCONTRADO EN MAESTRO")</f>
        <v>NO ENCONTRADO EN MAESTRO</v>
      </c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ht="22.5" customHeight="1">
      <c r="A586" s="25">
        <f>IFERROR(__xludf.DUMMYFUNCTION("""COMPUTED_VALUE"""),46189.0)</f>
        <v>46189</v>
      </c>
      <c r="B586" s="15">
        <f>IFERROR(__xludf.DUMMYFUNCTION("""COMPUTED_VALUE"""),507.0)</f>
        <v>507</v>
      </c>
      <c r="C586" s="21">
        <f>IFERROR(__xludf.DUMMYFUNCTION("""COMPUTED_VALUE"""),83567.0)</f>
        <v>83567</v>
      </c>
      <c r="D586" s="22" t="str">
        <f>IFERROR(__xludf.DUMMYFUNCTION("""COMPUTED_VALUE"""),"VES")</f>
        <v>VES</v>
      </c>
      <c r="E586" s="22" t="str">
        <f>IFERROR(__xludf.DUMMYFUNCTION("""COMPUTED_VALUE"""),"Bancamiga")</f>
        <v>Bancamiga</v>
      </c>
      <c r="F586" s="22" t="str">
        <f>IFERROR(__xludf.DUMMYFUNCTION("""COMPUTED_VALUE"""),"Sandra Katherine Quintero Crespo")</f>
        <v>Sandra Katherine Quintero Crespo</v>
      </c>
      <c r="G586" s="19">
        <v>592.5163</v>
      </c>
      <c r="H586" s="13"/>
      <c r="I586" s="14">
        <f t="shared" si="1"/>
        <v>141.0374702</v>
      </c>
      <c r="J586" s="15">
        <f t="shared" si="2"/>
        <v>0</v>
      </c>
      <c r="K586" s="14">
        <f t="shared" si="3"/>
        <v>141.0374702</v>
      </c>
      <c r="L586" s="16" t="str">
        <f>IFERROR(__xludf.DUMMYFUNCTION("IFERROR(
  IF(
    VLOOKUP(C586, IMPORTRANGE(""gid=860555792"", ""Maestro!B:C""), 2, FALSE) = D586, 
    ""CONCILIADO"", 
    ""ERROR EN MONTO""
  ), 
  ""NO ENCONTRADO EN MAESTRO""
)"),"NO ENCONTRADO EN MAESTRO")</f>
        <v>NO ENCONTRADO EN MAESTRO</v>
      </c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ht="22.5" customHeight="1">
      <c r="A587" s="25">
        <f>IFERROR(__xludf.DUMMYFUNCTION("""COMPUTED_VALUE"""),46190.0)</f>
        <v>46190</v>
      </c>
      <c r="B587" s="15">
        <f>IFERROR(__xludf.DUMMYFUNCTION("""COMPUTED_VALUE"""),574.0)</f>
        <v>574</v>
      </c>
      <c r="C587" s="21">
        <f>IFERROR(__xludf.DUMMYFUNCTION("""COMPUTED_VALUE"""),140.0)</f>
        <v>140</v>
      </c>
      <c r="D587" s="22" t="str">
        <f>IFERROR(__xludf.DUMMYFUNCTION("""COMPUTED_VALUE"""),"USD")</f>
        <v>USD</v>
      </c>
      <c r="E587" s="22" t="str">
        <f>IFERROR(__xludf.DUMMYFUNCTION("""COMPUTED_VALUE"""),"Efectivo USD")</f>
        <v>Efectivo USD</v>
      </c>
      <c r="F587" s="22" t="str">
        <f>IFERROR(__xludf.DUMMYFUNCTION("""COMPUTED_VALUE"""),"Katiuska Alejandra Curvelo")</f>
        <v>Katiuska Alejandra Curvelo</v>
      </c>
      <c r="G587" s="19">
        <v>596.7824</v>
      </c>
      <c r="H587" s="13"/>
      <c r="I587" s="14">
        <f t="shared" si="1"/>
        <v>140</v>
      </c>
      <c r="J587" s="15">
        <f t="shared" si="2"/>
        <v>140</v>
      </c>
      <c r="K587" s="14">
        <f t="shared" si="3"/>
        <v>140</v>
      </c>
      <c r="L587" s="16" t="str">
        <f>IFERROR(__xludf.DUMMYFUNCTION("IFERROR(
  IF(
    VLOOKUP(C587, IMPORTRANGE(""gid=860555792"", ""Maestro!B:C""), 2, FALSE) = D587, 
    ""CONCILIADO"", 
    ""ERROR EN MONTO""
  ), 
  ""NO ENCONTRADO EN MAESTRO""
)"),"NO ENCONTRADO EN MAESTRO")</f>
        <v>NO ENCONTRADO EN MAESTRO</v>
      </c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ht="22.5" customHeight="1">
      <c r="A588" s="25">
        <f>IFERROR(__xludf.DUMMYFUNCTION("""COMPUTED_VALUE"""),46190.0)</f>
        <v>46190</v>
      </c>
      <c r="B588" s="15">
        <f>IFERROR(__xludf.DUMMYFUNCTION("""COMPUTED_VALUE"""),355.0)</f>
        <v>355</v>
      </c>
      <c r="C588" s="21">
        <f>IFERROR(__xludf.DUMMYFUNCTION("""COMPUTED_VALUE"""),120.0)</f>
        <v>120</v>
      </c>
      <c r="D588" s="22" t="str">
        <f>IFERROR(__xludf.DUMMYFUNCTION("""COMPUTED_VALUE"""),"USD")</f>
        <v>USD</v>
      </c>
      <c r="E588" s="22" t="str">
        <f>IFERROR(__xludf.DUMMYFUNCTION("""COMPUTED_VALUE"""),"Efectivo USD")</f>
        <v>Efectivo USD</v>
      </c>
      <c r="F588" s="22" t="str">
        <f>IFERROR(__xludf.DUMMYFUNCTION("""COMPUTED_VALUE"""),"DIADOMHAN AUTOMOTRIZ, C.A.")</f>
        <v>DIADOMHAN AUTOMOTRIZ, C.A.</v>
      </c>
      <c r="G588" s="19">
        <v>596.7824</v>
      </c>
      <c r="H588" s="13"/>
      <c r="I588" s="14">
        <f t="shared" si="1"/>
        <v>120</v>
      </c>
      <c r="J588" s="15">
        <f t="shared" si="2"/>
        <v>120</v>
      </c>
      <c r="K588" s="14">
        <f t="shared" si="3"/>
        <v>120</v>
      </c>
      <c r="L588" s="16" t="str">
        <f>IFERROR(__xludf.DUMMYFUNCTION("IFERROR(
  IF(
    VLOOKUP(C588, IMPORTRANGE(""gid=860555792"", ""Maestro!B:C""), 2, FALSE) = D588, 
    ""CONCILIADO"", 
    ""ERROR EN MONTO""
  ), 
  ""NO ENCONTRADO EN MAESTRO""
)"),"NO ENCONTRADO EN MAESTRO")</f>
        <v>NO ENCONTRADO EN MAESTRO</v>
      </c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ht="22.5" customHeight="1">
      <c r="A589" s="25">
        <f>IFERROR(__xludf.DUMMYFUNCTION("""COMPUTED_VALUE"""),46190.0)</f>
        <v>46190</v>
      </c>
      <c r="B589" s="15">
        <f>IFERROR(__xludf.DUMMYFUNCTION("""COMPUTED_VALUE"""),422.0)</f>
        <v>422</v>
      </c>
      <c r="C589" s="21">
        <f>IFERROR(__xludf.DUMMYFUNCTION("""COMPUTED_VALUE"""),66.0)</f>
        <v>66</v>
      </c>
      <c r="D589" s="22" t="str">
        <f>IFERROR(__xludf.DUMMYFUNCTION("""COMPUTED_VALUE"""),"USD")</f>
        <v>USD</v>
      </c>
      <c r="E589" s="22" t="str">
        <f>IFERROR(__xludf.DUMMYFUNCTION("""COMPUTED_VALUE"""),"Efectivo USD")</f>
        <v>Efectivo USD</v>
      </c>
      <c r="F589" s="22" t="str">
        <f>IFERROR(__xludf.DUMMYFUNCTION("""COMPUTED_VALUE"""),"INVERSIONES R&amp;C 1817, c.a.")</f>
        <v>INVERSIONES R&amp;C 1817, c.a.</v>
      </c>
      <c r="G589" s="19">
        <v>596.7824</v>
      </c>
      <c r="H589" s="13"/>
      <c r="I589" s="14">
        <f t="shared" si="1"/>
        <v>66</v>
      </c>
      <c r="J589" s="15">
        <f t="shared" si="2"/>
        <v>66</v>
      </c>
      <c r="K589" s="14">
        <f t="shared" si="3"/>
        <v>66</v>
      </c>
      <c r="L589" s="16" t="str">
        <f>IFERROR(__xludf.DUMMYFUNCTION("IFERROR(
  IF(
    VLOOKUP(C589, IMPORTRANGE(""gid=860555792"", ""Maestro!B:C""), 2, FALSE) = D589, 
    ""CONCILIADO"", 
    ""ERROR EN MONTO""
  ), 
  ""NO ENCONTRADO EN MAESTRO""
)"),"NO ENCONTRADO EN MAESTRO")</f>
        <v>NO ENCONTRADO EN MAESTRO</v>
      </c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ht="22.5" customHeight="1">
      <c r="A590" s="25">
        <f>IFERROR(__xludf.DUMMYFUNCTION("""COMPUTED_VALUE"""),46191.0)</f>
        <v>46191</v>
      </c>
      <c r="B590" s="15">
        <f>IFERROR(__xludf.DUMMYFUNCTION("""COMPUTED_VALUE"""),434.0)</f>
        <v>434</v>
      </c>
      <c r="C590" s="21">
        <f>IFERROR(__xludf.DUMMYFUNCTION("""COMPUTED_VALUE"""),68.0)</f>
        <v>68</v>
      </c>
      <c r="D590" s="22" t="str">
        <f>IFERROR(__xludf.DUMMYFUNCTION("""COMPUTED_VALUE"""),"USD")</f>
        <v>USD</v>
      </c>
      <c r="E590" s="22" t="str">
        <f>IFERROR(__xludf.DUMMYFUNCTION("""COMPUTED_VALUE"""),"Efectivo USD")</f>
        <v>Efectivo USD</v>
      </c>
      <c r="F590" s="22" t="str">
        <f>IFERROR(__xludf.DUMMYFUNCTION("""COMPUTED_VALUE"""),"EMPRENDIMIENTO FRANCISCO VEGAS 3")</f>
        <v>EMPRENDIMIENTO FRANCISCO VEGAS 3</v>
      </c>
      <c r="G590" s="19">
        <v>602.3324</v>
      </c>
      <c r="H590" s="13"/>
      <c r="I590" s="14">
        <f t="shared" si="1"/>
        <v>68</v>
      </c>
      <c r="J590" s="15">
        <f t="shared" si="2"/>
        <v>68</v>
      </c>
      <c r="K590" s="14">
        <f t="shared" si="3"/>
        <v>68</v>
      </c>
      <c r="L590" s="16" t="str">
        <f>IFERROR(__xludf.DUMMYFUNCTION("IFERROR(
  IF(
    VLOOKUP(C590, IMPORTRANGE(""gid=860555792"", ""Maestro!B:C""), 2, FALSE) = D590, 
    ""CONCILIADO"", 
    ""ERROR EN MONTO""
  ), 
  ""NO ENCONTRADO EN MAESTRO""
)"),"NO ENCONTRADO EN MAESTRO")</f>
        <v>NO ENCONTRADO EN MAESTRO</v>
      </c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ht="22.5" customHeight="1">
      <c r="A591" s="25">
        <f>IFERROR(__xludf.DUMMYFUNCTION("""COMPUTED_VALUE"""),46191.0)</f>
        <v>46191</v>
      </c>
      <c r="B591" s="15">
        <f>IFERROR(__xludf.DUMMYFUNCTION("""COMPUTED_VALUE"""),257.0)</f>
        <v>257</v>
      </c>
      <c r="C591" s="21">
        <f>IFERROR(__xludf.DUMMYFUNCTION("""COMPUTED_VALUE"""),100.0)</f>
        <v>100</v>
      </c>
      <c r="D591" s="22" t="str">
        <f>IFERROR(__xludf.DUMMYFUNCTION("""COMPUTED_VALUE"""),"USD")</f>
        <v>USD</v>
      </c>
      <c r="E591" s="22" t="str">
        <f>IFERROR(__xludf.DUMMYFUNCTION("""COMPUTED_VALUE"""),"Efectivo USD")</f>
        <v>Efectivo USD</v>
      </c>
      <c r="F591" s="22" t="str">
        <f>IFERROR(__xludf.DUMMYFUNCTION("""COMPUTED_VALUE"""),"AUTOREPUESTOS SION C.A.")</f>
        <v>AUTOREPUESTOS SION C.A.</v>
      </c>
      <c r="G591" s="19">
        <v>602.3324</v>
      </c>
      <c r="H591" s="13"/>
      <c r="I591" s="14">
        <f t="shared" si="1"/>
        <v>100</v>
      </c>
      <c r="J591" s="15">
        <f t="shared" si="2"/>
        <v>100</v>
      </c>
      <c r="K591" s="14">
        <f t="shared" si="3"/>
        <v>100</v>
      </c>
      <c r="L591" s="16" t="str">
        <f>IFERROR(__xludf.DUMMYFUNCTION("IFERROR(
  IF(
    VLOOKUP(C591, IMPORTRANGE(""gid=860555792"", ""Maestro!B:C""), 2, FALSE) = D591, 
    ""CONCILIADO"", 
    ""ERROR EN MONTO""
  ), 
  ""NO ENCONTRADO EN MAESTRO""
)"),"NO ENCONTRADO EN MAESTRO")</f>
        <v>NO ENCONTRADO EN MAESTRO</v>
      </c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ht="22.5" customHeight="1">
      <c r="A592" s="25">
        <f>IFERROR(__xludf.DUMMYFUNCTION("""COMPUTED_VALUE"""),46191.0)</f>
        <v>46191</v>
      </c>
      <c r="B592" s="15">
        <f>IFERROR(__xludf.DUMMYFUNCTION("""COMPUTED_VALUE"""),243.0)</f>
        <v>243</v>
      </c>
      <c r="C592" s="21">
        <f>IFERROR(__xludf.DUMMYFUNCTION("""COMPUTED_VALUE"""),30000.0)</f>
        <v>30000</v>
      </c>
      <c r="D592" s="22" t="str">
        <f>IFERROR(__xludf.DUMMYFUNCTION("""COMPUTED_VALUE"""),"VES")</f>
        <v>VES</v>
      </c>
      <c r="E592" s="22" t="str">
        <f>IFERROR(__xludf.DUMMYFUNCTION("""COMPUTED_VALUE"""),"Bancamiga")</f>
        <v>Bancamiga</v>
      </c>
      <c r="F592" s="22" t="str">
        <f>IFERROR(__xludf.DUMMYFUNCTION("""COMPUTED_VALUE"""),"Cauchera William 2018, C.A")</f>
        <v>Cauchera William 2018, C.A</v>
      </c>
      <c r="G592" s="19">
        <v>602.3324</v>
      </c>
      <c r="H592" s="13"/>
      <c r="I592" s="14">
        <f t="shared" si="1"/>
        <v>49.80638598</v>
      </c>
      <c r="J592" s="15">
        <f t="shared" si="2"/>
        <v>0</v>
      </c>
      <c r="K592" s="14">
        <f t="shared" si="3"/>
        <v>49.80638598</v>
      </c>
      <c r="L592" s="16" t="str">
        <f>IFERROR(__xludf.DUMMYFUNCTION("IFERROR(
  IF(
    VLOOKUP(C592, IMPORTRANGE(""gid=860555792"", ""Maestro!B:C""), 2, FALSE) = D592, 
    ""CONCILIADO"", 
    ""ERROR EN MONTO""
  ), 
  ""NO ENCONTRADO EN MAESTRO""
)"),"NO ENCONTRADO EN MAESTRO")</f>
        <v>NO ENCONTRADO EN MAESTRO</v>
      </c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ht="22.5" customHeight="1">
      <c r="A593" s="25">
        <f>IFERROR(__xludf.DUMMYFUNCTION("""COMPUTED_VALUE"""),46191.0)</f>
        <v>46191</v>
      </c>
      <c r="B593" s="15">
        <f>IFERROR(__xludf.DUMMYFUNCTION("""COMPUTED_VALUE"""),265.0)</f>
        <v>265</v>
      </c>
      <c r="C593" s="21">
        <f>IFERROR(__xludf.DUMMYFUNCTION("""COMPUTED_VALUE"""),15.0)</f>
        <v>15</v>
      </c>
      <c r="D593" s="22" t="str">
        <f>IFERROR(__xludf.DUMMYFUNCTION("""COMPUTED_VALUE"""),"USD")</f>
        <v>USD</v>
      </c>
      <c r="E593" s="22" t="str">
        <f>IFERROR(__xludf.DUMMYFUNCTION("""COMPUTED_VALUE"""),"Efectivo USD")</f>
        <v>Efectivo USD</v>
      </c>
      <c r="F593" s="22" t="str">
        <f>IFERROR(__xludf.DUMMYFUNCTION("""COMPUTED_VALUE"""),"Repuestos Guia Dios Nuestro Camino,c.a.")</f>
        <v>Repuestos Guia Dios Nuestro Camino,c.a.</v>
      </c>
      <c r="G593" s="19">
        <v>602.3324</v>
      </c>
      <c r="H593" s="13"/>
      <c r="I593" s="14">
        <f t="shared" si="1"/>
        <v>15</v>
      </c>
      <c r="J593" s="15">
        <f t="shared" si="2"/>
        <v>15</v>
      </c>
      <c r="K593" s="14">
        <f t="shared" si="3"/>
        <v>15</v>
      </c>
      <c r="L593" s="16" t="str">
        <f>IFERROR(__xludf.DUMMYFUNCTION("IFERROR(
  IF(
    VLOOKUP(C593, IMPORTRANGE(""gid=860555792"", ""Maestro!B:C""), 2, FALSE) = D593, 
    ""CONCILIADO"", 
    ""ERROR EN MONTO""
  ), 
  ""NO ENCONTRADO EN MAESTRO""
)"),"NO ENCONTRADO EN MAESTRO")</f>
        <v>NO ENCONTRADO EN MAESTRO</v>
      </c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ht="22.5" customHeight="1">
      <c r="A594" s="25">
        <f>IFERROR(__xludf.DUMMYFUNCTION("""COMPUTED_VALUE"""),46191.0)</f>
        <v>46191</v>
      </c>
      <c r="B594" s="15">
        <f>IFERROR(__xludf.DUMMYFUNCTION("""COMPUTED_VALUE"""),264.0)</f>
        <v>264</v>
      </c>
      <c r="C594" s="21">
        <f>IFERROR(__xludf.DUMMYFUNCTION("""COMPUTED_VALUE"""),20.0)</f>
        <v>20</v>
      </c>
      <c r="D594" s="22" t="str">
        <f>IFERROR(__xludf.DUMMYFUNCTION("""COMPUTED_VALUE"""),"USD")</f>
        <v>USD</v>
      </c>
      <c r="E594" s="22" t="str">
        <f>IFERROR(__xludf.DUMMYFUNCTION("""COMPUTED_VALUE"""),"Efectivo USD")</f>
        <v>Efectivo USD</v>
      </c>
      <c r="F594" s="22" t="str">
        <f>IFERROR(__xludf.DUMMYFUNCTION("""COMPUTED_VALUE"""),"Inversiones Los compadres 7686, c.a.")</f>
        <v>Inversiones Los compadres 7686, c.a.</v>
      </c>
      <c r="G594" s="19">
        <v>602.3324</v>
      </c>
      <c r="H594" s="13"/>
      <c r="I594" s="14">
        <f t="shared" si="1"/>
        <v>20</v>
      </c>
      <c r="J594" s="15">
        <f t="shared" si="2"/>
        <v>20</v>
      </c>
      <c r="K594" s="14">
        <f t="shared" si="3"/>
        <v>20</v>
      </c>
      <c r="L594" s="16" t="str">
        <f>IFERROR(__xludf.DUMMYFUNCTION("IFERROR(
  IF(
    VLOOKUP(C594, IMPORTRANGE(""gid=860555792"", ""Maestro!B:C""), 2, FALSE) = D594, 
    ""CONCILIADO"", 
    ""ERROR EN MONTO""
  ), 
  ""NO ENCONTRADO EN MAESTRO""
)"),"NO ENCONTRADO EN MAESTRO")</f>
        <v>NO ENCONTRADO EN MAESTRO</v>
      </c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ht="22.5" customHeight="1">
      <c r="A595" s="25">
        <f>IFERROR(__xludf.DUMMYFUNCTION("""COMPUTED_VALUE"""),46191.0)</f>
        <v>46191</v>
      </c>
      <c r="B595" s="15">
        <f>IFERROR(__xludf.DUMMYFUNCTION("""COMPUTED_VALUE"""),475.0)</f>
        <v>475</v>
      </c>
      <c r="C595" s="21">
        <f>IFERROR(__xludf.DUMMYFUNCTION("""COMPUTED_VALUE"""),20.0)</f>
        <v>20</v>
      </c>
      <c r="D595" s="22" t="str">
        <f>IFERROR(__xludf.DUMMYFUNCTION("""COMPUTED_VALUE"""),"USD")</f>
        <v>USD</v>
      </c>
      <c r="E595" s="22" t="str">
        <f>IFERROR(__xludf.DUMMYFUNCTION("""COMPUTED_VALUE"""),"Efectivo USD")</f>
        <v>Efectivo USD</v>
      </c>
      <c r="F595" s="22" t="str">
        <f>IFERROR(__xludf.DUMMYFUNCTION("""COMPUTED_VALUE"""),"Emprendimiento Eduardo Pérez 6")</f>
        <v>Emprendimiento Eduardo Pérez 6</v>
      </c>
      <c r="G595" s="19">
        <v>602.3324</v>
      </c>
      <c r="H595" s="13"/>
      <c r="I595" s="14">
        <f t="shared" si="1"/>
        <v>20</v>
      </c>
      <c r="J595" s="15">
        <f t="shared" si="2"/>
        <v>20</v>
      </c>
      <c r="K595" s="14">
        <f t="shared" si="3"/>
        <v>20</v>
      </c>
      <c r="L595" s="16" t="str">
        <f>IFERROR(__xludf.DUMMYFUNCTION("IFERROR(
  IF(
    VLOOKUP(C595, IMPORTRANGE(""gid=860555792"", ""Maestro!B:C""), 2, FALSE) = D595, 
    ""CONCILIADO"", 
    ""ERROR EN MONTO""
  ), 
  ""NO ENCONTRADO EN MAESTRO""
)"),"NO ENCONTRADO EN MAESTRO")</f>
        <v>NO ENCONTRADO EN MAESTRO</v>
      </c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ht="22.5" customHeight="1">
      <c r="A596" s="25">
        <f>IFERROR(__xludf.DUMMYFUNCTION("""COMPUTED_VALUE"""),46191.0)</f>
        <v>46191</v>
      </c>
      <c r="B596" s="15">
        <f>IFERROR(__xludf.DUMMYFUNCTION("""COMPUTED_VALUE"""),36.0)</f>
        <v>36</v>
      </c>
      <c r="C596" s="21">
        <f>IFERROR(__xludf.DUMMYFUNCTION("""COMPUTED_VALUE"""),27928.95)</f>
        <v>27928.95</v>
      </c>
      <c r="D596" s="22" t="str">
        <f>IFERROR(__xludf.DUMMYFUNCTION("""COMPUTED_VALUE"""),"VES")</f>
        <v>VES</v>
      </c>
      <c r="E596" s="22" t="str">
        <f>IFERROR(__xludf.DUMMYFUNCTION("""COMPUTED_VALUE"""),"Bancamiga")</f>
        <v>Bancamiga</v>
      </c>
      <c r="F596" s="22" t="str">
        <f>IFERROR(__xludf.DUMMYFUNCTION("""COMPUTED_VALUE"""),"inversiones El Gran Charles C.A")</f>
        <v>inversiones El Gran Charles C.A</v>
      </c>
      <c r="G596" s="19">
        <v>602.3324</v>
      </c>
      <c r="H596" s="13"/>
      <c r="I596" s="14">
        <f t="shared" si="1"/>
        <v>46.36800212</v>
      </c>
      <c r="J596" s="15">
        <f t="shared" si="2"/>
        <v>0</v>
      </c>
      <c r="K596" s="14">
        <f t="shared" si="3"/>
        <v>46.36800212</v>
      </c>
      <c r="L596" s="16" t="str">
        <f>IFERROR(__xludf.DUMMYFUNCTION("IFERROR(
  IF(
    VLOOKUP(C596, IMPORTRANGE(""gid=860555792"", ""Maestro!B:C""), 2, FALSE) = D596, 
    ""CONCILIADO"", 
    ""ERROR EN MONTO""
  ), 
  ""NO ENCONTRADO EN MAESTRO""
)"),"NO ENCONTRADO EN MAESTRO")</f>
        <v>NO ENCONTRADO EN MAESTRO</v>
      </c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ht="22.5" customHeight="1">
      <c r="A597" s="25">
        <f>IFERROR(__xludf.DUMMYFUNCTION("""COMPUTED_VALUE"""),46192.0)</f>
        <v>46192</v>
      </c>
      <c r="B597" s="15">
        <f>IFERROR(__xludf.DUMMYFUNCTION("""COMPUTED_VALUE"""),209.0)</f>
        <v>209</v>
      </c>
      <c r="C597" s="21">
        <f>IFERROR(__xludf.DUMMYFUNCTION("""COMPUTED_VALUE"""),50.0)</f>
        <v>50</v>
      </c>
      <c r="D597" s="22" t="str">
        <f>IFERROR(__xludf.DUMMYFUNCTION("""COMPUTED_VALUE"""),"USD")</f>
        <v>USD</v>
      </c>
      <c r="E597" s="22" t="str">
        <f>IFERROR(__xludf.DUMMYFUNCTION("""COMPUTED_VALUE"""),"Efectivo USD")</f>
        <v>Efectivo USD</v>
      </c>
      <c r="F597" s="22" t="str">
        <f>IFERROR(__xludf.DUMMYFUNCTION("""COMPUTED_VALUE"""),"Inversiones Mirelkys C.A")</f>
        <v>Inversiones Mirelkys C.A</v>
      </c>
      <c r="G597" s="19">
        <v>607.3919</v>
      </c>
      <c r="H597" s="13"/>
      <c r="I597" s="14">
        <f t="shared" si="1"/>
        <v>50</v>
      </c>
      <c r="J597" s="15">
        <f t="shared" si="2"/>
        <v>50</v>
      </c>
      <c r="K597" s="14">
        <f t="shared" si="3"/>
        <v>50</v>
      </c>
      <c r="L597" s="16" t="str">
        <f>IFERROR(__xludf.DUMMYFUNCTION("IFERROR(
  IF(
    VLOOKUP(C597, IMPORTRANGE(""gid=860555792"", ""Maestro!B:C""), 2, FALSE) = D597, 
    ""CONCILIADO"", 
    ""ERROR EN MONTO""
  ), 
  ""NO ENCONTRADO EN MAESTRO""
)"),"NO ENCONTRADO EN MAESTRO")</f>
        <v>NO ENCONTRADO EN MAESTRO</v>
      </c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ht="22.5" customHeight="1">
      <c r="A598" s="25">
        <f>IFERROR(__xludf.DUMMYFUNCTION("""COMPUTED_VALUE"""),46192.0)</f>
        <v>46192</v>
      </c>
      <c r="B598" s="15">
        <f>IFERROR(__xludf.DUMMYFUNCTION("""COMPUTED_VALUE"""),44.0)</f>
        <v>44</v>
      </c>
      <c r="C598" s="21">
        <f>IFERROR(__xludf.DUMMYFUNCTION("""COMPUTED_VALUE"""),100.0)</f>
        <v>100</v>
      </c>
      <c r="D598" s="22" t="str">
        <f>IFERROR(__xludf.DUMMYFUNCTION("""COMPUTED_VALUE"""),"USD")</f>
        <v>USD</v>
      </c>
      <c r="E598" s="22" t="str">
        <f>IFERROR(__xludf.DUMMYFUNCTION("""COMPUTED_VALUE"""),"Efectivo USD")</f>
        <v>Efectivo USD</v>
      </c>
      <c r="F598" s="22" t="str">
        <f>IFERROR(__xludf.DUMMYFUNCTION("""COMPUTED_VALUE"""),"Comercializadora Garabote")</f>
        <v>Comercializadora Garabote</v>
      </c>
      <c r="G598" s="19">
        <v>607.3919</v>
      </c>
      <c r="H598" s="13"/>
      <c r="I598" s="14">
        <f t="shared" si="1"/>
        <v>100</v>
      </c>
      <c r="J598" s="15">
        <f t="shared" si="2"/>
        <v>100</v>
      </c>
      <c r="K598" s="14">
        <f t="shared" si="3"/>
        <v>100</v>
      </c>
      <c r="L598" s="16" t="str">
        <f>IFERROR(__xludf.DUMMYFUNCTION("IFERROR(
  IF(
    VLOOKUP(C598, IMPORTRANGE(""gid=860555792"", ""Maestro!B:C""), 2, FALSE) = D598, 
    ""CONCILIADO"", 
    ""ERROR EN MONTO""
  ), 
  ""NO ENCONTRADO EN MAESTRO""
)"),"NO ENCONTRADO EN MAESTRO")</f>
        <v>NO ENCONTRADO EN MAESTRO</v>
      </c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ht="22.5" customHeight="1">
      <c r="A599" s="25">
        <f>IFERROR(__xludf.DUMMYFUNCTION("""COMPUTED_VALUE"""),46192.0)</f>
        <v>46192</v>
      </c>
      <c r="B599" s="15">
        <f>IFERROR(__xludf.DUMMYFUNCTION("""COMPUTED_VALUE"""),27.0)</f>
        <v>27</v>
      </c>
      <c r="C599" s="21">
        <f>IFERROR(__xludf.DUMMYFUNCTION("""COMPUTED_VALUE"""),20.0)</f>
        <v>20</v>
      </c>
      <c r="D599" s="22" t="str">
        <f>IFERROR(__xludf.DUMMYFUNCTION("""COMPUTED_VALUE"""),"USD")</f>
        <v>USD</v>
      </c>
      <c r="E599" s="22" t="str">
        <f>IFERROR(__xludf.DUMMYFUNCTION("""COMPUTED_VALUE"""),"Efectivo USD")</f>
        <v>Efectivo USD</v>
      </c>
      <c r="F599" s="22" t="str">
        <f>IFERROR(__xludf.DUMMYFUNCTION("""COMPUTED_VALUE"""),"Moises Alejandro Mares")</f>
        <v>Moises Alejandro Mares</v>
      </c>
      <c r="G599" s="19">
        <v>607.3919</v>
      </c>
      <c r="H599" s="13"/>
      <c r="I599" s="14">
        <f t="shared" si="1"/>
        <v>20</v>
      </c>
      <c r="J599" s="15">
        <f t="shared" si="2"/>
        <v>20</v>
      </c>
      <c r="K599" s="14">
        <f t="shared" si="3"/>
        <v>20</v>
      </c>
      <c r="L599" s="16" t="str">
        <f>IFERROR(__xludf.DUMMYFUNCTION("IFERROR(
  IF(
    VLOOKUP(C599, IMPORTRANGE(""gid=860555792"", ""Maestro!B:C""), 2, FALSE) = D599, 
    ""CONCILIADO"", 
    ""ERROR EN MONTO""
  ), 
  ""NO ENCONTRADO EN MAESTRO""
)"),"NO ENCONTRADO EN MAESTRO")</f>
        <v>NO ENCONTRADO EN MAESTRO</v>
      </c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ht="22.5" customHeight="1">
      <c r="A600" s="25">
        <f>IFERROR(__xludf.DUMMYFUNCTION("""COMPUTED_VALUE"""),46192.0)</f>
        <v>46192</v>
      </c>
      <c r="B600" s="15">
        <f>IFERROR(__xludf.DUMMYFUNCTION("""COMPUTED_VALUE"""),503.0)</f>
        <v>503</v>
      </c>
      <c r="C600" s="21">
        <f>IFERROR(__xludf.DUMMYFUNCTION("""COMPUTED_VALUE"""),61390.52)</f>
        <v>61390.52</v>
      </c>
      <c r="D600" s="22" t="str">
        <f>IFERROR(__xludf.DUMMYFUNCTION("""COMPUTED_VALUE"""),"VES")</f>
        <v>VES</v>
      </c>
      <c r="E600" s="22" t="str">
        <f>IFERROR(__xludf.DUMMYFUNCTION("""COMPUTED_VALUE"""),"Bancamiga")</f>
        <v>Bancamiga</v>
      </c>
      <c r="F600" s="22" t="str">
        <f>IFERROR(__xludf.DUMMYFUNCTION("""COMPUTED_VALUE"""),"Inversiones maxgad &amp; ef")</f>
        <v>Inversiones maxgad &amp; ef</v>
      </c>
      <c r="G600" s="19">
        <v>607.33919</v>
      </c>
      <c r="H600" s="13"/>
      <c r="I600" s="14">
        <f t="shared" si="1"/>
        <v>101.0811109</v>
      </c>
      <c r="J600" s="15">
        <f t="shared" si="2"/>
        <v>0</v>
      </c>
      <c r="K600" s="14">
        <f t="shared" si="3"/>
        <v>101.0811109</v>
      </c>
      <c r="L600" s="16" t="str">
        <f>IFERROR(__xludf.DUMMYFUNCTION("IFERROR(
  IF(
    VLOOKUP(C600, IMPORTRANGE(""gid=860555792"", ""Maestro!B:C""), 2, FALSE) = D600, 
    ""CONCILIADO"", 
    ""ERROR EN MONTO""
  ), 
  ""NO ENCONTRADO EN MAESTRO""
)"),"NO ENCONTRADO EN MAESTRO")</f>
        <v>NO ENCONTRADO EN MAESTRO</v>
      </c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ht="22.5" customHeight="1">
      <c r="A601" s="25">
        <f>IFERROR(__xludf.DUMMYFUNCTION("""COMPUTED_VALUE"""),46192.0)</f>
        <v>46192</v>
      </c>
      <c r="B601" s="15">
        <f>IFERROR(__xludf.DUMMYFUNCTION("""COMPUTED_VALUE"""),429.0)</f>
        <v>429</v>
      </c>
      <c r="C601" s="21">
        <f>IFERROR(__xludf.DUMMYFUNCTION("""COMPUTED_VALUE"""),100.0)</f>
        <v>100</v>
      </c>
      <c r="D601" s="22" t="str">
        <f>IFERROR(__xludf.DUMMYFUNCTION("""COMPUTED_VALUE"""),"USD")</f>
        <v>USD</v>
      </c>
      <c r="E601" s="22" t="str">
        <f>IFERROR(__xludf.DUMMYFUNCTION("""COMPUTED_VALUE"""),"Efectivo USD")</f>
        <v>Efectivo USD</v>
      </c>
      <c r="F601" s="22" t="str">
        <f>IFERROR(__xludf.DUMMYFUNCTION("""COMPUTED_VALUE"""),"INVERSIONES SM 2191, C.A.")</f>
        <v>INVERSIONES SM 2191, C.A.</v>
      </c>
      <c r="G601" s="19">
        <v>607.3919</v>
      </c>
      <c r="H601" s="13"/>
      <c r="I601" s="14">
        <f t="shared" si="1"/>
        <v>100</v>
      </c>
      <c r="J601" s="15">
        <f t="shared" si="2"/>
        <v>100</v>
      </c>
      <c r="K601" s="14">
        <f t="shared" si="3"/>
        <v>100</v>
      </c>
      <c r="L601" s="16" t="str">
        <f>IFERROR(__xludf.DUMMYFUNCTION("IFERROR(
  IF(
    VLOOKUP(C601, IMPORTRANGE(""gid=860555792"", ""Maestro!B:C""), 2, FALSE) = D601, 
    ""CONCILIADO"", 
    ""ERROR EN MONTO""
  ), 
  ""NO ENCONTRADO EN MAESTRO""
)"),"NO ENCONTRADO EN MAESTRO")</f>
        <v>NO ENCONTRADO EN MAESTRO</v>
      </c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ht="22.5" customHeight="1">
      <c r="A602" s="25">
        <f>IFERROR(__xludf.DUMMYFUNCTION("""COMPUTED_VALUE"""),46192.0)</f>
        <v>46192</v>
      </c>
      <c r="B602" s="15">
        <f>IFERROR(__xludf.DUMMYFUNCTION("""COMPUTED_VALUE"""),439.0)</f>
        <v>439</v>
      </c>
      <c r="C602" s="21">
        <f>IFERROR(__xludf.DUMMYFUNCTION("""COMPUTED_VALUE"""),40.0)</f>
        <v>40</v>
      </c>
      <c r="D602" s="22" t="str">
        <f>IFERROR(__xludf.DUMMYFUNCTION("""COMPUTED_VALUE"""),"USD")</f>
        <v>USD</v>
      </c>
      <c r="E602" s="22" t="str">
        <f>IFERROR(__xludf.DUMMYFUNCTION("""COMPUTED_VALUE"""),"Efectivo USD")</f>
        <v>Efectivo USD</v>
      </c>
      <c r="F602" s="22" t="str">
        <f>IFERROR(__xludf.DUMMYFUNCTION("""COMPUTED_VALUE"""),"MOTOREPUESTOS EL GUANÁBANO YRM C.A.")</f>
        <v>MOTOREPUESTOS EL GUANÁBANO YRM C.A.</v>
      </c>
      <c r="G602" s="19">
        <v>607.3919</v>
      </c>
      <c r="H602" s="13"/>
      <c r="I602" s="14">
        <f t="shared" si="1"/>
        <v>40</v>
      </c>
      <c r="J602" s="15">
        <f t="shared" si="2"/>
        <v>40</v>
      </c>
      <c r="K602" s="14">
        <f t="shared" si="3"/>
        <v>40</v>
      </c>
      <c r="L602" s="16" t="str">
        <f>IFERROR(__xludf.DUMMYFUNCTION("IFERROR(
  IF(
    VLOOKUP(C602, IMPORTRANGE(""gid=860555792"", ""Maestro!B:C""), 2, FALSE) = D602, 
    ""CONCILIADO"", 
    ""ERROR EN MONTO""
  ), 
  ""NO ENCONTRADO EN MAESTRO""
)"),"NO ENCONTRADO EN MAESTRO")</f>
        <v>NO ENCONTRADO EN MAESTRO</v>
      </c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ht="22.5" customHeight="1">
      <c r="A603" s="25">
        <f>IFERROR(__xludf.DUMMYFUNCTION("""COMPUTED_VALUE"""),46190.0)</f>
        <v>46190</v>
      </c>
      <c r="B603" s="15">
        <f>IFERROR(__xludf.DUMMYFUNCTION("""COMPUTED_VALUE"""),489.0)</f>
        <v>489</v>
      </c>
      <c r="C603" s="21">
        <f>IFERROR(__xludf.DUMMYFUNCTION("""COMPUTED_VALUE"""),265346.29)</f>
        <v>265346.29</v>
      </c>
      <c r="D603" s="22" t="str">
        <f>IFERROR(__xludf.DUMMYFUNCTION("""COMPUTED_VALUE"""),"VES")</f>
        <v>VES</v>
      </c>
      <c r="E603" s="22" t="str">
        <f>IFERROR(__xludf.DUMMYFUNCTION("""COMPUTED_VALUE"""),"Bancamiga")</f>
        <v>Bancamiga</v>
      </c>
      <c r="F603" s="22" t="str">
        <f>IFERROR(__xludf.DUMMYFUNCTION("""COMPUTED_VALUE"""),"Cauchera El Gordo 0410,c.a.")</f>
        <v>Cauchera El Gordo 0410,c.a.</v>
      </c>
      <c r="G603" s="19">
        <v>596.7824</v>
      </c>
      <c r="H603" s="13"/>
      <c r="I603" s="14">
        <f t="shared" si="1"/>
        <v>444.6282095</v>
      </c>
      <c r="J603" s="15">
        <f t="shared" si="2"/>
        <v>0</v>
      </c>
      <c r="K603" s="14">
        <f t="shared" si="3"/>
        <v>444.6282095</v>
      </c>
      <c r="L603" s="16" t="str">
        <f>IFERROR(__xludf.DUMMYFUNCTION("IFERROR(
  IF(
    VLOOKUP(C603, IMPORTRANGE(""gid=860555792"", ""Maestro!B:C""), 2, FALSE) = D603, 
    ""CONCILIADO"", 
    ""ERROR EN MONTO""
  ), 
  ""NO ENCONTRADO EN MAESTRO""
)"),"NO ENCONTRADO EN MAESTRO")</f>
        <v>NO ENCONTRADO EN MAESTRO</v>
      </c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ht="22.5" customHeight="1">
      <c r="A604" s="25">
        <f>IFERROR(__xludf.DUMMYFUNCTION("""COMPUTED_VALUE"""),46192.0)</f>
        <v>46192</v>
      </c>
      <c r="B604" s="15">
        <f>IFERROR(__xludf.DUMMYFUNCTION("""COMPUTED_VALUE"""),380.0)</f>
        <v>380</v>
      </c>
      <c r="C604" s="21">
        <f>IFERROR(__xludf.DUMMYFUNCTION("""COMPUTED_VALUE"""),39.0)</f>
        <v>39</v>
      </c>
      <c r="D604" s="22" t="str">
        <f>IFERROR(__xludf.DUMMYFUNCTION("""COMPUTED_VALUE"""),"USD")</f>
        <v>USD</v>
      </c>
      <c r="E604" s="22" t="str">
        <f>IFERROR(__xludf.DUMMYFUNCTION("""COMPUTED_VALUE"""),"Efectivo USD")</f>
        <v>Efectivo USD</v>
      </c>
      <c r="F604" s="22" t="str">
        <f>IFERROR(__xludf.DUMMYFUNCTION("""COMPUTED_VALUE"""),"Junior Marco Antonio Vivas Navas")</f>
        <v>Junior Marco Antonio Vivas Navas</v>
      </c>
      <c r="G604" s="19">
        <v>607.3919</v>
      </c>
      <c r="H604" s="13"/>
      <c r="I604" s="14">
        <f t="shared" si="1"/>
        <v>39</v>
      </c>
      <c r="J604" s="15">
        <f t="shared" si="2"/>
        <v>39</v>
      </c>
      <c r="K604" s="14">
        <f t="shared" si="3"/>
        <v>39</v>
      </c>
      <c r="L604" s="16" t="str">
        <f>IFERROR(__xludf.DUMMYFUNCTION("IFERROR(
  IF(
    VLOOKUP(C604, IMPORTRANGE(""gid=860555792"", ""Maestro!B:C""), 2, FALSE) = D604, 
    ""CONCILIADO"", 
    ""ERROR EN MONTO""
  ), 
  ""NO ENCONTRADO EN MAESTRO""
)"),"NO ENCONTRADO EN MAESTRO")</f>
        <v>NO ENCONTRADO EN MAESTRO</v>
      </c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ht="22.5" customHeight="1">
      <c r="A605" s="25">
        <f>IFERROR(__xludf.DUMMYFUNCTION("""COMPUTED_VALUE"""),46192.0)</f>
        <v>46192</v>
      </c>
      <c r="B605" s="15">
        <f>IFERROR(__xludf.DUMMYFUNCTION("""COMPUTED_VALUE"""),133.0)</f>
        <v>133</v>
      </c>
      <c r="C605" s="21">
        <f>IFERROR(__xludf.DUMMYFUNCTION("""COMPUTED_VALUE"""),500.0)</f>
        <v>500</v>
      </c>
      <c r="D605" s="22" t="str">
        <f>IFERROR(__xludf.DUMMYFUNCTION("""COMPUTED_VALUE"""),"USD")</f>
        <v>USD</v>
      </c>
      <c r="E605" s="22" t="str">
        <f>IFERROR(__xludf.DUMMYFUNCTION("""COMPUTED_VALUE"""),"Efectivo USD")</f>
        <v>Efectivo USD</v>
      </c>
      <c r="F605" s="22" t="str">
        <f>IFERROR(__xludf.DUMMYFUNCTION("""COMPUTED_VALUE"""),"Inversiones La Bendición del Nazareno, C.A")</f>
        <v>Inversiones La Bendición del Nazareno, C.A</v>
      </c>
      <c r="G605" s="19">
        <v>607.3919</v>
      </c>
      <c r="H605" s="13"/>
      <c r="I605" s="14">
        <f t="shared" si="1"/>
        <v>500</v>
      </c>
      <c r="J605" s="15">
        <f t="shared" si="2"/>
        <v>500</v>
      </c>
      <c r="K605" s="14">
        <f t="shared" si="3"/>
        <v>500</v>
      </c>
      <c r="L605" s="16" t="str">
        <f>IFERROR(__xludf.DUMMYFUNCTION("IFERROR(
  IF(
    VLOOKUP(C605, IMPORTRANGE(""gid=860555792"", ""Maestro!B:C""), 2, FALSE) = D605, 
    ""CONCILIADO"", 
    ""ERROR EN MONTO""
  ), 
  ""NO ENCONTRADO EN MAESTRO""
)"),"NO ENCONTRADO EN MAESTRO")</f>
        <v>NO ENCONTRADO EN MAESTRO</v>
      </c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ht="22.5" customHeight="1">
      <c r="A606" s="25">
        <f>IFERROR(__xludf.DUMMYFUNCTION("""COMPUTED_VALUE"""),46192.0)</f>
        <v>46192</v>
      </c>
      <c r="B606" s="15">
        <f>IFERROR(__xludf.DUMMYFUNCTION("""COMPUTED_VALUE"""),129.0)</f>
        <v>129</v>
      </c>
      <c r="C606" s="21">
        <f>IFERROR(__xludf.DUMMYFUNCTION("""COMPUTED_VALUE"""),80.0)</f>
        <v>80</v>
      </c>
      <c r="D606" s="22" t="str">
        <f>IFERROR(__xludf.DUMMYFUNCTION("""COMPUTED_VALUE"""),"USD")</f>
        <v>USD</v>
      </c>
      <c r="E606" s="22" t="str">
        <f>IFERROR(__xludf.DUMMYFUNCTION("""COMPUTED_VALUE"""),"Efectivo USD")</f>
        <v>Efectivo USD</v>
      </c>
      <c r="F606" s="22" t="str">
        <f>IFERROR(__xludf.DUMMYFUNCTION("""COMPUTED_VALUE"""),"Emprendimiento Jordy Valencia")</f>
        <v>Emprendimiento Jordy Valencia</v>
      </c>
      <c r="G606" s="19">
        <v>607.3919</v>
      </c>
      <c r="H606" s="13"/>
      <c r="I606" s="14">
        <f t="shared" si="1"/>
        <v>80</v>
      </c>
      <c r="J606" s="15">
        <f t="shared" si="2"/>
        <v>80</v>
      </c>
      <c r="K606" s="14">
        <f t="shared" si="3"/>
        <v>80</v>
      </c>
      <c r="L606" s="16" t="str">
        <f>IFERROR(__xludf.DUMMYFUNCTION("IFERROR(
  IF(
    VLOOKUP(C606, IMPORTRANGE(""gid=860555792"", ""Maestro!B:C""), 2, FALSE) = D606, 
    ""CONCILIADO"", 
    ""ERROR EN MONTO""
  ), 
  ""NO ENCONTRADO EN MAESTRO""
)"),"NO ENCONTRADO EN MAESTRO")</f>
        <v>NO ENCONTRADO EN MAESTRO</v>
      </c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ht="22.5" customHeight="1">
      <c r="A607" s="25">
        <f>IFERROR(__xludf.DUMMYFUNCTION("""COMPUTED_VALUE"""),46192.0)</f>
        <v>46192</v>
      </c>
      <c r="B607" s="15">
        <f>IFERROR(__xludf.DUMMYFUNCTION("""COMPUTED_VALUE"""),542.0)</f>
        <v>542</v>
      </c>
      <c r="C607" s="21">
        <f>IFERROR(__xludf.DUMMYFUNCTION("""COMPUTED_VALUE"""),700.0)</f>
        <v>700</v>
      </c>
      <c r="D607" s="22" t="str">
        <f>IFERROR(__xludf.DUMMYFUNCTION("""COMPUTED_VALUE"""),"USD")</f>
        <v>USD</v>
      </c>
      <c r="E607" s="22" t="str">
        <f>IFERROR(__xludf.DUMMYFUNCTION("""COMPUTED_VALUE"""),"Efectivo USD")</f>
        <v>Efectivo USD</v>
      </c>
      <c r="F607" s="22" t="str">
        <f>IFERROR(__xludf.DUMMYFUNCTION("""COMPUTED_VALUE"""),"Alexander Quiroz")</f>
        <v>Alexander Quiroz</v>
      </c>
      <c r="G607" s="19">
        <v>607.3919</v>
      </c>
      <c r="H607" s="13"/>
      <c r="I607" s="14">
        <f t="shared" si="1"/>
        <v>700</v>
      </c>
      <c r="J607" s="15">
        <f t="shared" si="2"/>
        <v>700</v>
      </c>
      <c r="K607" s="14">
        <f t="shared" si="3"/>
        <v>700</v>
      </c>
      <c r="L607" s="16" t="str">
        <f>IFERROR(__xludf.DUMMYFUNCTION("IFERROR(
  IF(
    VLOOKUP(C607, IMPORTRANGE(""gid=860555792"", ""Maestro!B:C""), 2, FALSE) = D607, 
    ""CONCILIADO"", 
    ""ERROR EN MONTO""
  ), 
  ""NO ENCONTRADO EN MAESTRO""
)"),"NO ENCONTRADO EN MAESTRO")</f>
        <v>NO ENCONTRADO EN MAESTRO</v>
      </c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ht="22.5" customHeight="1">
      <c r="A608" s="25">
        <f>IFERROR(__xludf.DUMMYFUNCTION("""COMPUTED_VALUE"""),46192.0)</f>
        <v>46192</v>
      </c>
      <c r="B608" s="15">
        <f>IFERROR(__xludf.DUMMYFUNCTION("""COMPUTED_VALUE"""),585.0)</f>
        <v>585</v>
      </c>
      <c r="C608" s="21">
        <f>IFERROR(__xludf.DUMMYFUNCTION("""COMPUTED_VALUE"""),390.0)</f>
        <v>390</v>
      </c>
      <c r="D608" s="22" t="str">
        <f>IFERROR(__xludf.DUMMYFUNCTION("""COMPUTED_VALUE"""),"USD")</f>
        <v>USD</v>
      </c>
      <c r="E608" s="22" t="str">
        <f>IFERROR(__xludf.DUMMYFUNCTION("""COMPUTED_VALUE"""),"Efectivo USD")</f>
        <v>Efectivo USD</v>
      </c>
      <c r="F608" s="22" t="str">
        <f>IFERROR(__xludf.DUMMYFUNCTION("""COMPUTED_VALUE"""),"E&amp;M CAR SHOP C.A")</f>
        <v>E&amp;M CAR SHOP C.A</v>
      </c>
      <c r="G608" s="19">
        <v>607.3919</v>
      </c>
      <c r="H608" s="13"/>
      <c r="I608" s="14">
        <f t="shared" si="1"/>
        <v>390</v>
      </c>
      <c r="J608" s="15">
        <f t="shared" si="2"/>
        <v>390</v>
      </c>
      <c r="K608" s="14">
        <f t="shared" si="3"/>
        <v>390</v>
      </c>
      <c r="L608" s="16" t="str">
        <f>IFERROR(__xludf.DUMMYFUNCTION("IFERROR(
  IF(
    VLOOKUP(C608, IMPORTRANGE(""gid=860555792"", ""Maestro!B:C""), 2, FALSE) = D608, 
    ""CONCILIADO"", 
    ""ERROR EN MONTO""
  ), 
  ""NO ENCONTRADO EN MAESTRO""
)"),"NO ENCONTRADO EN MAESTRO")</f>
        <v>NO ENCONTRADO EN MAESTRO</v>
      </c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ht="22.5" customHeight="1">
      <c r="A609" s="25">
        <f>IFERROR(__xludf.DUMMYFUNCTION("""COMPUTED_VALUE"""),46195.0)</f>
        <v>46195</v>
      </c>
      <c r="B609" s="15">
        <f>IFERROR(__xludf.DUMMYFUNCTION("""COMPUTED_VALUE"""),472.0)</f>
        <v>472</v>
      </c>
      <c r="C609" s="21">
        <f>IFERROR(__xludf.DUMMYFUNCTION("""COMPUTED_VALUE"""),240537.0)</f>
        <v>240537</v>
      </c>
      <c r="D609" s="22" t="str">
        <f>IFERROR(__xludf.DUMMYFUNCTION("""COMPUTED_VALUE"""),"VES")</f>
        <v>VES</v>
      </c>
      <c r="E609" s="22" t="str">
        <f>IFERROR(__xludf.DUMMYFUNCTION("""COMPUTED_VALUE"""),"Bancamiga")</f>
        <v>Bancamiga</v>
      </c>
      <c r="F609" s="22" t="str">
        <f>IFERROR(__xludf.DUMMYFUNCTION("""COMPUTED_VALUE"""),"Antonio Terán")</f>
        <v>Antonio Terán</v>
      </c>
      <c r="G609" s="19">
        <v>612.4332</v>
      </c>
      <c r="H609" s="13"/>
      <c r="I609" s="14">
        <f t="shared" si="1"/>
        <v>392.7563039</v>
      </c>
      <c r="J609" s="15">
        <f t="shared" si="2"/>
        <v>0</v>
      </c>
      <c r="K609" s="14">
        <f t="shared" si="3"/>
        <v>392.7563039</v>
      </c>
      <c r="L609" s="16" t="str">
        <f>IFERROR(__xludf.DUMMYFUNCTION("IFERROR(
  IF(
    VLOOKUP(C609, IMPORTRANGE(""gid=860555792"", ""Maestro!B:C""), 2, FALSE) = D609, 
    ""CONCILIADO"", 
    ""ERROR EN MONTO""
  ), 
  ""NO ENCONTRADO EN MAESTRO""
)"),"NO ENCONTRADO EN MAESTRO")</f>
        <v>NO ENCONTRADO EN MAESTRO</v>
      </c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ht="22.5" customHeight="1">
      <c r="A610" s="25">
        <f>IFERROR(__xludf.DUMMYFUNCTION("""COMPUTED_VALUE"""),46195.0)</f>
        <v>46195</v>
      </c>
      <c r="B610" s="15">
        <f>IFERROR(__xludf.DUMMYFUNCTION("""COMPUTED_VALUE"""),373.0)</f>
        <v>373</v>
      </c>
      <c r="C610" s="21">
        <f>IFERROR(__xludf.DUMMYFUNCTION("""COMPUTED_VALUE"""),20.0)</f>
        <v>20</v>
      </c>
      <c r="D610" s="22" t="str">
        <f>IFERROR(__xludf.DUMMYFUNCTION("""COMPUTED_VALUE"""),"USD")</f>
        <v>USD</v>
      </c>
      <c r="E610" s="22" t="str">
        <f>IFERROR(__xludf.DUMMYFUNCTION("""COMPUTED_VALUE"""),"Efectivo USD")</f>
        <v>Efectivo USD</v>
      </c>
      <c r="F610" s="22" t="str">
        <f>IFERROR(__xludf.DUMMYFUNCTION("""COMPUTED_VALUE"""),"INVERSIONES DA &amp; JE,")</f>
        <v>INVERSIONES DA &amp; JE,</v>
      </c>
      <c r="G610" s="19">
        <v>612.4332</v>
      </c>
      <c r="H610" s="13"/>
      <c r="I610" s="14">
        <f t="shared" si="1"/>
        <v>20</v>
      </c>
      <c r="J610" s="15">
        <f t="shared" si="2"/>
        <v>20</v>
      </c>
      <c r="K610" s="14">
        <f t="shared" si="3"/>
        <v>20</v>
      </c>
      <c r="L610" s="16" t="str">
        <f>IFERROR(__xludf.DUMMYFUNCTION("IFERROR(
  IF(
    VLOOKUP(C610, IMPORTRANGE(""gid=860555792"", ""Maestro!B:C""), 2, FALSE) = D610, 
    ""CONCILIADO"", 
    ""ERROR EN MONTO""
  ), 
  ""NO ENCONTRADO EN MAESTRO""
)"),"NO ENCONTRADO EN MAESTRO")</f>
        <v>NO ENCONTRADO EN MAESTRO</v>
      </c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ht="22.5" customHeight="1">
      <c r="A611" s="25">
        <f>IFERROR(__xludf.DUMMYFUNCTION("""COMPUTED_VALUE"""),46195.0)</f>
        <v>46195</v>
      </c>
      <c r="B611" s="15">
        <f>IFERROR(__xludf.DUMMYFUNCTION("""COMPUTED_VALUE"""),492.0)</f>
        <v>492</v>
      </c>
      <c r="C611" s="21">
        <f>IFERROR(__xludf.DUMMYFUNCTION("""COMPUTED_VALUE"""),73.0)</f>
        <v>73</v>
      </c>
      <c r="D611" s="22" t="str">
        <f>IFERROR(__xludf.DUMMYFUNCTION("""COMPUTED_VALUE"""),"USD")</f>
        <v>USD</v>
      </c>
      <c r="E611" s="22" t="str">
        <f>IFERROR(__xludf.DUMMYFUNCTION("""COMPUTED_VALUE"""),"Efectivo USD")</f>
        <v>Efectivo USD</v>
      </c>
      <c r="F611" s="22" t="str">
        <f>IFERROR(__xludf.DUMMYFUNCTION("""COMPUTED_VALUE"""),"Luis Eduardo Piñero Calcurian")</f>
        <v>Luis Eduardo Piñero Calcurian</v>
      </c>
      <c r="G611" s="19">
        <v>612.4332</v>
      </c>
      <c r="H611" s="13"/>
      <c r="I611" s="14">
        <f t="shared" si="1"/>
        <v>73</v>
      </c>
      <c r="J611" s="15">
        <f t="shared" si="2"/>
        <v>73</v>
      </c>
      <c r="K611" s="14">
        <f t="shared" si="3"/>
        <v>73</v>
      </c>
      <c r="L611" s="16" t="str">
        <f>IFERROR(__xludf.DUMMYFUNCTION("IFERROR(
  IF(
    VLOOKUP(C611, IMPORTRANGE(""gid=860555792"", ""Maestro!B:C""), 2, FALSE) = D611, 
    ""CONCILIADO"", 
    ""ERROR EN MONTO""
  ), 
  ""NO ENCONTRADO EN MAESTRO""
)"),"NO ENCONTRADO EN MAESTRO")</f>
        <v>NO ENCONTRADO EN MAESTRO</v>
      </c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ht="22.5" customHeight="1">
      <c r="A612" s="25">
        <f>IFERROR(__xludf.DUMMYFUNCTION("""COMPUTED_VALUE"""),46195.0)</f>
        <v>46195</v>
      </c>
      <c r="B612" s="15">
        <f>IFERROR(__xludf.DUMMYFUNCTION("""COMPUTED_VALUE"""),244.0)</f>
        <v>244</v>
      </c>
      <c r="C612" s="21">
        <f>IFERROR(__xludf.DUMMYFUNCTION("""COMPUTED_VALUE"""),100.0)</f>
        <v>100</v>
      </c>
      <c r="D612" s="22" t="str">
        <f>IFERROR(__xludf.DUMMYFUNCTION("""COMPUTED_VALUE"""),"USD")</f>
        <v>USD</v>
      </c>
      <c r="E612" s="22" t="str">
        <f>IFERROR(__xludf.DUMMYFUNCTION("""COMPUTED_VALUE"""),"Efectivo USD")</f>
        <v>Efectivo USD</v>
      </c>
      <c r="F612" s="22" t="str">
        <f>IFERROR(__xludf.DUMMYFUNCTION("""COMPUTED_VALUE"""),"Lubricantes BK C.A")</f>
        <v>Lubricantes BK C.A</v>
      </c>
      <c r="G612" s="19">
        <v>612.4332</v>
      </c>
      <c r="H612" s="13"/>
      <c r="I612" s="14">
        <f t="shared" si="1"/>
        <v>100</v>
      </c>
      <c r="J612" s="15">
        <f t="shared" si="2"/>
        <v>100</v>
      </c>
      <c r="K612" s="14">
        <f t="shared" si="3"/>
        <v>100</v>
      </c>
      <c r="L612" s="16" t="str">
        <f>IFERROR(__xludf.DUMMYFUNCTION("IFERROR(
  IF(
    VLOOKUP(C612, IMPORTRANGE(""gid=860555792"", ""Maestro!B:C""), 2, FALSE) = D612, 
    ""CONCILIADO"", 
    ""ERROR EN MONTO""
  ), 
  ""NO ENCONTRADO EN MAESTRO""
)"),"NO ENCONTRADO EN MAESTRO")</f>
        <v>NO ENCONTRADO EN MAESTRO</v>
      </c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ht="22.5" customHeight="1">
      <c r="A613" s="25">
        <f>IFERROR(__xludf.DUMMYFUNCTION("""COMPUTED_VALUE"""),46195.0)</f>
        <v>46195</v>
      </c>
      <c r="B613" s="15">
        <f>IFERROR(__xludf.DUMMYFUNCTION("""COMPUTED_VALUE"""),431.0)</f>
        <v>431</v>
      </c>
      <c r="C613" s="21">
        <f>IFERROR(__xludf.DUMMYFUNCTION("""COMPUTED_VALUE"""),167763.83)</f>
        <v>167763.83</v>
      </c>
      <c r="D613" s="22" t="str">
        <f>IFERROR(__xludf.DUMMYFUNCTION("""COMPUTED_VALUE"""),"VES")</f>
        <v>VES</v>
      </c>
      <c r="E613" s="22" t="str">
        <f>IFERROR(__xludf.DUMMYFUNCTION("""COMPUTED_VALUE"""),"Bancamiga")</f>
        <v>Bancamiga</v>
      </c>
      <c r="F613" s="22" t="str">
        <f>IFERROR(__xludf.DUMMYFUNCTION("""COMPUTED_VALUE"""),"Carlos Eduardo Ascension Matos")</f>
        <v>Carlos Eduardo Ascension Matos</v>
      </c>
      <c r="G613" s="19">
        <v>612.4332</v>
      </c>
      <c r="H613" s="13"/>
      <c r="I613" s="14">
        <f t="shared" si="1"/>
        <v>273.9300058</v>
      </c>
      <c r="J613" s="15">
        <f t="shared" si="2"/>
        <v>0</v>
      </c>
      <c r="K613" s="14">
        <f t="shared" si="3"/>
        <v>273.9300058</v>
      </c>
      <c r="L613" s="16" t="str">
        <f>IFERROR(__xludf.DUMMYFUNCTION("IFERROR(
  IF(
    VLOOKUP(C613, IMPORTRANGE(""gid=860555792"", ""Maestro!B:C""), 2, FALSE) = D613, 
    ""CONCILIADO"", 
    ""ERROR EN MONTO""
  ), 
  ""NO ENCONTRADO EN MAESTRO""
)"),"NO ENCONTRADO EN MAESTRO")</f>
        <v>NO ENCONTRADO EN MAESTRO</v>
      </c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ht="22.5" customHeight="1">
      <c r="A614" s="25">
        <f>IFERROR(__xludf.DUMMYFUNCTION("""COMPUTED_VALUE"""),46195.0)</f>
        <v>46195</v>
      </c>
      <c r="B614" s="15">
        <f>IFERROR(__xludf.DUMMYFUNCTION("""COMPUTED_VALUE"""),283.0)</f>
        <v>283</v>
      </c>
      <c r="C614" s="21">
        <f>IFERROR(__xludf.DUMMYFUNCTION("""COMPUTED_VALUE"""),18372.9)</f>
        <v>18372.9</v>
      </c>
      <c r="D614" s="22" t="str">
        <f>IFERROR(__xludf.DUMMYFUNCTION("""COMPUTED_VALUE"""),"VES")</f>
        <v>VES</v>
      </c>
      <c r="E614" s="22" t="str">
        <f>IFERROR(__xludf.DUMMYFUNCTION("""COMPUTED_VALUE"""),"Bancamiga")</f>
        <v>Bancamiga</v>
      </c>
      <c r="F614" s="22" t="str">
        <f>IFERROR(__xludf.DUMMYFUNCTION("""COMPUTED_VALUE"""),"LA CASA DE LAS BATERIAS")</f>
        <v>LA CASA DE LAS BATERIAS</v>
      </c>
      <c r="G614" s="19">
        <v>612.4332</v>
      </c>
      <c r="H614" s="13"/>
      <c r="I614" s="14">
        <f t="shared" si="1"/>
        <v>29.99984325</v>
      </c>
      <c r="J614" s="15">
        <f t="shared" si="2"/>
        <v>0</v>
      </c>
      <c r="K614" s="14">
        <f t="shared" si="3"/>
        <v>29.99984325</v>
      </c>
      <c r="L614" s="16" t="str">
        <f>IFERROR(__xludf.DUMMYFUNCTION("IFERROR(
  IF(
    VLOOKUP(C614, IMPORTRANGE(""gid=860555792"", ""Maestro!B:C""), 2, FALSE) = D614, 
    ""CONCILIADO"", 
    ""ERROR EN MONTO""
  ), 
  ""NO ENCONTRADO EN MAESTRO""
)"),"NO ENCONTRADO EN MAESTRO")</f>
        <v>NO ENCONTRADO EN MAESTRO</v>
      </c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ht="22.5" customHeight="1">
      <c r="A615" s="25">
        <f>IFERROR(__xludf.DUMMYFUNCTION("""COMPUTED_VALUE"""),46195.0)</f>
        <v>46195</v>
      </c>
      <c r="B615" s="15">
        <f>IFERROR(__xludf.DUMMYFUNCTION("""COMPUTED_VALUE"""),563.0)</f>
        <v>563</v>
      </c>
      <c r="C615" s="21">
        <f>IFERROR(__xludf.DUMMYFUNCTION("""COMPUTED_VALUE"""),100.0)</f>
        <v>100</v>
      </c>
      <c r="D615" s="22" t="str">
        <f>IFERROR(__xludf.DUMMYFUNCTION("""COMPUTED_VALUE"""),"USD")</f>
        <v>USD</v>
      </c>
      <c r="E615" s="22" t="str">
        <f>IFERROR(__xludf.DUMMYFUNCTION("""COMPUTED_VALUE"""),"Efectivo USD")</f>
        <v>Efectivo USD</v>
      </c>
      <c r="F615" s="22" t="str">
        <f>IFERROR(__xludf.DUMMYFUNCTION("""COMPUTED_VALUE"""),"Carlos Ruiz")</f>
        <v>Carlos Ruiz</v>
      </c>
      <c r="G615" s="19">
        <v>612.4332</v>
      </c>
      <c r="H615" s="13"/>
      <c r="I615" s="14">
        <f t="shared" si="1"/>
        <v>100</v>
      </c>
      <c r="J615" s="15">
        <f t="shared" si="2"/>
        <v>100</v>
      </c>
      <c r="K615" s="14">
        <f t="shared" si="3"/>
        <v>100</v>
      </c>
      <c r="L615" s="16" t="str">
        <f>IFERROR(__xludf.DUMMYFUNCTION("IFERROR(
  IF(
    VLOOKUP(C615, IMPORTRANGE(""gid=860555792"", ""Maestro!B:C""), 2, FALSE) = D615, 
    ""CONCILIADO"", 
    ""ERROR EN MONTO""
  ), 
  ""NO ENCONTRADO EN MAESTRO""
)"),"NO ENCONTRADO EN MAESTRO")</f>
        <v>NO ENCONTRADO EN MAESTRO</v>
      </c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ht="22.5" customHeight="1">
      <c r="A616" s="25">
        <f>IFERROR(__xludf.DUMMYFUNCTION("""COMPUTED_VALUE"""),46195.0)</f>
        <v>46195</v>
      </c>
      <c r="B616" s="15">
        <f>IFERROR(__xludf.DUMMYFUNCTION("""COMPUTED_VALUE"""),563.0)</f>
        <v>563</v>
      </c>
      <c r="C616" s="21">
        <f>IFERROR(__xludf.DUMMYFUNCTION("""COMPUTED_VALUE"""),79600.0)</f>
        <v>79600</v>
      </c>
      <c r="D616" s="22" t="str">
        <f>IFERROR(__xludf.DUMMYFUNCTION("""COMPUTED_VALUE"""),"VES")</f>
        <v>VES</v>
      </c>
      <c r="E616" s="22" t="str">
        <f>IFERROR(__xludf.DUMMYFUNCTION("""COMPUTED_VALUE"""),"Bancamiga")</f>
        <v>Bancamiga</v>
      </c>
      <c r="F616" s="22" t="str">
        <f>IFERROR(__xludf.DUMMYFUNCTION("""COMPUTED_VALUE"""),"Carlos Ruiz")</f>
        <v>Carlos Ruiz</v>
      </c>
      <c r="G616" s="19">
        <v>612.4332</v>
      </c>
      <c r="H616" s="13"/>
      <c r="I616" s="14">
        <f t="shared" si="1"/>
        <v>129.9733587</v>
      </c>
      <c r="J616" s="15">
        <f t="shared" si="2"/>
        <v>0</v>
      </c>
      <c r="K616" s="14">
        <f t="shared" si="3"/>
        <v>129.9733587</v>
      </c>
      <c r="L616" s="16" t="str">
        <f>IFERROR(__xludf.DUMMYFUNCTION("IFERROR(
  IF(
    VLOOKUP(C616, IMPORTRANGE(""gid=860555792"", ""Maestro!B:C""), 2, FALSE) = D616, 
    ""CONCILIADO"", 
    ""ERROR EN MONTO""
  ), 
  ""NO ENCONTRADO EN MAESTRO""
)"),"NO ENCONTRADO EN MAESTRO")</f>
        <v>NO ENCONTRADO EN MAESTRO</v>
      </c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ht="22.5" customHeight="1">
      <c r="A617" s="25">
        <f>IFERROR(__xludf.DUMMYFUNCTION("""COMPUTED_VALUE"""),46195.0)</f>
        <v>46195</v>
      </c>
      <c r="B617" s="15">
        <f>IFERROR(__xludf.DUMMYFUNCTION("""COMPUTED_VALUE"""),178.0)</f>
        <v>178</v>
      </c>
      <c r="C617" s="21">
        <f>IFERROR(__xludf.DUMMYFUNCTION("""COMPUTED_VALUE"""),45000.0)</f>
        <v>45000</v>
      </c>
      <c r="D617" s="22" t="str">
        <f>IFERROR(__xludf.DUMMYFUNCTION("""COMPUTED_VALUE"""),"VES")</f>
        <v>VES</v>
      </c>
      <c r="E617" s="22" t="str">
        <f>IFERROR(__xludf.DUMMYFUNCTION("""COMPUTED_VALUE"""),"Bancamiga")</f>
        <v>Bancamiga</v>
      </c>
      <c r="F617" s="22" t="str">
        <f>IFERROR(__xludf.DUMMYFUNCTION("""COMPUTED_VALUE"""),"Distribuidora Nesmari 2050 c.a")</f>
        <v>Distribuidora Nesmari 2050 c.a</v>
      </c>
      <c r="G617" s="19">
        <v>612.4332</v>
      </c>
      <c r="H617" s="13"/>
      <c r="I617" s="14">
        <f t="shared" si="1"/>
        <v>73.47740129</v>
      </c>
      <c r="J617" s="15">
        <f t="shared" si="2"/>
        <v>0</v>
      </c>
      <c r="K617" s="14">
        <f t="shared" si="3"/>
        <v>73.47740129</v>
      </c>
      <c r="L617" s="16" t="str">
        <f>IFERROR(__xludf.DUMMYFUNCTION("IFERROR(
  IF(
    VLOOKUP(C617, IMPORTRANGE(""gid=860555792"", ""Maestro!B:C""), 2, FALSE) = D617, 
    ""CONCILIADO"", 
    ""ERROR EN MONTO""
  ), 
  ""NO ENCONTRADO EN MAESTRO""
)"),"NO ENCONTRADO EN MAESTRO")</f>
        <v>NO ENCONTRADO EN MAESTRO</v>
      </c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ht="22.5" customHeight="1">
      <c r="A618" s="25">
        <f>IFERROR(__xludf.DUMMYFUNCTION("""COMPUTED_VALUE"""),46196.0)</f>
        <v>46196</v>
      </c>
      <c r="B618" s="15">
        <f>IFERROR(__xludf.DUMMYFUNCTION("""COMPUTED_VALUE"""),78.0)</f>
        <v>78</v>
      </c>
      <c r="C618" s="21">
        <f>IFERROR(__xludf.DUMMYFUNCTION("""COMPUTED_VALUE"""),24500.0)</f>
        <v>24500</v>
      </c>
      <c r="D618" s="22" t="str">
        <f>IFERROR(__xludf.DUMMYFUNCTION("""COMPUTED_VALUE"""),"VES")</f>
        <v>VES</v>
      </c>
      <c r="E618" s="22" t="str">
        <f>IFERROR(__xludf.DUMMYFUNCTION("""COMPUTED_VALUE"""),"Bancamiga")</f>
        <v>Bancamiga</v>
      </c>
      <c r="F618" s="22" t="str">
        <f>IFERROR(__xludf.DUMMYFUNCTION("""COMPUTED_VALUE"""),"MULTISERVICIOS RECAM13, C.A.")</f>
        <v>MULTISERVICIOS RECAM13, C.A.</v>
      </c>
      <c r="G618" s="19">
        <v>617.6388</v>
      </c>
      <c r="H618" s="13"/>
      <c r="I618" s="14">
        <f t="shared" si="1"/>
        <v>39.66719707</v>
      </c>
      <c r="J618" s="15">
        <f t="shared" si="2"/>
        <v>0</v>
      </c>
      <c r="K618" s="14">
        <f t="shared" si="3"/>
        <v>39.66719707</v>
      </c>
      <c r="L618" s="16" t="str">
        <f>IFERROR(__xludf.DUMMYFUNCTION("IFERROR(
  IF(
    VLOOKUP(C618, IMPORTRANGE(""gid=860555792"", ""Maestro!B:C""), 2, FALSE) = D618, 
    ""CONCILIADO"", 
    ""ERROR EN MONTO""
  ), 
  ""NO ENCONTRADO EN MAESTRO""
)"),"NO ENCONTRADO EN MAESTRO")</f>
        <v>NO ENCONTRADO EN MAESTRO</v>
      </c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ht="22.5" customHeight="1">
      <c r="A619" s="25">
        <f>IFERROR(__xludf.DUMMYFUNCTION("""COMPUTED_VALUE"""),46196.0)</f>
        <v>46196</v>
      </c>
      <c r="B619" s="15">
        <f>IFERROR(__xludf.DUMMYFUNCTION("""COMPUTED_VALUE"""),49.0)</f>
        <v>49</v>
      </c>
      <c r="C619" s="21">
        <f>IFERROR(__xludf.DUMMYFUNCTION("""COMPUTED_VALUE"""),80.0)</f>
        <v>80</v>
      </c>
      <c r="D619" s="22" t="str">
        <f>IFERROR(__xludf.DUMMYFUNCTION("""COMPUTED_VALUE"""),"USD")</f>
        <v>USD</v>
      </c>
      <c r="E619" s="22" t="str">
        <f>IFERROR(__xludf.DUMMYFUNCTION("""COMPUTED_VALUE"""),"Efectivo USD")</f>
        <v>Efectivo USD</v>
      </c>
      <c r="F619" s="22" t="str">
        <f>IFERROR(__xludf.DUMMYFUNCTION("""COMPUTED_VALUE"""),"Marlene Herrera")</f>
        <v>Marlene Herrera</v>
      </c>
      <c r="G619" s="19">
        <v>617.6388</v>
      </c>
      <c r="H619" s="13"/>
      <c r="I619" s="14">
        <f t="shared" si="1"/>
        <v>80</v>
      </c>
      <c r="J619" s="15">
        <f t="shared" si="2"/>
        <v>80</v>
      </c>
      <c r="K619" s="14">
        <f t="shared" si="3"/>
        <v>80</v>
      </c>
      <c r="L619" s="16" t="str">
        <f>IFERROR(__xludf.DUMMYFUNCTION("IFERROR(
  IF(
    VLOOKUP(C619, IMPORTRANGE(""gid=860555792"", ""Maestro!B:C""), 2, FALSE) = D619, 
    ""CONCILIADO"", 
    ""ERROR EN MONTO""
  ), 
  ""NO ENCONTRADO EN MAESTRO""
)"),"NO ENCONTRADO EN MAESTRO")</f>
        <v>NO ENCONTRADO EN MAESTRO</v>
      </c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ht="22.5" customHeight="1">
      <c r="A620" s="25">
        <f>IFERROR(__xludf.DUMMYFUNCTION("""COMPUTED_VALUE"""),46196.0)</f>
        <v>46196</v>
      </c>
      <c r="B620" s="15">
        <f>IFERROR(__xludf.DUMMYFUNCTION("""COMPUTED_VALUE"""),114.0)</f>
        <v>114</v>
      </c>
      <c r="C620" s="21">
        <f>IFERROR(__xludf.DUMMYFUNCTION("""COMPUTED_VALUE"""),20.0)</f>
        <v>20</v>
      </c>
      <c r="D620" s="22" t="str">
        <f>IFERROR(__xludf.DUMMYFUNCTION("""COMPUTED_VALUE"""),"USD")</f>
        <v>USD</v>
      </c>
      <c r="E620" s="22" t="str">
        <f>IFERROR(__xludf.DUMMYFUNCTION("""COMPUTED_VALUE"""),"Efectivo USD")</f>
        <v>Efectivo USD</v>
      </c>
      <c r="F620" s="22" t="str">
        <f>IFERROR(__xludf.DUMMYFUNCTION("""COMPUTED_VALUE"""),"Autoasesorio maxi motor")</f>
        <v>Autoasesorio maxi motor</v>
      </c>
      <c r="G620" s="19">
        <v>617.6388</v>
      </c>
      <c r="H620" s="13"/>
      <c r="I620" s="14">
        <f t="shared" si="1"/>
        <v>20</v>
      </c>
      <c r="J620" s="15">
        <f t="shared" si="2"/>
        <v>20</v>
      </c>
      <c r="K620" s="14">
        <f t="shared" si="3"/>
        <v>20</v>
      </c>
      <c r="L620" s="16" t="str">
        <f>IFERROR(__xludf.DUMMYFUNCTION("IFERROR(
  IF(
    VLOOKUP(C620, IMPORTRANGE(""gid=860555792"", ""Maestro!B:C""), 2, FALSE) = D620, 
    ""CONCILIADO"", 
    ""ERROR EN MONTO""
  ), 
  ""NO ENCONTRADO EN MAESTRO""
)"),"NO ENCONTRADO EN MAESTRO")</f>
        <v>NO ENCONTRADO EN MAESTRO</v>
      </c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ht="22.5" customHeight="1">
      <c r="A621" s="25">
        <f>IFERROR(__xludf.DUMMYFUNCTION("""COMPUTED_VALUE"""),46196.0)</f>
        <v>46196</v>
      </c>
      <c r="B621" s="15">
        <f>IFERROR(__xludf.DUMMYFUNCTION("""COMPUTED_VALUE"""),44.0)</f>
        <v>44</v>
      </c>
      <c r="C621" s="21">
        <f>IFERROR(__xludf.DUMMYFUNCTION("""COMPUTED_VALUE"""),200.0)</f>
        <v>200</v>
      </c>
      <c r="D621" s="22" t="str">
        <f>IFERROR(__xludf.DUMMYFUNCTION("""COMPUTED_VALUE"""),"USD")</f>
        <v>USD</v>
      </c>
      <c r="E621" s="22" t="str">
        <f>IFERROR(__xludf.DUMMYFUNCTION("""COMPUTED_VALUE"""),"Efectivo USD")</f>
        <v>Efectivo USD</v>
      </c>
      <c r="F621" s="22" t="str">
        <f>IFERROR(__xludf.DUMMYFUNCTION("""COMPUTED_VALUE"""),"Comercializadora Garabote")</f>
        <v>Comercializadora Garabote</v>
      </c>
      <c r="G621" s="19">
        <v>617.6388</v>
      </c>
      <c r="H621" s="13"/>
      <c r="I621" s="14">
        <f t="shared" si="1"/>
        <v>200</v>
      </c>
      <c r="J621" s="15">
        <f t="shared" si="2"/>
        <v>200</v>
      </c>
      <c r="K621" s="14">
        <f t="shared" si="3"/>
        <v>200</v>
      </c>
      <c r="L621" s="16" t="str">
        <f>IFERROR(__xludf.DUMMYFUNCTION("IFERROR(
  IF(
    VLOOKUP(C621, IMPORTRANGE(""gid=860555792"", ""Maestro!B:C""), 2, FALSE) = D621, 
    ""CONCILIADO"", 
    ""ERROR EN MONTO""
  ), 
  ""NO ENCONTRADO EN MAESTRO""
)"),"NO ENCONTRADO EN MAESTRO")</f>
        <v>NO ENCONTRADO EN MAESTRO</v>
      </c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ht="22.5" customHeight="1">
      <c r="A622" s="25">
        <f>IFERROR(__xludf.DUMMYFUNCTION("""COMPUTED_VALUE"""),46196.0)</f>
        <v>46196</v>
      </c>
      <c r="B622" s="15">
        <f>IFERROR(__xludf.DUMMYFUNCTION("""COMPUTED_VALUE"""),324.0)</f>
        <v>324</v>
      </c>
      <c r="C622" s="21">
        <f>IFERROR(__xludf.DUMMYFUNCTION("""COMPUTED_VALUE"""),40.0)</f>
        <v>40</v>
      </c>
      <c r="D622" s="22" t="str">
        <f>IFERROR(__xludf.DUMMYFUNCTION("""COMPUTED_VALUE"""),"USD")</f>
        <v>USD</v>
      </c>
      <c r="E622" s="22" t="str">
        <f>IFERROR(__xludf.DUMMYFUNCTION("""COMPUTED_VALUE"""),"Efectivo USD")</f>
        <v>Efectivo USD</v>
      </c>
      <c r="F622" s="22" t="str">
        <f>IFERROR(__xludf.DUMMYFUNCTION("""COMPUTED_VALUE"""),"Nemer Bourji")</f>
        <v>Nemer Bourji</v>
      </c>
      <c r="G622" s="19">
        <v>617.6388</v>
      </c>
      <c r="H622" s="13"/>
      <c r="I622" s="14">
        <f t="shared" si="1"/>
        <v>40</v>
      </c>
      <c r="J622" s="15">
        <f t="shared" si="2"/>
        <v>40</v>
      </c>
      <c r="K622" s="14">
        <f t="shared" si="3"/>
        <v>40</v>
      </c>
      <c r="L622" s="16" t="str">
        <f>IFERROR(__xludf.DUMMYFUNCTION("IFERROR(
  IF(
    VLOOKUP(C622, IMPORTRANGE(""gid=860555792"", ""Maestro!B:C""), 2, FALSE) = D622, 
    ""CONCILIADO"", 
    ""ERROR EN MONTO""
  ), 
  ""NO ENCONTRADO EN MAESTRO""
)"),"NO ENCONTRADO EN MAESTRO")</f>
        <v>NO ENCONTRADO EN MAESTRO</v>
      </c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ht="22.5" customHeight="1">
      <c r="A623" s="25">
        <f>IFERROR(__xludf.DUMMYFUNCTION("""COMPUTED_VALUE"""),46196.0)</f>
        <v>46196</v>
      </c>
      <c r="B623" s="15">
        <f>IFERROR(__xludf.DUMMYFUNCTION("""COMPUTED_VALUE"""),433.0)</f>
        <v>433</v>
      </c>
      <c r="C623" s="21">
        <f>IFERROR(__xludf.DUMMYFUNCTION("""COMPUTED_VALUE"""),100.0)</f>
        <v>100</v>
      </c>
      <c r="D623" s="22" t="str">
        <f>IFERROR(__xludf.DUMMYFUNCTION("""COMPUTED_VALUE"""),"USD")</f>
        <v>USD</v>
      </c>
      <c r="E623" s="22" t="str">
        <f>IFERROR(__xludf.DUMMYFUNCTION("""COMPUTED_VALUE"""),"Efectivo USD")</f>
        <v>Efectivo USD</v>
      </c>
      <c r="F623" s="22" t="str">
        <f>IFERROR(__xludf.DUMMYFUNCTION("""COMPUTED_VALUE"""),"INVERSIONES JOSCAR XXI, S.A.")</f>
        <v>INVERSIONES JOSCAR XXI, S.A.</v>
      </c>
      <c r="G623" s="19">
        <v>617.6388</v>
      </c>
      <c r="H623" s="13"/>
      <c r="I623" s="14">
        <f t="shared" si="1"/>
        <v>100</v>
      </c>
      <c r="J623" s="15">
        <f t="shared" si="2"/>
        <v>100</v>
      </c>
      <c r="K623" s="14">
        <f t="shared" si="3"/>
        <v>100</v>
      </c>
      <c r="L623" s="16" t="str">
        <f>IFERROR(__xludf.DUMMYFUNCTION("IFERROR(
  IF(
    VLOOKUP(C623, IMPORTRANGE(""gid=860555792"", ""Maestro!B:C""), 2, FALSE) = D623, 
    ""CONCILIADO"", 
    ""ERROR EN MONTO""
  ), 
  ""NO ENCONTRADO EN MAESTRO""
)"),"NO ENCONTRADO EN MAESTRO")</f>
        <v>NO ENCONTRADO EN MAESTRO</v>
      </c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ht="22.5" customHeight="1">
      <c r="A624" s="25">
        <f>IFERROR(__xludf.DUMMYFUNCTION("""COMPUTED_VALUE"""),46196.0)</f>
        <v>46196</v>
      </c>
      <c r="B624" s="15">
        <f>IFERROR(__xludf.DUMMYFUNCTION("""COMPUTED_VALUE"""),326.0)</f>
        <v>326</v>
      </c>
      <c r="C624" s="21">
        <f>IFERROR(__xludf.DUMMYFUNCTION("""COMPUTED_VALUE"""),49.0)</f>
        <v>49</v>
      </c>
      <c r="D624" s="22" t="str">
        <f>IFERROR(__xludf.DUMMYFUNCTION("""COMPUTED_VALUE"""),"USD")</f>
        <v>USD</v>
      </c>
      <c r="E624" s="22" t="str">
        <f>IFERROR(__xludf.DUMMYFUNCTION("""COMPUTED_VALUE"""),"Efectivo USD")</f>
        <v>Efectivo USD</v>
      </c>
      <c r="F624" s="22" t="str">
        <f>IFERROR(__xludf.DUMMYFUNCTION("""COMPUTED_VALUE"""),"Encamotors Catia C.A")</f>
        <v>Encamotors Catia C.A</v>
      </c>
      <c r="G624" s="19">
        <v>617.6388</v>
      </c>
      <c r="H624" s="13"/>
      <c r="I624" s="14">
        <f t="shared" si="1"/>
        <v>49</v>
      </c>
      <c r="J624" s="15">
        <f t="shared" si="2"/>
        <v>49</v>
      </c>
      <c r="K624" s="14">
        <f t="shared" si="3"/>
        <v>49</v>
      </c>
      <c r="L624" s="16" t="str">
        <f>IFERROR(__xludf.DUMMYFUNCTION("IFERROR(
  IF(
    VLOOKUP(C624, IMPORTRANGE(""gid=860555792"", ""Maestro!B:C""), 2, FALSE) = D624, 
    ""CONCILIADO"", 
    ""ERROR EN MONTO""
  ), 
  ""NO ENCONTRADO EN MAESTRO""
)"),"NO ENCONTRADO EN MAESTRO")</f>
        <v>NO ENCONTRADO EN MAESTRO</v>
      </c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ht="22.5" customHeight="1">
      <c r="A625" s="25">
        <f>IFERROR(__xludf.DUMMYFUNCTION("""COMPUTED_VALUE"""),46196.0)</f>
        <v>46196</v>
      </c>
      <c r="B625" s="15">
        <f>IFERROR(__xludf.DUMMYFUNCTION("""COMPUTED_VALUE"""),245.0)</f>
        <v>245</v>
      </c>
      <c r="C625" s="21">
        <f>IFERROR(__xludf.DUMMYFUNCTION("""COMPUTED_VALUE"""),72.0)</f>
        <v>72</v>
      </c>
      <c r="D625" s="22" t="str">
        <f>IFERROR(__xludf.DUMMYFUNCTION("""COMPUTED_VALUE"""),"USD")</f>
        <v>USD</v>
      </c>
      <c r="E625" s="22" t="str">
        <f>IFERROR(__xludf.DUMMYFUNCTION("""COMPUTED_VALUE"""),"Efectivo USD")</f>
        <v>Efectivo USD</v>
      </c>
      <c r="F625" s="22" t="str">
        <f>IFERROR(__xludf.DUMMYFUNCTION("""COMPUTED_VALUE"""),"Barrios Rodríguez Marlon Enrique")</f>
        <v>Barrios Rodríguez Marlon Enrique</v>
      </c>
      <c r="G625" s="19">
        <v>617.6388</v>
      </c>
      <c r="H625" s="13"/>
      <c r="I625" s="14">
        <f t="shared" si="1"/>
        <v>72</v>
      </c>
      <c r="J625" s="15">
        <f t="shared" si="2"/>
        <v>72</v>
      </c>
      <c r="K625" s="14">
        <f t="shared" si="3"/>
        <v>72</v>
      </c>
      <c r="L625" s="16" t="str">
        <f>IFERROR(__xludf.DUMMYFUNCTION("IFERROR(
  IF(
    VLOOKUP(C625, IMPORTRANGE(""gid=860555792"", ""Maestro!B:C""), 2, FALSE) = D625, 
    ""CONCILIADO"", 
    ""ERROR EN MONTO""
  ), 
  ""NO ENCONTRADO EN MAESTRO""
)"),"NO ENCONTRADO EN MAESTRO")</f>
        <v>NO ENCONTRADO EN MAESTRO</v>
      </c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ht="22.5" customHeight="1">
      <c r="A626" s="25">
        <f>IFERROR(__xludf.DUMMYFUNCTION("""COMPUTED_VALUE"""),46196.0)</f>
        <v>46196</v>
      </c>
      <c r="B626" s="15">
        <f>IFERROR(__xludf.DUMMYFUNCTION("""COMPUTED_VALUE"""),222.0)</f>
        <v>222</v>
      </c>
      <c r="C626" s="21">
        <f>IFERROR(__xludf.DUMMYFUNCTION("""COMPUTED_VALUE"""),40.0)</f>
        <v>40</v>
      </c>
      <c r="D626" s="22" t="str">
        <f>IFERROR(__xludf.DUMMYFUNCTION("""COMPUTED_VALUE"""),"USD")</f>
        <v>USD</v>
      </c>
      <c r="E626" s="22" t="str">
        <f>IFERROR(__xludf.DUMMYFUNCTION("""COMPUTED_VALUE"""),"Efectivo USD")</f>
        <v>Efectivo USD</v>
      </c>
      <c r="F626" s="22" t="str">
        <f>IFERROR(__xludf.DUMMYFUNCTION("""COMPUTED_VALUE"""),"Braulio R. Cedeño Gonzalez.")</f>
        <v>Braulio R. Cedeño Gonzalez.</v>
      </c>
      <c r="G626" s="19">
        <v>617.6388</v>
      </c>
      <c r="H626" s="13"/>
      <c r="I626" s="14">
        <f t="shared" si="1"/>
        <v>40</v>
      </c>
      <c r="J626" s="15">
        <f t="shared" si="2"/>
        <v>40</v>
      </c>
      <c r="K626" s="14">
        <f t="shared" si="3"/>
        <v>40</v>
      </c>
      <c r="L626" s="16" t="str">
        <f>IFERROR(__xludf.DUMMYFUNCTION("IFERROR(
  IF(
    VLOOKUP(C626, IMPORTRANGE(""gid=860555792"", ""Maestro!B:C""), 2, FALSE) = D626, 
    ""CONCILIADO"", 
    ""ERROR EN MONTO""
  ), 
  ""NO ENCONTRADO EN MAESTRO""
)"),"NO ENCONTRADO EN MAESTRO")</f>
        <v>NO ENCONTRADO EN MAESTRO</v>
      </c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ht="22.5" customHeight="1">
      <c r="A627" s="25">
        <f>IFERROR(__xludf.DUMMYFUNCTION("""COMPUTED_VALUE"""),46196.0)</f>
        <v>46196</v>
      </c>
      <c r="B627" s="15">
        <f>IFERROR(__xludf.DUMMYFUNCTION("""COMPUTED_VALUE"""),243.0)</f>
        <v>243</v>
      </c>
      <c r="C627" s="21">
        <f>IFERROR(__xludf.DUMMYFUNCTION("""COMPUTED_VALUE"""),30000.0)</f>
        <v>30000</v>
      </c>
      <c r="D627" s="22" t="str">
        <f>IFERROR(__xludf.DUMMYFUNCTION("""COMPUTED_VALUE"""),"VES")</f>
        <v>VES</v>
      </c>
      <c r="E627" s="22" t="str">
        <f>IFERROR(__xludf.DUMMYFUNCTION("""COMPUTED_VALUE"""),"Bancamiga")</f>
        <v>Bancamiga</v>
      </c>
      <c r="F627" s="22" t="str">
        <f>IFERROR(__xludf.DUMMYFUNCTION("""COMPUTED_VALUE"""),"Cauchera William 2018, C.A")</f>
        <v>Cauchera William 2018, C.A</v>
      </c>
      <c r="G627" s="19">
        <v>617.6388</v>
      </c>
      <c r="H627" s="13"/>
      <c r="I627" s="14">
        <f t="shared" si="1"/>
        <v>48.57207805</v>
      </c>
      <c r="J627" s="15">
        <f t="shared" si="2"/>
        <v>0</v>
      </c>
      <c r="K627" s="14">
        <f t="shared" si="3"/>
        <v>48.57207805</v>
      </c>
      <c r="L627" s="16" t="str">
        <f>IFERROR(__xludf.DUMMYFUNCTION("IFERROR(
  IF(
    VLOOKUP(C627, IMPORTRANGE(""gid=860555792"", ""Maestro!B:C""), 2, FALSE) = D627, 
    ""CONCILIADO"", 
    ""ERROR EN MONTO""
  ), 
  ""NO ENCONTRADO EN MAESTRO""
)"),"NO ENCONTRADO EN MAESTRO")</f>
        <v>NO ENCONTRADO EN MAESTRO</v>
      </c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ht="22.5" customHeight="1">
      <c r="A628" s="25">
        <f>IFERROR(__xludf.DUMMYFUNCTION("""COMPUTED_VALUE"""),46196.0)</f>
        <v>46196</v>
      </c>
      <c r="B628" s="15">
        <f>IFERROR(__xludf.DUMMYFUNCTION("""COMPUTED_VALUE"""),179.0)</f>
        <v>179</v>
      </c>
      <c r="C628" s="21">
        <f>IFERROR(__xludf.DUMMYFUNCTION("""COMPUTED_VALUE"""),120.0)</f>
        <v>120</v>
      </c>
      <c r="D628" s="22" t="str">
        <f>IFERROR(__xludf.DUMMYFUNCTION("""COMPUTED_VALUE"""),"USD")</f>
        <v>USD</v>
      </c>
      <c r="E628" s="22" t="str">
        <f>IFERROR(__xludf.DUMMYFUNCTION("""COMPUTED_VALUE"""),"Efectivo USD")</f>
        <v>Efectivo USD</v>
      </c>
      <c r="F628" s="22" t="str">
        <f>IFERROR(__xludf.DUMMYFUNCTION("""COMPUTED_VALUE"""),"Inversiones Vercris 17 C.A")</f>
        <v>Inversiones Vercris 17 C.A</v>
      </c>
      <c r="G628" s="19">
        <v>617.6388</v>
      </c>
      <c r="H628" s="13"/>
      <c r="I628" s="14">
        <f t="shared" si="1"/>
        <v>120</v>
      </c>
      <c r="J628" s="15">
        <f t="shared" si="2"/>
        <v>120</v>
      </c>
      <c r="K628" s="14">
        <f t="shared" si="3"/>
        <v>120</v>
      </c>
      <c r="L628" s="16" t="str">
        <f>IFERROR(__xludf.DUMMYFUNCTION("IFERROR(
  IF(
    VLOOKUP(C628, IMPORTRANGE(""gid=860555792"", ""Maestro!B:C""), 2, FALSE) = D628, 
    ""CONCILIADO"", 
    ""ERROR EN MONTO""
  ), 
  ""NO ENCONTRADO EN MAESTRO""
)"),"NO ENCONTRADO EN MAESTRO")</f>
        <v>NO ENCONTRADO EN MAESTRO</v>
      </c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ht="22.5" customHeight="1">
      <c r="A629" s="25">
        <f>IFERROR(__xludf.DUMMYFUNCTION("""COMPUTED_VALUE"""),46196.0)</f>
        <v>46196</v>
      </c>
      <c r="B629" s="15">
        <f>IFERROR(__xludf.DUMMYFUNCTION("""COMPUTED_VALUE"""),243.0)</f>
        <v>243</v>
      </c>
      <c r="C629" s="21">
        <f>IFERROR(__xludf.DUMMYFUNCTION("""COMPUTED_VALUE"""),20.0)</f>
        <v>20</v>
      </c>
      <c r="D629" s="22" t="str">
        <f>IFERROR(__xludf.DUMMYFUNCTION("""COMPUTED_VALUE"""),"USD")</f>
        <v>USD</v>
      </c>
      <c r="E629" s="22" t="str">
        <f>IFERROR(__xludf.DUMMYFUNCTION("""COMPUTED_VALUE"""),"Efectivo USD")</f>
        <v>Efectivo USD</v>
      </c>
      <c r="F629" s="22" t="str">
        <f>IFERROR(__xludf.DUMMYFUNCTION("""COMPUTED_VALUE"""),"Cauchera William 2018, C.A")</f>
        <v>Cauchera William 2018, C.A</v>
      </c>
      <c r="G629" s="19">
        <v>617.6388</v>
      </c>
      <c r="H629" s="13"/>
      <c r="I629" s="14">
        <f t="shared" si="1"/>
        <v>20</v>
      </c>
      <c r="J629" s="15">
        <f t="shared" si="2"/>
        <v>20</v>
      </c>
      <c r="K629" s="14">
        <f t="shared" si="3"/>
        <v>20</v>
      </c>
      <c r="L629" s="16" t="str">
        <f>IFERROR(__xludf.DUMMYFUNCTION("IFERROR(
  IF(
    VLOOKUP(C629, IMPORTRANGE(""gid=860555792"", ""Maestro!B:C""), 2, FALSE) = D629, 
    ""CONCILIADO"", 
    ""ERROR EN MONTO""
  ), 
  ""NO ENCONTRADO EN MAESTRO""
)"),"NO ENCONTRADO EN MAESTRO")</f>
        <v>NO ENCONTRADO EN MAESTRO</v>
      </c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ht="22.5" customHeight="1">
      <c r="A630" s="25">
        <f>IFERROR(__xludf.DUMMYFUNCTION("""COMPUTED_VALUE"""),46196.0)</f>
        <v>46196</v>
      </c>
      <c r="B630" s="15">
        <f>IFERROR(__xludf.DUMMYFUNCTION("""COMPUTED_VALUE"""),467.0)</f>
        <v>467</v>
      </c>
      <c r="C630" s="21">
        <f>IFERROR(__xludf.DUMMYFUNCTION("""COMPUTED_VALUE"""),150.0)</f>
        <v>150</v>
      </c>
      <c r="D630" s="22" t="str">
        <f>IFERROR(__xludf.DUMMYFUNCTION("""COMPUTED_VALUE"""),"USD")</f>
        <v>USD</v>
      </c>
      <c r="E630" s="22" t="str">
        <f>IFERROR(__xludf.DUMMYFUNCTION("""COMPUTED_VALUE"""),"Efectivo USD")</f>
        <v>Efectivo USD</v>
      </c>
      <c r="F630" s="22" t="str">
        <f>IFERROR(__xludf.DUMMYFUNCTION("""COMPUTED_VALUE"""),"PROYECTO MAQUIVEIRO 21 C.A.")</f>
        <v>PROYECTO MAQUIVEIRO 21 C.A.</v>
      </c>
      <c r="G630" s="19">
        <v>617.6388</v>
      </c>
      <c r="H630" s="13"/>
      <c r="I630" s="14">
        <f t="shared" si="1"/>
        <v>150</v>
      </c>
      <c r="J630" s="15">
        <f t="shared" si="2"/>
        <v>150</v>
      </c>
      <c r="K630" s="14">
        <f t="shared" si="3"/>
        <v>150</v>
      </c>
      <c r="L630" s="16" t="str">
        <f>IFERROR(__xludf.DUMMYFUNCTION("IFERROR(
  IF(
    VLOOKUP(C630, IMPORTRANGE(""gid=860555792"", ""Maestro!B:C""), 2, FALSE) = D630, 
    ""CONCILIADO"", 
    ""ERROR EN MONTO""
  ), 
  ""NO ENCONTRADO EN MAESTRO""
)"),"NO ENCONTRADO EN MAESTRO")</f>
        <v>NO ENCONTRADO EN MAESTRO</v>
      </c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ht="22.5" customHeight="1">
      <c r="A631" s="25">
        <f>IFERROR(__xludf.DUMMYFUNCTION("""COMPUTED_VALUE"""),46196.0)</f>
        <v>46196</v>
      </c>
      <c r="B631" s="15">
        <f>IFERROR(__xludf.DUMMYFUNCTION("""COMPUTED_VALUE"""),36.0)</f>
        <v>36</v>
      </c>
      <c r="C631" s="21">
        <f>IFERROR(__xludf.DUMMYFUNCTION("""COMPUTED_VALUE"""),28276.74)</f>
        <v>28276.74</v>
      </c>
      <c r="D631" s="22" t="str">
        <f>IFERROR(__xludf.DUMMYFUNCTION("""COMPUTED_VALUE"""),"VES")</f>
        <v>VES</v>
      </c>
      <c r="E631" s="22" t="str">
        <f>IFERROR(__xludf.DUMMYFUNCTION("""COMPUTED_VALUE"""),"Bancamiga")</f>
        <v>Bancamiga</v>
      </c>
      <c r="F631" s="22" t="str">
        <f>IFERROR(__xludf.DUMMYFUNCTION("""COMPUTED_VALUE"""),"inversiones El Gran Charles C.A")</f>
        <v>inversiones El Gran Charles C.A</v>
      </c>
      <c r="G631" s="19">
        <v>617.6388</v>
      </c>
      <c r="H631" s="13"/>
      <c r="I631" s="14">
        <f t="shared" si="1"/>
        <v>45.78200074</v>
      </c>
      <c r="J631" s="15">
        <f t="shared" si="2"/>
        <v>0</v>
      </c>
      <c r="K631" s="14">
        <f t="shared" si="3"/>
        <v>45.78200074</v>
      </c>
      <c r="L631" s="16" t="str">
        <f>IFERROR(__xludf.DUMMYFUNCTION("IFERROR(
  IF(
    VLOOKUP(C631, IMPORTRANGE(""gid=860555792"", ""Maestro!B:C""), 2, FALSE) = D631, 
    ""CONCILIADO"", 
    ""ERROR EN MONTO""
  ), 
  ""NO ENCONTRADO EN MAESTRO""
)"),"NO ENCONTRADO EN MAESTRO")</f>
        <v>NO ENCONTRADO EN MAESTRO</v>
      </c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ht="22.5" customHeight="1">
      <c r="A632" s="25">
        <f>IFERROR(__xludf.DUMMYFUNCTION("""COMPUTED_VALUE"""),46196.0)</f>
        <v>46196</v>
      </c>
      <c r="B632" s="15">
        <f>IFERROR(__xludf.DUMMYFUNCTION("""COMPUTED_VALUE"""),555.0)</f>
        <v>555</v>
      </c>
      <c r="C632" s="21">
        <f>IFERROR(__xludf.DUMMYFUNCTION("""COMPUTED_VALUE"""),21577.54)</f>
        <v>21577.54</v>
      </c>
      <c r="D632" s="22" t="str">
        <f>IFERROR(__xludf.DUMMYFUNCTION("""COMPUTED_VALUE"""),"USD")</f>
        <v>USD</v>
      </c>
      <c r="E632" s="22" t="str">
        <f>IFERROR(__xludf.DUMMYFUNCTION("""COMPUTED_VALUE"""),"Conciliacion")</f>
        <v>Conciliacion</v>
      </c>
      <c r="F632" s="22" t="str">
        <f>IFERROR(__xludf.DUMMYFUNCTION("""COMPUTED_VALUE"""),"AGROPECUARIA LECHE Y MIEL, C.A")</f>
        <v>AGROPECUARIA LECHE Y MIEL, C.A</v>
      </c>
      <c r="G632" s="19">
        <v>617.6388</v>
      </c>
      <c r="H632" s="13"/>
      <c r="I632" s="14">
        <f t="shared" si="1"/>
        <v>21577.54</v>
      </c>
      <c r="J632" s="15">
        <f t="shared" si="2"/>
        <v>21577.54</v>
      </c>
      <c r="K632" s="14">
        <f t="shared" si="3"/>
        <v>21577.54</v>
      </c>
      <c r="L632" s="16" t="str">
        <f>IFERROR(__xludf.DUMMYFUNCTION("IFERROR(
  IF(
    VLOOKUP(C632, IMPORTRANGE(""gid=860555792"", ""Maestro!B:C""), 2, FALSE) = D632, 
    ""CONCILIADO"", 
    ""ERROR EN MONTO""
  ), 
  ""NO ENCONTRADO EN MAESTRO""
)"),"NO ENCONTRADO EN MAESTRO")</f>
        <v>NO ENCONTRADO EN MAESTRO</v>
      </c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ht="22.5" customHeight="1">
      <c r="A633" s="25"/>
      <c r="B633" s="15"/>
      <c r="C633" s="21"/>
      <c r="D633" s="22"/>
      <c r="E633" s="22"/>
      <c r="F633" s="22"/>
      <c r="G633" s="29"/>
      <c r="H633" s="13"/>
      <c r="I633" s="14">
        <f t="shared" si="1"/>
        <v>0</v>
      </c>
      <c r="J633" s="15">
        <f t="shared" si="2"/>
        <v>0</v>
      </c>
      <c r="K633" s="14">
        <f t="shared" si="3"/>
        <v>0</v>
      </c>
      <c r="L633" s="16" t="str">
        <f>IFERROR(__xludf.DUMMYFUNCTION("IFERROR(
  IF(
    VLOOKUP(C633, IMPORTRANGE(""gid=860555792"", ""Maestro!B:C""), 2, FALSE) = D633, 
    ""CONCILIADO"", 
    ""ERROR EN MONTO""
  ), 
  ""NO ENCONTRADO EN MAESTRO""
)"),"NO ENCONTRADO EN MAESTRO")</f>
        <v>NO ENCONTRADO EN MAESTRO</v>
      </c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ht="22.5" customHeight="1">
      <c r="A634" s="25"/>
      <c r="B634" s="15"/>
      <c r="C634" s="21"/>
      <c r="D634" s="22"/>
      <c r="E634" s="22"/>
      <c r="F634" s="22"/>
      <c r="G634" s="29"/>
      <c r="H634" s="13"/>
      <c r="I634" s="14">
        <f t="shared" si="1"/>
        <v>0</v>
      </c>
      <c r="J634" s="15">
        <f t="shared" si="2"/>
        <v>0</v>
      </c>
      <c r="K634" s="14">
        <f t="shared" si="3"/>
        <v>0</v>
      </c>
      <c r="L634" s="16" t="str">
        <f>IFERROR(__xludf.DUMMYFUNCTION("IFERROR(
  IF(
    VLOOKUP(C634, IMPORTRANGE(""gid=860555792"", ""Maestro!B:C""), 2, FALSE) = D634, 
    ""CONCILIADO"", 
    ""ERROR EN MONTO""
  ), 
  ""NO ENCONTRADO EN MAESTRO""
)"),"NO ENCONTRADO EN MAESTRO")</f>
        <v>NO ENCONTRADO EN MAESTRO</v>
      </c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ht="22.5" customHeight="1">
      <c r="A635" s="25"/>
      <c r="B635" s="15"/>
      <c r="C635" s="21"/>
      <c r="D635" s="22"/>
      <c r="E635" s="22"/>
      <c r="F635" s="22"/>
      <c r="G635" s="29"/>
      <c r="H635" s="13"/>
      <c r="I635" s="14">
        <f t="shared" si="1"/>
        <v>0</v>
      </c>
      <c r="J635" s="15">
        <f t="shared" si="2"/>
        <v>0</v>
      </c>
      <c r="K635" s="14">
        <f t="shared" si="3"/>
        <v>0</v>
      </c>
      <c r="L635" s="16" t="str">
        <f>IFERROR(__xludf.DUMMYFUNCTION("IFERROR(
  IF(
    VLOOKUP(C635, IMPORTRANGE(""gid=860555792"", ""Maestro!B:C""), 2, FALSE) = D635, 
    ""CONCILIADO"", 
    ""ERROR EN MONTO""
  ), 
  ""NO ENCONTRADO EN MAESTRO""
)"),"NO ENCONTRADO EN MAESTRO")</f>
        <v>NO ENCONTRADO EN MAESTRO</v>
      </c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ht="22.5" customHeight="1">
      <c r="A636" s="25"/>
      <c r="B636" s="15"/>
      <c r="C636" s="21"/>
      <c r="D636" s="22"/>
      <c r="E636" s="22"/>
      <c r="F636" s="22"/>
      <c r="G636" s="29"/>
      <c r="H636" s="13"/>
      <c r="I636" s="14">
        <f t="shared" si="1"/>
        <v>0</v>
      </c>
      <c r="J636" s="15">
        <f t="shared" si="2"/>
        <v>0</v>
      </c>
      <c r="K636" s="14">
        <f t="shared" si="3"/>
        <v>0</v>
      </c>
      <c r="L636" s="16" t="str">
        <f>IFERROR(__xludf.DUMMYFUNCTION("IFERROR(
  IF(
    VLOOKUP(C636, IMPORTRANGE(""gid=860555792"", ""Maestro!B:C""), 2, FALSE) = D636, 
    ""CONCILIADO"", 
    ""ERROR EN MONTO""
  ), 
  ""NO ENCONTRADO EN MAESTRO""
)"),"NO ENCONTRADO EN MAESTRO")</f>
        <v>NO ENCONTRADO EN MAESTRO</v>
      </c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ht="22.5" customHeight="1">
      <c r="A637" s="25"/>
      <c r="B637" s="15"/>
      <c r="C637" s="21"/>
      <c r="D637" s="22"/>
      <c r="E637" s="22"/>
      <c r="F637" s="22"/>
      <c r="G637" s="29"/>
      <c r="H637" s="13"/>
      <c r="I637" s="14">
        <f t="shared" si="1"/>
        <v>0</v>
      </c>
      <c r="J637" s="15">
        <f t="shared" si="2"/>
        <v>0</v>
      </c>
      <c r="K637" s="14">
        <f t="shared" si="3"/>
        <v>0</v>
      </c>
      <c r="L637" s="16" t="str">
        <f>IFERROR(__xludf.DUMMYFUNCTION("IFERROR(
  IF(
    VLOOKUP(C637, IMPORTRANGE(""gid=860555792"", ""Maestro!B:C""), 2, FALSE) = D637, 
    ""CONCILIADO"", 
    ""ERROR EN MONTO""
  ), 
  ""NO ENCONTRADO EN MAESTRO""
)"),"NO ENCONTRADO EN MAESTRO")</f>
        <v>NO ENCONTRADO EN MAESTRO</v>
      </c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ht="22.5" customHeight="1">
      <c r="A638" s="25"/>
      <c r="B638" s="15"/>
      <c r="C638" s="21"/>
      <c r="D638" s="22"/>
      <c r="E638" s="22"/>
      <c r="F638" s="22"/>
      <c r="G638" s="29"/>
      <c r="H638" s="13"/>
      <c r="I638" s="14">
        <f t="shared" si="1"/>
        <v>0</v>
      </c>
      <c r="J638" s="15">
        <f t="shared" si="2"/>
        <v>0</v>
      </c>
      <c r="K638" s="14">
        <f t="shared" si="3"/>
        <v>0</v>
      </c>
      <c r="L638" s="16" t="str">
        <f>IFERROR(__xludf.DUMMYFUNCTION("IFERROR(
  IF(
    VLOOKUP(C638, IMPORTRANGE(""gid=860555792"", ""Maestro!B:C""), 2, FALSE) = D638, 
    ""CONCILIADO"", 
    ""ERROR EN MONTO""
  ), 
  ""NO ENCONTRADO EN MAESTRO""
)"),"NO ENCONTRADO EN MAESTRO")</f>
        <v>NO ENCONTRADO EN MAESTRO</v>
      </c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ht="22.5" customHeight="1">
      <c r="A639" s="25"/>
      <c r="B639" s="15"/>
      <c r="C639" s="21"/>
      <c r="D639" s="22"/>
      <c r="E639" s="22"/>
      <c r="F639" s="22"/>
      <c r="G639" s="29"/>
      <c r="H639" s="13"/>
      <c r="I639" s="14">
        <f t="shared" si="1"/>
        <v>0</v>
      </c>
      <c r="J639" s="15">
        <f t="shared" si="2"/>
        <v>0</v>
      </c>
      <c r="K639" s="14">
        <f t="shared" si="3"/>
        <v>0</v>
      </c>
      <c r="L639" s="16" t="str">
        <f>IFERROR(__xludf.DUMMYFUNCTION("IFERROR(
  IF(
    VLOOKUP(C639, IMPORTRANGE(""gid=860555792"", ""Maestro!B:C""), 2, FALSE) = D639, 
    ""CONCILIADO"", 
    ""ERROR EN MONTO""
  ), 
  ""NO ENCONTRADO EN MAESTRO""
)"),"NO ENCONTRADO EN MAESTRO")</f>
        <v>NO ENCONTRADO EN MAESTRO</v>
      </c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ht="22.5" customHeight="1">
      <c r="A640" s="25"/>
      <c r="B640" s="15"/>
      <c r="C640" s="21"/>
      <c r="D640" s="22"/>
      <c r="E640" s="22"/>
      <c r="F640" s="22"/>
      <c r="G640" s="29"/>
      <c r="H640" s="13"/>
      <c r="I640" s="14">
        <f t="shared" si="1"/>
        <v>0</v>
      </c>
      <c r="J640" s="15">
        <f t="shared" si="2"/>
        <v>0</v>
      </c>
      <c r="K640" s="14">
        <f t="shared" si="3"/>
        <v>0</v>
      </c>
      <c r="L640" s="16" t="str">
        <f>IFERROR(__xludf.DUMMYFUNCTION("IFERROR(
  IF(
    VLOOKUP(C640, IMPORTRANGE(""gid=860555792"", ""Maestro!B:C""), 2, FALSE) = D640, 
    ""CONCILIADO"", 
    ""ERROR EN MONTO""
  ), 
  ""NO ENCONTRADO EN MAESTRO""
)"),"NO ENCONTRADO EN MAESTRO")</f>
        <v>NO ENCONTRADO EN MAESTRO</v>
      </c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ht="22.5" customHeight="1">
      <c r="A641" s="25"/>
      <c r="B641" s="15"/>
      <c r="C641" s="21"/>
      <c r="D641" s="22"/>
      <c r="E641" s="22"/>
      <c r="F641" s="22"/>
      <c r="G641" s="29"/>
      <c r="H641" s="13"/>
      <c r="I641" s="14">
        <f t="shared" si="1"/>
        <v>0</v>
      </c>
      <c r="J641" s="15">
        <f t="shared" si="2"/>
        <v>0</v>
      </c>
      <c r="K641" s="14">
        <f t="shared" si="3"/>
        <v>0</v>
      </c>
      <c r="L641" s="16" t="str">
        <f>IFERROR(__xludf.DUMMYFUNCTION("IFERROR(
  IF(
    VLOOKUP(C641, IMPORTRANGE(""gid=860555792"", ""Maestro!B:C""), 2, FALSE) = D641, 
    ""CONCILIADO"", 
    ""ERROR EN MONTO""
  ), 
  ""NO ENCONTRADO EN MAESTRO""
)"),"NO ENCONTRADO EN MAESTRO")</f>
        <v>NO ENCONTRADO EN MAESTRO</v>
      </c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ht="22.5" customHeight="1">
      <c r="A642" s="25"/>
      <c r="B642" s="15"/>
      <c r="C642" s="21"/>
      <c r="D642" s="22"/>
      <c r="E642" s="22"/>
      <c r="F642" s="22"/>
      <c r="G642" s="29"/>
      <c r="H642" s="13"/>
      <c r="I642" s="14">
        <f t="shared" si="1"/>
        <v>0</v>
      </c>
      <c r="J642" s="15">
        <f t="shared" si="2"/>
        <v>0</v>
      </c>
      <c r="K642" s="14">
        <f t="shared" si="3"/>
        <v>0</v>
      </c>
      <c r="L642" s="16" t="str">
        <f>IFERROR(__xludf.DUMMYFUNCTION("IFERROR(
  IF(
    VLOOKUP(C642, IMPORTRANGE(""gid=860555792"", ""Maestro!B:C""), 2, FALSE) = D642, 
    ""CONCILIADO"", 
    ""ERROR EN MONTO""
  ), 
  ""NO ENCONTRADO EN MAESTRO""
)"),"NO ENCONTRADO EN MAESTRO")</f>
        <v>NO ENCONTRADO EN MAESTRO</v>
      </c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ht="22.5" customHeight="1">
      <c r="A643" s="25"/>
      <c r="B643" s="15"/>
      <c r="C643" s="21"/>
      <c r="D643" s="22"/>
      <c r="E643" s="22"/>
      <c r="F643" s="22"/>
      <c r="G643" s="29"/>
      <c r="H643" s="13"/>
      <c r="I643" s="14">
        <f t="shared" si="1"/>
        <v>0</v>
      </c>
      <c r="J643" s="15">
        <f t="shared" si="2"/>
        <v>0</v>
      </c>
      <c r="K643" s="14">
        <f t="shared" si="3"/>
        <v>0</v>
      </c>
      <c r="L643" s="16" t="str">
        <f>IFERROR(__xludf.DUMMYFUNCTION("IFERROR(
  IF(
    VLOOKUP(C643, IMPORTRANGE(""gid=860555792"", ""Maestro!B:C""), 2, FALSE) = D643, 
    ""CONCILIADO"", 
    ""ERROR EN MONTO""
  ), 
  ""NO ENCONTRADO EN MAESTRO""
)"),"NO ENCONTRADO EN MAESTRO")</f>
        <v>NO ENCONTRADO EN MAESTRO</v>
      </c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ht="22.5" customHeight="1">
      <c r="A644" s="25"/>
      <c r="B644" s="15"/>
      <c r="C644" s="21"/>
      <c r="D644" s="22"/>
      <c r="E644" s="22"/>
      <c r="F644" s="22"/>
      <c r="G644" s="29"/>
      <c r="H644" s="13"/>
      <c r="I644" s="14">
        <f t="shared" si="1"/>
        <v>0</v>
      </c>
      <c r="J644" s="15">
        <f t="shared" si="2"/>
        <v>0</v>
      </c>
      <c r="K644" s="14">
        <f t="shared" si="3"/>
        <v>0</v>
      </c>
      <c r="L644" s="16" t="str">
        <f>IFERROR(__xludf.DUMMYFUNCTION("IFERROR(
  IF(
    VLOOKUP(C644, IMPORTRANGE(""gid=860555792"", ""Maestro!B:C""), 2, FALSE) = D644, 
    ""CONCILIADO"", 
    ""ERROR EN MONTO""
  ), 
  ""NO ENCONTRADO EN MAESTRO""
)"),"NO ENCONTRADO EN MAESTRO")</f>
        <v>NO ENCONTRADO EN MAESTRO</v>
      </c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ht="22.5" customHeight="1">
      <c r="A645" s="25"/>
      <c r="B645" s="15"/>
      <c r="C645" s="21"/>
      <c r="D645" s="22"/>
      <c r="E645" s="22"/>
      <c r="F645" s="22"/>
      <c r="G645" s="29"/>
      <c r="H645" s="13"/>
      <c r="I645" s="14">
        <f t="shared" si="1"/>
        <v>0</v>
      </c>
      <c r="J645" s="15">
        <f t="shared" si="2"/>
        <v>0</v>
      </c>
      <c r="K645" s="14">
        <f t="shared" si="3"/>
        <v>0</v>
      </c>
      <c r="L645" s="16" t="str">
        <f>IFERROR(__xludf.DUMMYFUNCTION("IFERROR(
  IF(
    VLOOKUP(C645, IMPORTRANGE(""gid=860555792"", ""Maestro!B:C""), 2, FALSE) = D645, 
    ""CONCILIADO"", 
    ""ERROR EN MONTO""
  ), 
  ""NO ENCONTRADO EN MAESTRO""
)"),"NO ENCONTRADO EN MAESTRO")</f>
        <v>NO ENCONTRADO EN MAESTRO</v>
      </c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ht="22.5" customHeight="1">
      <c r="A646" s="25"/>
      <c r="B646" s="15"/>
      <c r="C646" s="21"/>
      <c r="D646" s="22"/>
      <c r="E646" s="22"/>
      <c r="F646" s="22"/>
      <c r="G646" s="29"/>
      <c r="H646" s="13"/>
      <c r="I646" s="14">
        <f t="shared" si="1"/>
        <v>0</v>
      </c>
      <c r="J646" s="15">
        <f t="shared" si="2"/>
        <v>0</v>
      </c>
      <c r="K646" s="14">
        <f t="shared" si="3"/>
        <v>0</v>
      </c>
      <c r="L646" s="16" t="str">
        <f>IFERROR(__xludf.DUMMYFUNCTION("IFERROR(
  IF(
    VLOOKUP(C646, IMPORTRANGE(""gid=860555792"", ""Maestro!B:C""), 2, FALSE) = D646, 
    ""CONCILIADO"", 
    ""ERROR EN MONTO""
  ), 
  ""NO ENCONTRADO EN MAESTRO""
)"),"NO ENCONTRADO EN MAESTRO")</f>
        <v>NO ENCONTRADO EN MAESTRO</v>
      </c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ht="22.5" customHeight="1">
      <c r="A647" s="25"/>
      <c r="B647" s="15"/>
      <c r="C647" s="21"/>
      <c r="D647" s="22"/>
      <c r="E647" s="22"/>
      <c r="F647" s="22"/>
      <c r="G647" s="29"/>
      <c r="H647" s="13"/>
      <c r="I647" s="14">
        <f t="shared" si="1"/>
        <v>0</v>
      </c>
      <c r="J647" s="15">
        <f t="shared" si="2"/>
        <v>0</v>
      </c>
      <c r="K647" s="14">
        <f t="shared" si="3"/>
        <v>0</v>
      </c>
      <c r="L647" s="16" t="str">
        <f>IFERROR(__xludf.DUMMYFUNCTION("IFERROR(
  IF(
    VLOOKUP(C647, IMPORTRANGE(""gid=860555792"", ""Maestro!B:C""), 2, FALSE) = D647, 
    ""CONCILIADO"", 
    ""ERROR EN MONTO""
  ), 
  ""NO ENCONTRADO EN MAESTRO""
)"),"NO ENCONTRADO EN MAESTRO")</f>
        <v>NO ENCONTRADO EN MAESTRO</v>
      </c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ht="22.5" customHeight="1">
      <c r="A648" s="25"/>
      <c r="B648" s="15"/>
      <c r="C648" s="21"/>
      <c r="D648" s="22"/>
      <c r="E648" s="22"/>
      <c r="F648" s="22"/>
      <c r="G648" s="29"/>
      <c r="H648" s="13"/>
      <c r="I648" s="14">
        <f t="shared" si="1"/>
        <v>0</v>
      </c>
      <c r="J648" s="15">
        <f t="shared" si="2"/>
        <v>0</v>
      </c>
      <c r="K648" s="14">
        <f t="shared" si="3"/>
        <v>0</v>
      </c>
      <c r="L648" s="16" t="str">
        <f>IFERROR(__xludf.DUMMYFUNCTION("IFERROR(
  IF(
    VLOOKUP(C648, IMPORTRANGE(""gid=860555792"", ""Maestro!B:C""), 2, FALSE) = D648, 
    ""CONCILIADO"", 
    ""ERROR EN MONTO""
  ), 
  ""NO ENCONTRADO EN MAESTRO""
)"),"NO ENCONTRADO EN MAESTRO")</f>
        <v>NO ENCONTRADO EN MAESTRO</v>
      </c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ht="22.5" customHeight="1">
      <c r="A649" s="25"/>
      <c r="B649" s="15"/>
      <c r="C649" s="21"/>
      <c r="D649" s="22"/>
      <c r="E649" s="22"/>
      <c r="F649" s="22"/>
      <c r="G649" s="29"/>
      <c r="H649" s="13"/>
      <c r="I649" s="14">
        <f t="shared" si="1"/>
        <v>0</v>
      </c>
      <c r="J649" s="15">
        <f t="shared" si="2"/>
        <v>0</v>
      </c>
      <c r="K649" s="14">
        <f t="shared" si="3"/>
        <v>0</v>
      </c>
      <c r="L649" s="16" t="str">
        <f>IFERROR(__xludf.DUMMYFUNCTION("IFERROR(
  IF(
    VLOOKUP(C649, IMPORTRANGE(""gid=860555792"", ""Maestro!B:C""), 2, FALSE) = D649, 
    ""CONCILIADO"", 
    ""ERROR EN MONTO""
  ), 
  ""NO ENCONTRADO EN MAESTRO""
)"),"NO ENCONTRADO EN MAESTRO")</f>
        <v>NO ENCONTRADO EN MAESTRO</v>
      </c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ht="22.5" customHeight="1">
      <c r="A650" s="25"/>
      <c r="B650" s="15"/>
      <c r="C650" s="21"/>
      <c r="D650" s="22"/>
      <c r="E650" s="22"/>
      <c r="F650" s="22"/>
      <c r="G650" s="29"/>
      <c r="H650" s="13"/>
      <c r="I650" s="14">
        <f t="shared" si="1"/>
        <v>0</v>
      </c>
      <c r="J650" s="15">
        <f t="shared" si="2"/>
        <v>0</v>
      </c>
      <c r="K650" s="14">
        <f t="shared" si="3"/>
        <v>0</v>
      </c>
      <c r="L650" s="16" t="str">
        <f>IFERROR(__xludf.DUMMYFUNCTION("IFERROR(
  IF(
    VLOOKUP(C650, IMPORTRANGE(""gid=860555792"", ""Maestro!B:C""), 2, FALSE) = D650, 
    ""CONCILIADO"", 
    ""ERROR EN MONTO""
  ), 
  ""NO ENCONTRADO EN MAESTRO""
)"),"NO ENCONTRADO EN MAESTRO")</f>
        <v>NO ENCONTRADO EN MAESTRO</v>
      </c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ht="22.5" customHeight="1">
      <c r="A651" s="25"/>
      <c r="B651" s="15"/>
      <c r="C651" s="21"/>
      <c r="D651" s="22"/>
      <c r="E651" s="22"/>
      <c r="F651" s="22"/>
      <c r="G651" s="29"/>
      <c r="H651" s="13"/>
      <c r="I651" s="14">
        <f t="shared" si="1"/>
        <v>0</v>
      </c>
      <c r="J651" s="15">
        <f t="shared" si="2"/>
        <v>0</v>
      </c>
      <c r="K651" s="14">
        <f t="shared" si="3"/>
        <v>0</v>
      </c>
      <c r="L651" s="16" t="str">
        <f>IFERROR(__xludf.DUMMYFUNCTION("IFERROR(
  IF(
    VLOOKUP(C651, IMPORTRANGE(""gid=860555792"", ""Maestro!B:C""), 2, FALSE) = D651, 
    ""CONCILIADO"", 
    ""ERROR EN MONTO""
  ), 
  ""NO ENCONTRADO EN MAESTRO""
)"),"NO ENCONTRADO EN MAESTRO")</f>
        <v>NO ENCONTRADO EN MAESTRO</v>
      </c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ht="22.5" customHeight="1">
      <c r="A652" s="25"/>
      <c r="B652" s="15"/>
      <c r="C652" s="21"/>
      <c r="D652" s="22"/>
      <c r="E652" s="22"/>
      <c r="F652" s="22"/>
      <c r="G652" s="29"/>
      <c r="H652" s="13"/>
      <c r="I652" s="14">
        <f t="shared" si="1"/>
        <v>0</v>
      </c>
      <c r="J652" s="15">
        <f t="shared" si="2"/>
        <v>0</v>
      </c>
      <c r="K652" s="14">
        <f t="shared" si="3"/>
        <v>0</v>
      </c>
      <c r="L652" s="16" t="str">
        <f>IFERROR(__xludf.DUMMYFUNCTION("IFERROR(
  IF(
    VLOOKUP(C652, IMPORTRANGE(""gid=860555792"", ""Maestro!B:C""), 2, FALSE) = D652, 
    ""CONCILIADO"", 
    ""ERROR EN MONTO""
  ), 
  ""NO ENCONTRADO EN MAESTRO""
)"),"NO ENCONTRADO EN MAESTRO")</f>
        <v>NO ENCONTRADO EN MAESTRO</v>
      </c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ht="22.5" customHeight="1">
      <c r="A653" s="25"/>
      <c r="B653" s="15"/>
      <c r="C653" s="21"/>
      <c r="D653" s="22"/>
      <c r="E653" s="22"/>
      <c r="F653" s="22"/>
      <c r="G653" s="29"/>
      <c r="H653" s="13"/>
      <c r="I653" s="14">
        <f t="shared" si="1"/>
        <v>0</v>
      </c>
      <c r="J653" s="15">
        <f t="shared" si="2"/>
        <v>0</v>
      </c>
      <c r="K653" s="14">
        <f t="shared" si="3"/>
        <v>0</v>
      </c>
      <c r="L653" s="16" t="str">
        <f>IFERROR(__xludf.DUMMYFUNCTION("IFERROR(
  IF(
    VLOOKUP(C653, IMPORTRANGE(""gid=860555792"", ""Maestro!B:C""), 2, FALSE) = D653, 
    ""CONCILIADO"", 
    ""ERROR EN MONTO""
  ), 
  ""NO ENCONTRADO EN MAESTRO""
)"),"NO ENCONTRADO EN MAESTRO")</f>
        <v>NO ENCONTRADO EN MAESTRO</v>
      </c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ht="22.5" customHeight="1">
      <c r="A654" s="25"/>
      <c r="B654" s="15"/>
      <c r="C654" s="21"/>
      <c r="D654" s="22"/>
      <c r="E654" s="22"/>
      <c r="F654" s="22"/>
      <c r="G654" s="29"/>
      <c r="H654" s="13"/>
      <c r="I654" s="14">
        <f t="shared" si="1"/>
        <v>0</v>
      </c>
      <c r="J654" s="15">
        <f t="shared" si="2"/>
        <v>0</v>
      </c>
      <c r="K654" s="14">
        <f t="shared" si="3"/>
        <v>0</v>
      </c>
      <c r="L654" s="16" t="str">
        <f>IFERROR(__xludf.DUMMYFUNCTION("IFERROR(
  IF(
    VLOOKUP(C654, IMPORTRANGE(""gid=860555792"", ""Maestro!B:C""), 2, FALSE) = D654, 
    ""CONCILIADO"", 
    ""ERROR EN MONTO""
  ), 
  ""NO ENCONTRADO EN MAESTRO""
)"),"NO ENCONTRADO EN MAESTRO")</f>
        <v>NO ENCONTRADO EN MAESTRO</v>
      </c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ht="22.5" customHeight="1">
      <c r="A655" s="25"/>
      <c r="B655" s="15"/>
      <c r="C655" s="21"/>
      <c r="D655" s="22"/>
      <c r="E655" s="22"/>
      <c r="F655" s="22"/>
      <c r="G655" s="29"/>
      <c r="H655" s="13"/>
      <c r="I655" s="14">
        <f t="shared" si="1"/>
        <v>0</v>
      </c>
      <c r="J655" s="15">
        <f t="shared" si="2"/>
        <v>0</v>
      </c>
      <c r="K655" s="14">
        <f t="shared" si="3"/>
        <v>0</v>
      </c>
      <c r="L655" s="16" t="str">
        <f>IFERROR(__xludf.DUMMYFUNCTION("IFERROR(
  IF(
    VLOOKUP(C655, IMPORTRANGE(""gid=860555792"", ""Maestro!B:C""), 2, FALSE) = D655, 
    ""CONCILIADO"", 
    ""ERROR EN MONTO""
  ), 
  ""NO ENCONTRADO EN MAESTRO""
)"),"NO ENCONTRADO EN MAESTRO")</f>
        <v>NO ENCONTRADO EN MAESTRO</v>
      </c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ht="22.5" customHeight="1">
      <c r="A656" s="25"/>
      <c r="B656" s="15"/>
      <c r="C656" s="21"/>
      <c r="D656" s="22"/>
      <c r="E656" s="22"/>
      <c r="F656" s="22"/>
      <c r="G656" s="29"/>
      <c r="H656" s="13"/>
      <c r="I656" s="14">
        <f t="shared" si="1"/>
        <v>0</v>
      </c>
      <c r="J656" s="15">
        <f t="shared" si="2"/>
        <v>0</v>
      </c>
      <c r="K656" s="14">
        <f t="shared" si="3"/>
        <v>0</v>
      </c>
      <c r="L656" s="16" t="str">
        <f>IFERROR(__xludf.DUMMYFUNCTION("IFERROR(
  IF(
    VLOOKUP(C656, IMPORTRANGE(""gid=860555792"", ""Maestro!B:C""), 2, FALSE) = D656, 
    ""CONCILIADO"", 
    ""ERROR EN MONTO""
  ), 
  ""NO ENCONTRADO EN MAESTRO""
)"),"NO ENCONTRADO EN MAESTRO")</f>
        <v>NO ENCONTRADO EN MAESTRO</v>
      </c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ht="22.5" customHeight="1">
      <c r="A657" s="25"/>
      <c r="B657" s="15"/>
      <c r="C657" s="21"/>
      <c r="D657" s="22"/>
      <c r="E657" s="22"/>
      <c r="F657" s="22"/>
      <c r="G657" s="29"/>
      <c r="H657" s="13"/>
      <c r="I657" s="14">
        <f t="shared" si="1"/>
        <v>0</v>
      </c>
      <c r="J657" s="15">
        <f t="shared" si="2"/>
        <v>0</v>
      </c>
      <c r="K657" s="14">
        <f t="shared" si="3"/>
        <v>0</v>
      </c>
      <c r="L657" s="16" t="str">
        <f>IFERROR(__xludf.DUMMYFUNCTION("IFERROR(
  IF(
    VLOOKUP(C657, IMPORTRANGE(""gid=860555792"", ""Maestro!B:C""), 2, FALSE) = D657, 
    ""CONCILIADO"", 
    ""ERROR EN MONTO""
  ), 
  ""NO ENCONTRADO EN MAESTRO""
)"),"NO ENCONTRADO EN MAESTRO")</f>
        <v>NO ENCONTRADO EN MAESTRO</v>
      </c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ht="22.5" customHeight="1">
      <c r="A658" s="25"/>
      <c r="B658" s="15"/>
      <c r="C658" s="21"/>
      <c r="D658" s="22"/>
      <c r="E658" s="22"/>
      <c r="F658" s="22"/>
      <c r="G658" s="29"/>
      <c r="H658" s="13"/>
      <c r="I658" s="14">
        <f t="shared" si="1"/>
        <v>0</v>
      </c>
      <c r="J658" s="15">
        <f t="shared" si="2"/>
        <v>0</v>
      </c>
      <c r="K658" s="14">
        <f t="shared" si="3"/>
        <v>0</v>
      </c>
      <c r="L658" s="16" t="str">
        <f>IFERROR(__xludf.DUMMYFUNCTION("IFERROR(
  IF(
    VLOOKUP(C658, IMPORTRANGE(""gid=860555792"", ""Maestro!B:C""), 2, FALSE) = D658, 
    ""CONCILIADO"", 
    ""ERROR EN MONTO""
  ), 
  ""NO ENCONTRADO EN MAESTRO""
)"),"NO ENCONTRADO EN MAESTRO")</f>
        <v>NO ENCONTRADO EN MAESTRO</v>
      </c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ht="22.5" customHeight="1">
      <c r="A659" s="25"/>
      <c r="B659" s="15"/>
      <c r="C659" s="21"/>
      <c r="D659" s="22"/>
      <c r="E659" s="22"/>
      <c r="F659" s="22"/>
      <c r="G659" s="29"/>
      <c r="H659" s="13"/>
      <c r="I659" s="14">
        <f t="shared" si="1"/>
        <v>0</v>
      </c>
      <c r="J659" s="15">
        <f t="shared" si="2"/>
        <v>0</v>
      </c>
      <c r="K659" s="14">
        <f t="shared" si="3"/>
        <v>0</v>
      </c>
      <c r="L659" s="16" t="str">
        <f>IFERROR(__xludf.DUMMYFUNCTION("IFERROR(
  IF(
    VLOOKUP(C659, IMPORTRANGE(""gid=860555792"", ""Maestro!B:C""), 2, FALSE) = D659, 
    ""CONCILIADO"", 
    ""ERROR EN MONTO""
  ), 
  ""NO ENCONTRADO EN MAESTRO""
)"),"NO ENCONTRADO EN MAESTRO")</f>
        <v>NO ENCONTRADO EN MAESTRO</v>
      </c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ht="22.5" customHeight="1">
      <c r="A660" s="25"/>
      <c r="B660" s="15"/>
      <c r="C660" s="21"/>
      <c r="D660" s="22"/>
      <c r="E660" s="22"/>
      <c r="F660" s="22"/>
      <c r="G660" s="29"/>
      <c r="H660" s="13"/>
      <c r="I660" s="14">
        <f t="shared" si="1"/>
        <v>0</v>
      </c>
      <c r="J660" s="15">
        <f t="shared" si="2"/>
        <v>0</v>
      </c>
      <c r="K660" s="14">
        <f t="shared" si="3"/>
        <v>0</v>
      </c>
      <c r="L660" s="16" t="str">
        <f>IFERROR(__xludf.DUMMYFUNCTION("IFERROR(
  IF(
    VLOOKUP(C660, IMPORTRANGE(""gid=860555792"", ""Maestro!B:C""), 2, FALSE) = D660, 
    ""CONCILIADO"", 
    ""ERROR EN MONTO""
  ), 
  ""NO ENCONTRADO EN MAESTRO""
)"),"NO ENCONTRADO EN MAESTRO")</f>
        <v>NO ENCONTRADO EN MAESTRO</v>
      </c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ht="22.5" customHeight="1">
      <c r="A661" s="25"/>
      <c r="B661" s="15"/>
      <c r="C661" s="21"/>
      <c r="D661" s="22"/>
      <c r="E661" s="22"/>
      <c r="F661" s="22"/>
      <c r="G661" s="29"/>
      <c r="H661" s="13"/>
      <c r="I661" s="14">
        <f t="shared" si="1"/>
        <v>0</v>
      </c>
      <c r="J661" s="15">
        <f t="shared" si="2"/>
        <v>0</v>
      </c>
      <c r="K661" s="14">
        <f t="shared" si="3"/>
        <v>0</v>
      </c>
      <c r="L661" s="16" t="str">
        <f>IFERROR(__xludf.DUMMYFUNCTION("IFERROR(
  IF(
    VLOOKUP(C661, IMPORTRANGE(""gid=860555792"", ""Maestro!B:C""), 2, FALSE) = D661, 
    ""CONCILIADO"", 
    ""ERROR EN MONTO""
  ), 
  ""NO ENCONTRADO EN MAESTRO""
)"),"NO ENCONTRADO EN MAESTRO")</f>
        <v>NO ENCONTRADO EN MAESTRO</v>
      </c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ht="22.5" customHeight="1">
      <c r="A662" s="25"/>
      <c r="B662" s="15"/>
      <c r="C662" s="21"/>
      <c r="D662" s="22"/>
      <c r="E662" s="22"/>
      <c r="F662" s="22"/>
      <c r="G662" s="29"/>
      <c r="H662" s="13"/>
      <c r="I662" s="14">
        <f t="shared" si="1"/>
        <v>0</v>
      </c>
      <c r="J662" s="15">
        <f t="shared" si="2"/>
        <v>0</v>
      </c>
      <c r="K662" s="14">
        <f t="shared" si="3"/>
        <v>0</v>
      </c>
      <c r="L662" s="16" t="str">
        <f>IFERROR(__xludf.DUMMYFUNCTION("IFERROR(
  IF(
    VLOOKUP(C662, IMPORTRANGE(""gid=860555792"", ""Maestro!B:C""), 2, FALSE) = D662, 
    ""CONCILIADO"", 
    ""ERROR EN MONTO""
  ), 
  ""NO ENCONTRADO EN MAESTRO""
)"),"NO ENCONTRADO EN MAESTRO")</f>
        <v>NO ENCONTRADO EN MAESTRO</v>
      </c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ht="22.5" customHeight="1">
      <c r="A663" s="25"/>
      <c r="B663" s="15"/>
      <c r="C663" s="21"/>
      <c r="D663" s="22"/>
      <c r="E663" s="22"/>
      <c r="F663" s="22"/>
      <c r="G663" s="29"/>
      <c r="H663" s="13"/>
      <c r="I663" s="14">
        <f t="shared" si="1"/>
        <v>0</v>
      </c>
      <c r="J663" s="15">
        <f t="shared" si="2"/>
        <v>0</v>
      </c>
      <c r="K663" s="14">
        <f t="shared" si="3"/>
        <v>0</v>
      </c>
      <c r="L663" s="16" t="str">
        <f>IFERROR(__xludf.DUMMYFUNCTION("IFERROR(
  IF(
    VLOOKUP(C663, IMPORTRANGE(""gid=860555792"", ""Maestro!B:C""), 2, FALSE) = D663, 
    ""CONCILIADO"", 
    ""ERROR EN MONTO""
  ), 
  ""NO ENCONTRADO EN MAESTRO""
)"),"NO ENCONTRADO EN MAESTRO")</f>
        <v>NO ENCONTRADO EN MAESTRO</v>
      </c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ht="22.5" customHeight="1">
      <c r="A664" s="25"/>
      <c r="B664" s="15"/>
      <c r="C664" s="21"/>
      <c r="D664" s="22"/>
      <c r="E664" s="22"/>
      <c r="F664" s="22"/>
      <c r="G664" s="29"/>
      <c r="H664" s="13"/>
      <c r="I664" s="14">
        <f t="shared" si="1"/>
        <v>0</v>
      </c>
      <c r="J664" s="15">
        <f t="shared" si="2"/>
        <v>0</v>
      </c>
      <c r="K664" s="14">
        <f t="shared" si="3"/>
        <v>0</v>
      </c>
      <c r="L664" s="16" t="str">
        <f>IFERROR(__xludf.DUMMYFUNCTION("IFERROR(
  IF(
    VLOOKUP(C664, IMPORTRANGE(""gid=860555792"", ""Maestro!B:C""), 2, FALSE) = D664, 
    ""CONCILIADO"", 
    ""ERROR EN MONTO""
  ), 
  ""NO ENCONTRADO EN MAESTRO""
)"),"NO ENCONTRADO EN MAESTRO")</f>
        <v>NO ENCONTRADO EN MAESTRO</v>
      </c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ht="22.5" customHeight="1">
      <c r="A665" s="25"/>
      <c r="B665" s="15"/>
      <c r="C665" s="21"/>
      <c r="D665" s="22"/>
      <c r="E665" s="22"/>
      <c r="F665" s="22"/>
      <c r="G665" s="29"/>
      <c r="H665" s="13"/>
      <c r="I665" s="14">
        <f t="shared" si="1"/>
        <v>0</v>
      </c>
      <c r="J665" s="15">
        <f t="shared" si="2"/>
        <v>0</v>
      </c>
      <c r="K665" s="14">
        <f t="shared" si="3"/>
        <v>0</v>
      </c>
      <c r="L665" s="16" t="str">
        <f>IFERROR(__xludf.DUMMYFUNCTION("IFERROR(
  IF(
    VLOOKUP(C665, IMPORTRANGE(""gid=860555792"", ""Maestro!B:C""), 2, FALSE) = D665, 
    ""CONCILIADO"", 
    ""ERROR EN MONTO""
  ), 
  ""NO ENCONTRADO EN MAESTRO""
)"),"NO ENCONTRADO EN MAESTRO")</f>
        <v>NO ENCONTRADO EN MAESTRO</v>
      </c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ht="22.5" customHeight="1">
      <c r="A666" s="25"/>
      <c r="B666" s="15"/>
      <c r="C666" s="21"/>
      <c r="D666" s="22"/>
      <c r="E666" s="22"/>
      <c r="F666" s="22"/>
      <c r="G666" s="29"/>
      <c r="H666" s="13"/>
      <c r="I666" s="14">
        <f t="shared" si="1"/>
        <v>0</v>
      </c>
      <c r="J666" s="15">
        <f t="shared" si="2"/>
        <v>0</v>
      </c>
      <c r="K666" s="14">
        <f t="shared" si="3"/>
        <v>0</v>
      </c>
      <c r="L666" s="16" t="str">
        <f>IFERROR(__xludf.DUMMYFUNCTION("IFERROR(
  IF(
    VLOOKUP(C666, IMPORTRANGE(""gid=860555792"", ""Maestro!B:C""), 2, FALSE) = D666, 
    ""CONCILIADO"", 
    ""ERROR EN MONTO""
  ), 
  ""NO ENCONTRADO EN MAESTRO""
)"),"NO ENCONTRADO EN MAESTRO")</f>
        <v>NO ENCONTRADO EN MAESTRO</v>
      </c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ht="22.5" customHeight="1">
      <c r="A667" s="25"/>
      <c r="B667" s="15"/>
      <c r="C667" s="21"/>
      <c r="D667" s="22"/>
      <c r="E667" s="22"/>
      <c r="F667" s="22"/>
      <c r="G667" s="29"/>
      <c r="H667" s="13"/>
      <c r="I667" s="14">
        <f t="shared" si="1"/>
        <v>0</v>
      </c>
      <c r="J667" s="15">
        <f t="shared" si="2"/>
        <v>0</v>
      </c>
      <c r="K667" s="14">
        <f t="shared" si="3"/>
        <v>0</v>
      </c>
      <c r="L667" s="16" t="str">
        <f>IFERROR(__xludf.DUMMYFUNCTION("IFERROR(
  IF(
    VLOOKUP(C667, IMPORTRANGE(""gid=860555792"", ""Maestro!B:C""), 2, FALSE) = D667, 
    ""CONCILIADO"", 
    ""ERROR EN MONTO""
  ), 
  ""NO ENCONTRADO EN MAESTRO""
)"),"NO ENCONTRADO EN MAESTRO")</f>
        <v>NO ENCONTRADO EN MAESTRO</v>
      </c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ht="22.5" customHeight="1">
      <c r="A668" s="25"/>
      <c r="B668" s="15"/>
      <c r="C668" s="21"/>
      <c r="D668" s="22"/>
      <c r="E668" s="22"/>
      <c r="F668" s="22"/>
      <c r="G668" s="29"/>
      <c r="H668" s="13"/>
      <c r="I668" s="14">
        <f t="shared" si="1"/>
        <v>0</v>
      </c>
      <c r="J668" s="15">
        <f t="shared" si="2"/>
        <v>0</v>
      </c>
      <c r="K668" s="14">
        <f t="shared" si="3"/>
        <v>0</v>
      </c>
      <c r="L668" s="16" t="str">
        <f>IFERROR(__xludf.DUMMYFUNCTION("IFERROR(
  IF(
    VLOOKUP(C668, IMPORTRANGE(""gid=860555792"", ""Maestro!B:C""), 2, FALSE) = D668, 
    ""CONCILIADO"", 
    ""ERROR EN MONTO""
  ), 
  ""NO ENCONTRADO EN MAESTRO""
)"),"NO ENCONTRADO EN MAESTRO")</f>
        <v>NO ENCONTRADO EN MAESTRO</v>
      </c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ht="22.5" customHeight="1">
      <c r="A669" s="25"/>
      <c r="B669" s="15"/>
      <c r="C669" s="21"/>
      <c r="D669" s="22"/>
      <c r="E669" s="22"/>
      <c r="F669" s="22"/>
      <c r="G669" s="29"/>
      <c r="H669" s="13"/>
      <c r="I669" s="14">
        <f t="shared" si="1"/>
        <v>0</v>
      </c>
      <c r="J669" s="15">
        <f t="shared" si="2"/>
        <v>0</v>
      </c>
      <c r="K669" s="14">
        <f t="shared" si="3"/>
        <v>0</v>
      </c>
      <c r="L669" s="16" t="str">
        <f>IFERROR(__xludf.DUMMYFUNCTION("IFERROR(
  IF(
    VLOOKUP(C669, IMPORTRANGE(""gid=860555792"", ""Maestro!B:C""), 2, FALSE) = D669, 
    ""CONCILIADO"", 
    ""ERROR EN MONTO""
  ), 
  ""NO ENCONTRADO EN MAESTRO""
)"),"NO ENCONTRADO EN MAESTRO")</f>
        <v>NO ENCONTRADO EN MAESTRO</v>
      </c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ht="22.5" customHeight="1">
      <c r="A670" s="25"/>
      <c r="B670" s="15"/>
      <c r="C670" s="21"/>
      <c r="D670" s="22"/>
      <c r="E670" s="22"/>
      <c r="F670" s="22"/>
      <c r="G670" s="29"/>
      <c r="H670" s="13"/>
      <c r="I670" s="14">
        <f t="shared" si="1"/>
        <v>0</v>
      </c>
      <c r="J670" s="15">
        <f t="shared" si="2"/>
        <v>0</v>
      </c>
      <c r="K670" s="14">
        <f t="shared" si="3"/>
        <v>0</v>
      </c>
      <c r="L670" s="16" t="str">
        <f>IFERROR(__xludf.DUMMYFUNCTION("IFERROR(
  IF(
    VLOOKUP(C670, IMPORTRANGE(""gid=860555792"", ""Maestro!B:C""), 2, FALSE) = D670, 
    ""CONCILIADO"", 
    ""ERROR EN MONTO""
  ), 
  ""NO ENCONTRADO EN MAESTRO""
)"),"NO ENCONTRADO EN MAESTRO")</f>
        <v>NO ENCONTRADO EN MAESTRO</v>
      </c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ht="22.5" customHeight="1">
      <c r="A671" s="25"/>
      <c r="B671" s="15"/>
      <c r="C671" s="21"/>
      <c r="D671" s="22"/>
      <c r="E671" s="22"/>
      <c r="F671" s="22"/>
      <c r="G671" s="29"/>
      <c r="H671" s="13"/>
      <c r="I671" s="14">
        <f t="shared" si="1"/>
        <v>0</v>
      </c>
      <c r="J671" s="15">
        <f t="shared" si="2"/>
        <v>0</v>
      </c>
      <c r="K671" s="14">
        <f t="shared" si="3"/>
        <v>0</v>
      </c>
      <c r="L671" s="16" t="str">
        <f>IFERROR(__xludf.DUMMYFUNCTION("IFERROR(
  IF(
    VLOOKUP(C671, IMPORTRANGE(""gid=860555792"", ""Maestro!B:C""), 2, FALSE) = D671, 
    ""CONCILIADO"", 
    ""ERROR EN MONTO""
  ), 
  ""NO ENCONTRADO EN MAESTRO""
)"),"NO ENCONTRADO EN MAESTRO")</f>
        <v>NO ENCONTRADO EN MAESTRO</v>
      </c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ht="22.5" customHeight="1">
      <c r="A672" s="25"/>
      <c r="B672" s="15"/>
      <c r="C672" s="21"/>
      <c r="D672" s="22"/>
      <c r="E672" s="22"/>
      <c r="F672" s="22"/>
      <c r="G672" s="29"/>
      <c r="H672" s="13"/>
      <c r="I672" s="14">
        <f t="shared" si="1"/>
        <v>0</v>
      </c>
      <c r="J672" s="15">
        <f t="shared" si="2"/>
        <v>0</v>
      </c>
      <c r="K672" s="14">
        <f t="shared" si="3"/>
        <v>0</v>
      </c>
      <c r="L672" s="16" t="str">
        <f>IFERROR(__xludf.DUMMYFUNCTION("IFERROR(
  IF(
    VLOOKUP(C672, IMPORTRANGE(""gid=860555792"", ""Maestro!B:C""), 2, FALSE) = D672, 
    ""CONCILIADO"", 
    ""ERROR EN MONTO""
  ), 
  ""NO ENCONTRADO EN MAESTRO""
)"),"NO ENCONTRADO EN MAESTRO")</f>
        <v>NO ENCONTRADO EN MAESTRO</v>
      </c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ht="22.5" customHeight="1">
      <c r="A673" s="25"/>
      <c r="B673" s="15"/>
      <c r="C673" s="21"/>
      <c r="D673" s="22"/>
      <c r="E673" s="22"/>
      <c r="F673" s="22"/>
      <c r="G673" s="29"/>
      <c r="H673" s="13"/>
      <c r="I673" s="14">
        <f t="shared" si="1"/>
        <v>0</v>
      </c>
      <c r="J673" s="15">
        <f t="shared" si="2"/>
        <v>0</v>
      </c>
      <c r="K673" s="14">
        <f t="shared" si="3"/>
        <v>0</v>
      </c>
      <c r="L673" s="16" t="str">
        <f>IFERROR(__xludf.DUMMYFUNCTION("IFERROR(
  IF(
    VLOOKUP(C673, IMPORTRANGE(""gid=860555792"", ""Maestro!B:C""), 2, FALSE) = D673, 
    ""CONCILIADO"", 
    ""ERROR EN MONTO""
  ), 
  ""NO ENCONTRADO EN MAESTRO""
)"),"NO ENCONTRADO EN MAESTRO")</f>
        <v>NO ENCONTRADO EN MAESTRO</v>
      </c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ht="22.5" customHeight="1">
      <c r="A674" s="25"/>
      <c r="B674" s="15"/>
      <c r="C674" s="21"/>
      <c r="D674" s="22"/>
      <c r="E674" s="22"/>
      <c r="F674" s="22"/>
      <c r="G674" s="29"/>
      <c r="H674" s="13"/>
      <c r="I674" s="14">
        <f t="shared" si="1"/>
        <v>0</v>
      </c>
      <c r="J674" s="15">
        <f t="shared" si="2"/>
        <v>0</v>
      </c>
      <c r="K674" s="14">
        <f t="shared" si="3"/>
        <v>0</v>
      </c>
      <c r="L674" s="16" t="str">
        <f>IFERROR(__xludf.DUMMYFUNCTION("IFERROR(
  IF(
    VLOOKUP(C674, IMPORTRANGE(""gid=860555792"", ""Maestro!B:C""), 2, FALSE) = D674, 
    ""CONCILIADO"", 
    ""ERROR EN MONTO""
  ), 
  ""NO ENCONTRADO EN MAESTRO""
)"),"NO ENCONTRADO EN MAESTRO")</f>
        <v>NO ENCONTRADO EN MAESTRO</v>
      </c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ht="22.5" customHeight="1">
      <c r="A675" s="25"/>
      <c r="B675" s="15"/>
      <c r="C675" s="21"/>
      <c r="D675" s="22"/>
      <c r="E675" s="22"/>
      <c r="F675" s="22"/>
      <c r="G675" s="29"/>
      <c r="H675" s="13"/>
      <c r="I675" s="14">
        <f t="shared" si="1"/>
        <v>0</v>
      </c>
      <c r="J675" s="15">
        <f t="shared" si="2"/>
        <v>0</v>
      </c>
      <c r="K675" s="14">
        <f t="shared" si="3"/>
        <v>0</v>
      </c>
      <c r="L675" s="16" t="str">
        <f>IFERROR(__xludf.DUMMYFUNCTION("IFERROR(
  IF(
    VLOOKUP(C675, IMPORTRANGE(""gid=860555792"", ""Maestro!B:C""), 2, FALSE) = D675, 
    ""CONCILIADO"", 
    ""ERROR EN MONTO""
  ), 
  ""NO ENCONTRADO EN MAESTRO""
)"),"NO ENCONTRADO EN MAESTRO")</f>
        <v>NO ENCONTRADO EN MAESTRO</v>
      </c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ht="22.5" customHeight="1">
      <c r="A676" s="25"/>
      <c r="B676" s="15"/>
      <c r="C676" s="21"/>
      <c r="D676" s="22"/>
      <c r="E676" s="22"/>
      <c r="F676" s="22"/>
      <c r="G676" s="29"/>
      <c r="H676" s="13"/>
      <c r="I676" s="14">
        <f t="shared" si="1"/>
        <v>0</v>
      </c>
      <c r="J676" s="15">
        <f t="shared" si="2"/>
        <v>0</v>
      </c>
      <c r="K676" s="14">
        <f t="shared" si="3"/>
        <v>0</v>
      </c>
      <c r="L676" s="16" t="str">
        <f>IFERROR(__xludf.DUMMYFUNCTION("IFERROR(
  IF(
    VLOOKUP(C676, IMPORTRANGE(""gid=860555792"", ""Maestro!B:C""), 2, FALSE) = D676, 
    ""CONCILIADO"", 
    ""ERROR EN MONTO""
  ), 
  ""NO ENCONTRADO EN MAESTRO""
)"),"NO ENCONTRADO EN MAESTRO")</f>
        <v>NO ENCONTRADO EN MAESTRO</v>
      </c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ht="22.5" customHeight="1">
      <c r="A677" s="25"/>
      <c r="B677" s="15"/>
      <c r="C677" s="21"/>
      <c r="D677" s="22"/>
      <c r="E677" s="22"/>
      <c r="F677" s="22"/>
      <c r="G677" s="29"/>
      <c r="H677" s="13"/>
      <c r="I677" s="14">
        <f t="shared" si="1"/>
        <v>0</v>
      </c>
      <c r="J677" s="15">
        <f t="shared" si="2"/>
        <v>0</v>
      </c>
      <c r="K677" s="14">
        <f t="shared" si="3"/>
        <v>0</v>
      </c>
      <c r="L677" s="16" t="str">
        <f>IFERROR(__xludf.DUMMYFUNCTION("IFERROR(
  IF(
    VLOOKUP(C677, IMPORTRANGE(""gid=860555792"", ""Maestro!B:C""), 2, FALSE) = D677, 
    ""CONCILIADO"", 
    ""ERROR EN MONTO""
  ), 
  ""NO ENCONTRADO EN MAESTRO""
)"),"NO ENCONTRADO EN MAESTRO")</f>
        <v>NO ENCONTRADO EN MAESTRO</v>
      </c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ht="22.5" customHeight="1">
      <c r="A678" s="25"/>
      <c r="B678" s="15"/>
      <c r="C678" s="21"/>
      <c r="D678" s="22"/>
      <c r="E678" s="22"/>
      <c r="F678" s="22"/>
      <c r="G678" s="29"/>
      <c r="H678" s="13"/>
      <c r="I678" s="14">
        <f t="shared" si="1"/>
        <v>0</v>
      </c>
      <c r="J678" s="15">
        <f t="shared" si="2"/>
        <v>0</v>
      </c>
      <c r="K678" s="14">
        <f t="shared" si="3"/>
        <v>0</v>
      </c>
      <c r="L678" s="16" t="str">
        <f>IFERROR(__xludf.DUMMYFUNCTION("IFERROR(
  IF(
    VLOOKUP(C678, IMPORTRANGE(""gid=860555792"", ""Maestro!B:C""), 2, FALSE) = D678, 
    ""CONCILIADO"", 
    ""ERROR EN MONTO""
  ), 
  ""NO ENCONTRADO EN MAESTRO""
)"),"NO ENCONTRADO EN MAESTRO")</f>
        <v>NO ENCONTRADO EN MAESTRO</v>
      </c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ht="22.5" customHeight="1">
      <c r="A679" s="25"/>
      <c r="B679" s="15"/>
      <c r="C679" s="21"/>
      <c r="D679" s="22"/>
      <c r="E679" s="22"/>
      <c r="F679" s="22"/>
      <c r="G679" s="29"/>
      <c r="H679" s="13"/>
      <c r="I679" s="14">
        <f t="shared" si="1"/>
        <v>0</v>
      </c>
      <c r="J679" s="15">
        <f t="shared" si="2"/>
        <v>0</v>
      </c>
      <c r="K679" s="14">
        <f t="shared" si="3"/>
        <v>0</v>
      </c>
      <c r="L679" s="16" t="str">
        <f>IFERROR(__xludf.DUMMYFUNCTION("IFERROR(
  IF(
    VLOOKUP(C679, IMPORTRANGE(""gid=860555792"", ""Maestro!B:C""), 2, FALSE) = D679, 
    ""CONCILIADO"", 
    ""ERROR EN MONTO""
  ), 
  ""NO ENCONTRADO EN MAESTRO""
)"),"NO ENCONTRADO EN MAESTRO")</f>
        <v>NO ENCONTRADO EN MAESTRO</v>
      </c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ht="22.5" customHeight="1">
      <c r="A680" s="25"/>
      <c r="B680" s="15"/>
      <c r="C680" s="21"/>
      <c r="D680" s="22"/>
      <c r="E680" s="22"/>
      <c r="F680" s="22"/>
      <c r="G680" s="29"/>
      <c r="H680" s="13"/>
      <c r="I680" s="14">
        <f t="shared" si="1"/>
        <v>0</v>
      </c>
      <c r="J680" s="15">
        <f t="shared" si="2"/>
        <v>0</v>
      </c>
      <c r="K680" s="14">
        <f t="shared" si="3"/>
        <v>0</v>
      </c>
      <c r="L680" s="16" t="str">
        <f>IFERROR(__xludf.DUMMYFUNCTION("IFERROR(
  IF(
    VLOOKUP(C680, IMPORTRANGE(""gid=860555792"", ""Maestro!B:C""), 2, FALSE) = D680, 
    ""CONCILIADO"", 
    ""ERROR EN MONTO""
  ), 
  ""NO ENCONTRADO EN MAESTRO""
)"),"NO ENCONTRADO EN MAESTRO")</f>
        <v>NO ENCONTRADO EN MAESTRO</v>
      </c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ht="22.5" customHeight="1">
      <c r="A681" s="25"/>
      <c r="B681" s="15"/>
      <c r="C681" s="21"/>
      <c r="D681" s="22"/>
      <c r="E681" s="22"/>
      <c r="F681" s="22"/>
      <c r="G681" s="29"/>
      <c r="H681" s="13"/>
      <c r="I681" s="14">
        <f t="shared" si="1"/>
        <v>0</v>
      </c>
      <c r="J681" s="15">
        <f t="shared" si="2"/>
        <v>0</v>
      </c>
      <c r="K681" s="14">
        <f t="shared" si="3"/>
        <v>0</v>
      </c>
      <c r="L681" s="16" t="str">
        <f>IFERROR(__xludf.DUMMYFUNCTION("IFERROR(
  IF(
    VLOOKUP(C681, IMPORTRANGE(""gid=860555792"", ""Maestro!B:C""), 2, FALSE) = D681, 
    ""CONCILIADO"", 
    ""ERROR EN MONTO""
  ), 
  ""NO ENCONTRADO EN MAESTRO""
)"),"NO ENCONTRADO EN MAESTRO")</f>
        <v>NO ENCONTRADO EN MAESTRO</v>
      </c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ht="22.5" customHeight="1">
      <c r="A682" s="25"/>
      <c r="B682" s="15"/>
      <c r="C682" s="21"/>
      <c r="D682" s="22"/>
      <c r="E682" s="22"/>
      <c r="F682" s="22"/>
      <c r="G682" s="29"/>
      <c r="H682" s="13"/>
      <c r="I682" s="14">
        <f t="shared" si="1"/>
        <v>0</v>
      </c>
      <c r="J682" s="15">
        <f t="shared" si="2"/>
        <v>0</v>
      </c>
      <c r="K682" s="14">
        <f t="shared" si="3"/>
        <v>0</v>
      </c>
      <c r="L682" s="16" t="str">
        <f>IFERROR(__xludf.DUMMYFUNCTION("IFERROR(
  IF(
    VLOOKUP(C682, IMPORTRANGE(""gid=860555792"", ""Maestro!B:C""), 2, FALSE) = D682, 
    ""CONCILIADO"", 
    ""ERROR EN MONTO""
  ), 
  ""NO ENCONTRADO EN MAESTRO""
)"),"NO ENCONTRADO EN MAESTRO")</f>
        <v>NO ENCONTRADO EN MAESTRO</v>
      </c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ht="22.5" customHeight="1">
      <c r="A683" s="25"/>
      <c r="B683" s="15"/>
      <c r="C683" s="21"/>
      <c r="D683" s="22"/>
      <c r="E683" s="22"/>
      <c r="F683" s="22"/>
      <c r="G683" s="29"/>
      <c r="H683" s="13"/>
      <c r="I683" s="14">
        <f t="shared" si="1"/>
        <v>0</v>
      </c>
      <c r="J683" s="15">
        <f t="shared" si="2"/>
        <v>0</v>
      </c>
      <c r="K683" s="14">
        <f t="shared" si="3"/>
        <v>0</v>
      </c>
      <c r="L683" s="16" t="str">
        <f>IFERROR(__xludf.DUMMYFUNCTION("IFERROR(
  IF(
    VLOOKUP(C683, IMPORTRANGE(""gid=860555792"", ""Maestro!B:C""), 2, FALSE) = D683, 
    ""CONCILIADO"", 
    ""ERROR EN MONTO""
  ), 
  ""NO ENCONTRADO EN MAESTRO""
)"),"NO ENCONTRADO EN MAESTRO")</f>
        <v>NO ENCONTRADO EN MAESTRO</v>
      </c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ht="22.5" customHeight="1">
      <c r="A684" s="25"/>
      <c r="B684" s="15"/>
      <c r="C684" s="21"/>
      <c r="D684" s="22"/>
      <c r="E684" s="22"/>
      <c r="F684" s="22"/>
      <c r="G684" s="29"/>
      <c r="H684" s="13"/>
      <c r="I684" s="14">
        <f t="shared" si="1"/>
        <v>0</v>
      </c>
      <c r="J684" s="15">
        <f t="shared" si="2"/>
        <v>0</v>
      </c>
      <c r="K684" s="14">
        <f t="shared" si="3"/>
        <v>0</v>
      </c>
      <c r="L684" s="16" t="str">
        <f>IFERROR(__xludf.DUMMYFUNCTION("IFERROR(
  IF(
    VLOOKUP(C684, IMPORTRANGE(""gid=860555792"", ""Maestro!B:C""), 2, FALSE) = D684, 
    ""CONCILIADO"", 
    ""ERROR EN MONTO""
  ), 
  ""NO ENCONTRADO EN MAESTRO""
)"),"NO ENCONTRADO EN MAESTRO")</f>
        <v>NO ENCONTRADO EN MAESTRO</v>
      </c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ht="22.5" customHeight="1">
      <c r="A685" s="25"/>
      <c r="B685" s="15"/>
      <c r="C685" s="21"/>
      <c r="D685" s="22"/>
      <c r="E685" s="22"/>
      <c r="F685" s="22"/>
      <c r="G685" s="29"/>
      <c r="H685" s="13"/>
      <c r="I685" s="14">
        <f t="shared" si="1"/>
        <v>0</v>
      </c>
      <c r="J685" s="15">
        <f t="shared" si="2"/>
        <v>0</v>
      </c>
      <c r="K685" s="14">
        <f t="shared" si="3"/>
        <v>0</v>
      </c>
      <c r="L685" s="16" t="str">
        <f>IFERROR(__xludf.DUMMYFUNCTION("IFERROR(
  IF(
    VLOOKUP(C685, IMPORTRANGE(""gid=860555792"", ""Maestro!B:C""), 2, FALSE) = D685, 
    ""CONCILIADO"", 
    ""ERROR EN MONTO""
  ), 
  ""NO ENCONTRADO EN MAESTRO""
)"),"NO ENCONTRADO EN MAESTRO")</f>
        <v>NO ENCONTRADO EN MAESTRO</v>
      </c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ht="22.5" customHeight="1">
      <c r="A686" s="25"/>
      <c r="B686" s="15"/>
      <c r="C686" s="21"/>
      <c r="D686" s="22"/>
      <c r="E686" s="22"/>
      <c r="F686" s="22"/>
      <c r="G686" s="29"/>
      <c r="H686" s="13"/>
      <c r="I686" s="14">
        <f t="shared" si="1"/>
        <v>0</v>
      </c>
      <c r="J686" s="15">
        <f t="shared" si="2"/>
        <v>0</v>
      </c>
      <c r="K686" s="14">
        <f t="shared" si="3"/>
        <v>0</v>
      </c>
      <c r="L686" s="16" t="str">
        <f>IFERROR(__xludf.DUMMYFUNCTION("IFERROR(
  IF(
    VLOOKUP(C686, IMPORTRANGE(""gid=860555792"", ""Maestro!B:C""), 2, FALSE) = D686, 
    ""CONCILIADO"", 
    ""ERROR EN MONTO""
  ), 
  ""NO ENCONTRADO EN MAESTRO""
)"),"NO ENCONTRADO EN MAESTRO")</f>
        <v>NO ENCONTRADO EN MAESTRO</v>
      </c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ht="22.5" customHeight="1">
      <c r="A687" s="25"/>
      <c r="B687" s="15"/>
      <c r="C687" s="21"/>
      <c r="D687" s="22"/>
      <c r="E687" s="22"/>
      <c r="F687" s="22"/>
      <c r="G687" s="29"/>
      <c r="H687" s="13"/>
      <c r="I687" s="14">
        <f t="shared" si="1"/>
        <v>0</v>
      </c>
      <c r="J687" s="15">
        <f t="shared" si="2"/>
        <v>0</v>
      </c>
      <c r="K687" s="14">
        <f t="shared" si="3"/>
        <v>0</v>
      </c>
      <c r="L687" s="16" t="str">
        <f>IFERROR(__xludf.DUMMYFUNCTION("IFERROR(
  IF(
    VLOOKUP(C687, IMPORTRANGE(""gid=860555792"", ""Maestro!B:C""), 2, FALSE) = D687, 
    ""CONCILIADO"", 
    ""ERROR EN MONTO""
  ), 
  ""NO ENCONTRADO EN MAESTRO""
)"),"NO ENCONTRADO EN MAESTRO")</f>
        <v>NO ENCONTRADO EN MAESTRO</v>
      </c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ht="22.5" customHeight="1">
      <c r="A688" s="25"/>
      <c r="B688" s="15"/>
      <c r="C688" s="21"/>
      <c r="D688" s="22"/>
      <c r="E688" s="22"/>
      <c r="F688" s="22"/>
      <c r="G688" s="29"/>
      <c r="H688" s="13"/>
      <c r="I688" s="14">
        <f t="shared" si="1"/>
        <v>0</v>
      </c>
      <c r="J688" s="15">
        <f t="shared" si="2"/>
        <v>0</v>
      </c>
      <c r="K688" s="14">
        <f t="shared" si="3"/>
        <v>0</v>
      </c>
      <c r="L688" s="16" t="str">
        <f>IFERROR(__xludf.DUMMYFUNCTION("IFERROR(
  IF(
    VLOOKUP(C688, IMPORTRANGE(""gid=860555792"", ""Maestro!B:C""), 2, FALSE) = D688, 
    ""CONCILIADO"", 
    ""ERROR EN MONTO""
  ), 
  ""NO ENCONTRADO EN MAESTRO""
)"),"NO ENCONTRADO EN MAESTRO")</f>
        <v>NO ENCONTRADO EN MAESTRO</v>
      </c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ht="22.5" customHeight="1">
      <c r="A689" s="25"/>
      <c r="B689" s="15"/>
      <c r="C689" s="21"/>
      <c r="D689" s="22"/>
      <c r="E689" s="22"/>
      <c r="F689" s="22"/>
      <c r="G689" s="29"/>
      <c r="H689" s="13"/>
      <c r="I689" s="14">
        <f t="shared" si="1"/>
        <v>0</v>
      </c>
      <c r="J689" s="15">
        <f t="shared" si="2"/>
        <v>0</v>
      </c>
      <c r="K689" s="14">
        <f t="shared" si="3"/>
        <v>0</v>
      </c>
      <c r="L689" s="16" t="str">
        <f>IFERROR(__xludf.DUMMYFUNCTION("IFERROR(
  IF(
    VLOOKUP(C689, IMPORTRANGE(""gid=860555792"", ""Maestro!B:C""), 2, FALSE) = D689, 
    ""CONCILIADO"", 
    ""ERROR EN MONTO""
  ), 
  ""NO ENCONTRADO EN MAESTRO""
)"),"NO ENCONTRADO EN MAESTRO")</f>
        <v>NO ENCONTRADO EN MAESTRO</v>
      </c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ht="22.5" customHeight="1">
      <c r="A690" s="25"/>
      <c r="B690" s="15"/>
      <c r="C690" s="21"/>
      <c r="D690" s="22"/>
      <c r="E690" s="22"/>
      <c r="F690" s="22"/>
      <c r="G690" s="29"/>
      <c r="H690" s="13"/>
      <c r="I690" s="14">
        <f t="shared" si="1"/>
        <v>0</v>
      </c>
      <c r="J690" s="15">
        <f t="shared" si="2"/>
        <v>0</v>
      </c>
      <c r="K690" s="14">
        <f t="shared" si="3"/>
        <v>0</v>
      </c>
      <c r="L690" s="16" t="str">
        <f>IFERROR(__xludf.DUMMYFUNCTION("IFERROR(
  IF(
    VLOOKUP(C690, IMPORTRANGE(""gid=860555792"", ""Maestro!B:C""), 2, FALSE) = D690, 
    ""CONCILIADO"", 
    ""ERROR EN MONTO""
  ), 
  ""NO ENCONTRADO EN MAESTRO""
)"),"NO ENCONTRADO EN MAESTRO")</f>
        <v>NO ENCONTRADO EN MAESTRO</v>
      </c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ht="22.5" customHeight="1">
      <c r="A691" s="25"/>
      <c r="B691" s="15"/>
      <c r="C691" s="21"/>
      <c r="D691" s="22"/>
      <c r="E691" s="22"/>
      <c r="F691" s="22"/>
      <c r="G691" s="29"/>
      <c r="H691" s="13"/>
      <c r="I691" s="14">
        <f t="shared" si="1"/>
        <v>0</v>
      </c>
      <c r="J691" s="15">
        <f t="shared" si="2"/>
        <v>0</v>
      </c>
      <c r="K691" s="14">
        <f t="shared" si="3"/>
        <v>0</v>
      </c>
      <c r="L691" s="16" t="str">
        <f>IFERROR(__xludf.DUMMYFUNCTION("IFERROR(
  IF(
    VLOOKUP(C691, IMPORTRANGE(""gid=860555792"", ""Maestro!B:C""), 2, FALSE) = D691, 
    ""CONCILIADO"", 
    ""ERROR EN MONTO""
  ), 
  ""NO ENCONTRADO EN MAESTRO""
)"),"NO ENCONTRADO EN MAESTRO")</f>
        <v>NO ENCONTRADO EN MAESTRO</v>
      </c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ht="22.5" customHeight="1">
      <c r="A692" s="25"/>
      <c r="B692" s="15"/>
      <c r="C692" s="21"/>
      <c r="D692" s="22"/>
      <c r="E692" s="22"/>
      <c r="F692" s="22"/>
      <c r="G692" s="29"/>
      <c r="H692" s="13"/>
      <c r="I692" s="14">
        <f t="shared" si="1"/>
        <v>0</v>
      </c>
      <c r="J692" s="15">
        <f t="shared" si="2"/>
        <v>0</v>
      </c>
      <c r="K692" s="14">
        <f t="shared" si="3"/>
        <v>0</v>
      </c>
      <c r="L692" s="16" t="str">
        <f>IFERROR(__xludf.DUMMYFUNCTION("IFERROR(
  IF(
    VLOOKUP(C692, IMPORTRANGE(""gid=860555792"", ""Maestro!B:C""), 2, FALSE) = D692, 
    ""CONCILIADO"", 
    ""ERROR EN MONTO""
  ), 
  ""NO ENCONTRADO EN MAESTRO""
)"),"NO ENCONTRADO EN MAESTRO")</f>
        <v>NO ENCONTRADO EN MAESTRO</v>
      </c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ht="22.5" customHeight="1">
      <c r="A693" s="25"/>
      <c r="B693" s="15"/>
      <c r="C693" s="21"/>
      <c r="D693" s="22"/>
      <c r="E693" s="22"/>
      <c r="F693" s="22"/>
      <c r="G693" s="29"/>
      <c r="H693" s="13"/>
      <c r="I693" s="14">
        <f t="shared" si="1"/>
        <v>0</v>
      </c>
      <c r="J693" s="15">
        <f t="shared" si="2"/>
        <v>0</v>
      </c>
      <c r="K693" s="14">
        <f t="shared" si="3"/>
        <v>0</v>
      </c>
      <c r="L693" s="16" t="str">
        <f>IFERROR(__xludf.DUMMYFUNCTION("IFERROR(
  IF(
    VLOOKUP(C693, IMPORTRANGE(""gid=860555792"", ""Maestro!B:C""), 2, FALSE) = D693, 
    ""CONCILIADO"", 
    ""ERROR EN MONTO""
  ), 
  ""NO ENCONTRADO EN MAESTRO""
)"),"NO ENCONTRADO EN MAESTRO")</f>
        <v>NO ENCONTRADO EN MAESTRO</v>
      </c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ht="22.5" customHeight="1">
      <c r="A694" s="25"/>
      <c r="B694" s="15"/>
      <c r="C694" s="21"/>
      <c r="D694" s="22"/>
      <c r="E694" s="22"/>
      <c r="F694" s="22"/>
      <c r="G694" s="29"/>
      <c r="H694" s="13"/>
      <c r="I694" s="14">
        <f t="shared" si="1"/>
        <v>0</v>
      </c>
      <c r="J694" s="15">
        <f t="shared" si="2"/>
        <v>0</v>
      </c>
      <c r="K694" s="14">
        <f t="shared" si="3"/>
        <v>0</v>
      </c>
      <c r="L694" s="16" t="str">
        <f>IFERROR(__xludf.DUMMYFUNCTION("IFERROR(
  IF(
    VLOOKUP(C694, IMPORTRANGE(""gid=860555792"", ""Maestro!B:C""), 2, FALSE) = D694, 
    ""CONCILIADO"", 
    ""ERROR EN MONTO""
  ), 
  ""NO ENCONTRADO EN MAESTRO""
)"),"NO ENCONTRADO EN MAESTRO")</f>
        <v>NO ENCONTRADO EN MAESTRO</v>
      </c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ht="22.5" customHeight="1">
      <c r="A695" s="25"/>
      <c r="B695" s="15"/>
      <c r="C695" s="21"/>
      <c r="D695" s="22"/>
      <c r="E695" s="22"/>
      <c r="F695" s="22"/>
      <c r="G695" s="29"/>
      <c r="H695" s="13"/>
      <c r="I695" s="14">
        <f t="shared" si="1"/>
        <v>0</v>
      </c>
      <c r="J695" s="15">
        <f t="shared" si="2"/>
        <v>0</v>
      </c>
      <c r="K695" s="14">
        <f t="shared" si="3"/>
        <v>0</v>
      </c>
      <c r="L695" s="16" t="str">
        <f>IFERROR(__xludf.DUMMYFUNCTION("IFERROR(
  IF(
    VLOOKUP(C695, IMPORTRANGE(""gid=860555792"", ""Maestro!B:C""), 2, FALSE) = D695, 
    ""CONCILIADO"", 
    ""ERROR EN MONTO""
  ), 
  ""NO ENCONTRADO EN MAESTRO""
)"),"NO ENCONTRADO EN MAESTRO")</f>
        <v>NO ENCONTRADO EN MAESTRO</v>
      </c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ht="22.5" customHeight="1">
      <c r="A696" s="25"/>
      <c r="B696" s="15"/>
      <c r="C696" s="21"/>
      <c r="D696" s="22"/>
      <c r="E696" s="22"/>
      <c r="F696" s="22"/>
      <c r="G696" s="29"/>
      <c r="H696" s="13"/>
      <c r="I696" s="14">
        <f t="shared" si="1"/>
        <v>0</v>
      </c>
      <c r="J696" s="15">
        <f t="shared" si="2"/>
        <v>0</v>
      </c>
      <c r="K696" s="14">
        <f t="shared" si="3"/>
        <v>0</v>
      </c>
      <c r="L696" s="16" t="str">
        <f>IFERROR(__xludf.DUMMYFUNCTION("IFERROR(
  IF(
    VLOOKUP(C696, IMPORTRANGE(""gid=860555792"", ""Maestro!B:C""), 2, FALSE) = D696, 
    ""CONCILIADO"", 
    ""ERROR EN MONTO""
  ), 
  ""NO ENCONTRADO EN MAESTRO""
)"),"NO ENCONTRADO EN MAESTRO")</f>
        <v>NO ENCONTRADO EN MAESTRO</v>
      </c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ht="22.5" customHeight="1">
      <c r="A697" s="25"/>
      <c r="B697" s="15"/>
      <c r="C697" s="21"/>
      <c r="D697" s="22"/>
      <c r="E697" s="22"/>
      <c r="F697" s="22"/>
      <c r="G697" s="29"/>
      <c r="H697" s="13"/>
      <c r="I697" s="14">
        <f t="shared" si="1"/>
        <v>0</v>
      </c>
      <c r="J697" s="15">
        <f t="shared" si="2"/>
        <v>0</v>
      </c>
      <c r="K697" s="14">
        <f t="shared" si="3"/>
        <v>0</v>
      </c>
      <c r="L697" s="16" t="str">
        <f>IFERROR(__xludf.DUMMYFUNCTION("IFERROR(
  IF(
    VLOOKUP(C697, IMPORTRANGE(""gid=860555792"", ""Maestro!B:C""), 2, FALSE) = D697, 
    ""CONCILIADO"", 
    ""ERROR EN MONTO""
  ), 
  ""NO ENCONTRADO EN MAESTRO""
)"),"NO ENCONTRADO EN MAESTRO")</f>
        <v>NO ENCONTRADO EN MAESTRO</v>
      </c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ht="22.5" customHeight="1">
      <c r="A698" s="25"/>
      <c r="B698" s="15"/>
      <c r="C698" s="21"/>
      <c r="D698" s="22"/>
      <c r="E698" s="22"/>
      <c r="F698" s="22"/>
      <c r="G698" s="29"/>
      <c r="H698" s="13"/>
      <c r="I698" s="14">
        <f t="shared" si="1"/>
        <v>0</v>
      </c>
      <c r="J698" s="15">
        <f t="shared" si="2"/>
        <v>0</v>
      </c>
      <c r="K698" s="14">
        <f t="shared" si="3"/>
        <v>0</v>
      </c>
      <c r="L698" s="16" t="str">
        <f>IFERROR(__xludf.DUMMYFUNCTION("IFERROR(
  IF(
    VLOOKUP(C698, IMPORTRANGE(""gid=860555792"", ""Maestro!B:C""), 2, FALSE) = D698, 
    ""CONCILIADO"", 
    ""ERROR EN MONTO""
  ), 
  ""NO ENCONTRADO EN MAESTRO""
)"),"NO ENCONTRADO EN MAESTRO")</f>
        <v>NO ENCONTRADO EN MAESTRO</v>
      </c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ht="22.5" customHeight="1">
      <c r="A699" s="25"/>
      <c r="B699" s="15"/>
      <c r="C699" s="21"/>
      <c r="D699" s="22"/>
      <c r="E699" s="22"/>
      <c r="F699" s="22"/>
      <c r="G699" s="29"/>
      <c r="H699" s="13"/>
      <c r="I699" s="14">
        <f t="shared" si="1"/>
        <v>0</v>
      </c>
      <c r="J699" s="15">
        <f t="shared" si="2"/>
        <v>0</v>
      </c>
      <c r="K699" s="14">
        <f t="shared" si="3"/>
        <v>0</v>
      </c>
      <c r="L699" s="16" t="str">
        <f>IFERROR(__xludf.DUMMYFUNCTION("IFERROR(
  IF(
    VLOOKUP(C699, IMPORTRANGE(""gid=860555792"", ""Maestro!B:C""), 2, FALSE) = D699, 
    ""CONCILIADO"", 
    ""ERROR EN MONTO""
  ), 
  ""NO ENCONTRADO EN MAESTRO""
)"),"NO ENCONTRADO EN MAESTRO")</f>
        <v>NO ENCONTRADO EN MAESTRO</v>
      </c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ht="22.5" customHeight="1">
      <c r="A700" s="25"/>
      <c r="B700" s="15"/>
      <c r="C700" s="21"/>
      <c r="D700" s="22"/>
      <c r="E700" s="22"/>
      <c r="F700" s="22"/>
      <c r="G700" s="29"/>
      <c r="H700" s="13"/>
      <c r="I700" s="14">
        <f t="shared" si="1"/>
        <v>0</v>
      </c>
      <c r="J700" s="15">
        <f t="shared" si="2"/>
        <v>0</v>
      </c>
      <c r="K700" s="14">
        <f t="shared" si="3"/>
        <v>0</v>
      </c>
      <c r="L700" s="16" t="str">
        <f>IFERROR(__xludf.DUMMYFUNCTION("IFERROR(
  IF(
    VLOOKUP(C700, IMPORTRANGE(""gid=860555792"", ""Maestro!B:C""), 2, FALSE) = D700, 
    ""CONCILIADO"", 
    ""ERROR EN MONTO""
  ), 
  ""NO ENCONTRADO EN MAESTRO""
)"),"NO ENCONTRADO EN MAESTRO")</f>
        <v>NO ENCONTRADO EN MAESTRO</v>
      </c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ht="22.5" customHeight="1">
      <c r="A701" s="25"/>
      <c r="B701" s="15"/>
      <c r="C701" s="21"/>
      <c r="D701" s="22"/>
      <c r="E701" s="22"/>
      <c r="F701" s="22"/>
      <c r="G701" s="29"/>
      <c r="H701" s="13"/>
      <c r="I701" s="14">
        <f t="shared" si="1"/>
        <v>0</v>
      </c>
      <c r="J701" s="15">
        <f t="shared" si="2"/>
        <v>0</v>
      </c>
      <c r="K701" s="14">
        <f t="shared" si="3"/>
        <v>0</v>
      </c>
      <c r="L701" s="16" t="str">
        <f>IFERROR(__xludf.DUMMYFUNCTION("IFERROR(
  IF(
    VLOOKUP(C701, IMPORTRANGE(""gid=860555792"", ""Maestro!B:C""), 2, FALSE) = D701, 
    ""CONCILIADO"", 
    ""ERROR EN MONTO""
  ), 
  ""NO ENCONTRADO EN MAESTRO""
)"),"NO ENCONTRADO EN MAESTRO")</f>
        <v>NO ENCONTRADO EN MAESTRO</v>
      </c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ht="22.5" customHeight="1">
      <c r="A702" s="25"/>
      <c r="B702" s="15"/>
      <c r="C702" s="21"/>
      <c r="D702" s="22"/>
      <c r="E702" s="22"/>
      <c r="F702" s="22"/>
      <c r="G702" s="29"/>
      <c r="H702" s="13"/>
      <c r="I702" s="14">
        <f t="shared" si="1"/>
        <v>0</v>
      </c>
      <c r="J702" s="15">
        <f t="shared" si="2"/>
        <v>0</v>
      </c>
      <c r="K702" s="14">
        <f t="shared" si="3"/>
        <v>0</v>
      </c>
      <c r="L702" s="16" t="str">
        <f>IFERROR(__xludf.DUMMYFUNCTION("IFERROR(
  IF(
    VLOOKUP(C702, IMPORTRANGE(""gid=860555792"", ""Maestro!B:C""), 2, FALSE) = D702, 
    ""CONCILIADO"", 
    ""ERROR EN MONTO""
  ), 
  ""NO ENCONTRADO EN MAESTRO""
)"),"NO ENCONTRADO EN MAESTRO")</f>
        <v>NO ENCONTRADO EN MAESTRO</v>
      </c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ht="22.5" customHeight="1">
      <c r="A703" s="25"/>
      <c r="B703" s="15"/>
      <c r="C703" s="21"/>
      <c r="D703" s="22"/>
      <c r="E703" s="22"/>
      <c r="F703" s="22"/>
      <c r="G703" s="29"/>
      <c r="H703" s="13"/>
      <c r="I703" s="14">
        <f t="shared" si="1"/>
        <v>0</v>
      </c>
      <c r="J703" s="15">
        <f t="shared" si="2"/>
        <v>0</v>
      </c>
      <c r="K703" s="14">
        <f t="shared" si="3"/>
        <v>0</v>
      </c>
      <c r="L703" s="16" t="str">
        <f>IFERROR(__xludf.DUMMYFUNCTION("IFERROR(
  IF(
    VLOOKUP(C703, IMPORTRANGE(""gid=860555792"", ""Maestro!B:C""), 2, FALSE) = D703, 
    ""CONCILIADO"", 
    ""ERROR EN MONTO""
  ), 
  ""NO ENCONTRADO EN MAESTRO""
)"),"NO ENCONTRADO EN MAESTRO")</f>
        <v>NO ENCONTRADO EN MAESTRO</v>
      </c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ht="22.5" customHeight="1">
      <c r="A704" s="25"/>
      <c r="B704" s="15"/>
      <c r="C704" s="21"/>
      <c r="D704" s="22"/>
      <c r="E704" s="22"/>
      <c r="F704" s="22"/>
      <c r="G704" s="29"/>
      <c r="H704" s="13"/>
      <c r="I704" s="14">
        <f t="shared" si="1"/>
        <v>0</v>
      </c>
      <c r="J704" s="15">
        <f t="shared" si="2"/>
        <v>0</v>
      </c>
      <c r="K704" s="14">
        <f t="shared" si="3"/>
        <v>0</v>
      </c>
      <c r="L704" s="16" t="str">
        <f>IFERROR(__xludf.DUMMYFUNCTION("IFERROR(
  IF(
    VLOOKUP(C704, IMPORTRANGE(""gid=860555792"", ""Maestro!B:C""), 2, FALSE) = D704, 
    ""CONCILIADO"", 
    ""ERROR EN MONTO""
  ), 
  ""NO ENCONTRADO EN MAESTRO""
)"),"NO ENCONTRADO EN MAESTRO")</f>
        <v>NO ENCONTRADO EN MAESTRO</v>
      </c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ht="22.5" customHeight="1">
      <c r="A705" s="25"/>
      <c r="B705" s="15"/>
      <c r="C705" s="21"/>
      <c r="D705" s="22"/>
      <c r="E705" s="22"/>
      <c r="F705" s="22"/>
      <c r="G705" s="29"/>
      <c r="H705" s="13"/>
      <c r="I705" s="14">
        <f t="shared" si="1"/>
        <v>0</v>
      </c>
      <c r="J705" s="15">
        <f t="shared" si="2"/>
        <v>0</v>
      </c>
      <c r="K705" s="14">
        <f t="shared" si="3"/>
        <v>0</v>
      </c>
      <c r="L705" s="16" t="str">
        <f>IFERROR(__xludf.DUMMYFUNCTION("IFERROR(
  IF(
    VLOOKUP(C705, IMPORTRANGE(""gid=860555792"", ""Maestro!B:C""), 2, FALSE) = D705, 
    ""CONCILIADO"", 
    ""ERROR EN MONTO""
  ), 
  ""NO ENCONTRADO EN MAESTRO""
)"),"NO ENCONTRADO EN MAESTRO")</f>
        <v>NO ENCONTRADO EN MAESTRO</v>
      </c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ht="22.5" customHeight="1">
      <c r="A706" s="25"/>
      <c r="B706" s="15"/>
      <c r="C706" s="21"/>
      <c r="D706" s="22"/>
      <c r="E706" s="22"/>
      <c r="F706" s="22"/>
      <c r="G706" s="29"/>
      <c r="H706" s="13"/>
      <c r="I706" s="14">
        <f t="shared" si="1"/>
        <v>0</v>
      </c>
      <c r="J706" s="15">
        <f t="shared" si="2"/>
        <v>0</v>
      </c>
      <c r="K706" s="14">
        <f t="shared" si="3"/>
        <v>0</v>
      </c>
      <c r="L706" s="16" t="str">
        <f>IFERROR(__xludf.DUMMYFUNCTION("IFERROR(
  IF(
    VLOOKUP(C706, IMPORTRANGE(""gid=860555792"", ""Maestro!B:C""), 2, FALSE) = D706, 
    ""CONCILIADO"", 
    ""ERROR EN MONTO""
  ), 
  ""NO ENCONTRADO EN MAESTRO""
)"),"NO ENCONTRADO EN MAESTRO")</f>
        <v>NO ENCONTRADO EN MAESTRO</v>
      </c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ht="22.5" customHeight="1">
      <c r="A707" s="25"/>
      <c r="B707" s="15"/>
      <c r="C707" s="21"/>
      <c r="D707" s="22"/>
      <c r="E707" s="22"/>
      <c r="F707" s="22"/>
      <c r="G707" s="29"/>
      <c r="H707" s="13"/>
      <c r="I707" s="14">
        <f t="shared" si="1"/>
        <v>0</v>
      </c>
      <c r="J707" s="15">
        <f t="shared" si="2"/>
        <v>0</v>
      </c>
      <c r="K707" s="14">
        <f t="shared" si="3"/>
        <v>0</v>
      </c>
      <c r="L707" s="16" t="str">
        <f>IFERROR(__xludf.DUMMYFUNCTION("IFERROR(
  IF(
    VLOOKUP(C707, IMPORTRANGE(""gid=860555792"", ""Maestro!B:C""), 2, FALSE) = D707, 
    ""CONCILIADO"", 
    ""ERROR EN MONTO""
  ), 
  ""NO ENCONTRADO EN MAESTRO""
)"),"NO ENCONTRADO EN MAESTRO")</f>
        <v>NO ENCONTRADO EN MAESTRO</v>
      </c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ht="22.5" customHeight="1">
      <c r="A708" s="25"/>
      <c r="B708" s="15"/>
      <c r="C708" s="21"/>
      <c r="D708" s="22"/>
      <c r="E708" s="22"/>
      <c r="F708" s="22"/>
      <c r="G708" s="29"/>
      <c r="H708" s="13"/>
      <c r="I708" s="14">
        <f t="shared" si="1"/>
        <v>0</v>
      </c>
      <c r="J708" s="15">
        <f t="shared" si="2"/>
        <v>0</v>
      </c>
      <c r="K708" s="14">
        <f t="shared" si="3"/>
        <v>0</v>
      </c>
      <c r="L708" s="16" t="str">
        <f>IFERROR(__xludf.DUMMYFUNCTION("IFERROR(
  IF(
    VLOOKUP(C708, IMPORTRANGE(""gid=860555792"", ""Maestro!B:C""), 2, FALSE) = D708, 
    ""CONCILIADO"", 
    ""ERROR EN MONTO""
  ), 
  ""NO ENCONTRADO EN MAESTRO""
)"),"NO ENCONTRADO EN MAESTRO")</f>
        <v>NO ENCONTRADO EN MAESTRO</v>
      </c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ht="22.5" customHeight="1">
      <c r="A709" s="25"/>
      <c r="B709" s="15"/>
      <c r="C709" s="21"/>
      <c r="D709" s="22"/>
      <c r="E709" s="22"/>
      <c r="F709" s="22"/>
      <c r="G709" s="29"/>
      <c r="H709" s="13"/>
      <c r="I709" s="14">
        <f t="shared" si="1"/>
        <v>0</v>
      </c>
      <c r="J709" s="15">
        <f t="shared" si="2"/>
        <v>0</v>
      </c>
      <c r="K709" s="14">
        <f t="shared" si="3"/>
        <v>0</v>
      </c>
      <c r="L709" s="16" t="str">
        <f>IFERROR(__xludf.DUMMYFUNCTION("IFERROR(
  IF(
    VLOOKUP(C709, IMPORTRANGE(""gid=860555792"", ""Maestro!B:C""), 2, FALSE) = D709, 
    ""CONCILIADO"", 
    ""ERROR EN MONTO""
  ), 
  ""NO ENCONTRADO EN MAESTRO""
)"),"NO ENCONTRADO EN MAESTRO")</f>
        <v>NO ENCONTRADO EN MAESTRO</v>
      </c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ht="22.5" customHeight="1">
      <c r="A710" s="25"/>
      <c r="B710" s="15"/>
      <c r="C710" s="21"/>
      <c r="D710" s="22"/>
      <c r="E710" s="22"/>
      <c r="F710" s="22"/>
      <c r="G710" s="29"/>
      <c r="H710" s="13"/>
      <c r="I710" s="14">
        <f t="shared" si="1"/>
        <v>0</v>
      </c>
      <c r="J710" s="15">
        <f t="shared" si="2"/>
        <v>0</v>
      </c>
      <c r="K710" s="14">
        <f t="shared" si="3"/>
        <v>0</v>
      </c>
      <c r="L710" s="16" t="str">
        <f>IFERROR(__xludf.DUMMYFUNCTION("IFERROR(
  IF(
    VLOOKUP(C710, IMPORTRANGE(""gid=860555792"", ""Maestro!B:C""), 2, FALSE) = D710, 
    ""CONCILIADO"", 
    ""ERROR EN MONTO""
  ), 
  ""NO ENCONTRADO EN MAESTRO""
)"),"NO ENCONTRADO EN MAESTRO")</f>
        <v>NO ENCONTRADO EN MAESTRO</v>
      </c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ht="22.5" customHeight="1">
      <c r="A711" s="25"/>
      <c r="B711" s="15"/>
      <c r="C711" s="21"/>
      <c r="D711" s="22"/>
      <c r="E711" s="22"/>
      <c r="F711" s="22"/>
      <c r="G711" s="29"/>
      <c r="H711" s="13"/>
      <c r="I711" s="14">
        <f t="shared" si="1"/>
        <v>0</v>
      </c>
      <c r="J711" s="15">
        <f t="shared" si="2"/>
        <v>0</v>
      </c>
      <c r="K711" s="14">
        <f t="shared" si="3"/>
        <v>0</v>
      </c>
      <c r="L711" s="16" t="str">
        <f>IFERROR(__xludf.DUMMYFUNCTION("IFERROR(
  IF(
    VLOOKUP(C711, IMPORTRANGE(""gid=860555792"", ""Maestro!B:C""), 2, FALSE) = D711, 
    ""CONCILIADO"", 
    ""ERROR EN MONTO""
  ), 
  ""NO ENCONTRADO EN MAESTRO""
)"),"NO ENCONTRADO EN MAESTRO")</f>
        <v>NO ENCONTRADO EN MAESTRO</v>
      </c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ht="22.5" customHeight="1">
      <c r="A712" s="25"/>
      <c r="B712" s="15"/>
      <c r="C712" s="21"/>
      <c r="D712" s="22"/>
      <c r="E712" s="22"/>
      <c r="F712" s="22"/>
      <c r="G712" s="29"/>
      <c r="H712" s="13"/>
      <c r="I712" s="14">
        <f t="shared" si="1"/>
        <v>0</v>
      </c>
      <c r="J712" s="15">
        <f t="shared" si="2"/>
        <v>0</v>
      </c>
      <c r="K712" s="14">
        <f t="shared" si="3"/>
        <v>0</v>
      </c>
      <c r="L712" s="16" t="str">
        <f>IFERROR(__xludf.DUMMYFUNCTION("IFERROR(
  IF(
    VLOOKUP(C712, IMPORTRANGE(""gid=860555792"", ""Maestro!B:C""), 2, FALSE) = D712, 
    ""CONCILIADO"", 
    ""ERROR EN MONTO""
  ), 
  ""NO ENCONTRADO EN MAESTRO""
)"),"NO ENCONTRADO EN MAESTRO")</f>
        <v>NO ENCONTRADO EN MAESTRO</v>
      </c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ht="22.5" customHeight="1">
      <c r="A713" s="25"/>
      <c r="B713" s="15"/>
      <c r="C713" s="21"/>
      <c r="D713" s="22"/>
      <c r="E713" s="22"/>
      <c r="F713" s="22"/>
      <c r="G713" s="29"/>
      <c r="H713" s="13"/>
      <c r="I713" s="14">
        <f t="shared" si="1"/>
        <v>0</v>
      </c>
      <c r="J713" s="15">
        <f t="shared" si="2"/>
        <v>0</v>
      </c>
      <c r="K713" s="14">
        <f t="shared" si="3"/>
        <v>0</v>
      </c>
      <c r="L713" s="16" t="str">
        <f>IFERROR(__xludf.DUMMYFUNCTION("IFERROR(
  IF(
    VLOOKUP(C713, IMPORTRANGE(""gid=860555792"", ""Maestro!B:C""), 2, FALSE) = D713, 
    ""CONCILIADO"", 
    ""ERROR EN MONTO""
  ), 
  ""NO ENCONTRADO EN MAESTRO""
)"),"NO ENCONTRADO EN MAESTRO")</f>
        <v>NO ENCONTRADO EN MAESTRO</v>
      </c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ht="22.5" customHeight="1">
      <c r="A714" s="25"/>
      <c r="B714" s="15"/>
      <c r="C714" s="21"/>
      <c r="D714" s="22"/>
      <c r="E714" s="22"/>
      <c r="F714" s="22"/>
      <c r="G714" s="29"/>
      <c r="H714" s="13"/>
      <c r="I714" s="14">
        <f t="shared" si="1"/>
        <v>0</v>
      </c>
      <c r="J714" s="15">
        <f t="shared" si="2"/>
        <v>0</v>
      </c>
      <c r="K714" s="14">
        <f t="shared" si="3"/>
        <v>0</v>
      </c>
      <c r="L714" s="16" t="str">
        <f>IFERROR(__xludf.DUMMYFUNCTION("IFERROR(
  IF(
    VLOOKUP(C714, IMPORTRANGE(""gid=860555792"", ""Maestro!B:C""), 2, FALSE) = D714, 
    ""CONCILIADO"", 
    ""ERROR EN MONTO""
  ), 
  ""NO ENCONTRADO EN MAESTRO""
)"),"NO ENCONTRADO EN MAESTRO")</f>
        <v>NO ENCONTRADO EN MAESTRO</v>
      </c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ht="22.5" customHeight="1">
      <c r="A715" s="25"/>
      <c r="B715" s="15"/>
      <c r="C715" s="21"/>
      <c r="D715" s="22"/>
      <c r="E715" s="22"/>
      <c r="F715" s="22"/>
      <c r="G715" s="29"/>
      <c r="H715" s="13"/>
      <c r="I715" s="14">
        <f t="shared" si="1"/>
        <v>0</v>
      </c>
      <c r="J715" s="15">
        <f t="shared" si="2"/>
        <v>0</v>
      </c>
      <c r="K715" s="14">
        <f t="shared" si="3"/>
        <v>0</v>
      </c>
      <c r="L715" s="16" t="str">
        <f>IFERROR(__xludf.DUMMYFUNCTION("IFERROR(
  IF(
    VLOOKUP(C715, IMPORTRANGE(""gid=860555792"", ""Maestro!B:C""), 2, FALSE) = D715, 
    ""CONCILIADO"", 
    ""ERROR EN MONTO""
  ), 
  ""NO ENCONTRADO EN MAESTRO""
)"),"NO ENCONTRADO EN MAESTRO")</f>
        <v>NO ENCONTRADO EN MAESTRO</v>
      </c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ht="22.5" customHeight="1">
      <c r="A716" s="25"/>
      <c r="B716" s="15"/>
      <c r="C716" s="21"/>
      <c r="D716" s="22"/>
      <c r="E716" s="22"/>
      <c r="F716" s="22"/>
      <c r="G716" s="29"/>
      <c r="H716" s="13"/>
      <c r="I716" s="14">
        <f t="shared" si="1"/>
        <v>0</v>
      </c>
      <c r="J716" s="15">
        <f t="shared" si="2"/>
        <v>0</v>
      </c>
      <c r="K716" s="14">
        <f t="shared" si="3"/>
        <v>0</v>
      </c>
      <c r="L716" s="16" t="str">
        <f>IFERROR(__xludf.DUMMYFUNCTION("IFERROR(
  IF(
    VLOOKUP(C716, IMPORTRANGE(""gid=860555792"", ""Maestro!B:C""), 2, FALSE) = D716, 
    ""CONCILIADO"", 
    ""ERROR EN MONTO""
  ), 
  ""NO ENCONTRADO EN MAESTRO""
)"),"NO ENCONTRADO EN MAESTRO")</f>
        <v>NO ENCONTRADO EN MAESTRO</v>
      </c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ht="22.5" customHeight="1">
      <c r="A717" s="25"/>
      <c r="B717" s="15"/>
      <c r="C717" s="21"/>
      <c r="D717" s="22"/>
      <c r="E717" s="22"/>
      <c r="F717" s="22"/>
      <c r="G717" s="29"/>
      <c r="H717" s="13"/>
      <c r="I717" s="14">
        <f t="shared" si="1"/>
        <v>0</v>
      </c>
      <c r="J717" s="15">
        <f t="shared" si="2"/>
        <v>0</v>
      </c>
      <c r="K717" s="14">
        <f t="shared" si="3"/>
        <v>0</v>
      </c>
      <c r="L717" s="16" t="str">
        <f>IFERROR(__xludf.DUMMYFUNCTION("IFERROR(
  IF(
    VLOOKUP(C717, IMPORTRANGE(""gid=860555792"", ""Maestro!B:C""), 2, FALSE) = D717, 
    ""CONCILIADO"", 
    ""ERROR EN MONTO""
  ), 
  ""NO ENCONTRADO EN MAESTRO""
)"),"NO ENCONTRADO EN MAESTRO")</f>
        <v>NO ENCONTRADO EN MAESTRO</v>
      </c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ht="22.5" customHeight="1">
      <c r="A718" s="25"/>
      <c r="B718" s="15"/>
      <c r="C718" s="21"/>
      <c r="D718" s="22"/>
      <c r="E718" s="22"/>
      <c r="F718" s="22"/>
      <c r="G718" s="29"/>
      <c r="H718" s="13"/>
      <c r="I718" s="14">
        <f t="shared" si="1"/>
        <v>0</v>
      </c>
      <c r="J718" s="15">
        <f t="shared" si="2"/>
        <v>0</v>
      </c>
      <c r="K718" s="14">
        <f t="shared" si="3"/>
        <v>0</v>
      </c>
      <c r="L718" s="16" t="str">
        <f>IFERROR(__xludf.DUMMYFUNCTION("IFERROR(
  IF(
    VLOOKUP(C718, IMPORTRANGE(""gid=860555792"", ""Maestro!B:C""), 2, FALSE) = D718, 
    ""CONCILIADO"", 
    ""ERROR EN MONTO""
  ), 
  ""NO ENCONTRADO EN MAESTRO""
)"),"NO ENCONTRADO EN MAESTRO")</f>
        <v>NO ENCONTRADO EN MAESTRO</v>
      </c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ht="22.5" customHeight="1">
      <c r="A719" s="25"/>
      <c r="B719" s="15"/>
      <c r="C719" s="21"/>
      <c r="D719" s="22"/>
      <c r="E719" s="22"/>
      <c r="F719" s="22"/>
      <c r="G719" s="29"/>
      <c r="H719" s="13"/>
      <c r="I719" s="14">
        <f t="shared" si="1"/>
        <v>0</v>
      </c>
      <c r="J719" s="15">
        <f t="shared" si="2"/>
        <v>0</v>
      </c>
      <c r="K719" s="14">
        <f t="shared" si="3"/>
        <v>0</v>
      </c>
      <c r="L719" s="16" t="str">
        <f>IFERROR(__xludf.DUMMYFUNCTION("IFERROR(
  IF(
    VLOOKUP(C719, IMPORTRANGE(""gid=860555792"", ""Maestro!B:C""), 2, FALSE) = D719, 
    ""CONCILIADO"", 
    ""ERROR EN MONTO""
  ), 
  ""NO ENCONTRADO EN MAESTRO""
)"),"NO ENCONTRADO EN MAESTRO")</f>
        <v>NO ENCONTRADO EN MAESTRO</v>
      </c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ht="22.5" customHeight="1">
      <c r="A720" s="25"/>
      <c r="B720" s="15"/>
      <c r="C720" s="21"/>
      <c r="D720" s="22"/>
      <c r="E720" s="22"/>
      <c r="F720" s="22"/>
      <c r="G720" s="29"/>
      <c r="H720" s="13"/>
      <c r="I720" s="14">
        <f t="shared" si="1"/>
        <v>0</v>
      </c>
      <c r="J720" s="15">
        <f t="shared" si="2"/>
        <v>0</v>
      </c>
      <c r="K720" s="14">
        <f t="shared" si="3"/>
        <v>0</v>
      </c>
      <c r="L720" s="16" t="str">
        <f>IFERROR(__xludf.DUMMYFUNCTION("IFERROR(
  IF(
    VLOOKUP(C720, IMPORTRANGE(""gid=860555792"", ""Maestro!B:C""), 2, FALSE) = D720, 
    ""CONCILIADO"", 
    ""ERROR EN MONTO""
  ), 
  ""NO ENCONTRADO EN MAESTRO""
)"),"NO ENCONTRADO EN MAESTRO")</f>
        <v>NO ENCONTRADO EN MAESTRO</v>
      </c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ht="22.5" customHeight="1">
      <c r="A721" s="25"/>
      <c r="B721" s="15"/>
      <c r="C721" s="21"/>
      <c r="D721" s="22"/>
      <c r="E721" s="22"/>
      <c r="F721" s="22"/>
      <c r="G721" s="29"/>
      <c r="H721" s="13"/>
      <c r="I721" s="14">
        <f t="shared" si="1"/>
        <v>0</v>
      </c>
      <c r="J721" s="15">
        <f t="shared" si="2"/>
        <v>0</v>
      </c>
      <c r="K721" s="14">
        <f t="shared" si="3"/>
        <v>0</v>
      </c>
      <c r="L721" s="16" t="str">
        <f>IFERROR(__xludf.DUMMYFUNCTION("IFERROR(
  IF(
    VLOOKUP(C721, IMPORTRANGE(""gid=860555792"", ""Maestro!B:C""), 2, FALSE) = D721, 
    ""CONCILIADO"", 
    ""ERROR EN MONTO""
  ), 
  ""NO ENCONTRADO EN MAESTRO""
)"),"NO ENCONTRADO EN MAESTRO")</f>
        <v>NO ENCONTRADO EN MAESTRO</v>
      </c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ht="22.5" customHeight="1">
      <c r="A722" s="25"/>
      <c r="B722" s="15"/>
      <c r="C722" s="21"/>
      <c r="D722" s="22"/>
      <c r="E722" s="22"/>
      <c r="F722" s="22"/>
      <c r="G722" s="29"/>
      <c r="H722" s="13"/>
      <c r="I722" s="14">
        <f t="shared" si="1"/>
        <v>0</v>
      </c>
      <c r="J722" s="15">
        <f t="shared" si="2"/>
        <v>0</v>
      </c>
      <c r="K722" s="14">
        <f t="shared" si="3"/>
        <v>0</v>
      </c>
      <c r="L722" s="16" t="str">
        <f>IFERROR(__xludf.DUMMYFUNCTION("IFERROR(
  IF(
    VLOOKUP(C722, IMPORTRANGE(""gid=860555792"", ""Maestro!B:C""), 2, FALSE) = D722, 
    ""CONCILIADO"", 
    ""ERROR EN MONTO""
  ), 
  ""NO ENCONTRADO EN MAESTRO""
)"),"NO ENCONTRADO EN MAESTRO")</f>
        <v>NO ENCONTRADO EN MAESTRO</v>
      </c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ht="22.5" customHeight="1">
      <c r="A723" s="25"/>
      <c r="B723" s="15"/>
      <c r="C723" s="21"/>
      <c r="D723" s="22"/>
      <c r="E723" s="22"/>
      <c r="F723" s="22"/>
      <c r="G723" s="29"/>
      <c r="H723" s="13"/>
      <c r="I723" s="14">
        <f t="shared" si="1"/>
        <v>0</v>
      </c>
      <c r="J723" s="15">
        <f t="shared" si="2"/>
        <v>0</v>
      </c>
      <c r="K723" s="14">
        <f t="shared" si="3"/>
        <v>0</v>
      </c>
      <c r="L723" s="16" t="str">
        <f>IFERROR(__xludf.DUMMYFUNCTION("IFERROR(
  IF(
    VLOOKUP(C723, IMPORTRANGE(""gid=860555792"", ""Maestro!B:C""), 2, FALSE) = D723, 
    ""CONCILIADO"", 
    ""ERROR EN MONTO""
  ), 
  ""NO ENCONTRADO EN MAESTRO""
)"),"NO ENCONTRADO EN MAESTRO")</f>
        <v>NO ENCONTRADO EN MAESTRO</v>
      </c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ht="22.5" customHeight="1">
      <c r="A724" s="25"/>
      <c r="B724" s="15"/>
      <c r="C724" s="21"/>
      <c r="D724" s="22"/>
      <c r="E724" s="22"/>
      <c r="F724" s="22"/>
      <c r="G724" s="29"/>
      <c r="H724" s="13"/>
      <c r="I724" s="14">
        <f t="shared" si="1"/>
        <v>0</v>
      </c>
      <c r="J724" s="15">
        <f t="shared" si="2"/>
        <v>0</v>
      </c>
      <c r="K724" s="14">
        <f t="shared" si="3"/>
        <v>0</v>
      </c>
      <c r="L724" s="16" t="str">
        <f>IFERROR(__xludf.DUMMYFUNCTION("IFERROR(
  IF(
    VLOOKUP(C724, IMPORTRANGE(""gid=860555792"", ""Maestro!B:C""), 2, FALSE) = D724, 
    ""CONCILIADO"", 
    ""ERROR EN MONTO""
  ), 
  ""NO ENCONTRADO EN MAESTRO""
)"),"NO ENCONTRADO EN MAESTRO")</f>
        <v>NO ENCONTRADO EN MAESTRO</v>
      </c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ht="22.5" customHeight="1">
      <c r="A725" s="25"/>
      <c r="B725" s="15"/>
      <c r="C725" s="21"/>
      <c r="D725" s="22"/>
      <c r="E725" s="22"/>
      <c r="F725" s="22"/>
      <c r="G725" s="29"/>
      <c r="H725" s="13"/>
      <c r="I725" s="14">
        <f t="shared" si="1"/>
        <v>0</v>
      </c>
      <c r="J725" s="15">
        <f t="shared" si="2"/>
        <v>0</v>
      </c>
      <c r="K725" s="14">
        <f t="shared" si="3"/>
        <v>0</v>
      </c>
      <c r="L725" s="16" t="str">
        <f>IFERROR(__xludf.DUMMYFUNCTION("IFERROR(
  IF(
    VLOOKUP(C725, IMPORTRANGE(""gid=860555792"", ""Maestro!B:C""), 2, FALSE) = D725, 
    ""CONCILIADO"", 
    ""ERROR EN MONTO""
  ), 
  ""NO ENCONTRADO EN MAESTRO""
)"),"NO ENCONTRADO EN MAESTRO")</f>
        <v>NO ENCONTRADO EN MAESTRO</v>
      </c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ht="22.5" customHeight="1">
      <c r="A726" s="25"/>
      <c r="B726" s="15"/>
      <c r="C726" s="21"/>
      <c r="D726" s="22"/>
      <c r="E726" s="22"/>
      <c r="F726" s="22"/>
      <c r="G726" s="29"/>
      <c r="H726" s="13"/>
      <c r="I726" s="14">
        <f t="shared" si="1"/>
        <v>0</v>
      </c>
      <c r="J726" s="15">
        <f t="shared" si="2"/>
        <v>0</v>
      </c>
      <c r="K726" s="14">
        <f t="shared" si="3"/>
        <v>0</v>
      </c>
      <c r="L726" s="16" t="str">
        <f>IFERROR(__xludf.DUMMYFUNCTION("IFERROR(
  IF(
    VLOOKUP(C726, IMPORTRANGE(""gid=860555792"", ""Maestro!B:C""), 2, FALSE) = D726, 
    ""CONCILIADO"", 
    ""ERROR EN MONTO""
  ), 
  ""NO ENCONTRADO EN MAESTRO""
)"),"NO ENCONTRADO EN MAESTRO")</f>
        <v>NO ENCONTRADO EN MAESTRO</v>
      </c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ht="22.5" customHeight="1">
      <c r="A727" s="25"/>
      <c r="B727" s="15"/>
      <c r="C727" s="21"/>
      <c r="D727" s="22"/>
      <c r="E727" s="22"/>
      <c r="F727" s="22"/>
      <c r="G727" s="29"/>
      <c r="H727" s="13"/>
      <c r="I727" s="14">
        <f t="shared" si="1"/>
        <v>0</v>
      </c>
      <c r="J727" s="15">
        <f t="shared" si="2"/>
        <v>0</v>
      </c>
      <c r="K727" s="14">
        <f t="shared" si="3"/>
        <v>0</v>
      </c>
      <c r="L727" s="16" t="str">
        <f>IFERROR(__xludf.DUMMYFUNCTION("IFERROR(
  IF(
    VLOOKUP(C727, IMPORTRANGE(""gid=860555792"", ""Maestro!B:C""), 2, FALSE) = D727, 
    ""CONCILIADO"", 
    ""ERROR EN MONTO""
  ), 
  ""NO ENCONTRADO EN MAESTRO""
)"),"NO ENCONTRADO EN MAESTRO")</f>
        <v>NO ENCONTRADO EN MAESTRO</v>
      </c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ht="22.5" customHeight="1">
      <c r="A728" s="25"/>
      <c r="B728" s="15"/>
      <c r="C728" s="21"/>
      <c r="D728" s="22"/>
      <c r="E728" s="22"/>
      <c r="F728" s="22"/>
      <c r="G728" s="29"/>
      <c r="H728" s="13"/>
      <c r="I728" s="14">
        <f t="shared" si="1"/>
        <v>0</v>
      </c>
      <c r="J728" s="15">
        <f t="shared" si="2"/>
        <v>0</v>
      </c>
      <c r="K728" s="14">
        <f t="shared" si="3"/>
        <v>0</v>
      </c>
      <c r="L728" s="16" t="str">
        <f>IFERROR(__xludf.DUMMYFUNCTION("IFERROR(
  IF(
    VLOOKUP(C728, IMPORTRANGE(""gid=860555792"", ""Maestro!B:C""), 2, FALSE) = D728, 
    ""CONCILIADO"", 
    ""ERROR EN MONTO""
  ), 
  ""NO ENCONTRADO EN MAESTRO""
)"),"NO ENCONTRADO EN MAESTRO")</f>
        <v>NO ENCONTRADO EN MAESTRO</v>
      </c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ht="22.5" customHeight="1">
      <c r="A729" s="25"/>
      <c r="B729" s="15"/>
      <c r="C729" s="21"/>
      <c r="D729" s="22"/>
      <c r="E729" s="22"/>
      <c r="F729" s="22"/>
      <c r="G729" s="29"/>
      <c r="H729" s="13"/>
      <c r="I729" s="14">
        <f t="shared" si="1"/>
        <v>0</v>
      </c>
      <c r="J729" s="15">
        <f t="shared" si="2"/>
        <v>0</v>
      </c>
      <c r="K729" s="14">
        <f t="shared" si="3"/>
        <v>0</v>
      </c>
      <c r="L729" s="16" t="str">
        <f>IFERROR(__xludf.DUMMYFUNCTION("IFERROR(
  IF(
    VLOOKUP(C729, IMPORTRANGE(""gid=860555792"", ""Maestro!B:C""), 2, FALSE) = D729, 
    ""CONCILIADO"", 
    ""ERROR EN MONTO""
  ), 
  ""NO ENCONTRADO EN MAESTRO""
)"),"NO ENCONTRADO EN MAESTRO")</f>
        <v>NO ENCONTRADO EN MAESTRO</v>
      </c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ht="22.5" customHeight="1">
      <c r="A730" s="25"/>
      <c r="B730" s="15"/>
      <c r="C730" s="21"/>
      <c r="D730" s="22"/>
      <c r="E730" s="22"/>
      <c r="F730" s="22"/>
      <c r="G730" s="29"/>
      <c r="H730" s="13"/>
      <c r="I730" s="14">
        <f t="shared" si="1"/>
        <v>0</v>
      </c>
      <c r="J730" s="15">
        <f t="shared" si="2"/>
        <v>0</v>
      </c>
      <c r="K730" s="14">
        <f t="shared" si="3"/>
        <v>0</v>
      </c>
      <c r="L730" s="16" t="str">
        <f>IFERROR(__xludf.DUMMYFUNCTION("IFERROR(
  IF(
    VLOOKUP(C730, IMPORTRANGE(""gid=860555792"", ""Maestro!B:C""), 2, FALSE) = D730, 
    ""CONCILIADO"", 
    ""ERROR EN MONTO""
  ), 
  ""NO ENCONTRADO EN MAESTRO""
)"),"NO ENCONTRADO EN MAESTRO")</f>
        <v>NO ENCONTRADO EN MAESTRO</v>
      </c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ht="22.5" customHeight="1">
      <c r="A731" s="25"/>
      <c r="B731" s="15"/>
      <c r="C731" s="21"/>
      <c r="D731" s="22"/>
      <c r="E731" s="22"/>
      <c r="F731" s="22"/>
      <c r="G731" s="29"/>
      <c r="H731" s="13"/>
      <c r="I731" s="14">
        <f t="shared" si="1"/>
        <v>0</v>
      </c>
      <c r="J731" s="15">
        <f t="shared" si="2"/>
        <v>0</v>
      </c>
      <c r="K731" s="14">
        <f t="shared" si="3"/>
        <v>0</v>
      </c>
      <c r="L731" s="16" t="str">
        <f>IFERROR(__xludf.DUMMYFUNCTION("IFERROR(
  IF(
    VLOOKUP(C731, IMPORTRANGE(""gid=860555792"", ""Maestro!B:C""), 2, FALSE) = D731, 
    ""CONCILIADO"", 
    ""ERROR EN MONTO""
  ), 
  ""NO ENCONTRADO EN MAESTRO""
)"),"NO ENCONTRADO EN MAESTRO")</f>
        <v>NO ENCONTRADO EN MAESTRO</v>
      </c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ht="22.5" customHeight="1">
      <c r="A732" s="25"/>
      <c r="B732" s="15"/>
      <c r="C732" s="21"/>
      <c r="D732" s="22"/>
      <c r="E732" s="22"/>
      <c r="F732" s="22"/>
      <c r="G732" s="29"/>
      <c r="H732" s="13"/>
      <c r="I732" s="14">
        <f t="shared" si="1"/>
        <v>0</v>
      </c>
      <c r="J732" s="15">
        <f t="shared" si="2"/>
        <v>0</v>
      </c>
      <c r="K732" s="14">
        <f t="shared" si="3"/>
        <v>0</v>
      </c>
      <c r="L732" s="16" t="str">
        <f>IFERROR(__xludf.DUMMYFUNCTION("IFERROR(
  IF(
    VLOOKUP(C732, IMPORTRANGE(""gid=860555792"", ""Maestro!B:C""), 2, FALSE) = D732, 
    ""CONCILIADO"", 
    ""ERROR EN MONTO""
  ), 
  ""NO ENCONTRADO EN MAESTRO""
)"),"NO ENCONTRADO EN MAESTRO")</f>
        <v>NO ENCONTRADO EN MAESTRO</v>
      </c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ht="22.5" customHeight="1">
      <c r="A733" s="25"/>
      <c r="B733" s="15"/>
      <c r="C733" s="21"/>
      <c r="D733" s="22"/>
      <c r="E733" s="22"/>
      <c r="F733" s="22"/>
      <c r="G733" s="29"/>
      <c r="H733" s="13"/>
      <c r="I733" s="14">
        <f t="shared" si="1"/>
        <v>0</v>
      </c>
      <c r="J733" s="15">
        <f t="shared" si="2"/>
        <v>0</v>
      </c>
      <c r="K733" s="14">
        <f t="shared" si="3"/>
        <v>0</v>
      </c>
      <c r="L733" s="16" t="str">
        <f>IFERROR(__xludf.DUMMYFUNCTION("IFERROR(
  IF(
    VLOOKUP(C733, IMPORTRANGE(""gid=860555792"", ""Maestro!B:C""), 2, FALSE) = D733, 
    ""CONCILIADO"", 
    ""ERROR EN MONTO""
  ), 
  ""NO ENCONTRADO EN MAESTRO""
)"),"NO ENCONTRADO EN MAESTRO")</f>
        <v>NO ENCONTRADO EN MAESTRO</v>
      </c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ht="22.5" customHeight="1">
      <c r="A734" s="25"/>
      <c r="B734" s="15"/>
      <c r="C734" s="21"/>
      <c r="D734" s="22"/>
      <c r="E734" s="22"/>
      <c r="F734" s="22"/>
      <c r="G734" s="29"/>
      <c r="H734" s="13"/>
      <c r="I734" s="14">
        <f t="shared" si="1"/>
        <v>0</v>
      </c>
      <c r="J734" s="15">
        <f t="shared" si="2"/>
        <v>0</v>
      </c>
      <c r="K734" s="14">
        <f t="shared" si="3"/>
        <v>0</v>
      </c>
      <c r="L734" s="16" t="str">
        <f>IFERROR(__xludf.DUMMYFUNCTION("IFERROR(
  IF(
    VLOOKUP(C734, IMPORTRANGE(""gid=860555792"", ""Maestro!B:C""), 2, FALSE) = D734, 
    ""CONCILIADO"", 
    ""ERROR EN MONTO""
  ), 
  ""NO ENCONTRADO EN MAESTRO""
)"),"NO ENCONTRADO EN MAESTRO")</f>
        <v>NO ENCONTRADO EN MAESTRO</v>
      </c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ht="22.5" customHeight="1">
      <c r="A735" s="25"/>
      <c r="B735" s="15"/>
      <c r="C735" s="21"/>
      <c r="D735" s="22"/>
      <c r="E735" s="22"/>
      <c r="F735" s="22"/>
      <c r="G735" s="29"/>
      <c r="H735" s="13"/>
      <c r="I735" s="14">
        <f t="shared" si="1"/>
        <v>0</v>
      </c>
      <c r="J735" s="15">
        <f t="shared" si="2"/>
        <v>0</v>
      </c>
      <c r="K735" s="14">
        <f t="shared" si="3"/>
        <v>0</v>
      </c>
      <c r="L735" s="16" t="str">
        <f>IFERROR(__xludf.DUMMYFUNCTION("IFERROR(
  IF(
    VLOOKUP(C735, IMPORTRANGE(""gid=860555792"", ""Maestro!B:C""), 2, FALSE) = D735, 
    ""CONCILIADO"", 
    ""ERROR EN MONTO""
  ), 
  ""NO ENCONTRADO EN MAESTRO""
)"),"NO ENCONTRADO EN MAESTRO")</f>
        <v>NO ENCONTRADO EN MAESTRO</v>
      </c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ht="22.5" customHeight="1">
      <c r="A736" s="25"/>
      <c r="B736" s="15"/>
      <c r="C736" s="21"/>
      <c r="D736" s="22"/>
      <c r="E736" s="22"/>
      <c r="F736" s="22"/>
      <c r="G736" s="29"/>
      <c r="H736" s="13"/>
      <c r="I736" s="14">
        <f t="shared" si="1"/>
        <v>0</v>
      </c>
      <c r="J736" s="15">
        <f t="shared" si="2"/>
        <v>0</v>
      </c>
      <c r="K736" s="14">
        <f t="shared" si="3"/>
        <v>0</v>
      </c>
      <c r="L736" s="16" t="str">
        <f>IFERROR(__xludf.DUMMYFUNCTION("IFERROR(
  IF(
    VLOOKUP(C736, IMPORTRANGE(""gid=860555792"", ""Maestro!B:C""), 2, FALSE) = D736, 
    ""CONCILIADO"", 
    ""ERROR EN MONTO""
  ), 
  ""NO ENCONTRADO EN MAESTRO""
)"),"NO ENCONTRADO EN MAESTRO")</f>
        <v>NO ENCONTRADO EN MAESTRO</v>
      </c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ht="22.5" customHeight="1">
      <c r="A737" s="25"/>
      <c r="B737" s="15"/>
      <c r="C737" s="21"/>
      <c r="D737" s="22"/>
      <c r="E737" s="22"/>
      <c r="F737" s="22"/>
      <c r="G737" s="29"/>
      <c r="H737" s="13"/>
      <c r="I737" s="14">
        <f t="shared" si="1"/>
        <v>0</v>
      </c>
      <c r="J737" s="15">
        <f t="shared" si="2"/>
        <v>0</v>
      </c>
      <c r="K737" s="14">
        <f t="shared" si="3"/>
        <v>0</v>
      </c>
      <c r="L737" s="16" t="str">
        <f>IFERROR(__xludf.DUMMYFUNCTION("IFERROR(
  IF(
    VLOOKUP(C737, IMPORTRANGE(""gid=860555792"", ""Maestro!B:C""), 2, FALSE) = D737, 
    ""CONCILIADO"", 
    ""ERROR EN MONTO""
  ), 
  ""NO ENCONTRADO EN MAESTRO""
)"),"NO ENCONTRADO EN MAESTRO")</f>
        <v>NO ENCONTRADO EN MAESTRO</v>
      </c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ht="22.5" customHeight="1">
      <c r="A738" s="25"/>
      <c r="B738" s="15"/>
      <c r="C738" s="21"/>
      <c r="D738" s="22"/>
      <c r="E738" s="22"/>
      <c r="F738" s="22"/>
      <c r="G738" s="29"/>
      <c r="H738" s="13"/>
      <c r="I738" s="14">
        <f t="shared" si="1"/>
        <v>0</v>
      </c>
      <c r="J738" s="15">
        <f t="shared" si="2"/>
        <v>0</v>
      </c>
      <c r="K738" s="14">
        <f t="shared" si="3"/>
        <v>0</v>
      </c>
      <c r="L738" s="16" t="str">
        <f>IFERROR(__xludf.DUMMYFUNCTION("IFERROR(
  IF(
    VLOOKUP(C738, IMPORTRANGE(""gid=860555792"", ""Maestro!B:C""), 2, FALSE) = D738, 
    ""CONCILIADO"", 
    ""ERROR EN MONTO""
  ), 
  ""NO ENCONTRADO EN MAESTRO""
)"),"NO ENCONTRADO EN MAESTRO")</f>
        <v>NO ENCONTRADO EN MAESTRO</v>
      </c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ht="22.5" customHeight="1">
      <c r="A739" s="25"/>
      <c r="B739" s="15"/>
      <c r="C739" s="21"/>
      <c r="D739" s="22"/>
      <c r="E739" s="22"/>
      <c r="F739" s="22"/>
      <c r="G739" s="29"/>
      <c r="H739" s="13"/>
      <c r="I739" s="14">
        <f t="shared" si="1"/>
        <v>0</v>
      </c>
      <c r="J739" s="15">
        <f t="shared" si="2"/>
        <v>0</v>
      </c>
      <c r="K739" s="14">
        <f t="shared" si="3"/>
        <v>0</v>
      </c>
      <c r="L739" s="16" t="str">
        <f>IFERROR(__xludf.DUMMYFUNCTION("IFERROR(
  IF(
    VLOOKUP(C739, IMPORTRANGE(""gid=860555792"", ""Maestro!B:C""), 2, FALSE) = D739, 
    ""CONCILIADO"", 
    ""ERROR EN MONTO""
  ), 
  ""NO ENCONTRADO EN MAESTRO""
)"),"NO ENCONTRADO EN MAESTRO")</f>
        <v>NO ENCONTRADO EN MAESTRO</v>
      </c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ht="22.5" customHeight="1">
      <c r="A740" s="25"/>
      <c r="B740" s="15"/>
      <c r="C740" s="21"/>
      <c r="D740" s="22"/>
      <c r="E740" s="22"/>
      <c r="F740" s="22"/>
      <c r="G740" s="29"/>
      <c r="H740" s="13"/>
      <c r="I740" s="14">
        <f t="shared" si="1"/>
        <v>0</v>
      </c>
      <c r="J740" s="15">
        <f t="shared" si="2"/>
        <v>0</v>
      </c>
      <c r="K740" s="14">
        <f t="shared" si="3"/>
        <v>0</v>
      </c>
      <c r="L740" s="16" t="str">
        <f>IFERROR(__xludf.DUMMYFUNCTION("IFERROR(
  IF(
    VLOOKUP(C740, IMPORTRANGE(""gid=860555792"", ""Maestro!B:C""), 2, FALSE) = D740, 
    ""CONCILIADO"", 
    ""ERROR EN MONTO""
  ), 
  ""NO ENCONTRADO EN MAESTRO""
)"),"NO ENCONTRADO EN MAESTRO")</f>
        <v>NO ENCONTRADO EN MAESTRO</v>
      </c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ht="22.5" customHeight="1">
      <c r="A741" s="25"/>
      <c r="B741" s="15"/>
      <c r="C741" s="21"/>
      <c r="D741" s="22"/>
      <c r="E741" s="22"/>
      <c r="F741" s="22"/>
      <c r="G741" s="29"/>
      <c r="H741" s="13"/>
      <c r="I741" s="14">
        <f t="shared" si="1"/>
        <v>0</v>
      </c>
      <c r="J741" s="15">
        <f t="shared" si="2"/>
        <v>0</v>
      </c>
      <c r="K741" s="14">
        <f t="shared" si="3"/>
        <v>0</v>
      </c>
      <c r="L741" s="16" t="str">
        <f>IFERROR(__xludf.DUMMYFUNCTION("IFERROR(
  IF(
    VLOOKUP(C741, IMPORTRANGE(""gid=860555792"", ""Maestro!B:C""), 2, FALSE) = D741, 
    ""CONCILIADO"", 
    ""ERROR EN MONTO""
  ), 
  ""NO ENCONTRADO EN MAESTRO""
)"),"NO ENCONTRADO EN MAESTRO")</f>
        <v>NO ENCONTRADO EN MAESTRO</v>
      </c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ht="22.5" customHeight="1">
      <c r="A742" s="25"/>
      <c r="B742" s="15"/>
      <c r="C742" s="21"/>
      <c r="D742" s="22"/>
      <c r="E742" s="22"/>
      <c r="F742" s="22"/>
      <c r="G742" s="29"/>
      <c r="H742" s="13"/>
      <c r="I742" s="14">
        <f t="shared" si="1"/>
        <v>0</v>
      </c>
      <c r="J742" s="15">
        <f t="shared" si="2"/>
        <v>0</v>
      </c>
      <c r="K742" s="14">
        <f t="shared" si="3"/>
        <v>0</v>
      </c>
      <c r="L742" s="16" t="str">
        <f>IFERROR(__xludf.DUMMYFUNCTION("IFERROR(
  IF(
    VLOOKUP(C742, IMPORTRANGE(""gid=860555792"", ""Maestro!B:C""), 2, FALSE) = D742, 
    ""CONCILIADO"", 
    ""ERROR EN MONTO""
  ), 
  ""NO ENCONTRADO EN MAESTRO""
)"),"NO ENCONTRADO EN MAESTRO")</f>
        <v>NO ENCONTRADO EN MAESTRO</v>
      </c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ht="22.5" customHeight="1">
      <c r="A743" s="25"/>
      <c r="B743" s="15"/>
      <c r="C743" s="21"/>
      <c r="D743" s="22"/>
      <c r="E743" s="22"/>
      <c r="F743" s="22"/>
      <c r="G743" s="29"/>
      <c r="H743" s="13"/>
      <c r="I743" s="14">
        <f t="shared" si="1"/>
        <v>0</v>
      </c>
      <c r="J743" s="15">
        <f t="shared" si="2"/>
        <v>0</v>
      </c>
      <c r="K743" s="14">
        <f t="shared" si="3"/>
        <v>0</v>
      </c>
      <c r="L743" s="16" t="str">
        <f>IFERROR(__xludf.DUMMYFUNCTION("IFERROR(
  IF(
    VLOOKUP(C743, IMPORTRANGE(""gid=860555792"", ""Maestro!B:C""), 2, FALSE) = D743, 
    ""CONCILIADO"", 
    ""ERROR EN MONTO""
  ), 
  ""NO ENCONTRADO EN MAESTRO""
)"),"NO ENCONTRADO EN MAESTRO")</f>
        <v>NO ENCONTRADO EN MAESTRO</v>
      </c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ht="22.5" customHeight="1">
      <c r="A744" s="25"/>
      <c r="B744" s="15"/>
      <c r="C744" s="21"/>
      <c r="D744" s="22"/>
      <c r="E744" s="22"/>
      <c r="F744" s="22"/>
      <c r="G744" s="29"/>
      <c r="H744" s="13"/>
      <c r="I744" s="14">
        <f t="shared" si="1"/>
        <v>0</v>
      </c>
      <c r="J744" s="15">
        <f t="shared" si="2"/>
        <v>0</v>
      </c>
      <c r="K744" s="14">
        <f t="shared" si="3"/>
        <v>0</v>
      </c>
      <c r="L744" s="16" t="str">
        <f>IFERROR(__xludf.DUMMYFUNCTION("IFERROR(
  IF(
    VLOOKUP(C744, IMPORTRANGE(""gid=860555792"", ""Maestro!B:C""), 2, FALSE) = D744, 
    ""CONCILIADO"", 
    ""ERROR EN MONTO""
  ), 
  ""NO ENCONTRADO EN MAESTRO""
)"),"NO ENCONTRADO EN MAESTRO")</f>
        <v>NO ENCONTRADO EN MAESTRO</v>
      </c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ht="22.5" customHeight="1">
      <c r="A745" s="25"/>
      <c r="B745" s="15"/>
      <c r="C745" s="21"/>
      <c r="D745" s="22"/>
      <c r="E745" s="22"/>
      <c r="F745" s="22"/>
      <c r="G745" s="29"/>
      <c r="H745" s="13"/>
      <c r="I745" s="14">
        <f t="shared" si="1"/>
        <v>0</v>
      </c>
      <c r="J745" s="15">
        <f t="shared" si="2"/>
        <v>0</v>
      </c>
      <c r="K745" s="14">
        <f t="shared" si="3"/>
        <v>0</v>
      </c>
      <c r="L745" s="16" t="str">
        <f>IFERROR(__xludf.DUMMYFUNCTION("IFERROR(
  IF(
    VLOOKUP(C745, IMPORTRANGE(""gid=860555792"", ""Maestro!B:C""), 2, FALSE) = D745, 
    ""CONCILIADO"", 
    ""ERROR EN MONTO""
  ), 
  ""NO ENCONTRADO EN MAESTRO""
)"),"NO ENCONTRADO EN MAESTRO")</f>
        <v>NO ENCONTRADO EN MAESTRO</v>
      </c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ht="22.5" customHeight="1">
      <c r="A746" s="25"/>
      <c r="B746" s="15"/>
      <c r="C746" s="21"/>
      <c r="D746" s="22"/>
      <c r="E746" s="22"/>
      <c r="F746" s="22"/>
      <c r="G746" s="29"/>
      <c r="H746" s="13"/>
      <c r="I746" s="14">
        <f t="shared" si="1"/>
        <v>0</v>
      </c>
      <c r="J746" s="15">
        <f t="shared" si="2"/>
        <v>0</v>
      </c>
      <c r="K746" s="14">
        <f t="shared" si="3"/>
        <v>0</v>
      </c>
      <c r="L746" s="16" t="str">
        <f>IFERROR(__xludf.DUMMYFUNCTION("IFERROR(
  IF(
    VLOOKUP(C746, IMPORTRANGE(""gid=860555792"", ""Maestro!B:C""), 2, FALSE) = D746, 
    ""CONCILIADO"", 
    ""ERROR EN MONTO""
  ), 
  ""NO ENCONTRADO EN MAESTRO""
)"),"NO ENCONTRADO EN MAESTRO")</f>
        <v>NO ENCONTRADO EN MAESTRO</v>
      </c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ht="22.5" customHeight="1">
      <c r="A747" s="25"/>
      <c r="B747" s="15"/>
      <c r="C747" s="21"/>
      <c r="D747" s="22"/>
      <c r="E747" s="22"/>
      <c r="F747" s="22"/>
      <c r="G747" s="29"/>
      <c r="H747" s="13"/>
      <c r="I747" s="14">
        <f t="shared" si="1"/>
        <v>0</v>
      </c>
      <c r="J747" s="15">
        <f t="shared" si="2"/>
        <v>0</v>
      </c>
      <c r="K747" s="14">
        <f t="shared" si="3"/>
        <v>0</v>
      </c>
      <c r="L747" s="16" t="str">
        <f>IFERROR(__xludf.DUMMYFUNCTION("IFERROR(
  IF(
    VLOOKUP(C747, IMPORTRANGE(""gid=860555792"", ""Maestro!B:C""), 2, FALSE) = D747, 
    ""CONCILIADO"", 
    ""ERROR EN MONTO""
  ), 
  ""NO ENCONTRADO EN MAESTRO""
)"),"NO ENCONTRADO EN MAESTRO")</f>
        <v>NO ENCONTRADO EN MAESTRO</v>
      </c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ht="22.5" customHeight="1">
      <c r="A748" s="25"/>
      <c r="B748" s="15"/>
      <c r="C748" s="21"/>
      <c r="D748" s="22"/>
      <c r="E748" s="22"/>
      <c r="F748" s="22"/>
      <c r="G748" s="29"/>
      <c r="H748" s="13"/>
      <c r="I748" s="14">
        <f t="shared" si="1"/>
        <v>0</v>
      </c>
      <c r="J748" s="15">
        <f t="shared" si="2"/>
        <v>0</v>
      </c>
      <c r="K748" s="14">
        <f t="shared" si="3"/>
        <v>0</v>
      </c>
      <c r="L748" s="16" t="str">
        <f>IFERROR(__xludf.DUMMYFUNCTION("IFERROR(
  IF(
    VLOOKUP(C748, IMPORTRANGE(""gid=860555792"", ""Maestro!B:C""), 2, FALSE) = D748, 
    ""CONCILIADO"", 
    ""ERROR EN MONTO""
  ), 
  ""NO ENCONTRADO EN MAESTRO""
)"),"NO ENCONTRADO EN MAESTRO")</f>
        <v>NO ENCONTRADO EN MAESTRO</v>
      </c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ht="22.5" customHeight="1">
      <c r="A749" s="25"/>
      <c r="B749" s="15"/>
      <c r="C749" s="21"/>
      <c r="D749" s="22"/>
      <c r="E749" s="22"/>
      <c r="F749" s="22"/>
      <c r="G749" s="29"/>
      <c r="H749" s="13"/>
      <c r="I749" s="14">
        <f t="shared" si="1"/>
        <v>0</v>
      </c>
      <c r="J749" s="15">
        <f t="shared" si="2"/>
        <v>0</v>
      </c>
      <c r="K749" s="14">
        <f t="shared" si="3"/>
        <v>0</v>
      </c>
      <c r="L749" s="16" t="str">
        <f>IFERROR(__xludf.DUMMYFUNCTION("IFERROR(
  IF(
    VLOOKUP(C749, IMPORTRANGE(""gid=860555792"", ""Maestro!B:C""), 2, FALSE) = D749, 
    ""CONCILIADO"", 
    ""ERROR EN MONTO""
  ), 
  ""NO ENCONTRADO EN MAESTRO""
)"),"NO ENCONTRADO EN MAESTRO")</f>
        <v>NO ENCONTRADO EN MAESTRO</v>
      </c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ht="22.5" customHeight="1">
      <c r="A750" s="25"/>
      <c r="B750" s="15"/>
      <c r="C750" s="21"/>
      <c r="D750" s="22"/>
      <c r="E750" s="22"/>
      <c r="F750" s="22"/>
      <c r="G750" s="29"/>
      <c r="H750" s="13"/>
      <c r="I750" s="14">
        <f t="shared" si="1"/>
        <v>0</v>
      </c>
      <c r="J750" s="15">
        <f t="shared" si="2"/>
        <v>0</v>
      </c>
      <c r="K750" s="14">
        <f t="shared" si="3"/>
        <v>0</v>
      </c>
      <c r="L750" s="16" t="str">
        <f>IFERROR(__xludf.DUMMYFUNCTION("IFERROR(
  IF(
    VLOOKUP(C750, IMPORTRANGE(""gid=860555792"", ""Maestro!B:C""), 2, FALSE) = D750, 
    ""CONCILIADO"", 
    ""ERROR EN MONTO""
  ), 
  ""NO ENCONTRADO EN MAESTRO""
)"),"NO ENCONTRADO EN MAESTRO")</f>
        <v>NO ENCONTRADO EN MAESTRO</v>
      </c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ht="22.5" customHeight="1">
      <c r="A751" s="25"/>
      <c r="B751" s="15"/>
      <c r="C751" s="21"/>
      <c r="D751" s="22"/>
      <c r="E751" s="22"/>
      <c r="F751" s="22"/>
      <c r="G751" s="29"/>
      <c r="H751" s="13"/>
      <c r="I751" s="14">
        <f t="shared" si="1"/>
        <v>0</v>
      </c>
      <c r="J751" s="15">
        <f t="shared" si="2"/>
        <v>0</v>
      </c>
      <c r="K751" s="14">
        <f t="shared" si="3"/>
        <v>0</v>
      </c>
      <c r="L751" s="16" t="str">
        <f>IFERROR(__xludf.DUMMYFUNCTION("IFERROR(
  IF(
    VLOOKUP(C751, IMPORTRANGE(""gid=860555792"", ""Maestro!B:C""), 2, FALSE) = D751, 
    ""CONCILIADO"", 
    ""ERROR EN MONTO""
  ), 
  ""NO ENCONTRADO EN MAESTRO""
)"),"NO ENCONTRADO EN MAESTRO")</f>
        <v>NO ENCONTRADO EN MAESTRO</v>
      </c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ht="22.5" customHeight="1">
      <c r="A752" s="25"/>
      <c r="B752" s="15"/>
      <c r="C752" s="21"/>
      <c r="D752" s="22"/>
      <c r="E752" s="22"/>
      <c r="F752" s="22"/>
      <c r="G752" s="29"/>
      <c r="H752" s="13"/>
      <c r="I752" s="14">
        <f t="shared" si="1"/>
        <v>0</v>
      </c>
      <c r="J752" s="15">
        <f t="shared" si="2"/>
        <v>0</v>
      </c>
      <c r="K752" s="14">
        <f t="shared" si="3"/>
        <v>0</v>
      </c>
      <c r="L752" s="16" t="str">
        <f>IFERROR(__xludf.DUMMYFUNCTION("IFERROR(
  IF(
    VLOOKUP(C752, IMPORTRANGE(""gid=860555792"", ""Maestro!B:C""), 2, FALSE) = D752, 
    ""CONCILIADO"", 
    ""ERROR EN MONTO""
  ), 
  ""NO ENCONTRADO EN MAESTRO""
)"),"NO ENCONTRADO EN MAESTRO")</f>
        <v>NO ENCONTRADO EN MAESTRO</v>
      </c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ht="22.5" customHeight="1">
      <c r="A753" s="25"/>
      <c r="B753" s="15"/>
      <c r="C753" s="21"/>
      <c r="D753" s="22"/>
      <c r="E753" s="22"/>
      <c r="F753" s="22"/>
      <c r="G753" s="29"/>
      <c r="H753" s="13"/>
      <c r="I753" s="14">
        <f t="shared" si="1"/>
        <v>0</v>
      </c>
      <c r="J753" s="15">
        <f t="shared" si="2"/>
        <v>0</v>
      </c>
      <c r="K753" s="14">
        <f t="shared" si="3"/>
        <v>0</v>
      </c>
      <c r="L753" s="16" t="str">
        <f>IFERROR(__xludf.DUMMYFUNCTION("IFERROR(
  IF(
    VLOOKUP(C753, IMPORTRANGE(""gid=860555792"", ""Maestro!B:C""), 2, FALSE) = D753, 
    ""CONCILIADO"", 
    ""ERROR EN MONTO""
  ), 
  ""NO ENCONTRADO EN MAESTRO""
)"),"NO ENCONTRADO EN MAESTRO")</f>
        <v>NO ENCONTRADO EN MAESTRO</v>
      </c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ht="22.5" customHeight="1">
      <c r="A754" s="25"/>
      <c r="B754" s="15"/>
      <c r="C754" s="21"/>
      <c r="D754" s="22"/>
      <c r="E754" s="22"/>
      <c r="F754" s="22"/>
      <c r="G754" s="29"/>
      <c r="H754" s="13"/>
      <c r="I754" s="14">
        <f t="shared" si="1"/>
        <v>0</v>
      </c>
      <c r="J754" s="15">
        <f t="shared" si="2"/>
        <v>0</v>
      </c>
      <c r="K754" s="14">
        <f t="shared" si="3"/>
        <v>0</v>
      </c>
      <c r="L754" s="16" t="str">
        <f>IFERROR(__xludf.DUMMYFUNCTION("IFERROR(
  IF(
    VLOOKUP(C754, IMPORTRANGE(""gid=860555792"", ""Maestro!B:C""), 2, FALSE) = D754, 
    ""CONCILIADO"", 
    ""ERROR EN MONTO""
  ), 
  ""NO ENCONTRADO EN MAESTRO""
)"),"NO ENCONTRADO EN MAESTRO")</f>
        <v>NO ENCONTRADO EN MAESTRO</v>
      </c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ht="22.5" customHeight="1">
      <c r="A755" s="25"/>
      <c r="B755" s="15"/>
      <c r="C755" s="21"/>
      <c r="D755" s="22"/>
      <c r="E755" s="22"/>
      <c r="F755" s="22"/>
      <c r="G755" s="29"/>
      <c r="H755" s="13"/>
      <c r="I755" s="14">
        <f t="shared" si="1"/>
        <v>0</v>
      </c>
      <c r="J755" s="15">
        <f t="shared" si="2"/>
        <v>0</v>
      </c>
      <c r="K755" s="14">
        <f t="shared" si="3"/>
        <v>0</v>
      </c>
      <c r="L755" s="16" t="str">
        <f>IFERROR(__xludf.DUMMYFUNCTION("IFERROR(
  IF(
    VLOOKUP(C755, IMPORTRANGE(""gid=860555792"", ""Maestro!B:C""), 2, FALSE) = D755, 
    ""CONCILIADO"", 
    ""ERROR EN MONTO""
  ), 
  ""NO ENCONTRADO EN MAESTRO""
)"),"NO ENCONTRADO EN MAESTRO")</f>
        <v>NO ENCONTRADO EN MAESTRO</v>
      </c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ht="22.5" customHeight="1">
      <c r="A756" s="25"/>
      <c r="B756" s="15"/>
      <c r="C756" s="21"/>
      <c r="D756" s="22"/>
      <c r="E756" s="22"/>
      <c r="F756" s="22"/>
      <c r="G756" s="29"/>
      <c r="H756" s="13"/>
      <c r="I756" s="14">
        <f t="shared" si="1"/>
        <v>0</v>
      </c>
      <c r="J756" s="15">
        <f t="shared" si="2"/>
        <v>0</v>
      </c>
      <c r="K756" s="14">
        <f t="shared" si="3"/>
        <v>0</v>
      </c>
      <c r="L756" s="16" t="str">
        <f>IFERROR(__xludf.DUMMYFUNCTION("IFERROR(
  IF(
    VLOOKUP(C756, IMPORTRANGE(""gid=860555792"", ""Maestro!B:C""), 2, FALSE) = D756, 
    ""CONCILIADO"", 
    ""ERROR EN MONTO""
  ), 
  ""NO ENCONTRADO EN MAESTRO""
)"),"NO ENCONTRADO EN MAESTRO")</f>
        <v>NO ENCONTRADO EN MAESTRO</v>
      </c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ht="22.5" customHeight="1">
      <c r="A757" s="25"/>
      <c r="B757" s="15"/>
      <c r="C757" s="21"/>
      <c r="D757" s="22"/>
      <c r="E757" s="22"/>
      <c r="F757" s="22"/>
      <c r="G757" s="29"/>
      <c r="H757" s="13"/>
      <c r="I757" s="14">
        <f t="shared" si="1"/>
        <v>0</v>
      </c>
      <c r="J757" s="15">
        <f t="shared" si="2"/>
        <v>0</v>
      </c>
      <c r="K757" s="14">
        <f t="shared" si="3"/>
        <v>0</v>
      </c>
      <c r="L757" s="16" t="str">
        <f>IFERROR(__xludf.DUMMYFUNCTION("IFERROR(
  IF(
    VLOOKUP(C757, IMPORTRANGE(""gid=860555792"", ""Maestro!B:C""), 2, FALSE) = D757, 
    ""CONCILIADO"", 
    ""ERROR EN MONTO""
  ), 
  ""NO ENCONTRADO EN MAESTRO""
)"),"NO ENCONTRADO EN MAESTRO")</f>
        <v>NO ENCONTRADO EN MAESTRO</v>
      </c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ht="22.5" customHeight="1">
      <c r="A758" s="25"/>
      <c r="B758" s="15"/>
      <c r="C758" s="21"/>
      <c r="D758" s="22"/>
      <c r="E758" s="22"/>
      <c r="F758" s="22"/>
      <c r="G758" s="29"/>
      <c r="H758" s="13"/>
      <c r="I758" s="14">
        <f t="shared" si="1"/>
        <v>0</v>
      </c>
      <c r="J758" s="15">
        <f t="shared" si="2"/>
        <v>0</v>
      </c>
      <c r="K758" s="14">
        <f t="shared" si="3"/>
        <v>0</v>
      </c>
      <c r="L758" s="16" t="str">
        <f>IFERROR(__xludf.DUMMYFUNCTION("IFERROR(
  IF(
    VLOOKUP(C758, IMPORTRANGE(""gid=860555792"", ""Maestro!B:C""), 2, FALSE) = D758, 
    ""CONCILIADO"", 
    ""ERROR EN MONTO""
  ), 
  ""NO ENCONTRADO EN MAESTRO""
)"),"NO ENCONTRADO EN MAESTRO")</f>
        <v>NO ENCONTRADO EN MAESTRO</v>
      </c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ht="22.5" customHeight="1">
      <c r="A759" s="25"/>
      <c r="B759" s="15"/>
      <c r="C759" s="21"/>
      <c r="D759" s="22"/>
      <c r="E759" s="22"/>
      <c r="F759" s="22"/>
      <c r="G759" s="29"/>
      <c r="H759" s="13"/>
      <c r="I759" s="14">
        <f t="shared" si="1"/>
        <v>0</v>
      </c>
      <c r="J759" s="15">
        <f t="shared" si="2"/>
        <v>0</v>
      </c>
      <c r="K759" s="14">
        <f t="shared" si="3"/>
        <v>0</v>
      </c>
      <c r="L759" s="16" t="str">
        <f>IFERROR(__xludf.DUMMYFUNCTION("IFERROR(
  IF(
    VLOOKUP(C759, IMPORTRANGE(""gid=860555792"", ""Maestro!B:C""), 2, FALSE) = D759, 
    ""CONCILIADO"", 
    ""ERROR EN MONTO""
  ), 
  ""NO ENCONTRADO EN MAESTRO""
)"),"NO ENCONTRADO EN MAESTRO")</f>
        <v>NO ENCONTRADO EN MAESTRO</v>
      </c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ht="22.5" customHeight="1">
      <c r="A760" s="25"/>
      <c r="B760" s="15"/>
      <c r="C760" s="21"/>
      <c r="D760" s="22"/>
      <c r="E760" s="22"/>
      <c r="F760" s="22"/>
      <c r="G760" s="29"/>
      <c r="H760" s="13"/>
      <c r="I760" s="14">
        <f t="shared" si="1"/>
        <v>0</v>
      </c>
      <c r="J760" s="15">
        <f t="shared" si="2"/>
        <v>0</v>
      </c>
      <c r="K760" s="14">
        <f t="shared" si="3"/>
        <v>0</v>
      </c>
      <c r="L760" s="16" t="str">
        <f>IFERROR(__xludf.DUMMYFUNCTION("IFERROR(
  IF(
    VLOOKUP(C760, IMPORTRANGE(""gid=860555792"", ""Maestro!B:C""), 2, FALSE) = D760, 
    ""CONCILIADO"", 
    ""ERROR EN MONTO""
  ), 
  ""NO ENCONTRADO EN MAESTRO""
)"),"NO ENCONTRADO EN MAESTRO")</f>
        <v>NO ENCONTRADO EN MAESTRO</v>
      </c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ht="22.5" customHeight="1">
      <c r="A761" s="25"/>
      <c r="B761" s="15"/>
      <c r="C761" s="21"/>
      <c r="D761" s="22"/>
      <c r="E761" s="22"/>
      <c r="F761" s="22"/>
      <c r="G761" s="29"/>
      <c r="H761" s="13"/>
      <c r="I761" s="14">
        <f t="shared" si="1"/>
        <v>0</v>
      </c>
      <c r="J761" s="15">
        <f t="shared" si="2"/>
        <v>0</v>
      </c>
      <c r="K761" s="14">
        <f t="shared" si="3"/>
        <v>0</v>
      </c>
      <c r="L761" s="16" t="str">
        <f>IFERROR(__xludf.DUMMYFUNCTION("IFERROR(
  IF(
    VLOOKUP(C761, IMPORTRANGE(""gid=860555792"", ""Maestro!B:C""), 2, FALSE) = D761, 
    ""CONCILIADO"", 
    ""ERROR EN MONTO""
  ), 
  ""NO ENCONTRADO EN MAESTRO""
)"),"NO ENCONTRADO EN MAESTRO")</f>
        <v>NO ENCONTRADO EN MAESTRO</v>
      </c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ht="22.5" customHeight="1">
      <c r="A762" s="25"/>
      <c r="B762" s="15"/>
      <c r="C762" s="21"/>
      <c r="D762" s="22"/>
      <c r="E762" s="22"/>
      <c r="F762" s="22"/>
      <c r="G762" s="29"/>
      <c r="H762" s="13"/>
      <c r="I762" s="14">
        <f t="shared" si="1"/>
        <v>0</v>
      </c>
      <c r="J762" s="15">
        <f t="shared" si="2"/>
        <v>0</v>
      </c>
      <c r="K762" s="14">
        <f t="shared" si="3"/>
        <v>0</v>
      </c>
      <c r="L762" s="16" t="str">
        <f>IFERROR(__xludf.DUMMYFUNCTION("IFERROR(
  IF(
    VLOOKUP(C762, IMPORTRANGE(""gid=860555792"", ""Maestro!B:C""), 2, FALSE) = D762, 
    ""CONCILIADO"", 
    ""ERROR EN MONTO""
  ), 
  ""NO ENCONTRADO EN MAESTRO""
)"),"NO ENCONTRADO EN MAESTRO")</f>
        <v>NO ENCONTRADO EN MAESTRO</v>
      </c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ht="22.5" customHeight="1">
      <c r="A763" s="25"/>
      <c r="B763" s="15"/>
      <c r="C763" s="21"/>
      <c r="D763" s="22"/>
      <c r="E763" s="22"/>
      <c r="F763" s="22"/>
      <c r="G763" s="29"/>
      <c r="H763" s="13"/>
      <c r="I763" s="14">
        <f t="shared" si="1"/>
        <v>0</v>
      </c>
      <c r="J763" s="15">
        <f t="shared" si="2"/>
        <v>0</v>
      </c>
      <c r="K763" s="14">
        <f t="shared" si="3"/>
        <v>0</v>
      </c>
      <c r="L763" s="16" t="str">
        <f>IFERROR(__xludf.DUMMYFUNCTION("IFERROR(
  IF(
    VLOOKUP(C763, IMPORTRANGE(""gid=860555792"", ""Maestro!B:C""), 2, FALSE) = D763, 
    ""CONCILIADO"", 
    ""ERROR EN MONTO""
  ), 
  ""NO ENCONTRADO EN MAESTRO""
)"),"NO ENCONTRADO EN MAESTRO")</f>
        <v>NO ENCONTRADO EN MAESTRO</v>
      </c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ht="22.5" customHeight="1">
      <c r="A764" s="25"/>
      <c r="B764" s="15"/>
      <c r="C764" s="21"/>
      <c r="D764" s="22"/>
      <c r="E764" s="22"/>
      <c r="F764" s="22"/>
      <c r="G764" s="29"/>
      <c r="H764" s="13"/>
      <c r="I764" s="14">
        <f t="shared" si="1"/>
        <v>0</v>
      </c>
      <c r="J764" s="15">
        <f t="shared" si="2"/>
        <v>0</v>
      </c>
      <c r="K764" s="14">
        <f t="shared" si="3"/>
        <v>0</v>
      </c>
      <c r="L764" s="16" t="str">
        <f>IFERROR(__xludf.DUMMYFUNCTION("IFERROR(
  IF(
    VLOOKUP(C764, IMPORTRANGE(""gid=860555792"", ""Maestro!B:C""), 2, FALSE) = D764, 
    ""CONCILIADO"", 
    ""ERROR EN MONTO""
  ), 
  ""NO ENCONTRADO EN MAESTRO""
)"),"NO ENCONTRADO EN MAESTRO")</f>
        <v>NO ENCONTRADO EN MAESTRO</v>
      </c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ht="22.5" customHeight="1">
      <c r="A765" s="25"/>
      <c r="B765" s="15"/>
      <c r="C765" s="21"/>
      <c r="D765" s="22"/>
      <c r="E765" s="22"/>
      <c r="F765" s="22"/>
      <c r="G765" s="29"/>
      <c r="H765" s="13"/>
      <c r="I765" s="14">
        <f t="shared" si="1"/>
        <v>0</v>
      </c>
      <c r="J765" s="15">
        <f t="shared" si="2"/>
        <v>0</v>
      </c>
      <c r="K765" s="14">
        <f t="shared" si="3"/>
        <v>0</v>
      </c>
      <c r="L765" s="16" t="str">
        <f>IFERROR(__xludf.DUMMYFUNCTION("IFERROR(
  IF(
    VLOOKUP(C765, IMPORTRANGE(""gid=860555792"", ""Maestro!B:C""), 2, FALSE) = D765, 
    ""CONCILIADO"", 
    ""ERROR EN MONTO""
  ), 
  ""NO ENCONTRADO EN MAESTRO""
)"),"NO ENCONTRADO EN MAESTRO")</f>
        <v>NO ENCONTRADO EN MAESTRO</v>
      </c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ht="22.5" customHeight="1">
      <c r="A766" s="25"/>
      <c r="B766" s="15"/>
      <c r="C766" s="21"/>
      <c r="D766" s="22"/>
      <c r="E766" s="22"/>
      <c r="F766" s="22"/>
      <c r="G766" s="29"/>
      <c r="H766" s="13"/>
      <c r="I766" s="14">
        <f t="shared" si="1"/>
        <v>0</v>
      </c>
      <c r="J766" s="15">
        <f t="shared" si="2"/>
        <v>0</v>
      </c>
      <c r="K766" s="14">
        <f t="shared" si="3"/>
        <v>0</v>
      </c>
      <c r="L766" s="16" t="str">
        <f>IFERROR(__xludf.DUMMYFUNCTION("IFERROR(
  IF(
    VLOOKUP(C766, IMPORTRANGE(""gid=860555792"", ""Maestro!B:C""), 2, FALSE) = D766, 
    ""CONCILIADO"", 
    ""ERROR EN MONTO""
  ), 
  ""NO ENCONTRADO EN MAESTRO""
)"),"NO ENCONTRADO EN MAESTRO")</f>
        <v>NO ENCONTRADO EN MAESTRO</v>
      </c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ht="22.5" customHeight="1">
      <c r="A767" s="25"/>
      <c r="B767" s="15"/>
      <c r="C767" s="21"/>
      <c r="D767" s="22"/>
      <c r="E767" s="22"/>
      <c r="F767" s="22"/>
      <c r="G767" s="29"/>
      <c r="H767" s="13"/>
      <c r="I767" s="14">
        <f t="shared" si="1"/>
        <v>0</v>
      </c>
      <c r="J767" s="15">
        <f t="shared" si="2"/>
        <v>0</v>
      </c>
      <c r="K767" s="14">
        <f t="shared" si="3"/>
        <v>0</v>
      </c>
      <c r="L767" s="16" t="str">
        <f>IFERROR(__xludf.DUMMYFUNCTION("IFERROR(
  IF(
    VLOOKUP(C767, IMPORTRANGE(""gid=860555792"", ""Maestro!B:C""), 2, FALSE) = D767, 
    ""CONCILIADO"", 
    ""ERROR EN MONTO""
  ), 
  ""NO ENCONTRADO EN MAESTRO""
)"),"NO ENCONTRADO EN MAESTRO")</f>
        <v>NO ENCONTRADO EN MAESTRO</v>
      </c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ht="22.5" customHeight="1">
      <c r="A768" s="25"/>
      <c r="B768" s="15"/>
      <c r="C768" s="21"/>
      <c r="D768" s="22"/>
      <c r="E768" s="22"/>
      <c r="F768" s="22"/>
      <c r="G768" s="29"/>
      <c r="H768" s="13"/>
      <c r="I768" s="14">
        <f t="shared" si="1"/>
        <v>0</v>
      </c>
      <c r="J768" s="15">
        <f t="shared" si="2"/>
        <v>0</v>
      </c>
      <c r="K768" s="14">
        <f t="shared" si="3"/>
        <v>0</v>
      </c>
      <c r="L768" s="16" t="str">
        <f>IFERROR(__xludf.DUMMYFUNCTION("IFERROR(
  IF(
    VLOOKUP(C768, IMPORTRANGE(""gid=860555792"", ""Maestro!B:C""), 2, FALSE) = D768, 
    ""CONCILIADO"", 
    ""ERROR EN MONTO""
  ), 
  ""NO ENCONTRADO EN MAESTRO""
)"),"NO ENCONTRADO EN MAESTRO")</f>
        <v>NO ENCONTRADO EN MAESTRO</v>
      </c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ht="22.5" customHeight="1">
      <c r="A769" s="25"/>
      <c r="B769" s="15"/>
      <c r="C769" s="21"/>
      <c r="D769" s="22"/>
      <c r="E769" s="22"/>
      <c r="F769" s="22"/>
      <c r="G769" s="29"/>
      <c r="H769" s="13"/>
      <c r="I769" s="14">
        <f t="shared" si="1"/>
        <v>0</v>
      </c>
      <c r="J769" s="15">
        <f t="shared" si="2"/>
        <v>0</v>
      </c>
      <c r="K769" s="14">
        <f t="shared" si="3"/>
        <v>0</v>
      </c>
      <c r="L769" s="16" t="str">
        <f>IFERROR(__xludf.DUMMYFUNCTION("IFERROR(
  IF(
    VLOOKUP(C769, IMPORTRANGE(""gid=860555792"", ""Maestro!B:C""), 2, FALSE) = D769, 
    ""CONCILIADO"", 
    ""ERROR EN MONTO""
  ), 
  ""NO ENCONTRADO EN MAESTRO""
)"),"NO ENCONTRADO EN MAESTRO")</f>
        <v>NO ENCONTRADO EN MAESTRO</v>
      </c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ht="22.5" customHeight="1">
      <c r="A770" s="25"/>
      <c r="B770" s="15"/>
      <c r="C770" s="21"/>
      <c r="D770" s="22"/>
      <c r="E770" s="22"/>
      <c r="F770" s="22"/>
      <c r="G770" s="29"/>
      <c r="H770" s="13"/>
      <c r="I770" s="14">
        <f t="shared" si="1"/>
        <v>0</v>
      </c>
      <c r="J770" s="15">
        <f t="shared" si="2"/>
        <v>0</v>
      </c>
      <c r="K770" s="14">
        <f t="shared" si="3"/>
        <v>0</v>
      </c>
      <c r="L770" s="16" t="str">
        <f>IFERROR(__xludf.DUMMYFUNCTION("IFERROR(
  IF(
    VLOOKUP(C770, IMPORTRANGE(""gid=860555792"", ""Maestro!B:C""), 2, FALSE) = D770, 
    ""CONCILIADO"", 
    ""ERROR EN MONTO""
  ), 
  ""NO ENCONTRADO EN MAESTRO""
)"),"NO ENCONTRADO EN MAESTRO")</f>
        <v>NO ENCONTRADO EN MAESTRO</v>
      </c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ht="22.5" customHeight="1">
      <c r="A771" s="25"/>
      <c r="B771" s="15"/>
      <c r="C771" s="21"/>
      <c r="D771" s="22"/>
      <c r="E771" s="22"/>
      <c r="F771" s="22"/>
      <c r="G771" s="29"/>
      <c r="H771" s="13"/>
      <c r="I771" s="14">
        <f t="shared" si="1"/>
        <v>0</v>
      </c>
      <c r="J771" s="15">
        <f t="shared" si="2"/>
        <v>0</v>
      </c>
      <c r="K771" s="14">
        <f t="shared" si="3"/>
        <v>0</v>
      </c>
      <c r="L771" s="16" t="str">
        <f>IFERROR(__xludf.DUMMYFUNCTION("IFERROR(
  IF(
    VLOOKUP(C771, IMPORTRANGE(""gid=860555792"", ""Maestro!B:C""), 2, FALSE) = D771, 
    ""CONCILIADO"", 
    ""ERROR EN MONTO""
  ), 
  ""NO ENCONTRADO EN MAESTRO""
)"),"NO ENCONTRADO EN MAESTRO")</f>
        <v>NO ENCONTRADO EN MAESTRO</v>
      </c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ht="22.5" customHeight="1">
      <c r="A772" s="25"/>
      <c r="B772" s="15"/>
      <c r="C772" s="21"/>
      <c r="D772" s="22"/>
      <c r="E772" s="22"/>
      <c r="F772" s="22"/>
      <c r="G772" s="29"/>
      <c r="H772" s="13"/>
      <c r="I772" s="14">
        <f t="shared" si="1"/>
        <v>0</v>
      </c>
      <c r="J772" s="15">
        <f t="shared" si="2"/>
        <v>0</v>
      </c>
      <c r="K772" s="14">
        <f t="shared" si="3"/>
        <v>0</v>
      </c>
      <c r="L772" s="16" t="str">
        <f>IFERROR(__xludf.DUMMYFUNCTION("IFERROR(
  IF(
    VLOOKUP(C772, IMPORTRANGE(""gid=860555792"", ""Maestro!B:C""), 2, FALSE) = D772, 
    ""CONCILIADO"", 
    ""ERROR EN MONTO""
  ), 
  ""NO ENCONTRADO EN MAESTRO""
)"),"NO ENCONTRADO EN MAESTRO")</f>
        <v>NO ENCONTRADO EN MAESTRO</v>
      </c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ht="22.5" customHeight="1">
      <c r="A773" s="25"/>
      <c r="B773" s="15"/>
      <c r="C773" s="21"/>
      <c r="D773" s="22"/>
      <c r="E773" s="22"/>
      <c r="F773" s="22"/>
      <c r="G773" s="29"/>
      <c r="H773" s="13"/>
      <c r="I773" s="14">
        <f t="shared" si="1"/>
        <v>0</v>
      </c>
      <c r="J773" s="15">
        <f t="shared" si="2"/>
        <v>0</v>
      </c>
      <c r="K773" s="14">
        <f t="shared" si="3"/>
        <v>0</v>
      </c>
      <c r="L773" s="16" t="str">
        <f>IFERROR(__xludf.DUMMYFUNCTION("IFERROR(
  IF(
    VLOOKUP(C773, IMPORTRANGE(""gid=860555792"", ""Maestro!B:C""), 2, FALSE) = D773, 
    ""CONCILIADO"", 
    ""ERROR EN MONTO""
  ), 
  ""NO ENCONTRADO EN MAESTRO""
)"),"NO ENCONTRADO EN MAESTRO")</f>
        <v>NO ENCONTRADO EN MAESTRO</v>
      </c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ht="22.5" customHeight="1">
      <c r="A774" s="25"/>
      <c r="B774" s="15"/>
      <c r="C774" s="21"/>
      <c r="D774" s="22"/>
      <c r="E774" s="22"/>
      <c r="F774" s="22"/>
      <c r="G774" s="29"/>
      <c r="H774" s="13"/>
      <c r="I774" s="14">
        <f t="shared" si="1"/>
        <v>0</v>
      </c>
      <c r="J774" s="15">
        <f t="shared" si="2"/>
        <v>0</v>
      </c>
      <c r="K774" s="14">
        <f t="shared" si="3"/>
        <v>0</v>
      </c>
      <c r="L774" s="16" t="str">
        <f>IFERROR(__xludf.DUMMYFUNCTION("IFERROR(
  IF(
    VLOOKUP(C774, IMPORTRANGE(""gid=860555792"", ""Maestro!B:C""), 2, FALSE) = D774, 
    ""CONCILIADO"", 
    ""ERROR EN MONTO""
  ), 
  ""NO ENCONTRADO EN MAESTRO""
)"),"NO ENCONTRADO EN MAESTRO")</f>
        <v>NO ENCONTRADO EN MAESTRO</v>
      </c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ht="22.5" customHeight="1">
      <c r="A775" s="25"/>
      <c r="B775" s="15"/>
      <c r="C775" s="21"/>
      <c r="D775" s="22"/>
      <c r="E775" s="22"/>
      <c r="F775" s="22"/>
      <c r="G775" s="29"/>
      <c r="H775" s="13"/>
      <c r="I775" s="14">
        <f t="shared" si="1"/>
        <v>0</v>
      </c>
      <c r="J775" s="15">
        <f t="shared" si="2"/>
        <v>0</v>
      </c>
      <c r="K775" s="14">
        <f t="shared" si="3"/>
        <v>0</v>
      </c>
      <c r="L775" s="16" t="str">
        <f>IFERROR(__xludf.DUMMYFUNCTION("IFERROR(
  IF(
    VLOOKUP(C775, IMPORTRANGE(""gid=860555792"", ""Maestro!B:C""), 2, FALSE) = D775, 
    ""CONCILIADO"", 
    ""ERROR EN MONTO""
  ), 
  ""NO ENCONTRADO EN MAESTRO""
)"),"NO ENCONTRADO EN MAESTRO")</f>
        <v>NO ENCONTRADO EN MAESTRO</v>
      </c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ht="22.5" customHeight="1">
      <c r="A776" s="25"/>
      <c r="B776" s="15"/>
      <c r="C776" s="21"/>
      <c r="D776" s="22"/>
      <c r="E776" s="22"/>
      <c r="F776" s="22"/>
      <c r="G776" s="29"/>
      <c r="H776" s="13"/>
      <c r="I776" s="14">
        <f t="shared" si="1"/>
        <v>0</v>
      </c>
      <c r="J776" s="15">
        <f t="shared" si="2"/>
        <v>0</v>
      </c>
      <c r="K776" s="14">
        <f t="shared" si="3"/>
        <v>0</v>
      </c>
      <c r="L776" s="16" t="str">
        <f>IFERROR(__xludf.DUMMYFUNCTION("IFERROR(
  IF(
    VLOOKUP(C776, IMPORTRANGE(""gid=860555792"", ""Maestro!B:C""), 2, FALSE) = D776, 
    ""CONCILIADO"", 
    ""ERROR EN MONTO""
  ), 
  ""NO ENCONTRADO EN MAESTRO""
)"),"NO ENCONTRADO EN MAESTRO")</f>
        <v>NO ENCONTRADO EN MAESTRO</v>
      </c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ht="22.5" customHeight="1">
      <c r="A777" s="25"/>
      <c r="B777" s="15"/>
      <c r="C777" s="21"/>
      <c r="D777" s="22"/>
      <c r="E777" s="22"/>
      <c r="F777" s="22"/>
      <c r="G777" s="29"/>
      <c r="H777" s="13"/>
      <c r="I777" s="14">
        <f t="shared" si="1"/>
        <v>0</v>
      </c>
      <c r="J777" s="15">
        <f t="shared" si="2"/>
        <v>0</v>
      </c>
      <c r="K777" s="14">
        <f t="shared" si="3"/>
        <v>0</v>
      </c>
      <c r="L777" s="16" t="str">
        <f>IFERROR(__xludf.DUMMYFUNCTION("IFERROR(
  IF(
    VLOOKUP(C777, IMPORTRANGE(""gid=860555792"", ""Maestro!B:C""), 2, FALSE) = D777, 
    ""CONCILIADO"", 
    ""ERROR EN MONTO""
  ), 
  ""NO ENCONTRADO EN MAESTRO""
)"),"NO ENCONTRADO EN MAESTRO")</f>
        <v>NO ENCONTRADO EN MAESTRO</v>
      </c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ht="22.5" customHeight="1">
      <c r="A778" s="25"/>
      <c r="B778" s="15"/>
      <c r="C778" s="21"/>
      <c r="D778" s="22"/>
      <c r="E778" s="22"/>
      <c r="F778" s="22"/>
      <c r="G778" s="29"/>
      <c r="H778" s="13"/>
      <c r="I778" s="14">
        <f t="shared" si="1"/>
        <v>0</v>
      </c>
      <c r="J778" s="15">
        <f t="shared" si="2"/>
        <v>0</v>
      </c>
      <c r="K778" s="14">
        <f t="shared" si="3"/>
        <v>0</v>
      </c>
      <c r="L778" s="16" t="str">
        <f>IFERROR(__xludf.DUMMYFUNCTION("IFERROR(
  IF(
    VLOOKUP(C778, IMPORTRANGE(""gid=860555792"", ""Maestro!B:C""), 2, FALSE) = D778, 
    ""CONCILIADO"", 
    ""ERROR EN MONTO""
  ), 
  ""NO ENCONTRADO EN MAESTRO""
)"),"NO ENCONTRADO EN MAESTRO")</f>
        <v>NO ENCONTRADO EN MAESTRO</v>
      </c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ht="22.5" customHeight="1">
      <c r="A779" s="25"/>
      <c r="B779" s="15"/>
      <c r="C779" s="21"/>
      <c r="D779" s="22"/>
      <c r="E779" s="22"/>
      <c r="F779" s="22"/>
      <c r="G779" s="29"/>
      <c r="H779" s="13"/>
      <c r="I779" s="14">
        <f t="shared" si="1"/>
        <v>0</v>
      </c>
      <c r="J779" s="15">
        <f t="shared" si="2"/>
        <v>0</v>
      </c>
      <c r="K779" s="14">
        <f t="shared" si="3"/>
        <v>0</v>
      </c>
      <c r="L779" s="16" t="str">
        <f>IFERROR(__xludf.DUMMYFUNCTION("IFERROR(
  IF(
    VLOOKUP(C779, IMPORTRANGE(""gid=860555792"", ""Maestro!B:C""), 2, FALSE) = D779, 
    ""CONCILIADO"", 
    ""ERROR EN MONTO""
  ), 
  ""NO ENCONTRADO EN MAESTRO""
)"),"NO ENCONTRADO EN MAESTRO")</f>
        <v>NO ENCONTRADO EN MAESTRO</v>
      </c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ht="22.5" customHeight="1">
      <c r="A780" s="25"/>
      <c r="B780" s="15"/>
      <c r="C780" s="21"/>
      <c r="D780" s="22"/>
      <c r="E780" s="22"/>
      <c r="F780" s="22"/>
      <c r="G780" s="29"/>
      <c r="H780" s="13"/>
      <c r="I780" s="14">
        <f t="shared" si="1"/>
        <v>0</v>
      </c>
      <c r="J780" s="15">
        <f t="shared" si="2"/>
        <v>0</v>
      </c>
      <c r="K780" s="14">
        <f t="shared" si="3"/>
        <v>0</v>
      </c>
      <c r="L780" s="16" t="str">
        <f>IFERROR(__xludf.DUMMYFUNCTION("IFERROR(
  IF(
    VLOOKUP(C780, IMPORTRANGE(""gid=860555792"", ""Maestro!B:C""), 2, FALSE) = D780, 
    ""CONCILIADO"", 
    ""ERROR EN MONTO""
  ), 
  ""NO ENCONTRADO EN MAESTRO""
)"),"NO ENCONTRADO EN MAESTRO")</f>
        <v>NO ENCONTRADO EN MAESTRO</v>
      </c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ht="22.5" customHeight="1">
      <c r="A781" s="25"/>
      <c r="B781" s="15"/>
      <c r="C781" s="21"/>
      <c r="D781" s="22"/>
      <c r="E781" s="22"/>
      <c r="F781" s="22"/>
      <c r="G781" s="29"/>
      <c r="H781" s="13"/>
      <c r="I781" s="14">
        <f t="shared" si="1"/>
        <v>0</v>
      </c>
      <c r="J781" s="15">
        <f t="shared" si="2"/>
        <v>0</v>
      </c>
      <c r="K781" s="14">
        <f t="shared" si="3"/>
        <v>0</v>
      </c>
      <c r="L781" s="16" t="str">
        <f>IFERROR(__xludf.DUMMYFUNCTION("IFERROR(
  IF(
    VLOOKUP(C781, IMPORTRANGE(""gid=860555792"", ""Maestro!B:C""), 2, FALSE) = D781, 
    ""CONCILIADO"", 
    ""ERROR EN MONTO""
  ), 
  ""NO ENCONTRADO EN MAESTRO""
)"),"NO ENCONTRADO EN MAESTRO")</f>
        <v>NO ENCONTRADO EN MAESTRO</v>
      </c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ht="22.5" customHeight="1">
      <c r="A782" s="25"/>
      <c r="B782" s="15"/>
      <c r="C782" s="21"/>
      <c r="D782" s="22"/>
      <c r="E782" s="22"/>
      <c r="F782" s="22"/>
      <c r="G782" s="29"/>
      <c r="H782" s="13"/>
      <c r="I782" s="14">
        <f t="shared" si="1"/>
        <v>0</v>
      </c>
      <c r="J782" s="15">
        <f t="shared" si="2"/>
        <v>0</v>
      </c>
      <c r="K782" s="14">
        <f t="shared" si="3"/>
        <v>0</v>
      </c>
      <c r="L782" s="16" t="str">
        <f>IFERROR(__xludf.DUMMYFUNCTION("IFERROR(
  IF(
    VLOOKUP(C782, IMPORTRANGE(""gid=860555792"", ""Maestro!B:C""), 2, FALSE) = D782, 
    ""CONCILIADO"", 
    ""ERROR EN MONTO""
  ), 
  ""NO ENCONTRADO EN MAESTRO""
)"),"NO ENCONTRADO EN MAESTRO")</f>
        <v>NO ENCONTRADO EN MAESTRO</v>
      </c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ht="22.5" customHeight="1">
      <c r="A783" s="25"/>
      <c r="B783" s="15"/>
      <c r="C783" s="21"/>
      <c r="D783" s="22"/>
      <c r="E783" s="22"/>
      <c r="F783" s="22"/>
      <c r="G783" s="29"/>
      <c r="H783" s="13"/>
      <c r="I783" s="14">
        <f t="shared" si="1"/>
        <v>0</v>
      </c>
      <c r="J783" s="15">
        <f t="shared" si="2"/>
        <v>0</v>
      </c>
      <c r="K783" s="14">
        <f t="shared" si="3"/>
        <v>0</v>
      </c>
      <c r="L783" s="16" t="str">
        <f>IFERROR(__xludf.DUMMYFUNCTION("IFERROR(
  IF(
    VLOOKUP(C783, IMPORTRANGE(""gid=860555792"", ""Maestro!B:C""), 2, FALSE) = D783, 
    ""CONCILIADO"", 
    ""ERROR EN MONTO""
  ), 
  ""NO ENCONTRADO EN MAESTRO""
)"),"NO ENCONTRADO EN MAESTRO")</f>
        <v>NO ENCONTRADO EN MAESTRO</v>
      </c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ht="22.5" customHeight="1">
      <c r="A784" s="25"/>
      <c r="B784" s="15"/>
      <c r="C784" s="21"/>
      <c r="D784" s="22"/>
      <c r="E784" s="22"/>
      <c r="F784" s="22"/>
      <c r="G784" s="29"/>
      <c r="H784" s="13"/>
      <c r="I784" s="14">
        <f t="shared" si="1"/>
        <v>0</v>
      </c>
      <c r="J784" s="15">
        <f t="shared" si="2"/>
        <v>0</v>
      </c>
      <c r="K784" s="14">
        <f t="shared" si="3"/>
        <v>0</v>
      </c>
      <c r="L784" s="16" t="str">
        <f>IFERROR(__xludf.DUMMYFUNCTION("IFERROR(
  IF(
    VLOOKUP(C784, IMPORTRANGE(""gid=860555792"", ""Maestro!B:C""), 2, FALSE) = D784, 
    ""CONCILIADO"", 
    ""ERROR EN MONTO""
  ), 
  ""NO ENCONTRADO EN MAESTRO""
)"),"NO ENCONTRADO EN MAESTRO")</f>
        <v>NO ENCONTRADO EN MAESTRO</v>
      </c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ht="22.5" customHeight="1">
      <c r="A785" s="25"/>
      <c r="B785" s="15"/>
      <c r="C785" s="21"/>
      <c r="D785" s="22"/>
      <c r="E785" s="22"/>
      <c r="F785" s="22"/>
      <c r="G785" s="29"/>
      <c r="H785" s="13"/>
      <c r="I785" s="14">
        <f t="shared" si="1"/>
        <v>0</v>
      </c>
      <c r="J785" s="15">
        <f t="shared" si="2"/>
        <v>0</v>
      </c>
      <c r="K785" s="14">
        <f t="shared" si="3"/>
        <v>0</v>
      </c>
      <c r="L785" s="16" t="str">
        <f>IFERROR(__xludf.DUMMYFUNCTION("IFERROR(
  IF(
    VLOOKUP(C785, IMPORTRANGE(""gid=860555792"", ""Maestro!B:C""), 2, FALSE) = D785, 
    ""CONCILIADO"", 
    ""ERROR EN MONTO""
  ), 
  ""NO ENCONTRADO EN MAESTRO""
)"),"NO ENCONTRADO EN MAESTRO")</f>
        <v>NO ENCONTRADO EN MAESTRO</v>
      </c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ht="22.5" customHeight="1">
      <c r="A786" s="25"/>
      <c r="B786" s="15"/>
      <c r="C786" s="21"/>
      <c r="D786" s="22"/>
      <c r="E786" s="22"/>
      <c r="F786" s="22"/>
      <c r="G786" s="29"/>
      <c r="H786" s="13"/>
      <c r="I786" s="14">
        <f t="shared" si="1"/>
        <v>0</v>
      </c>
      <c r="J786" s="15">
        <f t="shared" si="2"/>
        <v>0</v>
      </c>
      <c r="K786" s="14">
        <f t="shared" si="3"/>
        <v>0</v>
      </c>
      <c r="L786" s="16" t="str">
        <f>IFERROR(__xludf.DUMMYFUNCTION("IFERROR(
  IF(
    VLOOKUP(C786, IMPORTRANGE(""gid=860555792"", ""Maestro!B:C""), 2, FALSE) = D786, 
    ""CONCILIADO"", 
    ""ERROR EN MONTO""
  ), 
  ""NO ENCONTRADO EN MAESTRO""
)"),"NO ENCONTRADO EN MAESTRO")</f>
        <v>NO ENCONTRADO EN MAESTRO</v>
      </c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ht="22.5" customHeight="1">
      <c r="A787" s="25"/>
      <c r="B787" s="15"/>
      <c r="C787" s="21"/>
      <c r="D787" s="22"/>
      <c r="E787" s="22"/>
      <c r="F787" s="22"/>
      <c r="G787" s="29"/>
      <c r="H787" s="13"/>
      <c r="I787" s="14">
        <f t="shared" si="1"/>
        <v>0</v>
      </c>
      <c r="J787" s="15">
        <f t="shared" si="2"/>
        <v>0</v>
      </c>
      <c r="K787" s="14">
        <f t="shared" si="3"/>
        <v>0</v>
      </c>
      <c r="L787" s="16" t="str">
        <f>IFERROR(__xludf.DUMMYFUNCTION("IFERROR(
  IF(
    VLOOKUP(C787, IMPORTRANGE(""gid=860555792"", ""Maestro!B:C""), 2, FALSE) = D787, 
    ""CONCILIADO"", 
    ""ERROR EN MONTO""
  ), 
  ""NO ENCONTRADO EN MAESTRO""
)"),"NO ENCONTRADO EN MAESTRO")</f>
        <v>NO ENCONTRADO EN MAESTRO</v>
      </c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ht="22.5" customHeight="1">
      <c r="A788" s="25"/>
      <c r="B788" s="15"/>
      <c r="C788" s="21"/>
      <c r="D788" s="22"/>
      <c r="E788" s="22"/>
      <c r="F788" s="22"/>
      <c r="G788" s="29"/>
      <c r="H788" s="13"/>
      <c r="I788" s="14">
        <f t="shared" si="1"/>
        <v>0</v>
      </c>
      <c r="J788" s="15">
        <f t="shared" si="2"/>
        <v>0</v>
      </c>
      <c r="K788" s="14">
        <f t="shared" si="3"/>
        <v>0</v>
      </c>
      <c r="L788" s="16" t="str">
        <f>IFERROR(__xludf.DUMMYFUNCTION("IFERROR(
  IF(
    VLOOKUP(C788, IMPORTRANGE(""gid=860555792"", ""Maestro!B:C""), 2, FALSE) = D788, 
    ""CONCILIADO"", 
    ""ERROR EN MONTO""
  ), 
  ""NO ENCONTRADO EN MAESTRO""
)"),"NO ENCONTRADO EN MAESTRO")</f>
        <v>NO ENCONTRADO EN MAESTRO</v>
      </c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ht="22.5" customHeight="1">
      <c r="A789" s="25"/>
      <c r="B789" s="15"/>
      <c r="C789" s="21"/>
      <c r="D789" s="22"/>
      <c r="E789" s="22"/>
      <c r="F789" s="22"/>
      <c r="G789" s="29"/>
      <c r="H789" s="13"/>
      <c r="I789" s="14">
        <f t="shared" si="1"/>
        <v>0</v>
      </c>
      <c r="J789" s="15">
        <f t="shared" si="2"/>
        <v>0</v>
      </c>
      <c r="K789" s="14">
        <f t="shared" si="3"/>
        <v>0</v>
      </c>
      <c r="L789" s="16" t="str">
        <f>IFERROR(__xludf.DUMMYFUNCTION("IFERROR(
  IF(
    VLOOKUP(C789, IMPORTRANGE(""gid=860555792"", ""Maestro!B:C""), 2, FALSE) = D789, 
    ""CONCILIADO"", 
    ""ERROR EN MONTO""
  ), 
  ""NO ENCONTRADO EN MAESTRO""
)"),"NO ENCONTRADO EN MAESTRO")</f>
        <v>NO ENCONTRADO EN MAESTRO</v>
      </c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ht="22.5" customHeight="1">
      <c r="A790" s="25"/>
      <c r="B790" s="15"/>
      <c r="C790" s="21"/>
      <c r="D790" s="22"/>
      <c r="E790" s="22"/>
      <c r="F790" s="22"/>
      <c r="G790" s="29"/>
      <c r="H790" s="13"/>
      <c r="I790" s="14">
        <f t="shared" si="1"/>
        <v>0</v>
      </c>
      <c r="J790" s="15">
        <f t="shared" si="2"/>
        <v>0</v>
      </c>
      <c r="K790" s="14">
        <f t="shared" si="3"/>
        <v>0</v>
      </c>
      <c r="L790" s="16" t="str">
        <f>IFERROR(__xludf.DUMMYFUNCTION("IFERROR(
  IF(
    VLOOKUP(C790, IMPORTRANGE(""gid=860555792"", ""Maestro!B:C""), 2, FALSE) = D790, 
    ""CONCILIADO"", 
    ""ERROR EN MONTO""
  ), 
  ""NO ENCONTRADO EN MAESTRO""
)"),"NO ENCONTRADO EN MAESTRO")</f>
        <v>NO ENCONTRADO EN MAESTRO</v>
      </c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ht="22.5" customHeight="1">
      <c r="A791" s="25"/>
      <c r="B791" s="15"/>
      <c r="C791" s="21"/>
      <c r="D791" s="22"/>
      <c r="E791" s="22"/>
      <c r="F791" s="22"/>
      <c r="G791" s="29"/>
      <c r="H791" s="13"/>
      <c r="I791" s="14">
        <f t="shared" si="1"/>
        <v>0</v>
      </c>
      <c r="J791" s="15">
        <f t="shared" si="2"/>
        <v>0</v>
      </c>
      <c r="K791" s="14">
        <f t="shared" si="3"/>
        <v>0</v>
      </c>
      <c r="L791" s="16" t="str">
        <f>IFERROR(__xludf.DUMMYFUNCTION("IFERROR(
  IF(
    VLOOKUP(C791, IMPORTRANGE(""gid=860555792"", ""Maestro!B:C""), 2, FALSE) = D791, 
    ""CONCILIADO"", 
    ""ERROR EN MONTO""
  ), 
  ""NO ENCONTRADO EN MAESTRO""
)"),"NO ENCONTRADO EN MAESTRO")</f>
        <v>NO ENCONTRADO EN MAESTRO</v>
      </c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ht="22.5" customHeight="1">
      <c r="A792" s="25"/>
      <c r="B792" s="15"/>
      <c r="C792" s="21"/>
      <c r="D792" s="22"/>
      <c r="E792" s="22"/>
      <c r="F792" s="22"/>
      <c r="G792" s="29"/>
      <c r="H792" s="13"/>
      <c r="I792" s="14">
        <f t="shared" si="1"/>
        <v>0</v>
      </c>
      <c r="J792" s="15">
        <f t="shared" si="2"/>
        <v>0</v>
      </c>
      <c r="K792" s="14">
        <f t="shared" si="3"/>
        <v>0</v>
      </c>
      <c r="L792" s="16" t="str">
        <f>IFERROR(__xludf.DUMMYFUNCTION("IFERROR(
  IF(
    VLOOKUP(C792, IMPORTRANGE(""gid=860555792"", ""Maestro!B:C""), 2, FALSE) = D792, 
    ""CONCILIADO"", 
    ""ERROR EN MONTO""
  ), 
  ""NO ENCONTRADO EN MAESTRO""
)"),"NO ENCONTRADO EN MAESTRO")</f>
        <v>NO ENCONTRADO EN MAESTRO</v>
      </c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ht="22.5" customHeight="1">
      <c r="A793" s="25"/>
      <c r="B793" s="15"/>
      <c r="C793" s="21"/>
      <c r="D793" s="22"/>
      <c r="E793" s="22"/>
      <c r="F793" s="22"/>
      <c r="G793" s="29"/>
      <c r="H793" s="13"/>
      <c r="I793" s="14">
        <f t="shared" si="1"/>
        <v>0</v>
      </c>
      <c r="J793" s="15">
        <f t="shared" si="2"/>
        <v>0</v>
      </c>
      <c r="K793" s="14">
        <f t="shared" si="3"/>
        <v>0</v>
      </c>
      <c r="L793" s="16" t="str">
        <f>IFERROR(__xludf.DUMMYFUNCTION("IFERROR(
  IF(
    VLOOKUP(C793, IMPORTRANGE(""gid=860555792"", ""Maestro!B:C""), 2, FALSE) = D793, 
    ""CONCILIADO"", 
    ""ERROR EN MONTO""
  ), 
  ""NO ENCONTRADO EN MAESTRO""
)"),"NO ENCONTRADO EN MAESTRO")</f>
        <v>NO ENCONTRADO EN MAESTRO</v>
      </c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ht="22.5" customHeight="1">
      <c r="A794" s="25"/>
      <c r="B794" s="15"/>
      <c r="C794" s="21"/>
      <c r="D794" s="22"/>
      <c r="E794" s="22"/>
      <c r="F794" s="22"/>
      <c r="G794" s="29"/>
      <c r="H794" s="13"/>
      <c r="I794" s="14">
        <f t="shared" si="1"/>
        <v>0</v>
      </c>
      <c r="J794" s="15">
        <f t="shared" si="2"/>
        <v>0</v>
      </c>
      <c r="K794" s="14">
        <f t="shared" si="3"/>
        <v>0</v>
      </c>
      <c r="L794" s="16" t="str">
        <f>IFERROR(__xludf.DUMMYFUNCTION("IFERROR(
  IF(
    VLOOKUP(C794, IMPORTRANGE(""gid=860555792"", ""Maestro!B:C""), 2, FALSE) = D794, 
    ""CONCILIADO"", 
    ""ERROR EN MONTO""
  ), 
  ""NO ENCONTRADO EN MAESTRO""
)"),"NO ENCONTRADO EN MAESTRO")</f>
        <v>NO ENCONTRADO EN MAESTRO</v>
      </c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ht="22.5" customHeight="1">
      <c r="A795" s="25"/>
      <c r="B795" s="15"/>
      <c r="C795" s="21"/>
      <c r="D795" s="22"/>
      <c r="E795" s="22"/>
      <c r="F795" s="22"/>
      <c r="G795" s="29"/>
      <c r="H795" s="13"/>
      <c r="I795" s="14">
        <f t="shared" si="1"/>
        <v>0</v>
      </c>
      <c r="J795" s="15">
        <f t="shared" si="2"/>
        <v>0</v>
      </c>
      <c r="K795" s="14">
        <f t="shared" si="3"/>
        <v>0</v>
      </c>
      <c r="L795" s="16" t="str">
        <f>IFERROR(__xludf.DUMMYFUNCTION("IFERROR(
  IF(
    VLOOKUP(C795, IMPORTRANGE(""gid=860555792"", ""Maestro!B:C""), 2, FALSE) = D795, 
    ""CONCILIADO"", 
    ""ERROR EN MONTO""
  ), 
  ""NO ENCONTRADO EN MAESTRO""
)"),"NO ENCONTRADO EN MAESTRO")</f>
        <v>NO ENCONTRADO EN MAESTRO</v>
      </c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ht="22.5" customHeight="1">
      <c r="A796" s="25"/>
      <c r="B796" s="15"/>
      <c r="C796" s="21"/>
      <c r="D796" s="22"/>
      <c r="E796" s="22"/>
      <c r="F796" s="22"/>
      <c r="G796" s="29"/>
      <c r="H796" s="13"/>
      <c r="I796" s="14">
        <f t="shared" si="1"/>
        <v>0</v>
      </c>
      <c r="J796" s="15">
        <f t="shared" si="2"/>
        <v>0</v>
      </c>
      <c r="K796" s="14">
        <f t="shared" si="3"/>
        <v>0</v>
      </c>
      <c r="L796" s="16" t="str">
        <f>IFERROR(__xludf.DUMMYFUNCTION("IFERROR(
  IF(
    VLOOKUP(C796, IMPORTRANGE(""gid=860555792"", ""Maestro!B:C""), 2, FALSE) = D796, 
    ""CONCILIADO"", 
    ""ERROR EN MONTO""
  ), 
  ""NO ENCONTRADO EN MAESTRO""
)"),"NO ENCONTRADO EN MAESTRO")</f>
        <v>NO ENCONTRADO EN MAESTRO</v>
      </c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ht="22.5" customHeight="1">
      <c r="A797" s="25"/>
      <c r="B797" s="15"/>
      <c r="C797" s="21"/>
      <c r="D797" s="22"/>
      <c r="E797" s="22"/>
      <c r="F797" s="22"/>
      <c r="G797" s="29"/>
      <c r="H797" s="13"/>
      <c r="I797" s="14">
        <f t="shared" si="1"/>
        <v>0</v>
      </c>
      <c r="J797" s="15">
        <f t="shared" si="2"/>
        <v>0</v>
      </c>
      <c r="K797" s="14">
        <f t="shared" si="3"/>
        <v>0</v>
      </c>
      <c r="L797" s="16" t="str">
        <f>IFERROR(__xludf.DUMMYFUNCTION("IFERROR(
  IF(
    VLOOKUP(C797, IMPORTRANGE(""gid=860555792"", ""Maestro!B:C""), 2, FALSE) = D797, 
    ""CONCILIADO"", 
    ""ERROR EN MONTO""
  ), 
  ""NO ENCONTRADO EN MAESTRO""
)"),"NO ENCONTRADO EN MAESTRO")</f>
        <v>NO ENCONTRADO EN MAESTRO</v>
      </c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ht="22.5" customHeight="1">
      <c r="A798" s="25"/>
      <c r="B798" s="15"/>
      <c r="C798" s="21"/>
      <c r="D798" s="22"/>
      <c r="E798" s="22"/>
      <c r="F798" s="22"/>
      <c r="G798" s="29"/>
      <c r="H798" s="13"/>
      <c r="I798" s="14">
        <f t="shared" si="1"/>
        <v>0</v>
      </c>
      <c r="J798" s="15">
        <f t="shared" si="2"/>
        <v>0</v>
      </c>
      <c r="K798" s="14">
        <f t="shared" si="3"/>
        <v>0</v>
      </c>
      <c r="L798" s="16" t="str">
        <f>IFERROR(__xludf.DUMMYFUNCTION("IFERROR(
  IF(
    VLOOKUP(C798, IMPORTRANGE(""gid=860555792"", ""Maestro!B:C""), 2, FALSE) = D798, 
    ""CONCILIADO"", 
    ""ERROR EN MONTO""
  ), 
  ""NO ENCONTRADO EN MAESTRO""
)"),"NO ENCONTRADO EN MAESTRO")</f>
        <v>NO ENCONTRADO EN MAESTRO</v>
      </c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ht="22.5" customHeight="1">
      <c r="A799" s="25"/>
      <c r="B799" s="15"/>
      <c r="C799" s="21"/>
      <c r="D799" s="22"/>
      <c r="E799" s="22"/>
      <c r="F799" s="22"/>
      <c r="G799" s="29"/>
      <c r="H799" s="13"/>
      <c r="I799" s="14">
        <f t="shared" si="1"/>
        <v>0</v>
      </c>
      <c r="J799" s="15">
        <f t="shared" si="2"/>
        <v>0</v>
      </c>
      <c r="K799" s="14">
        <f t="shared" si="3"/>
        <v>0</v>
      </c>
      <c r="L799" s="16" t="str">
        <f>IFERROR(__xludf.DUMMYFUNCTION("IFERROR(
  IF(
    VLOOKUP(C799, IMPORTRANGE(""gid=860555792"", ""Maestro!B:C""), 2, FALSE) = D799, 
    ""CONCILIADO"", 
    ""ERROR EN MONTO""
  ), 
  ""NO ENCONTRADO EN MAESTRO""
)"),"NO ENCONTRADO EN MAESTRO")</f>
        <v>NO ENCONTRADO EN MAESTRO</v>
      </c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ht="22.5" customHeight="1">
      <c r="A800" s="25"/>
      <c r="B800" s="15"/>
      <c r="C800" s="21"/>
      <c r="D800" s="22"/>
      <c r="E800" s="22"/>
      <c r="F800" s="22"/>
      <c r="G800" s="29"/>
      <c r="H800" s="13"/>
      <c r="I800" s="14">
        <f t="shared" si="1"/>
        <v>0</v>
      </c>
      <c r="J800" s="15">
        <f t="shared" si="2"/>
        <v>0</v>
      </c>
      <c r="K800" s="14">
        <f t="shared" si="3"/>
        <v>0</v>
      </c>
      <c r="L800" s="16" t="str">
        <f>IFERROR(__xludf.DUMMYFUNCTION("IFERROR(
  IF(
    VLOOKUP(C800, IMPORTRANGE(""gid=860555792"", ""Maestro!B:C""), 2, FALSE) = D800, 
    ""CONCILIADO"", 
    ""ERROR EN MONTO""
  ), 
  ""NO ENCONTRADO EN MAESTRO""
)"),"NO ENCONTRADO EN MAESTRO")</f>
        <v>NO ENCONTRADO EN MAESTRO</v>
      </c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ht="22.5" customHeight="1">
      <c r="A801" s="25"/>
      <c r="B801" s="15"/>
      <c r="C801" s="21"/>
      <c r="D801" s="22"/>
      <c r="E801" s="22"/>
      <c r="F801" s="22"/>
      <c r="G801" s="29"/>
      <c r="H801" s="13"/>
      <c r="I801" s="14">
        <f t="shared" si="1"/>
        <v>0</v>
      </c>
      <c r="J801" s="15">
        <f t="shared" si="2"/>
        <v>0</v>
      </c>
      <c r="K801" s="14">
        <f t="shared" si="3"/>
        <v>0</v>
      </c>
      <c r="L801" s="16" t="str">
        <f>IFERROR(__xludf.DUMMYFUNCTION("IFERROR(
  IF(
    VLOOKUP(C801, IMPORTRANGE(""gid=860555792"", ""Maestro!B:C""), 2, FALSE) = D801, 
    ""CONCILIADO"", 
    ""ERROR EN MONTO""
  ), 
  ""NO ENCONTRADO EN MAESTRO""
)"),"NO ENCONTRADO EN MAESTRO")</f>
        <v>NO ENCONTRADO EN MAESTRO</v>
      </c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ht="22.5" customHeight="1">
      <c r="A802" s="25"/>
      <c r="B802" s="15"/>
      <c r="C802" s="21"/>
      <c r="D802" s="22"/>
      <c r="E802" s="22"/>
      <c r="F802" s="22"/>
      <c r="G802" s="29"/>
      <c r="H802" s="13"/>
      <c r="I802" s="14">
        <f t="shared" si="1"/>
        <v>0</v>
      </c>
      <c r="J802" s="15">
        <f t="shared" si="2"/>
        <v>0</v>
      </c>
      <c r="K802" s="14">
        <f t="shared" si="3"/>
        <v>0</v>
      </c>
      <c r="L802" s="16" t="str">
        <f>IFERROR(__xludf.DUMMYFUNCTION("IFERROR(
  IF(
    VLOOKUP(C802, IMPORTRANGE(""gid=860555792"", ""Maestro!B:C""), 2, FALSE) = D802, 
    ""CONCILIADO"", 
    ""ERROR EN MONTO""
  ), 
  ""NO ENCONTRADO EN MAESTRO""
)"),"NO ENCONTRADO EN MAESTRO")</f>
        <v>NO ENCONTRADO EN MAESTRO</v>
      </c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ht="22.5" customHeight="1">
      <c r="A803" s="25"/>
      <c r="B803" s="15"/>
      <c r="C803" s="21"/>
      <c r="D803" s="22"/>
      <c r="E803" s="22"/>
      <c r="F803" s="22"/>
      <c r="G803" s="29"/>
      <c r="H803" s="13"/>
      <c r="I803" s="14">
        <f t="shared" si="1"/>
        <v>0</v>
      </c>
      <c r="J803" s="15">
        <f t="shared" si="2"/>
        <v>0</v>
      </c>
      <c r="K803" s="14">
        <f t="shared" si="3"/>
        <v>0</v>
      </c>
      <c r="L803" s="16" t="str">
        <f>IFERROR(__xludf.DUMMYFUNCTION("IFERROR(
  IF(
    VLOOKUP(C803, IMPORTRANGE(""gid=860555792"", ""Maestro!B:C""), 2, FALSE) = D803, 
    ""CONCILIADO"", 
    ""ERROR EN MONTO""
  ), 
  ""NO ENCONTRADO EN MAESTRO""
)"),"NO ENCONTRADO EN MAESTRO")</f>
        <v>NO ENCONTRADO EN MAESTRO</v>
      </c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ht="22.5" customHeight="1">
      <c r="A804" s="25"/>
      <c r="B804" s="15"/>
      <c r="C804" s="21"/>
      <c r="D804" s="22"/>
      <c r="E804" s="22"/>
      <c r="F804" s="22"/>
      <c r="G804" s="29"/>
      <c r="H804" s="13"/>
      <c r="I804" s="14">
        <f t="shared" si="1"/>
        <v>0</v>
      </c>
      <c r="J804" s="15">
        <f t="shared" si="2"/>
        <v>0</v>
      </c>
      <c r="K804" s="14">
        <f t="shared" si="3"/>
        <v>0</v>
      </c>
      <c r="L804" s="16" t="str">
        <f>IFERROR(__xludf.DUMMYFUNCTION("IFERROR(
  IF(
    VLOOKUP(C804, IMPORTRANGE(""gid=860555792"", ""Maestro!B:C""), 2, FALSE) = D804, 
    ""CONCILIADO"", 
    ""ERROR EN MONTO""
  ), 
  ""NO ENCONTRADO EN MAESTRO""
)"),"NO ENCONTRADO EN MAESTRO")</f>
        <v>NO ENCONTRADO EN MAESTRO</v>
      </c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ht="22.5" customHeight="1">
      <c r="A805" s="25"/>
      <c r="B805" s="15"/>
      <c r="C805" s="21"/>
      <c r="D805" s="22"/>
      <c r="E805" s="22"/>
      <c r="F805" s="22"/>
      <c r="G805" s="29"/>
      <c r="H805" s="13"/>
      <c r="I805" s="14">
        <f t="shared" si="1"/>
        <v>0</v>
      </c>
      <c r="J805" s="15">
        <f t="shared" si="2"/>
        <v>0</v>
      </c>
      <c r="K805" s="14">
        <f t="shared" si="3"/>
        <v>0</v>
      </c>
      <c r="L805" s="16" t="str">
        <f>IFERROR(__xludf.DUMMYFUNCTION("IFERROR(
  IF(
    VLOOKUP(C805, IMPORTRANGE(""gid=860555792"", ""Maestro!B:C""), 2, FALSE) = D805, 
    ""CONCILIADO"", 
    ""ERROR EN MONTO""
  ), 
  ""NO ENCONTRADO EN MAESTRO""
)"),"NO ENCONTRADO EN MAESTRO")</f>
        <v>NO ENCONTRADO EN MAESTRO</v>
      </c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ht="22.5" customHeight="1">
      <c r="A806" s="25"/>
      <c r="B806" s="15"/>
      <c r="C806" s="21"/>
      <c r="D806" s="22"/>
      <c r="E806" s="22"/>
      <c r="F806" s="22"/>
      <c r="G806" s="29"/>
      <c r="H806" s="13"/>
      <c r="I806" s="14">
        <f t="shared" si="1"/>
        <v>0</v>
      </c>
      <c r="J806" s="15">
        <f t="shared" si="2"/>
        <v>0</v>
      </c>
      <c r="K806" s="14">
        <f t="shared" si="3"/>
        <v>0</v>
      </c>
      <c r="L806" s="16" t="str">
        <f>IFERROR(__xludf.DUMMYFUNCTION("IFERROR(
  IF(
    VLOOKUP(C806, IMPORTRANGE(""gid=860555792"", ""Maestro!B:C""), 2, FALSE) = D806, 
    ""CONCILIADO"", 
    ""ERROR EN MONTO""
  ), 
  ""NO ENCONTRADO EN MAESTRO""
)"),"NO ENCONTRADO EN MAESTRO")</f>
        <v>NO ENCONTRADO EN MAESTRO</v>
      </c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ht="22.5" customHeight="1">
      <c r="A807" s="25"/>
      <c r="B807" s="15"/>
      <c r="C807" s="21"/>
      <c r="D807" s="22"/>
      <c r="E807" s="22"/>
      <c r="F807" s="22"/>
      <c r="G807" s="29"/>
      <c r="H807" s="13"/>
      <c r="I807" s="14">
        <f t="shared" si="1"/>
        <v>0</v>
      </c>
      <c r="J807" s="15">
        <f t="shared" si="2"/>
        <v>0</v>
      </c>
      <c r="K807" s="14">
        <f t="shared" si="3"/>
        <v>0</v>
      </c>
      <c r="L807" s="16" t="str">
        <f>IFERROR(__xludf.DUMMYFUNCTION("IFERROR(
  IF(
    VLOOKUP(C807, IMPORTRANGE(""gid=860555792"", ""Maestro!B:C""), 2, FALSE) = D807, 
    ""CONCILIADO"", 
    ""ERROR EN MONTO""
  ), 
  ""NO ENCONTRADO EN MAESTRO""
)"),"NO ENCONTRADO EN MAESTRO")</f>
        <v>NO ENCONTRADO EN MAESTRO</v>
      </c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ht="22.5" customHeight="1">
      <c r="A808" s="25"/>
      <c r="B808" s="15"/>
      <c r="C808" s="21"/>
      <c r="D808" s="22"/>
      <c r="E808" s="22"/>
      <c r="F808" s="22"/>
      <c r="G808" s="29"/>
      <c r="H808" s="13"/>
      <c r="I808" s="14">
        <f t="shared" si="1"/>
        <v>0</v>
      </c>
      <c r="J808" s="15">
        <f t="shared" si="2"/>
        <v>0</v>
      </c>
      <c r="K808" s="14">
        <f t="shared" si="3"/>
        <v>0</v>
      </c>
      <c r="L808" s="16" t="str">
        <f>IFERROR(__xludf.DUMMYFUNCTION("IFERROR(
  IF(
    VLOOKUP(C808, IMPORTRANGE(""gid=860555792"", ""Maestro!B:C""), 2, FALSE) = D808, 
    ""CONCILIADO"", 
    ""ERROR EN MONTO""
  ), 
  ""NO ENCONTRADO EN MAESTRO""
)"),"NO ENCONTRADO EN MAESTRO")</f>
        <v>NO ENCONTRADO EN MAESTRO</v>
      </c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ht="22.5" customHeight="1">
      <c r="A809" s="25"/>
      <c r="B809" s="15"/>
      <c r="C809" s="21"/>
      <c r="D809" s="22"/>
      <c r="E809" s="22"/>
      <c r="F809" s="22"/>
      <c r="G809" s="29"/>
      <c r="H809" s="13"/>
      <c r="I809" s="14">
        <f t="shared" si="1"/>
        <v>0</v>
      </c>
      <c r="J809" s="15">
        <f t="shared" si="2"/>
        <v>0</v>
      </c>
      <c r="K809" s="14">
        <f t="shared" si="3"/>
        <v>0</v>
      </c>
      <c r="L809" s="16" t="str">
        <f>IFERROR(__xludf.DUMMYFUNCTION("IFERROR(
  IF(
    VLOOKUP(C809, IMPORTRANGE(""gid=860555792"", ""Maestro!B:C""), 2, FALSE) = D809, 
    ""CONCILIADO"", 
    ""ERROR EN MONTO""
  ), 
  ""NO ENCONTRADO EN MAESTRO""
)"),"NO ENCONTRADO EN MAESTRO")</f>
        <v>NO ENCONTRADO EN MAESTRO</v>
      </c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ht="22.5" customHeight="1">
      <c r="A810" s="25"/>
      <c r="B810" s="15"/>
      <c r="C810" s="21"/>
      <c r="D810" s="22"/>
      <c r="E810" s="22"/>
      <c r="F810" s="22"/>
      <c r="G810" s="29"/>
      <c r="H810" s="13"/>
      <c r="I810" s="14">
        <f t="shared" si="1"/>
        <v>0</v>
      </c>
      <c r="J810" s="15">
        <f t="shared" si="2"/>
        <v>0</v>
      </c>
      <c r="K810" s="14">
        <f t="shared" si="3"/>
        <v>0</v>
      </c>
      <c r="L810" s="16" t="str">
        <f>IFERROR(__xludf.DUMMYFUNCTION("IFERROR(
  IF(
    VLOOKUP(C810, IMPORTRANGE(""gid=860555792"", ""Maestro!B:C""), 2, FALSE) = D810, 
    ""CONCILIADO"", 
    ""ERROR EN MONTO""
  ), 
  ""NO ENCONTRADO EN MAESTRO""
)"),"NO ENCONTRADO EN MAESTRO")</f>
        <v>NO ENCONTRADO EN MAESTRO</v>
      </c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ht="22.5" customHeight="1">
      <c r="A811" s="25"/>
      <c r="B811" s="15"/>
      <c r="C811" s="21"/>
      <c r="D811" s="22"/>
      <c r="E811" s="22"/>
      <c r="F811" s="22"/>
      <c r="G811" s="29"/>
      <c r="H811" s="13"/>
      <c r="I811" s="14">
        <f t="shared" si="1"/>
        <v>0</v>
      </c>
      <c r="J811" s="15">
        <f t="shared" si="2"/>
        <v>0</v>
      </c>
      <c r="K811" s="14">
        <f t="shared" si="3"/>
        <v>0</v>
      </c>
      <c r="L811" s="16" t="str">
        <f>IFERROR(__xludf.DUMMYFUNCTION("IFERROR(
  IF(
    VLOOKUP(C811, IMPORTRANGE(""gid=860555792"", ""Maestro!B:C""), 2, FALSE) = D811, 
    ""CONCILIADO"", 
    ""ERROR EN MONTO""
  ), 
  ""NO ENCONTRADO EN MAESTRO""
)"),"NO ENCONTRADO EN MAESTRO")</f>
        <v>NO ENCONTRADO EN MAESTRO</v>
      </c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ht="22.5" customHeight="1">
      <c r="A812" s="25"/>
      <c r="B812" s="15"/>
      <c r="C812" s="21"/>
      <c r="D812" s="22"/>
      <c r="E812" s="22"/>
      <c r="F812" s="22"/>
      <c r="G812" s="29"/>
      <c r="H812" s="13"/>
      <c r="I812" s="14">
        <f t="shared" si="1"/>
        <v>0</v>
      </c>
      <c r="J812" s="15">
        <f t="shared" si="2"/>
        <v>0</v>
      </c>
      <c r="K812" s="14">
        <f t="shared" si="3"/>
        <v>0</v>
      </c>
      <c r="L812" s="16" t="str">
        <f>IFERROR(__xludf.DUMMYFUNCTION("IFERROR(
  IF(
    VLOOKUP(C812, IMPORTRANGE(""gid=860555792"", ""Maestro!B:C""), 2, FALSE) = D812, 
    ""CONCILIADO"", 
    ""ERROR EN MONTO""
  ), 
  ""NO ENCONTRADO EN MAESTRO""
)"),"NO ENCONTRADO EN MAESTRO")</f>
        <v>NO ENCONTRADO EN MAESTRO</v>
      </c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ht="22.5" customHeight="1">
      <c r="A813" s="25"/>
      <c r="B813" s="15"/>
      <c r="C813" s="21"/>
      <c r="D813" s="22"/>
      <c r="E813" s="22"/>
      <c r="F813" s="22"/>
      <c r="G813" s="29"/>
      <c r="H813" s="13"/>
      <c r="I813" s="14">
        <f t="shared" si="1"/>
        <v>0</v>
      </c>
      <c r="J813" s="15">
        <f t="shared" si="2"/>
        <v>0</v>
      </c>
      <c r="K813" s="14">
        <f t="shared" si="3"/>
        <v>0</v>
      </c>
      <c r="L813" s="16" t="str">
        <f>IFERROR(__xludf.DUMMYFUNCTION("IFERROR(
  IF(
    VLOOKUP(C813, IMPORTRANGE(""gid=860555792"", ""Maestro!B:C""), 2, FALSE) = D813, 
    ""CONCILIADO"", 
    ""ERROR EN MONTO""
  ), 
  ""NO ENCONTRADO EN MAESTRO""
)"),"NO ENCONTRADO EN MAESTRO")</f>
        <v>NO ENCONTRADO EN MAESTRO</v>
      </c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ht="22.5" customHeight="1">
      <c r="A814" s="25"/>
      <c r="B814" s="15"/>
      <c r="C814" s="21"/>
      <c r="D814" s="22"/>
      <c r="E814" s="22"/>
      <c r="F814" s="22"/>
      <c r="G814" s="29"/>
      <c r="H814" s="13"/>
      <c r="I814" s="14">
        <f t="shared" si="1"/>
        <v>0</v>
      </c>
      <c r="J814" s="15">
        <f t="shared" si="2"/>
        <v>0</v>
      </c>
      <c r="K814" s="14">
        <f t="shared" si="3"/>
        <v>0</v>
      </c>
      <c r="L814" s="16" t="str">
        <f>IFERROR(__xludf.DUMMYFUNCTION("IFERROR(
  IF(
    VLOOKUP(C814, IMPORTRANGE(""gid=860555792"", ""Maestro!B:C""), 2, FALSE) = D814, 
    ""CONCILIADO"", 
    ""ERROR EN MONTO""
  ), 
  ""NO ENCONTRADO EN MAESTRO""
)"),"NO ENCONTRADO EN MAESTRO")</f>
        <v>NO ENCONTRADO EN MAESTRO</v>
      </c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ht="22.5" customHeight="1">
      <c r="A815" s="25"/>
      <c r="B815" s="15"/>
      <c r="C815" s="21"/>
      <c r="D815" s="22"/>
      <c r="E815" s="22"/>
      <c r="F815" s="22"/>
      <c r="G815" s="29"/>
      <c r="H815" s="13"/>
      <c r="I815" s="14">
        <f t="shared" si="1"/>
        <v>0</v>
      </c>
      <c r="J815" s="15">
        <f t="shared" si="2"/>
        <v>0</v>
      </c>
      <c r="K815" s="14">
        <f t="shared" si="3"/>
        <v>0</v>
      </c>
      <c r="L815" s="16" t="str">
        <f>IFERROR(__xludf.DUMMYFUNCTION("IFERROR(
  IF(
    VLOOKUP(C815, IMPORTRANGE(""gid=860555792"", ""Maestro!B:C""), 2, FALSE) = D815, 
    ""CONCILIADO"", 
    ""ERROR EN MONTO""
  ), 
  ""NO ENCONTRADO EN MAESTRO""
)"),"NO ENCONTRADO EN MAESTRO")</f>
        <v>NO ENCONTRADO EN MAESTRO</v>
      </c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ht="22.5" customHeight="1">
      <c r="A816" s="25"/>
      <c r="B816" s="15"/>
      <c r="C816" s="21"/>
      <c r="D816" s="22"/>
      <c r="E816" s="22"/>
      <c r="F816" s="22"/>
      <c r="G816" s="29"/>
      <c r="H816" s="13"/>
      <c r="I816" s="14">
        <f t="shared" si="1"/>
        <v>0</v>
      </c>
      <c r="J816" s="15">
        <f t="shared" si="2"/>
        <v>0</v>
      </c>
      <c r="K816" s="14">
        <f t="shared" si="3"/>
        <v>0</v>
      </c>
      <c r="L816" s="16" t="str">
        <f>IFERROR(__xludf.DUMMYFUNCTION("IFERROR(
  IF(
    VLOOKUP(C816, IMPORTRANGE(""gid=860555792"", ""Maestro!B:C""), 2, FALSE) = D816, 
    ""CONCILIADO"", 
    ""ERROR EN MONTO""
  ), 
  ""NO ENCONTRADO EN MAESTRO""
)"),"NO ENCONTRADO EN MAESTRO")</f>
        <v>NO ENCONTRADO EN MAESTRO</v>
      </c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ht="22.5" customHeight="1">
      <c r="A817" s="25"/>
      <c r="B817" s="15"/>
      <c r="C817" s="21"/>
      <c r="D817" s="22"/>
      <c r="E817" s="22"/>
      <c r="F817" s="22"/>
      <c r="G817" s="29"/>
      <c r="H817" s="13"/>
      <c r="I817" s="14">
        <f t="shared" si="1"/>
        <v>0</v>
      </c>
      <c r="J817" s="15">
        <f t="shared" si="2"/>
        <v>0</v>
      </c>
      <c r="K817" s="14">
        <f t="shared" si="3"/>
        <v>0</v>
      </c>
      <c r="L817" s="16" t="str">
        <f>IFERROR(__xludf.DUMMYFUNCTION("IFERROR(
  IF(
    VLOOKUP(C817, IMPORTRANGE(""gid=860555792"", ""Maestro!B:C""), 2, FALSE) = D817, 
    ""CONCILIADO"", 
    ""ERROR EN MONTO""
  ), 
  ""NO ENCONTRADO EN MAESTRO""
)"),"NO ENCONTRADO EN MAESTRO")</f>
        <v>NO ENCONTRADO EN MAESTRO</v>
      </c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ht="22.5" customHeight="1">
      <c r="A818" s="25"/>
      <c r="B818" s="15"/>
      <c r="C818" s="21"/>
      <c r="D818" s="22"/>
      <c r="E818" s="22"/>
      <c r="F818" s="22"/>
      <c r="G818" s="29"/>
      <c r="H818" s="13"/>
      <c r="I818" s="14">
        <f t="shared" si="1"/>
        <v>0</v>
      </c>
      <c r="J818" s="15">
        <f t="shared" si="2"/>
        <v>0</v>
      </c>
      <c r="K818" s="14">
        <f t="shared" si="3"/>
        <v>0</v>
      </c>
      <c r="L818" s="16" t="str">
        <f>IFERROR(__xludf.DUMMYFUNCTION("IFERROR(
  IF(
    VLOOKUP(C818, IMPORTRANGE(""gid=860555792"", ""Maestro!B:C""), 2, FALSE) = D818, 
    ""CONCILIADO"", 
    ""ERROR EN MONTO""
  ), 
  ""NO ENCONTRADO EN MAESTRO""
)"),"NO ENCONTRADO EN MAESTRO")</f>
        <v>NO ENCONTRADO EN MAESTRO</v>
      </c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ht="22.5" customHeight="1">
      <c r="A819" s="25"/>
      <c r="B819" s="15"/>
      <c r="C819" s="21"/>
      <c r="D819" s="22"/>
      <c r="E819" s="22"/>
      <c r="F819" s="22"/>
      <c r="G819" s="29"/>
      <c r="H819" s="13"/>
      <c r="I819" s="14">
        <f t="shared" si="1"/>
        <v>0</v>
      </c>
      <c r="J819" s="15">
        <f t="shared" si="2"/>
        <v>0</v>
      </c>
      <c r="K819" s="14">
        <f t="shared" si="3"/>
        <v>0</v>
      </c>
      <c r="L819" s="16" t="str">
        <f>IFERROR(__xludf.DUMMYFUNCTION("IFERROR(
  IF(
    VLOOKUP(C819, IMPORTRANGE(""gid=860555792"", ""Maestro!B:C""), 2, FALSE) = D819, 
    ""CONCILIADO"", 
    ""ERROR EN MONTO""
  ), 
  ""NO ENCONTRADO EN MAESTRO""
)"),"NO ENCONTRADO EN MAESTRO")</f>
        <v>NO ENCONTRADO EN MAESTRO</v>
      </c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ht="22.5" customHeight="1">
      <c r="A820" s="25"/>
      <c r="B820" s="15"/>
      <c r="C820" s="21"/>
      <c r="D820" s="22"/>
      <c r="E820" s="22"/>
      <c r="F820" s="22"/>
      <c r="G820" s="29"/>
      <c r="H820" s="13"/>
      <c r="I820" s="14">
        <f t="shared" si="1"/>
        <v>0</v>
      </c>
      <c r="J820" s="15">
        <f t="shared" si="2"/>
        <v>0</v>
      </c>
      <c r="K820" s="14">
        <f t="shared" si="3"/>
        <v>0</v>
      </c>
      <c r="L820" s="16" t="str">
        <f>IFERROR(__xludf.DUMMYFUNCTION("IFERROR(
  IF(
    VLOOKUP(C820, IMPORTRANGE(""gid=860555792"", ""Maestro!B:C""), 2, FALSE) = D820, 
    ""CONCILIADO"", 
    ""ERROR EN MONTO""
  ), 
  ""NO ENCONTRADO EN MAESTRO""
)"),"NO ENCONTRADO EN MAESTRO")</f>
        <v>NO ENCONTRADO EN MAESTRO</v>
      </c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ht="22.5" customHeight="1">
      <c r="A821" s="25"/>
      <c r="B821" s="15"/>
      <c r="C821" s="21"/>
      <c r="D821" s="22"/>
      <c r="E821" s="22"/>
      <c r="F821" s="22"/>
      <c r="G821" s="29"/>
      <c r="H821" s="13"/>
      <c r="I821" s="14">
        <f t="shared" si="1"/>
        <v>0</v>
      </c>
      <c r="J821" s="15">
        <f t="shared" si="2"/>
        <v>0</v>
      </c>
      <c r="K821" s="14">
        <f t="shared" si="3"/>
        <v>0</v>
      </c>
      <c r="L821" s="16" t="str">
        <f>IFERROR(__xludf.DUMMYFUNCTION("IFERROR(
  IF(
    VLOOKUP(C821, IMPORTRANGE(""gid=860555792"", ""Maestro!B:C""), 2, FALSE) = D821, 
    ""CONCILIADO"", 
    ""ERROR EN MONTO""
  ), 
  ""NO ENCONTRADO EN MAESTRO""
)"),"NO ENCONTRADO EN MAESTRO")</f>
        <v>NO ENCONTRADO EN MAESTRO</v>
      </c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ht="22.5" customHeight="1">
      <c r="A822" s="25"/>
      <c r="B822" s="15"/>
      <c r="C822" s="21"/>
      <c r="D822" s="22"/>
      <c r="E822" s="22"/>
      <c r="F822" s="22"/>
      <c r="G822" s="29"/>
      <c r="H822" s="13"/>
      <c r="I822" s="14">
        <f t="shared" si="1"/>
        <v>0</v>
      </c>
      <c r="J822" s="15">
        <f t="shared" si="2"/>
        <v>0</v>
      </c>
      <c r="K822" s="14">
        <f t="shared" si="3"/>
        <v>0</v>
      </c>
      <c r="L822" s="16" t="str">
        <f>IFERROR(__xludf.DUMMYFUNCTION("IFERROR(
  IF(
    VLOOKUP(C822, IMPORTRANGE(""gid=860555792"", ""Maestro!B:C""), 2, FALSE) = D822, 
    ""CONCILIADO"", 
    ""ERROR EN MONTO""
  ), 
  ""NO ENCONTRADO EN MAESTRO""
)"),"NO ENCONTRADO EN MAESTRO")</f>
        <v>NO ENCONTRADO EN MAESTRO</v>
      </c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ht="22.5" customHeight="1">
      <c r="A823" s="25"/>
      <c r="B823" s="15"/>
      <c r="C823" s="21"/>
      <c r="D823" s="22"/>
      <c r="E823" s="22"/>
      <c r="F823" s="22"/>
      <c r="G823" s="29"/>
      <c r="H823" s="13"/>
      <c r="I823" s="14">
        <f t="shared" si="1"/>
        <v>0</v>
      </c>
      <c r="J823" s="15">
        <f t="shared" si="2"/>
        <v>0</v>
      </c>
      <c r="K823" s="14">
        <f t="shared" si="3"/>
        <v>0</v>
      </c>
      <c r="L823" s="16" t="str">
        <f>IFERROR(__xludf.DUMMYFUNCTION("IFERROR(
  IF(
    VLOOKUP(C823, IMPORTRANGE(""gid=860555792"", ""Maestro!B:C""), 2, FALSE) = D823, 
    ""CONCILIADO"", 
    ""ERROR EN MONTO""
  ), 
  ""NO ENCONTRADO EN MAESTRO""
)"),"NO ENCONTRADO EN MAESTRO")</f>
        <v>NO ENCONTRADO EN MAESTRO</v>
      </c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ht="22.5" customHeight="1">
      <c r="A824" s="25"/>
      <c r="B824" s="15"/>
      <c r="C824" s="21"/>
      <c r="D824" s="22"/>
      <c r="E824" s="22"/>
      <c r="F824" s="22"/>
      <c r="G824" s="29"/>
      <c r="H824" s="13"/>
      <c r="I824" s="14">
        <f t="shared" si="1"/>
        <v>0</v>
      </c>
      <c r="J824" s="15">
        <f t="shared" si="2"/>
        <v>0</v>
      </c>
      <c r="K824" s="14">
        <f t="shared" si="3"/>
        <v>0</v>
      </c>
      <c r="L824" s="16" t="str">
        <f>IFERROR(__xludf.DUMMYFUNCTION("IFERROR(
  IF(
    VLOOKUP(C824, IMPORTRANGE(""gid=860555792"", ""Maestro!B:C""), 2, FALSE) = D824, 
    ""CONCILIADO"", 
    ""ERROR EN MONTO""
  ), 
  ""NO ENCONTRADO EN MAESTRO""
)"),"NO ENCONTRADO EN MAESTRO")</f>
        <v>NO ENCONTRADO EN MAESTRO</v>
      </c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ht="22.5" customHeight="1">
      <c r="A825" s="25"/>
      <c r="B825" s="15"/>
      <c r="C825" s="21"/>
      <c r="D825" s="22"/>
      <c r="E825" s="22"/>
      <c r="F825" s="22"/>
      <c r="G825" s="29"/>
      <c r="H825" s="13"/>
      <c r="I825" s="14">
        <f t="shared" si="1"/>
        <v>0</v>
      </c>
      <c r="J825" s="15">
        <f t="shared" si="2"/>
        <v>0</v>
      </c>
      <c r="K825" s="14">
        <f t="shared" si="3"/>
        <v>0</v>
      </c>
      <c r="L825" s="16" t="str">
        <f>IFERROR(__xludf.DUMMYFUNCTION("IFERROR(
  IF(
    VLOOKUP(C825, IMPORTRANGE(""gid=860555792"", ""Maestro!B:C""), 2, FALSE) = D825, 
    ""CONCILIADO"", 
    ""ERROR EN MONTO""
  ), 
  ""NO ENCONTRADO EN MAESTRO""
)"),"NO ENCONTRADO EN MAESTRO")</f>
        <v>NO ENCONTRADO EN MAESTRO</v>
      </c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ht="22.5" customHeight="1">
      <c r="A826" s="25"/>
      <c r="B826" s="15"/>
      <c r="C826" s="21"/>
      <c r="D826" s="22"/>
      <c r="E826" s="22"/>
      <c r="F826" s="22"/>
      <c r="G826" s="29"/>
      <c r="H826" s="13"/>
      <c r="I826" s="14">
        <f t="shared" si="1"/>
        <v>0</v>
      </c>
      <c r="J826" s="15">
        <f t="shared" si="2"/>
        <v>0</v>
      </c>
      <c r="K826" s="14">
        <f t="shared" si="3"/>
        <v>0</v>
      </c>
      <c r="L826" s="16" t="str">
        <f>IFERROR(__xludf.DUMMYFUNCTION("IFERROR(
  IF(
    VLOOKUP(C826, IMPORTRANGE(""gid=860555792"", ""Maestro!B:C""), 2, FALSE) = D826, 
    ""CONCILIADO"", 
    ""ERROR EN MONTO""
  ), 
  ""NO ENCONTRADO EN MAESTRO""
)"),"NO ENCONTRADO EN MAESTRO")</f>
        <v>NO ENCONTRADO EN MAESTRO</v>
      </c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ht="22.5" customHeight="1">
      <c r="A827" s="25"/>
      <c r="B827" s="15"/>
      <c r="C827" s="21"/>
      <c r="D827" s="22"/>
      <c r="E827" s="22"/>
      <c r="F827" s="22"/>
      <c r="G827" s="29"/>
      <c r="H827" s="13"/>
      <c r="I827" s="14">
        <f t="shared" si="1"/>
        <v>0</v>
      </c>
      <c r="J827" s="15">
        <f t="shared" si="2"/>
        <v>0</v>
      </c>
      <c r="K827" s="14">
        <f t="shared" si="3"/>
        <v>0</v>
      </c>
      <c r="L827" s="16" t="str">
        <f>IFERROR(__xludf.DUMMYFUNCTION("IFERROR(
  IF(
    VLOOKUP(C827, IMPORTRANGE(""gid=860555792"", ""Maestro!B:C""), 2, FALSE) = D827, 
    ""CONCILIADO"", 
    ""ERROR EN MONTO""
  ), 
  ""NO ENCONTRADO EN MAESTRO""
)"),"NO ENCONTRADO EN MAESTRO")</f>
        <v>NO ENCONTRADO EN MAESTRO</v>
      </c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ht="22.5" customHeight="1">
      <c r="A828" s="25"/>
      <c r="B828" s="15"/>
      <c r="C828" s="21"/>
      <c r="D828" s="22"/>
      <c r="E828" s="22"/>
      <c r="F828" s="22"/>
      <c r="G828" s="29"/>
      <c r="H828" s="13"/>
      <c r="I828" s="14">
        <f t="shared" si="1"/>
        <v>0</v>
      </c>
      <c r="J828" s="15">
        <f t="shared" si="2"/>
        <v>0</v>
      </c>
      <c r="K828" s="14">
        <f t="shared" si="3"/>
        <v>0</v>
      </c>
      <c r="L828" s="16" t="str">
        <f>IFERROR(__xludf.DUMMYFUNCTION("IFERROR(
  IF(
    VLOOKUP(C828, IMPORTRANGE(""gid=860555792"", ""Maestro!B:C""), 2, FALSE) = D828, 
    ""CONCILIADO"", 
    ""ERROR EN MONTO""
  ), 
  ""NO ENCONTRADO EN MAESTRO""
)"),"NO ENCONTRADO EN MAESTRO")</f>
        <v>NO ENCONTRADO EN MAESTRO</v>
      </c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ht="22.5" customHeight="1">
      <c r="A829" s="25"/>
      <c r="B829" s="15"/>
      <c r="C829" s="21"/>
      <c r="D829" s="22"/>
      <c r="E829" s="22"/>
      <c r="F829" s="22"/>
      <c r="G829" s="29"/>
      <c r="H829" s="13"/>
      <c r="I829" s="14">
        <f t="shared" si="1"/>
        <v>0</v>
      </c>
      <c r="J829" s="15">
        <f t="shared" si="2"/>
        <v>0</v>
      </c>
      <c r="K829" s="14">
        <f t="shared" si="3"/>
        <v>0</v>
      </c>
      <c r="L829" s="16" t="str">
        <f>IFERROR(__xludf.DUMMYFUNCTION("IFERROR(
  IF(
    VLOOKUP(C829, IMPORTRANGE(""gid=860555792"", ""Maestro!B:C""), 2, FALSE) = D829, 
    ""CONCILIADO"", 
    ""ERROR EN MONTO""
  ), 
  ""NO ENCONTRADO EN MAESTRO""
)"),"NO ENCONTRADO EN MAESTRO")</f>
        <v>NO ENCONTRADO EN MAESTRO</v>
      </c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ht="22.5" customHeight="1">
      <c r="A830" s="25"/>
      <c r="B830" s="15"/>
      <c r="C830" s="21"/>
      <c r="D830" s="22"/>
      <c r="E830" s="22"/>
      <c r="F830" s="22"/>
      <c r="G830" s="29"/>
      <c r="H830" s="13"/>
      <c r="I830" s="14">
        <f t="shared" si="1"/>
        <v>0</v>
      </c>
      <c r="J830" s="15">
        <f t="shared" si="2"/>
        <v>0</v>
      </c>
      <c r="K830" s="14">
        <f t="shared" si="3"/>
        <v>0</v>
      </c>
      <c r="L830" s="16" t="str">
        <f>IFERROR(__xludf.DUMMYFUNCTION("IFERROR(
  IF(
    VLOOKUP(C830, IMPORTRANGE(""gid=860555792"", ""Maestro!B:C""), 2, FALSE) = D830, 
    ""CONCILIADO"", 
    ""ERROR EN MONTO""
  ), 
  ""NO ENCONTRADO EN MAESTRO""
)"),"NO ENCONTRADO EN MAESTRO")</f>
        <v>NO ENCONTRADO EN MAESTRO</v>
      </c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ht="22.5" customHeight="1">
      <c r="A831" s="25"/>
      <c r="B831" s="15"/>
      <c r="C831" s="21"/>
      <c r="D831" s="22"/>
      <c r="E831" s="22"/>
      <c r="F831" s="22"/>
      <c r="G831" s="29"/>
      <c r="H831" s="13"/>
      <c r="I831" s="14">
        <f t="shared" si="1"/>
        <v>0</v>
      </c>
      <c r="J831" s="15">
        <f t="shared" si="2"/>
        <v>0</v>
      </c>
      <c r="K831" s="14">
        <f t="shared" si="3"/>
        <v>0</v>
      </c>
      <c r="L831" s="16" t="str">
        <f>IFERROR(__xludf.DUMMYFUNCTION("IFERROR(
  IF(
    VLOOKUP(C831, IMPORTRANGE(""gid=860555792"", ""Maestro!B:C""), 2, FALSE) = D831, 
    ""CONCILIADO"", 
    ""ERROR EN MONTO""
  ), 
  ""NO ENCONTRADO EN MAESTRO""
)"),"NO ENCONTRADO EN MAESTRO")</f>
        <v>NO ENCONTRADO EN MAESTRO</v>
      </c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ht="22.5" customHeight="1">
      <c r="A832" s="25"/>
      <c r="B832" s="15"/>
      <c r="C832" s="21"/>
      <c r="D832" s="22"/>
      <c r="E832" s="22"/>
      <c r="F832" s="22"/>
      <c r="G832" s="29"/>
      <c r="H832" s="13"/>
      <c r="I832" s="14">
        <f t="shared" si="1"/>
        <v>0</v>
      </c>
      <c r="J832" s="15">
        <f t="shared" si="2"/>
        <v>0</v>
      </c>
      <c r="K832" s="14">
        <f t="shared" si="3"/>
        <v>0</v>
      </c>
      <c r="L832" s="16" t="str">
        <f>IFERROR(__xludf.DUMMYFUNCTION("IFERROR(
  IF(
    VLOOKUP(C832, IMPORTRANGE(""gid=860555792"", ""Maestro!B:C""), 2, FALSE) = D832, 
    ""CONCILIADO"", 
    ""ERROR EN MONTO""
  ), 
  ""NO ENCONTRADO EN MAESTRO""
)"),"NO ENCONTRADO EN MAESTRO")</f>
        <v>NO ENCONTRADO EN MAESTRO</v>
      </c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ht="22.5" customHeight="1">
      <c r="A833" s="25"/>
      <c r="B833" s="15"/>
      <c r="C833" s="21"/>
      <c r="D833" s="22"/>
      <c r="E833" s="22"/>
      <c r="F833" s="22"/>
      <c r="G833" s="29"/>
      <c r="H833" s="13"/>
      <c r="I833" s="14">
        <f t="shared" si="1"/>
        <v>0</v>
      </c>
      <c r="J833" s="15">
        <f t="shared" si="2"/>
        <v>0</v>
      </c>
      <c r="K833" s="14">
        <f t="shared" si="3"/>
        <v>0</v>
      </c>
      <c r="L833" s="16" t="str">
        <f>IFERROR(__xludf.DUMMYFUNCTION("IFERROR(
  IF(
    VLOOKUP(C833, IMPORTRANGE(""gid=860555792"", ""Maestro!B:C""), 2, FALSE) = D833, 
    ""CONCILIADO"", 
    ""ERROR EN MONTO""
  ), 
  ""NO ENCONTRADO EN MAESTRO""
)"),"NO ENCONTRADO EN MAESTRO")</f>
        <v>NO ENCONTRADO EN MAESTRO</v>
      </c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ht="22.5" customHeight="1">
      <c r="A834" s="25"/>
      <c r="B834" s="15"/>
      <c r="C834" s="21"/>
      <c r="D834" s="22"/>
      <c r="E834" s="22"/>
      <c r="F834" s="22"/>
      <c r="G834" s="29"/>
      <c r="H834" s="13"/>
      <c r="I834" s="14">
        <f t="shared" si="1"/>
        <v>0</v>
      </c>
      <c r="J834" s="15">
        <f t="shared" si="2"/>
        <v>0</v>
      </c>
      <c r="K834" s="14">
        <f t="shared" si="3"/>
        <v>0</v>
      </c>
      <c r="L834" s="16" t="str">
        <f>IFERROR(__xludf.DUMMYFUNCTION("IFERROR(
  IF(
    VLOOKUP(C834, IMPORTRANGE(""gid=860555792"", ""Maestro!B:C""), 2, FALSE) = D834, 
    ""CONCILIADO"", 
    ""ERROR EN MONTO""
  ), 
  ""NO ENCONTRADO EN MAESTRO""
)"),"NO ENCONTRADO EN MAESTRO")</f>
        <v>NO ENCONTRADO EN MAESTRO</v>
      </c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ht="22.5" customHeight="1">
      <c r="A835" s="25"/>
      <c r="B835" s="15"/>
      <c r="C835" s="21"/>
      <c r="D835" s="22"/>
      <c r="E835" s="22"/>
      <c r="F835" s="22"/>
      <c r="G835" s="29"/>
      <c r="H835" s="13"/>
      <c r="I835" s="14">
        <f t="shared" si="1"/>
        <v>0</v>
      </c>
      <c r="J835" s="15">
        <f t="shared" si="2"/>
        <v>0</v>
      </c>
      <c r="K835" s="14">
        <f t="shared" si="3"/>
        <v>0</v>
      </c>
      <c r="L835" s="16" t="str">
        <f>IFERROR(__xludf.DUMMYFUNCTION("IFERROR(
  IF(
    VLOOKUP(C835, IMPORTRANGE(""gid=860555792"", ""Maestro!B:C""), 2, FALSE) = D835, 
    ""CONCILIADO"", 
    ""ERROR EN MONTO""
  ), 
  ""NO ENCONTRADO EN MAESTRO""
)"),"NO ENCONTRADO EN MAESTRO")</f>
        <v>NO ENCONTRADO EN MAESTRO</v>
      </c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ht="22.5" customHeight="1">
      <c r="A836" s="25"/>
      <c r="B836" s="15"/>
      <c r="C836" s="21"/>
      <c r="D836" s="22"/>
      <c r="E836" s="22"/>
      <c r="F836" s="22"/>
      <c r="G836" s="29"/>
      <c r="H836" s="13"/>
      <c r="I836" s="14">
        <f t="shared" si="1"/>
        <v>0</v>
      </c>
      <c r="J836" s="15">
        <f t="shared" si="2"/>
        <v>0</v>
      </c>
      <c r="K836" s="14">
        <f t="shared" si="3"/>
        <v>0</v>
      </c>
      <c r="L836" s="16" t="str">
        <f>IFERROR(__xludf.DUMMYFUNCTION("IFERROR(
  IF(
    VLOOKUP(C836, IMPORTRANGE(""gid=860555792"", ""Maestro!B:C""), 2, FALSE) = D836, 
    ""CONCILIADO"", 
    ""ERROR EN MONTO""
  ), 
  ""NO ENCONTRADO EN MAESTRO""
)"),"NO ENCONTRADO EN MAESTRO")</f>
        <v>NO ENCONTRADO EN MAESTRO</v>
      </c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ht="22.5" customHeight="1">
      <c r="A837" s="25"/>
      <c r="B837" s="15"/>
      <c r="C837" s="21"/>
      <c r="D837" s="22"/>
      <c r="E837" s="22"/>
      <c r="F837" s="22"/>
      <c r="G837" s="29"/>
      <c r="H837" s="13"/>
      <c r="I837" s="14">
        <f t="shared" si="1"/>
        <v>0</v>
      </c>
      <c r="J837" s="15">
        <f t="shared" si="2"/>
        <v>0</v>
      </c>
      <c r="K837" s="14">
        <f t="shared" si="3"/>
        <v>0</v>
      </c>
      <c r="L837" s="16" t="str">
        <f>IFERROR(__xludf.DUMMYFUNCTION("IFERROR(
  IF(
    VLOOKUP(C837, IMPORTRANGE(""gid=860555792"", ""Maestro!B:C""), 2, FALSE) = D837, 
    ""CONCILIADO"", 
    ""ERROR EN MONTO""
  ), 
  ""NO ENCONTRADO EN MAESTRO""
)"),"NO ENCONTRADO EN MAESTRO")</f>
        <v>NO ENCONTRADO EN MAESTRO</v>
      </c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ht="22.5" customHeight="1">
      <c r="A838" s="25"/>
      <c r="B838" s="15"/>
      <c r="C838" s="21"/>
      <c r="D838" s="22"/>
      <c r="E838" s="22"/>
      <c r="F838" s="22"/>
      <c r="G838" s="29"/>
      <c r="H838" s="13"/>
      <c r="I838" s="14">
        <f t="shared" si="1"/>
        <v>0</v>
      </c>
      <c r="J838" s="15">
        <f t="shared" si="2"/>
        <v>0</v>
      </c>
      <c r="K838" s="14">
        <f t="shared" si="3"/>
        <v>0</v>
      </c>
      <c r="L838" s="16" t="str">
        <f>IFERROR(__xludf.DUMMYFUNCTION("IFERROR(
  IF(
    VLOOKUP(C838, IMPORTRANGE(""gid=860555792"", ""Maestro!B:C""), 2, FALSE) = D838, 
    ""CONCILIADO"", 
    ""ERROR EN MONTO""
  ), 
  ""NO ENCONTRADO EN MAESTRO""
)"),"NO ENCONTRADO EN MAESTRO")</f>
        <v>NO ENCONTRADO EN MAESTRO</v>
      </c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ht="22.5" customHeight="1">
      <c r="A839" s="25"/>
      <c r="B839" s="15"/>
      <c r="C839" s="21"/>
      <c r="D839" s="22"/>
      <c r="E839" s="22"/>
      <c r="F839" s="22"/>
      <c r="G839" s="29"/>
      <c r="H839" s="13"/>
      <c r="I839" s="14">
        <f t="shared" si="1"/>
        <v>0</v>
      </c>
      <c r="J839" s="15">
        <f t="shared" si="2"/>
        <v>0</v>
      </c>
      <c r="K839" s="14">
        <f t="shared" si="3"/>
        <v>0</v>
      </c>
      <c r="L839" s="16" t="str">
        <f>IFERROR(__xludf.DUMMYFUNCTION("IFERROR(
  IF(
    VLOOKUP(C839, IMPORTRANGE(""gid=860555792"", ""Maestro!B:C""), 2, FALSE) = D839, 
    ""CONCILIADO"", 
    ""ERROR EN MONTO""
  ), 
  ""NO ENCONTRADO EN MAESTRO""
)"),"NO ENCONTRADO EN MAESTRO")</f>
        <v>NO ENCONTRADO EN MAESTRO</v>
      </c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ht="22.5" customHeight="1">
      <c r="A840" s="25"/>
      <c r="B840" s="15"/>
      <c r="C840" s="21"/>
      <c r="D840" s="22"/>
      <c r="E840" s="22"/>
      <c r="F840" s="22"/>
      <c r="G840" s="29"/>
      <c r="H840" s="13"/>
      <c r="I840" s="14">
        <f t="shared" si="1"/>
        <v>0</v>
      </c>
      <c r="J840" s="15">
        <f t="shared" si="2"/>
        <v>0</v>
      </c>
      <c r="K840" s="14">
        <f t="shared" si="3"/>
        <v>0</v>
      </c>
      <c r="L840" s="16" t="str">
        <f>IFERROR(__xludf.DUMMYFUNCTION("IFERROR(
  IF(
    VLOOKUP(C840, IMPORTRANGE(""gid=860555792"", ""Maestro!B:C""), 2, FALSE) = D840, 
    ""CONCILIADO"", 
    ""ERROR EN MONTO""
  ), 
  ""NO ENCONTRADO EN MAESTRO""
)"),"NO ENCONTRADO EN MAESTRO")</f>
        <v>NO ENCONTRADO EN MAESTRO</v>
      </c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ht="22.5" customHeight="1">
      <c r="A841" s="25"/>
      <c r="B841" s="15"/>
      <c r="C841" s="21"/>
      <c r="D841" s="22"/>
      <c r="E841" s="22"/>
      <c r="F841" s="22"/>
      <c r="G841" s="29"/>
      <c r="H841" s="13"/>
      <c r="I841" s="14">
        <f t="shared" si="1"/>
        <v>0</v>
      </c>
      <c r="J841" s="15">
        <f t="shared" si="2"/>
        <v>0</v>
      </c>
      <c r="K841" s="14">
        <f t="shared" si="3"/>
        <v>0</v>
      </c>
      <c r="L841" s="16" t="str">
        <f>IFERROR(__xludf.DUMMYFUNCTION("IFERROR(
  IF(
    VLOOKUP(C841, IMPORTRANGE(""gid=860555792"", ""Maestro!B:C""), 2, FALSE) = D841, 
    ""CONCILIADO"", 
    ""ERROR EN MONTO""
  ), 
  ""NO ENCONTRADO EN MAESTRO""
)"),"NO ENCONTRADO EN MAESTRO")</f>
        <v>NO ENCONTRADO EN MAESTRO</v>
      </c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ht="22.5" customHeight="1">
      <c r="A842" s="25"/>
      <c r="B842" s="15"/>
      <c r="C842" s="21"/>
      <c r="D842" s="22"/>
      <c r="E842" s="22"/>
      <c r="F842" s="22"/>
      <c r="G842" s="29"/>
      <c r="H842" s="13"/>
      <c r="I842" s="14">
        <f t="shared" si="1"/>
        <v>0</v>
      </c>
      <c r="J842" s="15">
        <f t="shared" si="2"/>
        <v>0</v>
      </c>
      <c r="K842" s="14">
        <f t="shared" si="3"/>
        <v>0</v>
      </c>
      <c r="L842" s="16" t="str">
        <f>IFERROR(__xludf.DUMMYFUNCTION("IFERROR(
  IF(
    VLOOKUP(C842, IMPORTRANGE(""gid=860555792"", ""Maestro!B:C""), 2, FALSE) = D842, 
    ""CONCILIADO"", 
    ""ERROR EN MONTO""
  ), 
  ""NO ENCONTRADO EN MAESTRO""
)"),"NO ENCONTRADO EN MAESTRO")</f>
        <v>NO ENCONTRADO EN MAESTRO</v>
      </c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ht="22.5" customHeight="1">
      <c r="A843" s="25"/>
      <c r="B843" s="15"/>
      <c r="C843" s="21"/>
      <c r="D843" s="22"/>
      <c r="E843" s="22"/>
      <c r="F843" s="22"/>
      <c r="G843" s="29"/>
      <c r="H843" s="13"/>
      <c r="I843" s="14">
        <f t="shared" si="1"/>
        <v>0</v>
      </c>
      <c r="J843" s="15">
        <f t="shared" si="2"/>
        <v>0</v>
      </c>
      <c r="K843" s="14">
        <f t="shared" si="3"/>
        <v>0</v>
      </c>
      <c r="L843" s="16" t="str">
        <f>IFERROR(__xludf.DUMMYFUNCTION("IFERROR(
  IF(
    VLOOKUP(C843, IMPORTRANGE(""gid=860555792"", ""Maestro!B:C""), 2, FALSE) = D843, 
    ""CONCILIADO"", 
    ""ERROR EN MONTO""
  ), 
  ""NO ENCONTRADO EN MAESTRO""
)"),"NO ENCONTRADO EN MAESTRO")</f>
        <v>NO ENCONTRADO EN MAESTRO</v>
      </c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ht="22.5" customHeight="1">
      <c r="A844" s="25"/>
      <c r="B844" s="15"/>
      <c r="C844" s="21"/>
      <c r="D844" s="22"/>
      <c r="E844" s="22"/>
      <c r="F844" s="22"/>
      <c r="G844" s="29"/>
      <c r="H844" s="13"/>
      <c r="I844" s="14">
        <f t="shared" si="1"/>
        <v>0</v>
      </c>
      <c r="J844" s="15">
        <f t="shared" si="2"/>
        <v>0</v>
      </c>
      <c r="K844" s="14">
        <f t="shared" si="3"/>
        <v>0</v>
      </c>
      <c r="L844" s="16" t="str">
        <f>IFERROR(__xludf.DUMMYFUNCTION("IFERROR(
  IF(
    VLOOKUP(C844, IMPORTRANGE(""gid=860555792"", ""Maestro!B:C""), 2, FALSE) = D844, 
    ""CONCILIADO"", 
    ""ERROR EN MONTO""
  ), 
  ""NO ENCONTRADO EN MAESTRO""
)"),"NO ENCONTRADO EN MAESTRO")</f>
        <v>NO ENCONTRADO EN MAESTRO</v>
      </c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ht="22.5" customHeight="1">
      <c r="A845" s="25"/>
      <c r="B845" s="15"/>
      <c r="C845" s="21"/>
      <c r="D845" s="22"/>
      <c r="E845" s="22"/>
      <c r="F845" s="22"/>
      <c r="G845" s="29"/>
      <c r="H845" s="13"/>
      <c r="I845" s="14">
        <f t="shared" si="1"/>
        <v>0</v>
      </c>
      <c r="J845" s="15">
        <f t="shared" si="2"/>
        <v>0</v>
      </c>
      <c r="K845" s="14">
        <f t="shared" si="3"/>
        <v>0</v>
      </c>
      <c r="L845" s="16" t="str">
        <f>IFERROR(__xludf.DUMMYFUNCTION("IFERROR(
  IF(
    VLOOKUP(C845, IMPORTRANGE(""gid=860555792"", ""Maestro!B:C""), 2, FALSE) = D845, 
    ""CONCILIADO"", 
    ""ERROR EN MONTO""
  ), 
  ""NO ENCONTRADO EN MAESTRO""
)"),"NO ENCONTRADO EN MAESTRO")</f>
        <v>NO ENCONTRADO EN MAESTRO</v>
      </c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ht="22.5" customHeight="1">
      <c r="A846" s="25"/>
      <c r="B846" s="15"/>
      <c r="C846" s="21"/>
      <c r="D846" s="22"/>
      <c r="E846" s="22"/>
      <c r="F846" s="22"/>
      <c r="G846" s="29"/>
      <c r="H846" s="13"/>
      <c r="I846" s="14">
        <f t="shared" si="1"/>
        <v>0</v>
      </c>
      <c r="J846" s="15">
        <f t="shared" si="2"/>
        <v>0</v>
      </c>
      <c r="K846" s="14">
        <f t="shared" si="3"/>
        <v>0</v>
      </c>
      <c r="L846" s="16" t="str">
        <f>IFERROR(__xludf.DUMMYFUNCTION("IFERROR(
  IF(
    VLOOKUP(C846, IMPORTRANGE(""gid=860555792"", ""Maestro!B:C""), 2, FALSE) = D846, 
    ""CONCILIADO"", 
    ""ERROR EN MONTO""
  ), 
  ""NO ENCONTRADO EN MAESTRO""
)"),"NO ENCONTRADO EN MAESTRO")</f>
        <v>NO ENCONTRADO EN MAESTRO</v>
      </c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ht="22.5" customHeight="1">
      <c r="A847" s="25"/>
      <c r="B847" s="15"/>
      <c r="C847" s="21"/>
      <c r="D847" s="22"/>
      <c r="E847" s="22"/>
      <c r="F847" s="22"/>
      <c r="G847" s="29"/>
      <c r="H847" s="13"/>
      <c r="I847" s="14">
        <f t="shared" si="1"/>
        <v>0</v>
      </c>
      <c r="J847" s="15">
        <f t="shared" si="2"/>
        <v>0</v>
      </c>
      <c r="K847" s="14">
        <f t="shared" si="3"/>
        <v>0</v>
      </c>
      <c r="L847" s="16" t="str">
        <f>IFERROR(__xludf.DUMMYFUNCTION("IFERROR(
  IF(
    VLOOKUP(C847, IMPORTRANGE(""gid=860555792"", ""Maestro!B:C""), 2, FALSE) = D847, 
    ""CONCILIADO"", 
    ""ERROR EN MONTO""
  ), 
  ""NO ENCONTRADO EN MAESTRO""
)"),"NO ENCONTRADO EN MAESTRO")</f>
        <v>NO ENCONTRADO EN MAESTRO</v>
      </c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ht="22.5" customHeight="1">
      <c r="A848" s="25"/>
      <c r="B848" s="15"/>
      <c r="C848" s="21"/>
      <c r="D848" s="22"/>
      <c r="E848" s="22"/>
      <c r="F848" s="22"/>
      <c r="G848" s="29"/>
      <c r="H848" s="13"/>
      <c r="I848" s="14">
        <f t="shared" si="1"/>
        <v>0</v>
      </c>
      <c r="J848" s="15">
        <f t="shared" si="2"/>
        <v>0</v>
      </c>
      <c r="K848" s="14">
        <f t="shared" si="3"/>
        <v>0</v>
      </c>
      <c r="L848" s="16" t="str">
        <f>IFERROR(__xludf.DUMMYFUNCTION("IFERROR(
  IF(
    VLOOKUP(C848, IMPORTRANGE(""gid=860555792"", ""Maestro!B:C""), 2, FALSE) = D848, 
    ""CONCILIADO"", 
    ""ERROR EN MONTO""
  ), 
  ""NO ENCONTRADO EN MAESTRO""
)"),"NO ENCONTRADO EN MAESTRO")</f>
        <v>NO ENCONTRADO EN MAESTRO</v>
      </c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ht="22.5" customHeight="1">
      <c r="A849" s="25"/>
      <c r="B849" s="15"/>
      <c r="C849" s="21"/>
      <c r="D849" s="22"/>
      <c r="E849" s="22"/>
      <c r="F849" s="22"/>
      <c r="G849" s="29"/>
      <c r="H849" s="13"/>
      <c r="I849" s="14">
        <f t="shared" si="1"/>
        <v>0</v>
      </c>
      <c r="J849" s="15">
        <f t="shared" si="2"/>
        <v>0</v>
      </c>
      <c r="K849" s="14">
        <f t="shared" si="3"/>
        <v>0</v>
      </c>
      <c r="L849" s="16" t="str">
        <f>IFERROR(__xludf.DUMMYFUNCTION("IFERROR(
  IF(
    VLOOKUP(C849, IMPORTRANGE(""gid=860555792"", ""Maestro!B:C""), 2, FALSE) = D849, 
    ""CONCILIADO"", 
    ""ERROR EN MONTO""
  ), 
  ""NO ENCONTRADO EN MAESTRO""
)"),"NO ENCONTRADO EN MAESTRO")</f>
        <v>NO ENCONTRADO EN MAESTRO</v>
      </c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ht="22.5" customHeight="1">
      <c r="A850" s="25"/>
      <c r="B850" s="15"/>
      <c r="C850" s="21"/>
      <c r="D850" s="22"/>
      <c r="E850" s="22"/>
      <c r="F850" s="22"/>
      <c r="G850" s="29"/>
      <c r="H850" s="13"/>
      <c r="I850" s="14">
        <f t="shared" si="1"/>
        <v>0</v>
      </c>
      <c r="J850" s="15">
        <f t="shared" si="2"/>
        <v>0</v>
      </c>
      <c r="K850" s="14">
        <f t="shared" si="3"/>
        <v>0</v>
      </c>
      <c r="L850" s="16" t="str">
        <f>IFERROR(__xludf.DUMMYFUNCTION("IFERROR(
  IF(
    VLOOKUP(C850, IMPORTRANGE(""gid=860555792"", ""Maestro!B:C""), 2, FALSE) = D850, 
    ""CONCILIADO"", 
    ""ERROR EN MONTO""
  ), 
  ""NO ENCONTRADO EN MAESTRO""
)"),"NO ENCONTRADO EN MAESTRO")</f>
        <v>NO ENCONTRADO EN MAESTRO</v>
      </c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ht="22.5" customHeight="1">
      <c r="A851" s="25"/>
      <c r="B851" s="15"/>
      <c r="C851" s="21"/>
      <c r="D851" s="22"/>
      <c r="E851" s="22"/>
      <c r="F851" s="22"/>
      <c r="G851" s="29"/>
      <c r="H851" s="13"/>
      <c r="I851" s="14">
        <f t="shared" si="1"/>
        <v>0</v>
      </c>
      <c r="J851" s="15">
        <f t="shared" si="2"/>
        <v>0</v>
      </c>
      <c r="K851" s="14">
        <f t="shared" si="3"/>
        <v>0</v>
      </c>
      <c r="L851" s="16" t="str">
        <f>IFERROR(__xludf.DUMMYFUNCTION("IFERROR(
  IF(
    VLOOKUP(C851, IMPORTRANGE(""gid=860555792"", ""Maestro!B:C""), 2, FALSE) = D851, 
    ""CONCILIADO"", 
    ""ERROR EN MONTO""
  ), 
  ""NO ENCONTRADO EN MAESTRO""
)"),"NO ENCONTRADO EN MAESTRO")</f>
        <v>NO ENCONTRADO EN MAESTRO</v>
      </c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ht="22.5" customHeight="1">
      <c r="A852" s="25"/>
      <c r="B852" s="15"/>
      <c r="C852" s="21"/>
      <c r="D852" s="22"/>
      <c r="E852" s="22"/>
      <c r="F852" s="22"/>
      <c r="G852" s="29"/>
      <c r="H852" s="13"/>
      <c r="I852" s="14">
        <f t="shared" si="1"/>
        <v>0</v>
      </c>
      <c r="J852" s="15">
        <f t="shared" si="2"/>
        <v>0</v>
      </c>
      <c r="K852" s="14">
        <f t="shared" si="3"/>
        <v>0</v>
      </c>
      <c r="L852" s="16" t="str">
        <f>IFERROR(__xludf.DUMMYFUNCTION("IFERROR(
  IF(
    VLOOKUP(C852, IMPORTRANGE(""gid=860555792"", ""Maestro!B:C""), 2, FALSE) = D852, 
    ""CONCILIADO"", 
    ""ERROR EN MONTO""
  ), 
  ""NO ENCONTRADO EN MAESTRO""
)"),"NO ENCONTRADO EN MAESTRO")</f>
        <v>NO ENCONTRADO EN MAESTRO</v>
      </c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ht="22.5" customHeight="1">
      <c r="A853" s="25"/>
      <c r="B853" s="15"/>
      <c r="C853" s="21"/>
      <c r="D853" s="22"/>
      <c r="E853" s="22"/>
      <c r="F853" s="22"/>
      <c r="G853" s="29"/>
      <c r="H853" s="13"/>
      <c r="I853" s="14">
        <f t="shared" si="1"/>
        <v>0</v>
      </c>
      <c r="J853" s="15">
        <f t="shared" si="2"/>
        <v>0</v>
      </c>
      <c r="K853" s="14">
        <f t="shared" si="3"/>
        <v>0</v>
      </c>
      <c r="L853" s="16" t="str">
        <f>IFERROR(__xludf.DUMMYFUNCTION("IFERROR(
  IF(
    VLOOKUP(C853, IMPORTRANGE(""gid=860555792"", ""Maestro!B:C""), 2, FALSE) = D853, 
    ""CONCILIADO"", 
    ""ERROR EN MONTO""
  ), 
  ""NO ENCONTRADO EN MAESTRO""
)"),"NO ENCONTRADO EN MAESTRO")</f>
        <v>NO ENCONTRADO EN MAESTRO</v>
      </c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ht="22.5" customHeight="1">
      <c r="A854" s="25"/>
      <c r="B854" s="15"/>
      <c r="C854" s="21"/>
      <c r="D854" s="22"/>
      <c r="E854" s="22"/>
      <c r="F854" s="22"/>
      <c r="G854" s="29"/>
      <c r="H854" s="13"/>
      <c r="I854" s="14">
        <f t="shared" si="1"/>
        <v>0</v>
      </c>
      <c r="J854" s="15">
        <f t="shared" si="2"/>
        <v>0</v>
      </c>
      <c r="K854" s="14">
        <f t="shared" si="3"/>
        <v>0</v>
      </c>
      <c r="L854" s="16" t="str">
        <f>IFERROR(__xludf.DUMMYFUNCTION("IFERROR(
  IF(
    VLOOKUP(C854, IMPORTRANGE(""gid=860555792"", ""Maestro!B:C""), 2, FALSE) = D854, 
    ""CONCILIADO"", 
    ""ERROR EN MONTO""
  ), 
  ""NO ENCONTRADO EN MAESTRO""
)"),"NO ENCONTRADO EN MAESTRO")</f>
        <v>NO ENCONTRADO EN MAESTRO</v>
      </c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ht="22.5" customHeight="1">
      <c r="A855" s="25"/>
      <c r="B855" s="15"/>
      <c r="C855" s="21"/>
      <c r="D855" s="22"/>
      <c r="E855" s="22"/>
      <c r="F855" s="22"/>
      <c r="G855" s="29"/>
      <c r="H855" s="13"/>
      <c r="I855" s="14">
        <f t="shared" si="1"/>
        <v>0</v>
      </c>
      <c r="J855" s="15">
        <f t="shared" si="2"/>
        <v>0</v>
      </c>
      <c r="K855" s="14">
        <f t="shared" si="3"/>
        <v>0</v>
      </c>
      <c r="L855" s="16" t="str">
        <f>IFERROR(__xludf.DUMMYFUNCTION("IFERROR(
  IF(
    VLOOKUP(C855, IMPORTRANGE(""gid=860555792"", ""Maestro!B:C""), 2, FALSE) = D855, 
    ""CONCILIADO"", 
    ""ERROR EN MONTO""
  ), 
  ""NO ENCONTRADO EN MAESTRO""
)"),"NO ENCONTRADO EN MAESTRO")</f>
        <v>NO ENCONTRADO EN MAESTRO</v>
      </c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ht="22.5" customHeight="1">
      <c r="A856" s="25"/>
      <c r="B856" s="15"/>
      <c r="C856" s="21"/>
      <c r="D856" s="22"/>
      <c r="E856" s="22"/>
      <c r="F856" s="22"/>
      <c r="G856" s="29"/>
      <c r="H856" s="13"/>
      <c r="I856" s="14">
        <f t="shared" si="1"/>
        <v>0</v>
      </c>
      <c r="J856" s="15">
        <f t="shared" si="2"/>
        <v>0</v>
      </c>
      <c r="K856" s="14">
        <f t="shared" si="3"/>
        <v>0</v>
      </c>
      <c r="L856" s="16" t="str">
        <f>IFERROR(__xludf.DUMMYFUNCTION("IFERROR(
  IF(
    VLOOKUP(C856, IMPORTRANGE(""gid=860555792"", ""Maestro!B:C""), 2, FALSE) = D856, 
    ""CONCILIADO"", 
    ""ERROR EN MONTO""
  ), 
  ""NO ENCONTRADO EN MAESTRO""
)"),"NO ENCONTRADO EN MAESTRO")</f>
        <v>NO ENCONTRADO EN MAESTRO</v>
      </c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ht="22.5" customHeight="1">
      <c r="A857" s="25"/>
      <c r="B857" s="15"/>
      <c r="C857" s="21"/>
      <c r="D857" s="22"/>
      <c r="E857" s="22"/>
      <c r="F857" s="22"/>
      <c r="G857" s="29"/>
      <c r="H857" s="13"/>
      <c r="I857" s="14">
        <f t="shared" si="1"/>
        <v>0</v>
      </c>
      <c r="J857" s="15">
        <f t="shared" si="2"/>
        <v>0</v>
      </c>
      <c r="K857" s="14">
        <f t="shared" si="3"/>
        <v>0</v>
      </c>
      <c r="L857" s="16" t="str">
        <f>IFERROR(__xludf.DUMMYFUNCTION("IFERROR(
  IF(
    VLOOKUP(C857, IMPORTRANGE(""gid=860555792"", ""Maestro!B:C""), 2, FALSE) = D857, 
    ""CONCILIADO"", 
    ""ERROR EN MONTO""
  ), 
  ""NO ENCONTRADO EN MAESTRO""
)"),"NO ENCONTRADO EN MAESTRO")</f>
        <v>NO ENCONTRADO EN MAESTRO</v>
      </c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ht="22.5" customHeight="1">
      <c r="A858" s="25"/>
      <c r="B858" s="15"/>
      <c r="C858" s="21"/>
      <c r="D858" s="22"/>
      <c r="E858" s="22"/>
      <c r="F858" s="22"/>
      <c r="G858" s="29"/>
      <c r="H858" s="13"/>
      <c r="I858" s="14">
        <f t="shared" si="1"/>
        <v>0</v>
      </c>
      <c r="J858" s="15">
        <f t="shared" si="2"/>
        <v>0</v>
      </c>
      <c r="K858" s="14">
        <f t="shared" si="3"/>
        <v>0</v>
      </c>
      <c r="L858" s="16" t="str">
        <f>IFERROR(__xludf.DUMMYFUNCTION("IFERROR(
  IF(
    VLOOKUP(C858, IMPORTRANGE(""gid=860555792"", ""Maestro!B:C""), 2, FALSE) = D858, 
    ""CONCILIADO"", 
    ""ERROR EN MONTO""
  ), 
  ""NO ENCONTRADO EN MAESTRO""
)"),"NO ENCONTRADO EN MAESTRO")</f>
        <v>NO ENCONTRADO EN MAESTRO</v>
      </c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ht="22.5" customHeight="1">
      <c r="A859" s="25"/>
      <c r="B859" s="15"/>
      <c r="C859" s="21"/>
      <c r="D859" s="22"/>
      <c r="E859" s="22"/>
      <c r="F859" s="22"/>
      <c r="G859" s="29"/>
      <c r="H859" s="13"/>
      <c r="I859" s="14">
        <f t="shared" si="1"/>
        <v>0</v>
      </c>
      <c r="J859" s="15">
        <f t="shared" si="2"/>
        <v>0</v>
      </c>
      <c r="K859" s="14">
        <f t="shared" si="3"/>
        <v>0</v>
      </c>
      <c r="L859" s="16" t="str">
        <f>IFERROR(__xludf.DUMMYFUNCTION("IFERROR(
  IF(
    VLOOKUP(C859, IMPORTRANGE(""gid=860555792"", ""Maestro!B:C""), 2, FALSE) = D859, 
    ""CONCILIADO"", 
    ""ERROR EN MONTO""
  ), 
  ""NO ENCONTRADO EN MAESTRO""
)"),"NO ENCONTRADO EN MAESTRO")</f>
        <v>NO ENCONTRADO EN MAESTRO</v>
      </c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ht="22.5" customHeight="1">
      <c r="A860" s="25"/>
      <c r="B860" s="15"/>
      <c r="C860" s="21"/>
      <c r="D860" s="22"/>
      <c r="E860" s="22"/>
      <c r="F860" s="22"/>
      <c r="G860" s="29"/>
      <c r="H860" s="13"/>
      <c r="I860" s="14">
        <f t="shared" si="1"/>
        <v>0</v>
      </c>
      <c r="J860" s="15">
        <f t="shared" si="2"/>
        <v>0</v>
      </c>
      <c r="K860" s="14">
        <f t="shared" si="3"/>
        <v>0</v>
      </c>
      <c r="L860" s="16" t="str">
        <f>IFERROR(__xludf.DUMMYFUNCTION("IFERROR(
  IF(
    VLOOKUP(C860, IMPORTRANGE(""gid=860555792"", ""Maestro!B:C""), 2, FALSE) = D860, 
    ""CONCILIADO"", 
    ""ERROR EN MONTO""
  ), 
  ""NO ENCONTRADO EN MAESTRO""
)"),"NO ENCONTRADO EN MAESTRO")</f>
        <v>NO ENCONTRADO EN MAESTRO</v>
      </c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ht="22.5" customHeight="1">
      <c r="A861" s="25"/>
      <c r="B861" s="15"/>
      <c r="C861" s="21"/>
      <c r="D861" s="22"/>
      <c r="E861" s="22"/>
      <c r="F861" s="22"/>
      <c r="G861" s="29"/>
      <c r="H861" s="13"/>
      <c r="I861" s="14">
        <f t="shared" si="1"/>
        <v>0</v>
      </c>
      <c r="J861" s="15">
        <f t="shared" si="2"/>
        <v>0</v>
      </c>
      <c r="K861" s="14">
        <f t="shared" si="3"/>
        <v>0</v>
      </c>
      <c r="L861" s="16" t="str">
        <f>IFERROR(__xludf.DUMMYFUNCTION("IFERROR(
  IF(
    VLOOKUP(C861, IMPORTRANGE(""gid=860555792"", ""Maestro!B:C""), 2, FALSE) = D861, 
    ""CONCILIADO"", 
    ""ERROR EN MONTO""
  ), 
  ""NO ENCONTRADO EN MAESTRO""
)"),"NO ENCONTRADO EN MAESTRO")</f>
        <v>NO ENCONTRADO EN MAESTRO</v>
      </c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ht="22.5" customHeight="1">
      <c r="A862" s="25"/>
      <c r="B862" s="15"/>
      <c r="C862" s="21"/>
      <c r="D862" s="22"/>
      <c r="E862" s="22"/>
      <c r="F862" s="22"/>
      <c r="G862" s="29"/>
      <c r="H862" s="13"/>
      <c r="I862" s="14">
        <f t="shared" si="1"/>
        <v>0</v>
      </c>
      <c r="J862" s="15">
        <f t="shared" si="2"/>
        <v>0</v>
      </c>
      <c r="K862" s="14">
        <f t="shared" si="3"/>
        <v>0</v>
      </c>
      <c r="L862" s="16" t="str">
        <f>IFERROR(__xludf.DUMMYFUNCTION("IFERROR(
  IF(
    VLOOKUP(C862, IMPORTRANGE(""gid=860555792"", ""Maestro!B:C""), 2, FALSE) = D862, 
    ""CONCILIADO"", 
    ""ERROR EN MONTO""
  ), 
  ""NO ENCONTRADO EN MAESTRO""
)"),"NO ENCONTRADO EN MAESTRO")</f>
        <v>NO ENCONTRADO EN MAESTRO</v>
      </c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ht="22.5" customHeight="1">
      <c r="A863" s="25"/>
      <c r="B863" s="15"/>
      <c r="C863" s="21"/>
      <c r="D863" s="22"/>
      <c r="E863" s="22"/>
      <c r="F863" s="22"/>
      <c r="G863" s="29"/>
      <c r="H863" s="13"/>
      <c r="I863" s="14">
        <f t="shared" si="1"/>
        <v>0</v>
      </c>
      <c r="J863" s="15">
        <f t="shared" si="2"/>
        <v>0</v>
      </c>
      <c r="K863" s="14">
        <f t="shared" si="3"/>
        <v>0</v>
      </c>
      <c r="L863" s="16" t="str">
        <f>IFERROR(__xludf.DUMMYFUNCTION("IFERROR(
  IF(
    VLOOKUP(C863, IMPORTRANGE(""gid=860555792"", ""Maestro!B:C""), 2, FALSE) = D863, 
    ""CONCILIADO"", 
    ""ERROR EN MONTO""
  ), 
  ""NO ENCONTRADO EN MAESTRO""
)"),"NO ENCONTRADO EN MAESTRO")</f>
        <v>NO ENCONTRADO EN MAESTRO</v>
      </c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ht="22.5" customHeight="1">
      <c r="A864" s="25"/>
      <c r="B864" s="15"/>
      <c r="C864" s="21"/>
      <c r="D864" s="22"/>
      <c r="E864" s="22"/>
      <c r="F864" s="22"/>
      <c r="G864" s="29"/>
      <c r="H864" s="13"/>
      <c r="I864" s="14">
        <f t="shared" si="1"/>
        <v>0</v>
      </c>
      <c r="J864" s="15">
        <f t="shared" si="2"/>
        <v>0</v>
      </c>
      <c r="K864" s="14">
        <f t="shared" si="3"/>
        <v>0</v>
      </c>
      <c r="L864" s="16" t="str">
        <f>IFERROR(__xludf.DUMMYFUNCTION("IFERROR(
  IF(
    VLOOKUP(C864, IMPORTRANGE(""gid=860555792"", ""Maestro!B:C""), 2, FALSE) = D864, 
    ""CONCILIADO"", 
    ""ERROR EN MONTO""
  ), 
  ""NO ENCONTRADO EN MAESTRO""
)"),"NO ENCONTRADO EN MAESTRO")</f>
        <v>NO ENCONTRADO EN MAESTRO</v>
      </c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ht="22.5" customHeight="1">
      <c r="A865" s="25"/>
      <c r="B865" s="15"/>
      <c r="C865" s="21"/>
      <c r="D865" s="22"/>
      <c r="E865" s="22"/>
      <c r="F865" s="22"/>
      <c r="G865" s="29"/>
      <c r="H865" s="13"/>
      <c r="I865" s="14">
        <f t="shared" si="1"/>
        <v>0</v>
      </c>
      <c r="J865" s="15">
        <f t="shared" si="2"/>
        <v>0</v>
      </c>
      <c r="K865" s="14">
        <f t="shared" si="3"/>
        <v>0</v>
      </c>
      <c r="L865" s="16" t="str">
        <f>IFERROR(__xludf.DUMMYFUNCTION("IFERROR(
  IF(
    VLOOKUP(C865, IMPORTRANGE(""gid=860555792"", ""Maestro!B:C""), 2, FALSE) = D865, 
    ""CONCILIADO"", 
    ""ERROR EN MONTO""
  ), 
  ""NO ENCONTRADO EN MAESTRO""
)"),"NO ENCONTRADO EN MAESTRO")</f>
        <v>NO ENCONTRADO EN MAESTRO</v>
      </c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ht="22.5" customHeight="1">
      <c r="A866" s="25"/>
      <c r="B866" s="15"/>
      <c r="C866" s="21"/>
      <c r="D866" s="22"/>
      <c r="E866" s="22"/>
      <c r="F866" s="22"/>
      <c r="G866" s="29"/>
      <c r="H866" s="13"/>
      <c r="I866" s="14">
        <f t="shared" si="1"/>
        <v>0</v>
      </c>
      <c r="J866" s="15">
        <f t="shared" si="2"/>
        <v>0</v>
      </c>
      <c r="K866" s="14">
        <f t="shared" si="3"/>
        <v>0</v>
      </c>
      <c r="L866" s="16" t="str">
        <f>IFERROR(__xludf.DUMMYFUNCTION("IFERROR(
  IF(
    VLOOKUP(C866, IMPORTRANGE(""gid=860555792"", ""Maestro!B:C""), 2, FALSE) = D866, 
    ""CONCILIADO"", 
    ""ERROR EN MONTO""
  ), 
  ""NO ENCONTRADO EN MAESTRO""
)"),"NO ENCONTRADO EN MAESTRO")</f>
        <v>NO ENCONTRADO EN MAESTRO</v>
      </c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ht="22.5" customHeight="1">
      <c r="A867" s="25"/>
      <c r="B867" s="15"/>
      <c r="C867" s="21"/>
      <c r="D867" s="22"/>
      <c r="E867" s="22"/>
      <c r="F867" s="22"/>
      <c r="G867" s="29"/>
      <c r="H867" s="13"/>
      <c r="I867" s="14">
        <f t="shared" si="1"/>
        <v>0</v>
      </c>
      <c r="J867" s="15">
        <f t="shared" si="2"/>
        <v>0</v>
      </c>
      <c r="K867" s="14">
        <f t="shared" si="3"/>
        <v>0</v>
      </c>
      <c r="L867" s="16" t="str">
        <f>IFERROR(__xludf.DUMMYFUNCTION("IFERROR(
  IF(
    VLOOKUP(C867, IMPORTRANGE(""gid=860555792"", ""Maestro!B:C""), 2, FALSE) = D867, 
    ""CONCILIADO"", 
    ""ERROR EN MONTO""
  ), 
  ""NO ENCONTRADO EN MAESTRO""
)"),"NO ENCONTRADO EN MAESTRO")</f>
        <v>NO ENCONTRADO EN MAESTRO</v>
      </c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ht="22.5" customHeight="1">
      <c r="A868" s="25"/>
      <c r="B868" s="15"/>
      <c r="C868" s="21"/>
      <c r="D868" s="22"/>
      <c r="E868" s="22"/>
      <c r="F868" s="22"/>
      <c r="G868" s="29"/>
      <c r="H868" s="13"/>
      <c r="I868" s="14">
        <f t="shared" si="1"/>
        <v>0</v>
      </c>
      <c r="J868" s="15">
        <f t="shared" si="2"/>
        <v>0</v>
      </c>
      <c r="K868" s="14">
        <f t="shared" si="3"/>
        <v>0</v>
      </c>
      <c r="L868" s="16" t="str">
        <f>IFERROR(__xludf.DUMMYFUNCTION("IFERROR(
  IF(
    VLOOKUP(C868, IMPORTRANGE(""gid=860555792"", ""Maestro!B:C""), 2, FALSE) = D868, 
    ""CONCILIADO"", 
    ""ERROR EN MONTO""
  ), 
  ""NO ENCONTRADO EN MAESTRO""
)"),"NO ENCONTRADO EN MAESTRO")</f>
        <v>NO ENCONTRADO EN MAESTRO</v>
      </c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ht="22.5" customHeight="1">
      <c r="A869" s="25"/>
      <c r="B869" s="15"/>
      <c r="C869" s="21"/>
      <c r="D869" s="22"/>
      <c r="E869" s="22"/>
      <c r="F869" s="22"/>
      <c r="G869" s="29"/>
      <c r="H869" s="13"/>
      <c r="I869" s="14">
        <f t="shared" si="1"/>
        <v>0</v>
      </c>
      <c r="J869" s="15">
        <f t="shared" si="2"/>
        <v>0</v>
      </c>
      <c r="K869" s="14">
        <f t="shared" si="3"/>
        <v>0</v>
      </c>
      <c r="L869" s="16" t="str">
        <f>IFERROR(__xludf.DUMMYFUNCTION("IFERROR(
  IF(
    VLOOKUP(C869, IMPORTRANGE(""gid=860555792"", ""Maestro!B:C""), 2, FALSE) = D869, 
    ""CONCILIADO"", 
    ""ERROR EN MONTO""
  ), 
  ""NO ENCONTRADO EN MAESTRO""
)"),"NO ENCONTRADO EN MAESTRO")</f>
        <v>NO ENCONTRADO EN MAESTRO</v>
      </c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ht="22.5" customHeight="1">
      <c r="A870" s="25"/>
      <c r="B870" s="15"/>
      <c r="C870" s="21"/>
      <c r="D870" s="22"/>
      <c r="E870" s="22"/>
      <c r="F870" s="22"/>
      <c r="G870" s="29"/>
      <c r="H870" s="13"/>
      <c r="I870" s="14">
        <f t="shared" si="1"/>
        <v>0</v>
      </c>
      <c r="J870" s="15">
        <f t="shared" si="2"/>
        <v>0</v>
      </c>
      <c r="K870" s="14">
        <f t="shared" si="3"/>
        <v>0</v>
      </c>
      <c r="L870" s="16" t="str">
        <f>IFERROR(__xludf.DUMMYFUNCTION("IFERROR(
  IF(
    VLOOKUP(C870, IMPORTRANGE(""gid=860555792"", ""Maestro!B:C""), 2, FALSE) = D870, 
    ""CONCILIADO"", 
    ""ERROR EN MONTO""
  ), 
  ""NO ENCONTRADO EN MAESTRO""
)"),"NO ENCONTRADO EN MAESTRO")</f>
        <v>NO ENCONTRADO EN MAESTRO</v>
      </c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ht="22.5" customHeight="1">
      <c r="A871" s="25"/>
      <c r="B871" s="15"/>
      <c r="C871" s="21"/>
      <c r="D871" s="22"/>
      <c r="E871" s="22"/>
      <c r="F871" s="22"/>
      <c r="G871" s="29"/>
      <c r="H871" s="13"/>
      <c r="I871" s="14">
        <f t="shared" si="1"/>
        <v>0</v>
      </c>
      <c r="J871" s="15">
        <f t="shared" si="2"/>
        <v>0</v>
      </c>
      <c r="K871" s="14">
        <f t="shared" si="3"/>
        <v>0</v>
      </c>
      <c r="L871" s="16" t="str">
        <f>IFERROR(__xludf.DUMMYFUNCTION("IFERROR(
  IF(
    VLOOKUP(C871, IMPORTRANGE(""gid=860555792"", ""Maestro!B:C""), 2, FALSE) = D871, 
    ""CONCILIADO"", 
    ""ERROR EN MONTO""
  ), 
  ""NO ENCONTRADO EN MAESTRO""
)"),"NO ENCONTRADO EN MAESTRO")</f>
        <v>NO ENCONTRADO EN MAESTRO</v>
      </c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ht="22.5" customHeight="1">
      <c r="A872" s="25"/>
      <c r="B872" s="15"/>
      <c r="C872" s="21"/>
      <c r="D872" s="22"/>
      <c r="E872" s="22"/>
      <c r="F872" s="22"/>
      <c r="G872" s="29"/>
      <c r="H872" s="13"/>
      <c r="I872" s="14">
        <f t="shared" si="1"/>
        <v>0</v>
      </c>
      <c r="J872" s="15">
        <f t="shared" si="2"/>
        <v>0</v>
      </c>
      <c r="K872" s="14">
        <f t="shared" si="3"/>
        <v>0</v>
      </c>
      <c r="L872" s="16" t="str">
        <f>IFERROR(__xludf.DUMMYFUNCTION("IFERROR(
  IF(
    VLOOKUP(C872, IMPORTRANGE(""gid=860555792"", ""Maestro!B:C""), 2, FALSE) = D872, 
    ""CONCILIADO"", 
    ""ERROR EN MONTO""
  ), 
  ""NO ENCONTRADO EN MAESTRO""
)"),"NO ENCONTRADO EN MAESTRO")</f>
        <v>NO ENCONTRADO EN MAESTRO</v>
      </c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ht="22.5" customHeight="1">
      <c r="A873" s="25"/>
      <c r="B873" s="15"/>
      <c r="C873" s="21"/>
      <c r="D873" s="22"/>
      <c r="E873" s="22"/>
      <c r="F873" s="22"/>
      <c r="G873" s="29"/>
      <c r="H873" s="13"/>
      <c r="I873" s="14">
        <f t="shared" si="1"/>
        <v>0</v>
      </c>
      <c r="J873" s="15">
        <f t="shared" si="2"/>
        <v>0</v>
      </c>
      <c r="K873" s="14">
        <f t="shared" si="3"/>
        <v>0</v>
      </c>
      <c r="L873" s="16" t="str">
        <f>IFERROR(__xludf.DUMMYFUNCTION("IFERROR(
  IF(
    VLOOKUP(C873, IMPORTRANGE(""gid=860555792"", ""Maestro!B:C""), 2, FALSE) = D873, 
    ""CONCILIADO"", 
    ""ERROR EN MONTO""
  ), 
  ""NO ENCONTRADO EN MAESTRO""
)"),"NO ENCONTRADO EN MAESTRO")</f>
        <v>NO ENCONTRADO EN MAESTRO</v>
      </c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ht="22.5" customHeight="1">
      <c r="A874" s="25"/>
      <c r="B874" s="15"/>
      <c r="C874" s="21"/>
      <c r="D874" s="22"/>
      <c r="E874" s="22"/>
      <c r="F874" s="22"/>
      <c r="G874" s="29"/>
      <c r="H874" s="13"/>
      <c r="I874" s="14">
        <f t="shared" si="1"/>
        <v>0</v>
      </c>
      <c r="J874" s="15">
        <f t="shared" si="2"/>
        <v>0</v>
      </c>
      <c r="K874" s="14">
        <f t="shared" si="3"/>
        <v>0</v>
      </c>
      <c r="L874" s="16" t="str">
        <f>IFERROR(__xludf.DUMMYFUNCTION("IFERROR(
  IF(
    VLOOKUP(C874, IMPORTRANGE(""gid=860555792"", ""Maestro!B:C""), 2, FALSE) = D874, 
    ""CONCILIADO"", 
    ""ERROR EN MONTO""
  ), 
  ""NO ENCONTRADO EN MAESTRO""
)"),"NO ENCONTRADO EN MAESTRO")</f>
        <v>NO ENCONTRADO EN MAESTRO</v>
      </c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ht="22.5" customHeight="1">
      <c r="A875" s="25"/>
      <c r="B875" s="15"/>
      <c r="C875" s="21"/>
      <c r="D875" s="22"/>
      <c r="E875" s="22"/>
      <c r="F875" s="22"/>
      <c r="G875" s="29"/>
      <c r="H875" s="13"/>
      <c r="I875" s="14">
        <f t="shared" si="1"/>
        <v>0</v>
      </c>
      <c r="J875" s="15">
        <f t="shared" si="2"/>
        <v>0</v>
      </c>
      <c r="K875" s="14">
        <f t="shared" si="3"/>
        <v>0</v>
      </c>
      <c r="L875" s="16" t="str">
        <f>IFERROR(__xludf.DUMMYFUNCTION("IFERROR(
  IF(
    VLOOKUP(C875, IMPORTRANGE(""gid=860555792"", ""Maestro!B:C""), 2, FALSE) = D875, 
    ""CONCILIADO"", 
    ""ERROR EN MONTO""
  ), 
  ""NO ENCONTRADO EN MAESTRO""
)"),"NO ENCONTRADO EN MAESTRO")</f>
        <v>NO ENCONTRADO EN MAESTRO</v>
      </c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ht="22.5" customHeight="1">
      <c r="A876" s="25"/>
      <c r="B876" s="15"/>
      <c r="C876" s="21"/>
      <c r="D876" s="22"/>
      <c r="E876" s="22"/>
      <c r="F876" s="22"/>
      <c r="G876" s="29"/>
      <c r="H876" s="13"/>
      <c r="I876" s="14">
        <f t="shared" si="1"/>
        <v>0</v>
      </c>
      <c r="J876" s="15">
        <f t="shared" si="2"/>
        <v>0</v>
      </c>
      <c r="K876" s="14">
        <f t="shared" si="3"/>
        <v>0</v>
      </c>
      <c r="L876" s="16" t="str">
        <f>IFERROR(__xludf.DUMMYFUNCTION("IFERROR(
  IF(
    VLOOKUP(C876, IMPORTRANGE(""gid=860555792"", ""Maestro!B:C""), 2, FALSE) = D876, 
    ""CONCILIADO"", 
    ""ERROR EN MONTO""
  ), 
  ""NO ENCONTRADO EN MAESTRO""
)"),"NO ENCONTRADO EN MAESTRO")</f>
        <v>NO ENCONTRADO EN MAESTRO</v>
      </c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ht="22.5" customHeight="1">
      <c r="A877" s="25"/>
      <c r="B877" s="15"/>
      <c r="C877" s="21"/>
      <c r="D877" s="22"/>
      <c r="E877" s="22"/>
      <c r="F877" s="22"/>
      <c r="G877" s="29"/>
      <c r="H877" s="13"/>
      <c r="I877" s="14">
        <f t="shared" si="1"/>
        <v>0</v>
      </c>
      <c r="J877" s="15">
        <f t="shared" si="2"/>
        <v>0</v>
      </c>
      <c r="K877" s="14">
        <f t="shared" si="3"/>
        <v>0</v>
      </c>
      <c r="L877" s="16" t="str">
        <f>IFERROR(__xludf.DUMMYFUNCTION("IFERROR(
  IF(
    VLOOKUP(C877, IMPORTRANGE(""gid=860555792"", ""Maestro!B:C""), 2, FALSE) = D877, 
    ""CONCILIADO"", 
    ""ERROR EN MONTO""
  ), 
  ""NO ENCONTRADO EN MAESTRO""
)"),"NO ENCONTRADO EN MAESTRO")</f>
        <v>NO ENCONTRADO EN MAESTRO</v>
      </c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ht="22.5" customHeight="1">
      <c r="A878" s="25"/>
      <c r="B878" s="15"/>
      <c r="C878" s="21"/>
      <c r="D878" s="22"/>
      <c r="E878" s="22"/>
      <c r="F878" s="22"/>
      <c r="G878" s="29"/>
      <c r="H878" s="13"/>
      <c r="I878" s="14">
        <f t="shared" si="1"/>
        <v>0</v>
      </c>
      <c r="J878" s="15">
        <f t="shared" si="2"/>
        <v>0</v>
      </c>
      <c r="K878" s="14">
        <f t="shared" si="3"/>
        <v>0</v>
      </c>
      <c r="L878" s="16" t="str">
        <f>IFERROR(__xludf.DUMMYFUNCTION("IFERROR(
  IF(
    VLOOKUP(C878, IMPORTRANGE(""gid=860555792"", ""Maestro!B:C""), 2, FALSE) = D878, 
    ""CONCILIADO"", 
    ""ERROR EN MONTO""
  ), 
  ""NO ENCONTRADO EN MAESTRO""
)"),"NO ENCONTRADO EN MAESTRO")</f>
        <v>NO ENCONTRADO EN MAESTRO</v>
      </c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ht="22.5" customHeight="1">
      <c r="A879" s="25"/>
      <c r="B879" s="15"/>
      <c r="C879" s="21"/>
      <c r="D879" s="22"/>
      <c r="E879" s="22"/>
      <c r="F879" s="22"/>
      <c r="G879" s="29"/>
      <c r="H879" s="13"/>
      <c r="I879" s="14">
        <f t="shared" si="1"/>
        <v>0</v>
      </c>
      <c r="J879" s="15">
        <f t="shared" si="2"/>
        <v>0</v>
      </c>
      <c r="K879" s="14">
        <f t="shared" si="3"/>
        <v>0</v>
      </c>
      <c r="L879" s="16" t="str">
        <f>IFERROR(__xludf.DUMMYFUNCTION("IFERROR(
  IF(
    VLOOKUP(C879, IMPORTRANGE(""gid=860555792"", ""Maestro!B:C""), 2, FALSE) = D879, 
    ""CONCILIADO"", 
    ""ERROR EN MONTO""
  ), 
  ""NO ENCONTRADO EN MAESTRO""
)"),"NO ENCONTRADO EN MAESTRO")</f>
        <v>NO ENCONTRADO EN MAESTRO</v>
      </c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ht="22.5" customHeight="1">
      <c r="A880" s="25"/>
      <c r="B880" s="15"/>
      <c r="C880" s="21"/>
      <c r="D880" s="22"/>
      <c r="E880" s="22"/>
      <c r="F880" s="22"/>
      <c r="G880" s="29"/>
      <c r="H880" s="13"/>
      <c r="I880" s="14">
        <f t="shared" si="1"/>
        <v>0</v>
      </c>
      <c r="J880" s="15">
        <f t="shared" si="2"/>
        <v>0</v>
      </c>
      <c r="K880" s="14">
        <f t="shared" si="3"/>
        <v>0</v>
      </c>
      <c r="L880" s="16" t="str">
        <f>IFERROR(__xludf.DUMMYFUNCTION("IFERROR(
  IF(
    VLOOKUP(C880, IMPORTRANGE(""gid=860555792"", ""Maestro!B:C""), 2, FALSE) = D880, 
    ""CONCILIADO"", 
    ""ERROR EN MONTO""
  ), 
  ""NO ENCONTRADO EN MAESTRO""
)"),"NO ENCONTRADO EN MAESTRO")</f>
        <v>NO ENCONTRADO EN MAESTRO</v>
      </c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ht="22.5" customHeight="1">
      <c r="A881" s="25"/>
      <c r="B881" s="15"/>
      <c r="C881" s="21"/>
      <c r="D881" s="22"/>
      <c r="E881" s="22"/>
      <c r="F881" s="22"/>
      <c r="G881" s="29"/>
      <c r="H881" s="13"/>
      <c r="I881" s="14">
        <f t="shared" si="1"/>
        <v>0</v>
      </c>
      <c r="J881" s="15">
        <f t="shared" si="2"/>
        <v>0</v>
      </c>
      <c r="K881" s="14">
        <f t="shared" si="3"/>
        <v>0</v>
      </c>
      <c r="L881" s="16" t="str">
        <f>IFERROR(__xludf.DUMMYFUNCTION("IFERROR(
  IF(
    VLOOKUP(C881, IMPORTRANGE(""gid=860555792"", ""Maestro!B:C""), 2, FALSE) = D881, 
    ""CONCILIADO"", 
    ""ERROR EN MONTO""
  ), 
  ""NO ENCONTRADO EN MAESTRO""
)"),"NO ENCONTRADO EN MAESTRO")</f>
        <v>NO ENCONTRADO EN MAESTRO</v>
      </c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ht="22.5" customHeight="1">
      <c r="A882" s="25"/>
      <c r="B882" s="15"/>
      <c r="C882" s="21"/>
      <c r="D882" s="22"/>
      <c r="E882" s="22"/>
      <c r="F882" s="22"/>
      <c r="G882" s="29"/>
      <c r="H882" s="13"/>
      <c r="I882" s="14">
        <f t="shared" si="1"/>
        <v>0</v>
      </c>
      <c r="J882" s="15">
        <f t="shared" si="2"/>
        <v>0</v>
      </c>
      <c r="K882" s="14">
        <f t="shared" si="3"/>
        <v>0</v>
      </c>
      <c r="L882" s="16" t="str">
        <f>IFERROR(__xludf.DUMMYFUNCTION("IFERROR(
  IF(
    VLOOKUP(C882, IMPORTRANGE(""gid=860555792"", ""Maestro!B:C""), 2, FALSE) = D882, 
    ""CONCILIADO"", 
    ""ERROR EN MONTO""
  ), 
  ""NO ENCONTRADO EN MAESTRO""
)"),"NO ENCONTRADO EN MAESTRO")</f>
        <v>NO ENCONTRADO EN MAESTRO</v>
      </c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ht="22.5" customHeight="1">
      <c r="A883" s="25"/>
      <c r="B883" s="15"/>
      <c r="C883" s="21"/>
      <c r="D883" s="22"/>
      <c r="E883" s="22"/>
      <c r="F883" s="22"/>
      <c r="G883" s="29"/>
      <c r="H883" s="13"/>
      <c r="I883" s="14">
        <f t="shared" si="1"/>
        <v>0</v>
      </c>
      <c r="J883" s="15">
        <f t="shared" si="2"/>
        <v>0</v>
      </c>
      <c r="K883" s="14">
        <f t="shared" si="3"/>
        <v>0</v>
      </c>
      <c r="L883" s="16" t="str">
        <f>IFERROR(__xludf.DUMMYFUNCTION("IFERROR(
  IF(
    VLOOKUP(C883, IMPORTRANGE(""gid=860555792"", ""Maestro!B:C""), 2, FALSE) = D883, 
    ""CONCILIADO"", 
    ""ERROR EN MONTO""
  ), 
  ""NO ENCONTRADO EN MAESTRO""
)"),"NO ENCONTRADO EN MAESTRO")</f>
        <v>NO ENCONTRADO EN MAESTRO</v>
      </c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ht="22.5" customHeight="1">
      <c r="A884" s="25"/>
      <c r="B884" s="15"/>
      <c r="C884" s="21"/>
      <c r="D884" s="22"/>
      <c r="E884" s="22"/>
      <c r="F884" s="22"/>
      <c r="G884" s="29"/>
      <c r="H884" s="13"/>
      <c r="I884" s="14">
        <f t="shared" si="1"/>
        <v>0</v>
      </c>
      <c r="J884" s="15">
        <f t="shared" si="2"/>
        <v>0</v>
      </c>
      <c r="K884" s="14">
        <f t="shared" si="3"/>
        <v>0</v>
      </c>
      <c r="L884" s="16" t="str">
        <f>IFERROR(__xludf.DUMMYFUNCTION("IFERROR(
  IF(
    VLOOKUP(C884, IMPORTRANGE(""gid=860555792"", ""Maestro!B:C""), 2, FALSE) = D884, 
    ""CONCILIADO"", 
    ""ERROR EN MONTO""
  ), 
  ""NO ENCONTRADO EN MAESTRO""
)"),"NO ENCONTRADO EN MAESTRO")</f>
        <v>NO ENCONTRADO EN MAESTRO</v>
      </c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ht="22.5" customHeight="1">
      <c r="A885" s="25"/>
      <c r="B885" s="15"/>
      <c r="C885" s="21"/>
      <c r="D885" s="22"/>
      <c r="E885" s="22"/>
      <c r="F885" s="22"/>
      <c r="G885" s="29"/>
      <c r="H885" s="13"/>
      <c r="I885" s="14">
        <f t="shared" si="1"/>
        <v>0</v>
      </c>
      <c r="J885" s="15">
        <f t="shared" si="2"/>
        <v>0</v>
      </c>
      <c r="K885" s="14">
        <f t="shared" si="3"/>
        <v>0</v>
      </c>
      <c r="L885" s="16" t="str">
        <f>IFERROR(__xludf.DUMMYFUNCTION("IFERROR(
  IF(
    VLOOKUP(C885, IMPORTRANGE(""gid=860555792"", ""Maestro!B:C""), 2, FALSE) = D885, 
    ""CONCILIADO"", 
    ""ERROR EN MONTO""
  ), 
  ""NO ENCONTRADO EN MAESTRO""
)"),"NO ENCONTRADO EN MAESTRO")</f>
        <v>NO ENCONTRADO EN MAESTRO</v>
      </c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ht="22.5" customHeight="1">
      <c r="A886" s="25"/>
      <c r="B886" s="15"/>
      <c r="C886" s="21"/>
      <c r="D886" s="22"/>
      <c r="E886" s="22"/>
      <c r="F886" s="22"/>
      <c r="G886" s="29"/>
      <c r="H886" s="13"/>
      <c r="I886" s="14">
        <f t="shared" si="1"/>
        <v>0</v>
      </c>
      <c r="J886" s="15">
        <f t="shared" si="2"/>
        <v>0</v>
      </c>
      <c r="K886" s="14">
        <f t="shared" si="3"/>
        <v>0</v>
      </c>
      <c r="L886" s="16" t="str">
        <f>IFERROR(__xludf.DUMMYFUNCTION("IFERROR(
  IF(
    VLOOKUP(C886, IMPORTRANGE(""gid=860555792"", ""Maestro!B:C""), 2, FALSE) = D886, 
    ""CONCILIADO"", 
    ""ERROR EN MONTO""
  ), 
  ""NO ENCONTRADO EN MAESTRO""
)"),"NO ENCONTRADO EN MAESTRO")</f>
        <v>NO ENCONTRADO EN MAESTRO</v>
      </c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ht="22.5" customHeight="1">
      <c r="A887" s="25"/>
      <c r="B887" s="15"/>
      <c r="C887" s="21"/>
      <c r="D887" s="22"/>
      <c r="E887" s="22"/>
      <c r="F887" s="22"/>
      <c r="G887" s="29"/>
      <c r="H887" s="13"/>
      <c r="I887" s="14">
        <f t="shared" si="1"/>
        <v>0</v>
      </c>
      <c r="J887" s="15">
        <f t="shared" si="2"/>
        <v>0</v>
      </c>
      <c r="K887" s="14">
        <f t="shared" si="3"/>
        <v>0</v>
      </c>
      <c r="L887" s="16" t="str">
        <f>IFERROR(__xludf.DUMMYFUNCTION("IFERROR(
  IF(
    VLOOKUP(C887, IMPORTRANGE(""gid=860555792"", ""Maestro!B:C""), 2, FALSE) = D887, 
    ""CONCILIADO"", 
    ""ERROR EN MONTO""
  ), 
  ""NO ENCONTRADO EN MAESTRO""
)"),"NO ENCONTRADO EN MAESTRO")</f>
        <v>NO ENCONTRADO EN MAESTRO</v>
      </c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ht="22.5" customHeight="1">
      <c r="A888" s="25"/>
      <c r="B888" s="15"/>
      <c r="C888" s="21"/>
      <c r="D888" s="22"/>
      <c r="E888" s="22"/>
      <c r="F888" s="22"/>
      <c r="G888" s="29"/>
      <c r="H888" s="13"/>
      <c r="I888" s="14">
        <f t="shared" si="1"/>
        <v>0</v>
      </c>
      <c r="J888" s="15">
        <f t="shared" si="2"/>
        <v>0</v>
      </c>
      <c r="K888" s="14">
        <f t="shared" si="3"/>
        <v>0</v>
      </c>
      <c r="L888" s="16" t="str">
        <f>IFERROR(__xludf.DUMMYFUNCTION("IFERROR(
  IF(
    VLOOKUP(C888, IMPORTRANGE(""gid=860555792"", ""Maestro!B:C""), 2, FALSE) = D888, 
    ""CONCILIADO"", 
    ""ERROR EN MONTO""
  ), 
  ""NO ENCONTRADO EN MAESTRO""
)"),"NO ENCONTRADO EN MAESTRO")</f>
        <v>NO ENCONTRADO EN MAESTRO</v>
      </c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ht="22.5" customHeight="1">
      <c r="A889" s="25"/>
      <c r="B889" s="15"/>
      <c r="C889" s="21"/>
      <c r="D889" s="22"/>
      <c r="E889" s="22"/>
      <c r="F889" s="22"/>
      <c r="G889" s="29"/>
      <c r="H889" s="13"/>
      <c r="I889" s="14">
        <f t="shared" si="1"/>
        <v>0</v>
      </c>
      <c r="J889" s="15">
        <f t="shared" si="2"/>
        <v>0</v>
      </c>
      <c r="K889" s="14">
        <f t="shared" si="3"/>
        <v>0</v>
      </c>
      <c r="L889" s="16" t="str">
        <f>IFERROR(__xludf.DUMMYFUNCTION("IFERROR(
  IF(
    VLOOKUP(C889, IMPORTRANGE(""gid=860555792"", ""Maestro!B:C""), 2, FALSE) = D889, 
    ""CONCILIADO"", 
    ""ERROR EN MONTO""
  ), 
  ""NO ENCONTRADO EN MAESTRO""
)"),"NO ENCONTRADO EN MAESTRO")</f>
        <v>NO ENCONTRADO EN MAESTRO</v>
      </c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ht="22.5" customHeight="1">
      <c r="A890" s="25"/>
      <c r="B890" s="15"/>
      <c r="C890" s="21"/>
      <c r="D890" s="22"/>
      <c r="E890" s="22"/>
      <c r="F890" s="22"/>
      <c r="G890" s="29"/>
      <c r="H890" s="13"/>
      <c r="I890" s="14">
        <f t="shared" si="1"/>
        <v>0</v>
      </c>
      <c r="J890" s="15">
        <f t="shared" si="2"/>
        <v>0</v>
      </c>
      <c r="K890" s="14">
        <f t="shared" si="3"/>
        <v>0</v>
      </c>
      <c r="L890" s="16" t="str">
        <f>IFERROR(__xludf.DUMMYFUNCTION("IFERROR(
  IF(
    VLOOKUP(C890, IMPORTRANGE(""gid=860555792"", ""Maestro!B:C""), 2, FALSE) = D890, 
    ""CONCILIADO"", 
    ""ERROR EN MONTO""
  ), 
  ""NO ENCONTRADO EN MAESTRO""
)"),"NO ENCONTRADO EN MAESTRO")</f>
        <v>NO ENCONTRADO EN MAESTRO</v>
      </c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ht="22.5" customHeight="1">
      <c r="A891" s="25"/>
      <c r="B891" s="15"/>
      <c r="C891" s="21"/>
      <c r="D891" s="22"/>
      <c r="E891" s="22"/>
      <c r="F891" s="22"/>
      <c r="G891" s="29"/>
      <c r="H891" s="13"/>
      <c r="I891" s="14">
        <f t="shared" si="1"/>
        <v>0</v>
      </c>
      <c r="J891" s="15">
        <f t="shared" si="2"/>
        <v>0</v>
      </c>
      <c r="K891" s="14">
        <f t="shared" si="3"/>
        <v>0</v>
      </c>
      <c r="L891" s="16" t="str">
        <f>IFERROR(__xludf.DUMMYFUNCTION("IFERROR(
  IF(
    VLOOKUP(C891, IMPORTRANGE(""gid=860555792"", ""Maestro!B:C""), 2, FALSE) = D891, 
    ""CONCILIADO"", 
    ""ERROR EN MONTO""
  ), 
  ""NO ENCONTRADO EN MAESTRO""
)"),"NO ENCONTRADO EN MAESTRO")</f>
        <v>NO ENCONTRADO EN MAESTRO</v>
      </c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ht="22.5" customHeight="1">
      <c r="A892" s="25"/>
      <c r="B892" s="15"/>
      <c r="C892" s="21"/>
      <c r="D892" s="22"/>
      <c r="E892" s="22"/>
      <c r="F892" s="22"/>
      <c r="G892" s="29"/>
      <c r="H892" s="13"/>
      <c r="I892" s="14">
        <f t="shared" si="1"/>
        <v>0</v>
      </c>
      <c r="J892" s="15">
        <f t="shared" si="2"/>
        <v>0</v>
      </c>
      <c r="K892" s="14">
        <f t="shared" si="3"/>
        <v>0</v>
      </c>
      <c r="L892" s="16" t="str">
        <f>IFERROR(__xludf.DUMMYFUNCTION("IFERROR(
  IF(
    VLOOKUP(C892, IMPORTRANGE(""gid=860555792"", ""Maestro!B:C""), 2, FALSE) = D892, 
    ""CONCILIADO"", 
    ""ERROR EN MONTO""
  ), 
  ""NO ENCONTRADO EN MAESTRO""
)"),"NO ENCONTRADO EN MAESTRO")</f>
        <v>NO ENCONTRADO EN MAESTRO</v>
      </c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ht="22.5" customHeight="1">
      <c r="A893" s="25"/>
      <c r="B893" s="15"/>
      <c r="C893" s="21"/>
      <c r="D893" s="22"/>
      <c r="E893" s="22"/>
      <c r="F893" s="22"/>
      <c r="G893" s="29"/>
      <c r="H893" s="13"/>
      <c r="I893" s="14">
        <f t="shared" si="1"/>
        <v>0</v>
      </c>
      <c r="J893" s="15">
        <f t="shared" si="2"/>
        <v>0</v>
      </c>
      <c r="K893" s="14">
        <f t="shared" si="3"/>
        <v>0</v>
      </c>
      <c r="L893" s="16" t="str">
        <f>IFERROR(__xludf.DUMMYFUNCTION("IFERROR(
  IF(
    VLOOKUP(C893, IMPORTRANGE(""gid=860555792"", ""Maestro!B:C""), 2, FALSE) = D893, 
    ""CONCILIADO"", 
    ""ERROR EN MONTO""
  ), 
  ""NO ENCONTRADO EN MAESTRO""
)"),"NO ENCONTRADO EN MAESTRO")</f>
        <v>NO ENCONTRADO EN MAESTRO</v>
      </c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ht="22.5" customHeight="1">
      <c r="A894" s="25"/>
      <c r="B894" s="15"/>
      <c r="C894" s="21"/>
      <c r="D894" s="22"/>
      <c r="E894" s="22"/>
      <c r="F894" s="22"/>
      <c r="G894" s="29"/>
      <c r="H894" s="13"/>
      <c r="I894" s="14">
        <f t="shared" si="1"/>
        <v>0</v>
      </c>
      <c r="J894" s="15">
        <f t="shared" si="2"/>
        <v>0</v>
      </c>
      <c r="K894" s="14">
        <f t="shared" si="3"/>
        <v>0</v>
      </c>
      <c r="L894" s="16" t="str">
        <f>IFERROR(__xludf.DUMMYFUNCTION("IFERROR(
  IF(
    VLOOKUP(C894, IMPORTRANGE(""gid=860555792"", ""Maestro!B:C""), 2, FALSE) = D894, 
    ""CONCILIADO"", 
    ""ERROR EN MONTO""
  ), 
  ""NO ENCONTRADO EN MAESTRO""
)"),"NO ENCONTRADO EN MAESTRO")</f>
        <v>NO ENCONTRADO EN MAESTRO</v>
      </c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ht="22.5" customHeight="1">
      <c r="A895" s="25"/>
      <c r="B895" s="15"/>
      <c r="C895" s="21"/>
      <c r="D895" s="22"/>
      <c r="E895" s="22"/>
      <c r="F895" s="22"/>
      <c r="G895" s="29"/>
      <c r="H895" s="13"/>
      <c r="I895" s="14">
        <f t="shared" si="1"/>
        <v>0</v>
      </c>
      <c r="J895" s="15">
        <f t="shared" si="2"/>
        <v>0</v>
      </c>
      <c r="K895" s="14">
        <f t="shared" si="3"/>
        <v>0</v>
      </c>
      <c r="L895" s="16" t="str">
        <f>IFERROR(__xludf.DUMMYFUNCTION("IFERROR(
  IF(
    VLOOKUP(C895, IMPORTRANGE(""gid=860555792"", ""Maestro!B:C""), 2, FALSE) = D895, 
    ""CONCILIADO"", 
    ""ERROR EN MONTO""
  ), 
  ""NO ENCONTRADO EN MAESTRO""
)"),"NO ENCONTRADO EN MAESTRO")</f>
        <v>NO ENCONTRADO EN MAESTRO</v>
      </c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ht="22.5" customHeight="1">
      <c r="A896" s="25"/>
      <c r="B896" s="15"/>
      <c r="C896" s="21"/>
      <c r="D896" s="22"/>
      <c r="E896" s="22"/>
      <c r="F896" s="22"/>
      <c r="G896" s="29"/>
      <c r="H896" s="13"/>
      <c r="I896" s="14">
        <f t="shared" si="1"/>
        <v>0</v>
      </c>
      <c r="J896" s="15">
        <f t="shared" si="2"/>
        <v>0</v>
      </c>
      <c r="K896" s="14">
        <f t="shared" si="3"/>
        <v>0</v>
      </c>
      <c r="L896" s="16" t="str">
        <f>IFERROR(__xludf.DUMMYFUNCTION("IFERROR(
  IF(
    VLOOKUP(C896, IMPORTRANGE(""gid=860555792"", ""Maestro!B:C""), 2, FALSE) = D896, 
    ""CONCILIADO"", 
    ""ERROR EN MONTO""
  ), 
  ""NO ENCONTRADO EN MAESTRO""
)"),"NO ENCONTRADO EN MAESTRO")</f>
        <v>NO ENCONTRADO EN MAESTRO</v>
      </c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ht="22.5" customHeight="1">
      <c r="A897" s="25"/>
      <c r="B897" s="15"/>
      <c r="C897" s="21"/>
      <c r="D897" s="22"/>
      <c r="E897" s="22"/>
      <c r="F897" s="22"/>
      <c r="G897" s="29"/>
      <c r="H897" s="13"/>
      <c r="I897" s="14">
        <f t="shared" si="1"/>
        <v>0</v>
      </c>
      <c r="J897" s="15">
        <f t="shared" si="2"/>
        <v>0</v>
      </c>
      <c r="K897" s="14">
        <f t="shared" si="3"/>
        <v>0</v>
      </c>
      <c r="L897" s="16" t="str">
        <f>IFERROR(__xludf.DUMMYFUNCTION("IFERROR(
  IF(
    VLOOKUP(C897, IMPORTRANGE(""gid=860555792"", ""Maestro!B:C""), 2, FALSE) = D897, 
    ""CONCILIADO"", 
    ""ERROR EN MONTO""
  ), 
  ""NO ENCONTRADO EN MAESTRO""
)"),"NO ENCONTRADO EN MAESTRO")</f>
        <v>NO ENCONTRADO EN MAESTRO</v>
      </c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ht="22.5" customHeight="1">
      <c r="A898" s="25"/>
      <c r="B898" s="15"/>
      <c r="C898" s="21"/>
      <c r="D898" s="22"/>
      <c r="E898" s="22"/>
      <c r="F898" s="22"/>
      <c r="G898" s="29"/>
      <c r="H898" s="13"/>
      <c r="I898" s="14">
        <f t="shared" si="1"/>
        <v>0</v>
      </c>
      <c r="J898" s="15">
        <f t="shared" si="2"/>
        <v>0</v>
      </c>
      <c r="K898" s="14">
        <f t="shared" si="3"/>
        <v>0</v>
      </c>
      <c r="L898" s="16" t="str">
        <f>IFERROR(__xludf.DUMMYFUNCTION("IFERROR(
  IF(
    VLOOKUP(C898, IMPORTRANGE(""gid=860555792"", ""Maestro!B:C""), 2, FALSE) = D898, 
    ""CONCILIADO"", 
    ""ERROR EN MONTO""
  ), 
  ""NO ENCONTRADO EN MAESTRO""
)"),"NO ENCONTRADO EN MAESTRO")</f>
        <v>NO ENCONTRADO EN MAESTRO</v>
      </c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ht="22.5" customHeight="1">
      <c r="A899" s="25"/>
      <c r="B899" s="15"/>
      <c r="C899" s="21"/>
      <c r="D899" s="22"/>
      <c r="E899" s="22"/>
      <c r="F899" s="22"/>
      <c r="G899" s="29"/>
      <c r="H899" s="13"/>
      <c r="I899" s="14">
        <f t="shared" si="1"/>
        <v>0</v>
      </c>
      <c r="J899" s="15">
        <f t="shared" si="2"/>
        <v>0</v>
      </c>
      <c r="K899" s="14">
        <f t="shared" si="3"/>
        <v>0</v>
      </c>
      <c r="L899" s="16" t="str">
        <f>IFERROR(__xludf.DUMMYFUNCTION("IFERROR(
  IF(
    VLOOKUP(C899, IMPORTRANGE(""gid=860555792"", ""Maestro!B:C""), 2, FALSE) = D899, 
    ""CONCILIADO"", 
    ""ERROR EN MONTO""
  ), 
  ""NO ENCONTRADO EN MAESTRO""
)"),"NO ENCONTRADO EN MAESTRO")</f>
        <v>NO ENCONTRADO EN MAESTRO</v>
      </c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ht="22.5" customHeight="1">
      <c r="A900" s="25"/>
      <c r="B900" s="15"/>
      <c r="C900" s="21"/>
      <c r="D900" s="22"/>
      <c r="E900" s="22"/>
      <c r="F900" s="22"/>
      <c r="G900" s="29"/>
      <c r="H900" s="13"/>
      <c r="I900" s="14">
        <f t="shared" si="1"/>
        <v>0</v>
      </c>
      <c r="J900" s="15">
        <f t="shared" si="2"/>
        <v>0</v>
      </c>
      <c r="K900" s="14">
        <f t="shared" si="3"/>
        <v>0</v>
      </c>
      <c r="L900" s="16" t="str">
        <f>IFERROR(__xludf.DUMMYFUNCTION("IFERROR(
  IF(
    VLOOKUP(C900, IMPORTRANGE(""gid=860555792"", ""Maestro!B:C""), 2, FALSE) = D900, 
    ""CONCILIADO"", 
    ""ERROR EN MONTO""
  ), 
  ""NO ENCONTRADO EN MAESTRO""
)"),"NO ENCONTRADO EN MAESTRO")</f>
        <v>NO ENCONTRADO EN MAESTRO</v>
      </c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ht="22.5" customHeight="1">
      <c r="A901" s="25"/>
      <c r="B901" s="15"/>
      <c r="C901" s="21"/>
      <c r="D901" s="22"/>
      <c r="E901" s="22"/>
      <c r="F901" s="22"/>
      <c r="G901" s="29"/>
      <c r="H901" s="13"/>
      <c r="I901" s="14">
        <f t="shared" si="1"/>
        <v>0</v>
      </c>
      <c r="J901" s="15">
        <f t="shared" si="2"/>
        <v>0</v>
      </c>
      <c r="K901" s="14">
        <f t="shared" si="3"/>
        <v>0</v>
      </c>
      <c r="L901" s="16" t="str">
        <f>IFERROR(__xludf.DUMMYFUNCTION("IFERROR(
  IF(
    VLOOKUP(C901, IMPORTRANGE(""gid=860555792"", ""Maestro!B:C""), 2, FALSE) = D901, 
    ""CONCILIADO"", 
    ""ERROR EN MONTO""
  ), 
  ""NO ENCONTRADO EN MAESTRO""
)"),"NO ENCONTRADO EN MAESTRO")</f>
        <v>NO ENCONTRADO EN MAESTRO</v>
      </c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ht="22.5" customHeight="1">
      <c r="A902" s="25"/>
      <c r="B902" s="15"/>
      <c r="C902" s="21"/>
      <c r="D902" s="22"/>
      <c r="E902" s="22"/>
      <c r="F902" s="22"/>
      <c r="G902" s="29"/>
      <c r="H902" s="13"/>
      <c r="I902" s="14">
        <f t="shared" si="1"/>
        <v>0</v>
      </c>
      <c r="J902" s="15">
        <f t="shared" si="2"/>
        <v>0</v>
      </c>
      <c r="K902" s="14">
        <f t="shared" si="3"/>
        <v>0</v>
      </c>
      <c r="L902" s="16" t="str">
        <f>IFERROR(__xludf.DUMMYFUNCTION("IFERROR(
  IF(
    VLOOKUP(C902, IMPORTRANGE(""gid=860555792"", ""Maestro!B:C""), 2, FALSE) = D902, 
    ""CONCILIADO"", 
    ""ERROR EN MONTO""
  ), 
  ""NO ENCONTRADO EN MAESTRO""
)"),"NO ENCONTRADO EN MAESTRO")</f>
        <v>NO ENCONTRADO EN MAESTRO</v>
      </c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ht="22.5" customHeight="1">
      <c r="A903" s="25"/>
      <c r="B903" s="15"/>
      <c r="C903" s="21"/>
      <c r="D903" s="22"/>
      <c r="E903" s="22"/>
      <c r="F903" s="22"/>
      <c r="G903" s="29"/>
      <c r="H903" s="13"/>
      <c r="I903" s="14">
        <f t="shared" si="1"/>
        <v>0</v>
      </c>
      <c r="J903" s="15">
        <f t="shared" si="2"/>
        <v>0</v>
      </c>
      <c r="K903" s="14">
        <f t="shared" si="3"/>
        <v>0</v>
      </c>
      <c r="L903" s="16" t="str">
        <f>IFERROR(__xludf.DUMMYFUNCTION("IFERROR(
  IF(
    VLOOKUP(C903, IMPORTRANGE(""gid=860555792"", ""Maestro!B:C""), 2, FALSE) = D903, 
    ""CONCILIADO"", 
    ""ERROR EN MONTO""
  ), 
  ""NO ENCONTRADO EN MAESTRO""
)"),"NO ENCONTRADO EN MAESTRO")</f>
        <v>NO ENCONTRADO EN MAESTRO</v>
      </c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ht="22.5" customHeight="1">
      <c r="A904" s="25"/>
      <c r="B904" s="15"/>
      <c r="C904" s="21"/>
      <c r="D904" s="22"/>
      <c r="E904" s="22"/>
      <c r="F904" s="22"/>
      <c r="G904" s="29"/>
      <c r="H904" s="13"/>
      <c r="I904" s="14">
        <f t="shared" si="1"/>
        <v>0</v>
      </c>
      <c r="J904" s="15">
        <f t="shared" si="2"/>
        <v>0</v>
      </c>
      <c r="K904" s="14">
        <f t="shared" si="3"/>
        <v>0</v>
      </c>
      <c r="L904" s="16" t="str">
        <f>IFERROR(__xludf.DUMMYFUNCTION("IFERROR(
  IF(
    VLOOKUP(C904, IMPORTRANGE(""gid=860555792"", ""Maestro!B:C""), 2, FALSE) = D904, 
    ""CONCILIADO"", 
    ""ERROR EN MONTO""
  ), 
  ""NO ENCONTRADO EN MAESTRO""
)"),"NO ENCONTRADO EN MAESTRO")</f>
        <v>NO ENCONTRADO EN MAESTRO</v>
      </c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ht="22.5" customHeight="1">
      <c r="A905" s="25"/>
      <c r="B905" s="15"/>
      <c r="C905" s="21"/>
      <c r="D905" s="22"/>
      <c r="E905" s="22"/>
      <c r="F905" s="22"/>
      <c r="G905" s="29"/>
      <c r="H905" s="13"/>
      <c r="I905" s="14">
        <f t="shared" si="1"/>
        <v>0</v>
      </c>
      <c r="J905" s="15">
        <f t="shared" si="2"/>
        <v>0</v>
      </c>
      <c r="K905" s="14">
        <f t="shared" si="3"/>
        <v>0</v>
      </c>
      <c r="L905" s="16" t="str">
        <f>IFERROR(__xludf.DUMMYFUNCTION("IFERROR(
  IF(
    VLOOKUP(C905, IMPORTRANGE(""gid=860555792"", ""Maestro!B:C""), 2, FALSE) = D905, 
    ""CONCILIADO"", 
    ""ERROR EN MONTO""
  ), 
  ""NO ENCONTRADO EN MAESTRO""
)"),"NO ENCONTRADO EN MAESTRO")</f>
        <v>NO ENCONTRADO EN MAESTRO</v>
      </c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ht="22.5" customHeight="1">
      <c r="A906" s="25"/>
      <c r="B906" s="15"/>
      <c r="C906" s="21"/>
      <c r="D906" s="22"/>
      <c r="E906" s="22"/>
      <c r="F906" s="22"/>
      <c r="G906" s="29"/>
      <c r="H906" s="13"/>
      <c r="I906" s="14">
        <f t="shared" si="1"/>
        <v>0</v>
      </c>
      <c r="J906" s="15">
        <f t="shared" si="2"/>
        <v>0</v>
      </c>
      <c r="K906" s="14">
        <f t="shared" si="3"/>
        <v>0</v>
      </c>
      <c r="L906" s="16" t="str">
        <f>IFERROR(__xludf.DUMMYFUNCTION("IFERROR(
  IF(
    VLOOKUP(C906, IMPORTRANGE(""gid=860555792"", ""Maestro!B:C""), 2, FALSE) = D906, 
    ""CONCILIADO"", 
    ""ERROR EN MONTO""
  ), 
  ""NO ENCONTRADO EN MAESTRO""
)"),"NO ENCONTRADO EN MAESTRO")</f>
        <v>NO ENCONTRADO EN MAESTRO</v>
      </c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ht="22.5" customHeight="1">
      <c r="A907" s="25"/>
      <c r="B907" s="15"/>
      <c r="C907" s="21"/>
      <c r="D907" s="22"/>
      <c r="E907" s="22"/>
      <c r="F907" s="22"/>
      <c r="G907" s="29"/>
      <c r="H907" s="13"/>
      <c r="I907" s="14">
        <f t="shared" si="1"/>
        <v>0</v>
      </c>
      <c r="J907" s="15">
        <f t="shared" si="2"/>
        <v>0</v>
      </c>
      <c r="K907" s="14">
        <f t="shared" si="3"/>
        <v>0</v>
      </c>
      <c r="L907" s="16" t="str">
        <f>IFERROR(__xludf.DUMMYFUNCTION("IFERROR(
  IF(
    VLOOKUP(C907, IMPORTRANGE(""gid=860555792"", ""Maestro!B:C""), 2, FALSE) = D907, 
    ""CONCILIADO"", 
    ""ERROR EN MONTO""
  ), 
  ""NO ENCONTRADO EN MAESTRO""
)"),"NO ENCONTRADO EN MAESTRO")</f>
        <v>NO ENCONTRADO EN MAESTRO</v>
      </c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ht="22.5" customHeight="1">
      <c r="A908" s="25"/>
      <c r="B908" s="15"/>
      <c r="C908" s="21"/>
      <c r="D908" s="22"/>
      <c r="E908" s="22"/>
      <c r="F908" s="22"/>
      <c r="G908" s="29"/>
      <c r="H908" s="13"/>
      <c r="I908" s="14">
        <f t="shared" si="1"/>
        <v>0</v>
      </c>
      <c r="J908" s="15">
        <f t="shared" si="2"/>
        <v>0</v>
      </c>
      <c r="K908" s="14">
        <f t="shared" si="3"/>
        <v>0</v>
      </c>
      <c r="L908" s="16" t="str">
        <f>IFERROR(__xludf.DUMMYFUNCTION("IFERROR(
  IF(
    VLOOKUP(C908, IMPORTRANGE(""gid=860555792"", ""Maestro!B:C""), 2, FALSE) = D908, 
    ""CONCILIADO"", 
    ""ERROR EN MONTO""
  ), 
  ""NO ENCONTRADO EN MAESTRO""
)"),"NO ENCONTRADO EN MAESTRO")</f>
        <v>NO ENCONTRADO EN MAESTRO</v>
      </c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ht="22.5" customHeight="1">
      <c r="A909" s="25"/>
      <c r="B909" s="15"/>
      <c r="C909" s="21"/>
      <c r="D909" s="22"/>
      <c r="E909" s="22"/>
      <c r="F909" s="22"/>
      <c r="G909" s="29"/>
      <c r="H909" s="13"/>
      <c r="I909" s="14">
        <f t="shared" si="1"/>
        <v>0</v>
      </c>
      <c r="J909" s="15">
        <f t="shared" si="2"/>
        <v>0</v>
      </c>
      <c r="K909" s="14">
        <f t="shared" si="3"/>
        <v>0</v>
      </c>
      <c r="L909" s="16" t="str">
        <f>IFERROR(__xludf.DUMMYFUNCTION("IFERROR(
  IF(
    VLOOKUP(C909, IMPORTRANGE(""gid=860555792"", ""Maestro!B:C""), 2, FALSE) = D909, 
    ""CONCILIADO"", 
    ""ERROR EN MONTO""
  ), 
  ""NO ENCONTRADO EN MAESTRO""
)"),"NO ENCONTRADO EN MAESTRO")</f>
        <v>NO ENCONTRADO EN MAESTRO</v>
      </c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ht="22.5" customHeight="1">
      <c r="A910" s="25"/>
      <c r="B910" s="15"/>
      <c r="C910" s="21"/>
      <c r="D910" s="22"/>
      <c r="E910" s="22"/>
      <c r="F910" s="22"/>
      <c r="G910" s="29"/>
      <c r="H910" s="13"/>
      <c r="I910" s="14">
        <f t="shared" si="1"/>
        <v>0</v>
      </c>
      <c r="J910" s="15">
        <f t="shared" si="2"/>
        <v>0</v>
      </c>
      <c r="K910" s="14">
        <f t="shared" si="3"/>
        <v>0</v>
      </c>
      <c r="L910" s="16" t="str">
        <f>IFERROR(__xludf.DUMMYFUNCTION("IFERROR(
  IF(
    VLOOKUP(C910, IMPORTRANGE(""gid=860555792"", ""Maestro!B:C""), 2, FALSE) = D910, 
    ""CONCILIADO"", 
    ""ERROR EN MONTO""
  ), 
  ""NO ENCONTRADO EN MAESTRO""
)"),"NO ENCONTRADO EN MAESTRO")</f>
        <v>NO ENCONTRADO EN MAESTRO</v>
      </c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ht="22.5" customHeight="1">
      <c r="A911" s="25"/>
      <c r="B911" s="15"/>
      <c r="C911" s="21"/>
      <c r="D911" s="22"/>
      <c r="E911" s="22"/>
      <c r="F911" s="22"/>
      <c r="G911" s="29"/>
      <c r="H911" s="13"/>
      <c r="I911" s="14">
        <f t="shared" si="1"/>
        <v>0</v>
      </c>
      <c r="J911" s="15">
        <f t="shared" si="2"/>
        <v>0</v>
      </c>
      <c r="K911" s="14">
        <f t="shared" si="3"/>
        <v>0</v>
      </c>
      <c r="L911" s="16" t="str">
        <f>IFERROR(__xludf.DUMMYFUNCTION("IFERROR(
  IF(
    VLOOKUP(C911, IMPORTRANGE(""gid=860555792"", ""Maestro!B:C""), 2, FALSE) = D911, 
    ""CONCILIADO"", 
    ""ERROR EN MONTO""
  ), 
  ""NO ENCONTRADO EN MAESTRO""
)"),"NO ENCONTRADO EN MAESTRO")</f>
        <v>NO ENCONTRADO EN MAESTRO</v>
      </c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ht="22.5" customHeight="1">
      <c r="A912" s="25"/>
      <c r="B912" s="15"/>
      <c r="C912" s="21"/>
      <c r="D912" s="22"/>
      <c r="E912" s="22"/>
      <c r="F912" s="22"/>
      <c r="G912" s="29"/>
      <c r="H912" s="13"/>
      <c r="I912" s="14">
        <f t="shared" si="1"/>
        <v>0</v>
      </c>
      <c r="J912" s="15">
        <f t="shared" si="2"/>
        <v>0</v>
      </c>
      <c r="K912" s="14">
        <f t="shared" si="3"/>
        <v>0</v>
      </c>
      <c r="L912" s="16" t="str">
        <f>IFERROR(__xludf.DUMMYFUNCTION("IFERROR(
  IF(
    VLOOKUP(C912, IMPORTRANGE(""gid=860555792"", ""Maestro!B:C""), 2, FALSE) = D912, 
    ""CONCILIADO"", 
    ""ERROR EN MONTO""
  ), 
  ""NO ENCONTRADO EN MAESTRO""
)"),"NO ENCONTRADO EN MAESTRO")</f>
        <v>NO ENCONTRADO EN MAESTRO</v>
      </c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ht="22.5" customHeight="1">
      <c r="A913" s="25"/>
      <c r="B913" s="15"/>
      <c r="C913" s="21"/>
      <c r="D913" s="22"/>
      <c r="E913" s="22"/>
      <c r="F913" s="22"/>
      <c r="G913" s="29"/>
      <c r="H913" s="13"/>
      <c r="I913" s="14">
        <f t="shared" si="1"/>
        <v>0</v>
      </c>
      <c r="J913" s="15">
        <f t="shared" si="2"/>
        <v>0</v>
      </c>
      <c r="K913" s="14">
        <f t="shared" si="3"/>
        <v>0</v>
      </c>
      <c r="L913" s="16" t="str">
        <f>IFERROR(__xludf.DUMMYFUNCTION("IFERROR(
  IF(
    VLOOKUP(C913, IMPORTRANGE(""gid=860555792"", ""Maestro!B:C""), 2, FALSE) = D913, 
    ""CONCILIADO"", 
    ""ERROR EN MONTO""
  ), 
  ""NO ENCONTRADO EN MAESTRO""
)"),"NO ENCONTRADO EN MAESTRO")</f>
        <v>NO ENCONTRADO EN MAESTRO</v>
      </c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ht="22.5" customHeight="1">
      <c r="A914" s="25"/>
      <c r="B914" s="15"/>
      <c r="C914" s="21"/>
      <c r="D914" s="22"/>
      <c r="E914" s="22"/>
      <c r="F914" s="22"/>
      <c r="G914" s="29"/>
      <c r="H914" s="13"/>
      <c r="I914" s="14">
        <f t="shared" si="1"/>
        <v>0</v>
      </c>
      <c r="J914" s="15">
        <f t="shared" si="2"/>
        <v>0</v>
      </c>
      <c r="K914" s="14">
        <f t="shared" si="3"/>
        <v>0</v>
      </c>
      <c r="L914" s="16" t="str">
        <f>IFERROR(__xludf.DUMMYFUNCTION("IFERROR(
  IF(
    VLOOKUP(C914, IMPORTRANGE(""gid=860555792"", ""Maestro!B:C""), 2, FALSE) = D914, 
    ""CONCILIADO"", 
    ""ERROR EN MONTO""
  ), 
  ""NO ENCONTRADO EN MAESTRO""
)"),"NO ENCONTRADO EN MAESTRO")</f>
        <v>NO ENCONTRADO EN MAESTRO</v>
      </c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ht="22.5" customHeight="1">
      <c r="A915" s="25"/>
      <c r="B915" s="15"/>
      <c r="C915" s="21"/>
      <c r="D915" s="22"/>
      <c r="E915" s="22"/>
      <c r="F915" s="22"/>
      <c r="G915" s="29"/>
      <c r="H915" s="13"/>
      <c r="I915" s="14">
        <f t="shared" si="1"/>
        <v>0</v>
      </c>
      <c r="J915" s="15">
        <f t="shared" si="2"/>
        <v>0</v>
      </c>
      <c r="K915" s="14">
        <f t="shared" si="3"/>
        <v>0</v>
      </c>
      <c r="L915" s="16" t="str">
        <f>IFERROR(__xludf.DUMMYFUNCTION("IFERROR(
  IF(
    VLOOKUP(C915, IMPORTRANGE(""gid=860555792"", ""Maestro!B:C""), 2, FALSE) = D915, 
    ""CONCILIADO"", 
    ""ERROR EN MONTO""
  ), 
  ""NO ENCONTRADO EN MAESTRO""
)"),"NO ENCONTRADO EN MAESTRO")</f>
        <v>NO ENCONTRADO EN MAESTRO</v>
      </c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ht="22.5" customHeight="1">
      <c r="A916" s="25"/>
      <c r="B916" s="15"/>
      <c r="C916" s="21"/>
      <c r="D916" s="22"/>
      <c r="E916" s="22"/>
      <c r="F916" s="22"/>
      <c r="G916" s="29"/>
      <c r="H916" s="13"/>
      <c r="I916" s="14">
        <f t="shared" si="1"/>
        <v>0</v>
      </c>
      <c r="J916" s="15">
        <f t="shared" si="2"/>
        <v>0</v>
      </c>
      <c r="K916" s="14">
        <f t="shared" si="3"/>
        <v>0</v>
      </c>
      <c r="L916" s="16" t="str">
        <f>IFERROR(__xludf.DUMMYFUNCTION("IFERROR(
  IF(
    VLOOKUP(C916, IMPORTRANGE(""gid=860555792"", ""Maestro!B:C""), 2, FALSE) = D916, 
    ""CONCILIADO"", 
    ""ERROR EN MONTO""
  ), 
  ""NO ENCONTRADO EN MAESTRO""
)"),"NO ENCONTRADO EN MAESTRO")</f>
        <v>NO ENCONTRADO EN MAESTRO</v>
      </c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ht="22.5" customHeight="1">
      <c r="A917" s="25"/>
      <c r="B917" s="15"/>
      <c r="C917" s="21"/>
      <c r="D917" s="22"/>
      <c r="E917" s="22"/>
      <c r="F917" s="22"/>
      <c r="G917" s="29"/>
      <c r="H917" s="13"/>
      <c r="I917" s="14">
        <f t="shared" si="1"/>
        <v>0</v>
      </c>
      <c r="J917" s="15">
        <f t="shared" si="2"/>
        <v>0</v>
      </c>
      <c r="K917" s="14">
        <f t="shared" si="3"/>
        <v>0</v>
      </c>
      <c r="L917" s="16" t="str">
        <f>IFERROR(__xludf.DUMMYFUNCTION("IFERROR(
  IF(
    VLOOKUP(C917, IMPORTRANGE(""gid=860555792"", ""Maestro!B:C""), 2, FALSE) = D917, 
    ""CONCILIADO"", 
    ""ERROR EN MONTO""
  ), 
  ""NO ENCONTRADO EN MAESTRO""
)"),"NO ENCONTRADO EN MAESTRO")</f>
        <v>NO ENCONTRADO EN MAESTRO</v>
      </c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ht="22.5" customHeight="1">
      <c r="A918" s="25"/>
      <c r="B918" s="15"/>
      <c r="C918" s="21"/>
      <c r="D918" s="22"/>
      <c r="E918" s="22"/>
      <c r="F918" s="22"/>
      <c r="G918" s="29"/>
      <c r="H918" s="13"/>
      <c r="I918" s="14">
        <f t="shared" si="1"/>
        <v>0</v>
      </c>
      <c r="J918" s="15">
        <f t="shared" si="2"/>
        <v>0</v>
      </c>
      <c r="K918" s="14">
        <f t="shared" si="3"/>
        <v>0</v>
      </c>
      <c r="L918" s="16" t="str">
        <f>IFERROR(__xludf.DUMMYFUNCTION("IFERROR(
  IF(
    VLOOKUP(C918, IMPORTRANGE(""gid=860555792"", ""Maestro!B:C""), 2, FALSE) = D918, 
    ""CONCILIADO"", 
    ""ERROR EN MONTO""
  ), 
  ""NO ENCONTRADO EN MAESTRO""
)"),"NO ENCONTRADO EN MAESTRO")</f>
        <v>NO ENCONTRADO EN MAESTRO</v>
      </c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ht="22.5" customHeight="1">
      <c r="A919" s="25"/>
      <c r="B919" s="15"/>
      <c r="C919" s="21"/>
      <c r="D919" s="22"/>
      <c r="E919" s="22"/>
      <c r="F919" s="22"/>
      <c r="G919" s="29"/>
      <c r="H919" s="13"/>
      <c r="I919" s="14">
        <f t="shared" si="1"/>
        <v>0</v>
      </c>
      <c r="J919" s="15">
        <f t="shared" si="2"/>
        <v>0</v>
      </c>
      <c r="K919" s="14">
        <f t="shared" si="3"/>
        <v>0</v>
      </c>
      <c r="L919" s="16" t="str">
        <f>IFERROR(__xludf.DUMMYFUNCTION("IFERROR(
  IF(
    VLOOKUP(C919, IMPORTRANGE(""gid=860555792"", ""Maestro!B:C""), 2, FALSE) = D919, 
    ""CONCILIADO"", 
    ""ERROR EN MONTO""
  ), 
  ""NO ENCONTRADO EN MAESTRO""
)"),"NO ENCONTRADO EN MAESTRO")</f>
        <v>NO ENCONTRADO EN MAESTRO</v>
      </c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ht="22.5" customHeight="1">
      <c r="A920" s="25"/>
      <c r="B920" s="15"/>
      <c r="C920" s="21"/>
      <c r="D920" s="22"/>
      <c r="E920" s="22"/>
      <c r="F920" s="22"/>
      <c r="G920" s="29"/>
      <c r="H920" s="13"/>
      <c r="I920" s="14">
        <f t="shared" si="1"/>
        <v>0</v>
      </c>
      <c r="J920" s="15">
        <f t="shared" si="2"/>
        <v>0</v>
      </c>
      <c r="K920" s="14">
        <f t="shared" si="3"/>
        <v>0</v>
      </c>
      <c r="L920" s="16" t="str">
        <f>IFERROR(__xludf.DUMMYFUNCTION("IFERROR(
  IF(
    VLOOKUP(C920, IMPORTRANGE(""gid=860555792"", ""Maestro!B:C""), 2, FALSE) = D920, 
    ""CONCILIADO"", 
    ""ERROR EN MONTO""
  ), 
  ""NO ENCONTRADO EN MAESTRO""
)"),"NO ENCONTRADO EN MAESTRO")</f>
        <v>NO ENCONTRADO EN MAESTRO</v>
      </c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ht="22.5" customHeight="1">
      <c r="A921" s="25"/>
      <c r="B921" s="15"/>
      <c r="C921" s="21"/>
      <c r="D921" s="22"/>
      <c r="E921" s="22"/>
      <c r="F921" s="22"/>
      <c r="G921" s="29"/>
      <c r="H921" s="13"/>
      <c r="I921" s="14">
        <f t="shared" si="1"/>
        <v>0</v>
      </c>
      <c r="J921" s="15">
        <f t="shared" si="2"/>
        <v>0</v>
      </c>
      <c r="K921" s="14">
        <f t="shared" si="3"/>
        <v>0</v>
      </c>
      <c r="L921" s="16" t="str">
        <f>IFERROR(__xludf.DUMMYFUNCTION("IFERROR(
  IF(
    VLOOKUP(C921, IMPORTRANGE(""gid=860555792"", ""Maestro!B:C""), 2, FALSE) = D921, 
    ""CONCILIADO"", 
    ""ERROR EN MONTO""
  ), 
  ""NO ENCONTRADO EN MAESTRO""
)"),"NO ENCONTRADO EN MAESTRO")</f>
        <v>NO ENCONTRADO EN MAESTRO</v>
      </c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ht="22.5" customHeight="1">
      <c r="A922" s="25"/>
      <c r="B922" s="15"/>
      <c r="C922" s="21"/>
      <c r="D922" s="22"/>
      <c r="E922" s="22"/>
      <c r="F922" s="22"/>
      <c r="G922" s="29"/>
      <c r="H922" s="13"/>
      <c r="I922" s="14">
        <f t="shared" si="1"/>
        <v>0</v>
      </c>
      <c r="J922" s="15">
        <f t="shared" si="2"/>
        <v>0</v>
      </c>
      <c r="K922" s="14">
        <f t="shared" si="3"/>
        <v>0</v>
      </c>
      <c r="L922" s="16" t="str">
        <f>IFERROR(__xludf.DUMMYFUNCTION("IFERROR(
  IF(
    VLOOKUP(C922, IMPORTRANGE(""gid=860555792"", ""Maestro!B:C""), 2, FALSE) = D922, 
    ""CONCILIADO"", 
    ""ERROR EN MONTO""
  ), 
  ""NO ENCONTRADO EN MAESTRO""
)"),"NO ENCONTRADO EN MAESTRO")</f>
        <v>NO ENCONTRADO EN MAESTRO</v>
      </c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ht="22.5" customHeight="1">
      <c r="A923" s="25"/>
      <c r="B923" s="15"/>
      <c r="C923" s="21"/>
      <c r="D923" s="22"/>
      <c r="E923" s="22"/>
      <c r="F923" s="22"/>
      <c r="G923" s="29"/>
      <c r="H923" s="13"/>
      <c r="I923" s="14">
        <f t="shared" si="1"/>
        <v>0</v>
      </c>
      <c r="J923" s="15">
        <f t="shared" si="2"/>
        <v>0</v>
      </c>
      <c r="K923" s="14">
        <f t="shared" si="3"/>
        <v>0</v>
      </c>
      <c r="L923" s="16" t="str">
        <f>IFERROR(__xludf.DUMMYFUNCTION("IFERROR(
  IF(
    VLOOKUP(C923, IMPORTRANGE(""gid=860555792"", ""Maestro!B:C""), 2, FALSE) = D923, 
    ""CONCILIADO"", 
    ""ERROR EN MONTO""
  ), 
  ""NO ENCONTRADO EN MAESTRO""
)"),"NO ENCONTRADO EN MAESTRO")</f>
        <v>NO ENCONTRADO EN MAESTRO</v>
      </c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ht="22.5" customHeight="1">
      <c r="A924" s="25"/>
      <c r="B924" s="15"/>
      <c r="C924" s="21"/>
      <c r="D924" s="22"/>
      <c r="E924" s="22"/>
      <c r="F924" s="22"/>
      <c r="G924" s="29"/>
      <c r="H924" s="13"/>
      <c r="I924" s="14">
        <f t="shared" si="1"/>
        <v>0</v>
      </c>
      <c r="J924" s="15">
        <f t="shared" si="2"/>
        <v>0</v>
      </c>
      <c r="K924" s="14">
        <f t="shared" si="3"/>
        <v>0</v>
      </c>
      <c r="L924" s="16" t="str">
        <f>IFERROR(__xludf.DUMMYFUNCTION("IFERROR(
  IF(
    VLOOKUP(C924, IMPORTRANGE(""gid=860555792"", ""Maestro!B:C""), 2, FALSE) = D924, 
    ""CONCILIADO"", 
    ""ERROR EN MONTO""
  ), 
  ""NO ENCONTRADO EN MAESTRO""
)"),"NO ENCONTRADO EN MAESTRO")</f>
        <v>NO ENCONTRADO EN MAESTRO</v>
      </c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ht="22.5" customHeight="1">
      <c r="A925" s="25"/>
      <c r="B925" s="15"/>
      <c r="C925" s="21"/>
      <c r="D925" s="22"/>
      <c r="E925" s="22"/>
      <c r="F925" s="22"/>
      <c r="G925" s="29"/>
      <c r="H925" s="13"/>
      <c r="I925" s="14">
        <f t="shared" si="1"/>
        <v>0</v>
      </c>
      <c r="J925" s="15">
        <f t="shared" si="2"/>
        <v>0</v>
      </c>
      <c r="K925" s="14">
        <f t="shared" si="3"/>
        <v>0</v>
      </c>
      <c r="L925" s="16" t="str">
        <f>IFERROR(__xludf.DUMMYFUNCTION("IFERROR(
  IF(
    VLOOKUP(C925, IMPORTRANGE(""gid=860555792"", ""Maestro!B:C""), 2, FALSE) = D925, 
    ""CONCILIADO"", 
    ""ERROR EN MONTO""
  ), 
  ""NO ENCONTRADO EN MAESTRO""
)"),"NO ENCONTRADO EN MAESTRO")</f>
        <v>NO ENCONTRADO EN MAESTRO</v>
      </c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ht="22.5" customHeight="1">
      <c r="A926" s="25"/>
      <c r="B926" s="15"/>
      <c r="C926" s="21"/>
      <c r="D926" s="22"/>
      <c r="E926" s="22"/>
      <c r="F926" s="22"/>
      <c r="G926" s="29"/>
      <c r="H926" s="13"/>
      <c r="I926" s="14">
        <f t="shared" si="1"/>
        <v>0</v>
      </c>
      <c r="J926" s="15">
        <f t="shared" si="2"/>
        <v>0</v>
      </c>
      <c r="K926" s="14">
        <f t="shared" si="3"/>
        <v>0</v>
      </c>
      <c r="L926" s="16" t="str">
        <f>IFERROR(__xludf.DUMMYFUNCTION("IFERROR(
  IF(
    VLOOKUP(C926, IMPORTRANGE(""gid=860555792"", ""Maestro!B:C""), 2, FALSE) = D926, 
    ""CONCILIADO"", 
    ""ERROR EN MONTO""
  ), 
  ""NO ENCONTRADO EN MAESTRO""
)"),"NO ENCONTRADO EN MAESTRO")</f>
        <v>NO ENCONTRADO EN MAESTRO</v>
      </c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ht="22.5" customHeight="1">
      <c r="A927" s="25"/>
      <c r="B927" s="15"/>
      <c r="C927" s="21"/>
      <c r="D927" s="22"/>
      <c r="E927" s="22"/>
      <c r="F927" s="22"/>
      <c r="G927" s="29"/>
      <c r="H927" s="13"/>
      <c r="I927" s="14">
        <f t="shared" si="1"/>
        <v>0</v>
      </c>
      <c r="J927" s="15">
        <f t="shared" si="2"/>
        <v>0</v>
      </c>
      <c r="K927" s="14">
        <f t="shared" si="3"/>
        <v>0</v>
      </c>
      <c r="L927" s="16" t="str">
        <f>IFERROR(__xludf.DUMMYFUNCTION("IFERROR(
  IF(
    VLOOKUP(C927, IMPORTRANGE(""gid=860555792"", ""Maestro!B:C""), 2, FALSE) = D927, 
    ""CONCILIADO"", 
    ""ERROR EN MONTO""
  ), 
  ""NO ENCONTRADO EN MAESTRO""
)"),"NO ENCONTRADO EN MAESTRO")</f>
        <v>NO ENCONTRADO EN MAESTRO</v>
      </c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ht="22.5" customHeight="1">
      <c r="A928" s="25"/>
      <c r="B928" s="15"/>
      <c r="C928" s="21"/>
      <c r="D928" s="22"/>
      <c r="E928" s="22"/>
      <c r="F928" s="22"/>
      <c r="G928" s="29"/>
      <c r="H928" s="13"/>
      <c r="I928" s="14">
        <f t="shared" si="1"/>
        <v>0</v>
      </c>
      <c r="J928" s="15">
        <f t="shared" si="2"/>
        <v>0</v>
      </c>
      <c r="K928" s="14">
        <f t="shared" si="3"/>
        <v>0</v>
      </c>
      <c r="L928" s="16" t="str">
        <f>IFERROR(__xludf.DUMMYFUNCTION("IFERROR(
  IF(
    VLOOKUP(C928, IMPORTRANGE(""gid=860555792"", ""Maestro!B:C""), 2, FALSE) = D928, 
    ""CONCILIADO"", 
    ""ERROR EN MONTO""
  ), 
  ""NO ENCONTRADO EN MAESTRO""
)"),"NO ENCONTRADO EN MAESTRO")</f>
        <v>NO ENCONTRADO EN MAESTRO</v>
      </c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ht="22.5" customHeight="1">
      <c r="A929" s="25"/>
      <c r="B929" s="15"/>
      <c r="C929" s="21"/>
      <c r="D929" s="22"/>
      <c r="E929" s="22"/>
      <c r="F929" s="22"/>
      <c r="G929" s="29"/>
      <c r="H929" s="13"/>
      <c r="I929" s="14">
        <f t="shared" si="1"/>
        <v>0</v>
      </c>
      <c r="J929" s="15">
        <f t="shared" si="2"/>
        <v>0</v>
      </c>
      <c r="K929" s="14">
        <f t="shared" si="3"/>
        <v>0</v>
      </c>
      <c r="L929" s="16" t="str">
        <f>IFERROR(__xludf.DUMMYFUNCTION("IFERROR(
  IF(
    VLOOKUP(C929, IMPORTRANGE(""gid=860555792"", ""Maestro!B:C""), 2, FALSE) = D929, 
    ""CONCILIADO"", 
    ""ERROR EN MONTO""
  ), 
  ""NO ENCONTRADO EN MAESTRO""
)"),"NO ENCONTRADO EN MAESTRO")</f>
        <v>NO ENCONTRADO EN MAESTRO</v>
      </c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ht="22.5" customHeight="1">
      <c r="A930" s="25"/>
      <c r="B930" s="15"/>
      <c r="C930" s="21"/>
      <c r="D930" s="22"/>
      <c r="E930" s="22"/>
      <c r="F930" s="22"/>
      <c r="G930" s="29"/>
      <c r="H930" s="13"/>
      <c r="I930" s="14">
        <f t="shared" si="1"/>
        <v>0</v>
      </c>
      <c r="J930" s="15">
        <f t="shared" si="2"/>
        <v>0</v>
      </c>
      <c r="K930" s="14">
        <f t="shared" si="3"/>
        <v>0</v>
      </c>
      <c r="L930" s="16" t="str">
        <f>IFERROR(__xludf.DUMMYFUNCTION("IFERROR(
  IF(
    VLOOKUP(C930, IMPORTRANGE(""gid=860555792"", ""Maestro!B:C""), 2, FALSE) = D930, 
    ""CONCILIADO"", 
    ""ERROR EN MONTO""
  ), 
  ""NO ENCONTRADO EN MAESTRO""
)"),"NO ENCONTRADO EN MAESTRO")</f>
        <v>NO ENCONTRADO EN MAESTRO</v>
      </c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ht="22.5" customHeight="1">
      <c r="A931" s="25"/>
      <c r="B931" s="15"/>
      <c r="C931" s="21"/>
      <c r="D931" s="22"/>
      <c r="E931" s="22"/>
      <c r="F931" s="22"/>
      <c r="G931" s="29"/>
      <c r="H931" s="13"/>
      <c r="I931" s="14">
        <f t="shared" si="1"/>
        <v>0</v>
      </c>
      <c r="J931" s="15">
        <f t="shared" si="2"/>
        <v>0</v>
      </c>
      <c r="K931" s="14">
        <f t="shared" si="3"/>
        <v>0</v>
      </c>
      <c r="L931" s="16" t="str">
        <f>IFERROR(__xludf.DUMMYFUNCTION("IFERROR(
  IF(
    VLOOKUP(C931, IMPORTRANGE(""gid=860555792"", ""Maestro!B:C""), 2, FALSE) = D931, 
    ""CONCILIADO"", 
    ""ERROR EN MONTO""
  ), 
  ""NO ENCONTRADO EN MAESTRO""
)"),"NO ENCONTRADO EN MAESTRO")</f>
        <v>NO ENCONTRADO EN MAESTRO</v>
      </c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ht="22.5" customHeight="1">
      <c r="A932" s="25"/>
      <c r="B932" s="15"/>
      <c r="C932" s="21"/>
      <c r="D932" s="22"/>
      <c r="E932" s="22"/>
      <c r="F932" s="22"/>
      <c r="G932" s="29"/>
      <c r="H932" s="13"/>
      <c r="I932" s="14">
        <f t="shared" si="1"/>
        <v>0</v>
      </c>
      <c r="J932" s="15">
        <f t="shared" si="2"/>
        <v>0</v>
      </c>
      <c r="K932" s="14">
        <f t="shared" si="3"/>
        <v>0</v>
      </c>
      <c r="L932" s="16" t="str">
        <f>IFERROR(__xludf.DUMMYFUNCTION("IFERROR(
  IF(
    VLOOKUP(C932, IMPORTRANGE(""gid=860555792"", ""Maestro!B:C""), 2, FALSE) = D932, 
    ""CONCILIADO"", 
    ""ERROR EN MONTO""
  ), 
  ""NO ENCONTRADO EN MAESTRO""
)"),"NO ENCONTRADO EN MAESTRO")</f>
        <v>NO ENCONTRADO EN MAESTRO</v>
      </c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ht="22.5" customHeight="1">
      <c r="A933" s="25"/>
      <c r="B933" s="15"/>
      <c r="C933" s="21"/>
      <c r="D933" s="22"/>
      <c r="E933" s="22"/>
      <c r="F933" s="22"/>
      <c r="G933" s="29"/>
      <c r="H933" s="13"/>
      <c r="I933" s="14">
        <f t="shared" si="1"/>
        <v>0</v>
      </c>
      <c r="J933" s="15">
        <f t="shared" si="2"/>
        <v>0</v>
      </c>
      <c r="K933" s="14">
        <f t="shared" si="3"/>
        <v>0</v>
      </c>
      <c r="L933" s="16" t="str">
        <f>IFERROR(__xludf.DUMMYFUNCTION("IFERROR(
  IF(
    VLOOKUP(C933, IMPORTRANGE(""gid=860555792"", ""Maestro!B:C""), 2, FALSE) = D933, 
    ""CONCILIADO"", 
    ""ERROR EN MONTO""
  ), 
  ""NO ENCONTRADO EN MAESTRO""
)"),"NO ENCONTRADO EN MAESTRO")</f>
        <v>NO ENCONTRADO EN MAESTRO</v>
      </c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ht="22.5" customHeight="1">
      <c r="A934" s="25"/>
      <c r="B934" s="15"/>
      <c r="C934" s="21"/>
      <c r="D934" s="22"/>
      <c r="E934" s="22"/>
      <c r="F934" s="22"/>
      <c r="G934" s="29"/>
      <c r="H934" s="13"/>
      <c r="I934" s="14">
        <f t="shared" si="1"/>
        <v>0</v>
      </c>
      <c r="J934" s="15">
        <f t="shared" si="2"/>
        <v>0</v>
      </c>
      <c r="K934" s="14">
        <f t="shared" si="3"/>
        <v>0</v>
      </c>
      <c r="L934" s="16" t="str">
        <f>IFERROR(__xludf.DUMMYFUNCTION("IFERROR(
  IF(
    VLOOKUP(C934, IMPORTRANGE(""gid=860555792"", ""Maestro!B:C""), 2, FALSE) = D934, 
    ""CONCILIADO"", 
    ""ERROR EN MONTO""
  ), 
  ""NO ENCONTRADO EN MAESTRO""
)"),"NO ENCONTRADO EN MAESTRO")</f>
        <v>NO ENCONTRADO EN MAESTRO</v>
      </c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ht="22.5" customHeight="1">
      <c r="A935" s="25"/>
      <c r="B935" s="15"/>
      <c r="C935" s="21"/>
      <c r="D935" s="22"/>
      <c r="E935" s="22"/>
      <c r="F935" s="22"/>
      <c r="G935" s="29"/>
      <c r="H935" s="13"/>
      <c r="I935" s="14">
        <f t="shared" si="1"/>
        <v>0</v>
      </c>
      <c r="J935" s="15">
        <f t="shared" si="2"/>
        <v>0</v>
      </c>
      <c r="K935" s="14">
        <f t="shared" si="3"/>
        <v>0</v>
      </c>
      <c r="L935" s="16" t="str">
        <f>IFERROR(__xludf.DUMMYFUNCTION("IFERROR(
  IF(
    VLOOKUP(C935, IMPORTRANGE(""gid=860555792"", ""Maestro!B:C""), 2, FALSE) = D935, 
    ""CONCILIADO"", 
    ""ERROR EN MONTO""
  ), 
  ""NO ENCONTRADO EN MAESTRO""
)"),"NO ENCONTRADO EN MAESTRO")</f>
        <v>NO ENCONTRADO EN MAESTRO</v>
      </c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ht="22.5" customHeight="1">
      <c r="A936" s="25"/>
      <c r="B936" s="15"/>
      <c r="C936" s="21"/>
      <c r="D936" s="22"/>
      <c r="E936" s="22"/>
      <c r="F936" s="22"/>
      <c r="G936" s="29"/>
      <c r="H936" s="13"/>
      <c r="I936" s="14">
        <f t="shared" si="1"/>
        <v>0</v>
      </c>
      <c r="J936" s="15">
        <f t="shared" si="2"/>
        <v>0</v>
      </c>
      <c r="K936" s="14">
        <f t="shared" si="3"/>
        <v>0</v>
      </c>
      <c r="L936" s="16" t="str">
        <f>IFERROR(__xludf.DUMMYFUNCTION("IFERROR(
  IF(
    VLOOKUP(C936, IMPORTRANGE(""gid=860555792"", ""Maestro!B:C""), 2, FALSE) = D936, 
    ""CONCILIADO"", 
    ""ERROR EN MONTO""
  ), 
  ""NO ENCONTRADO EN MAESTRO""
)"),"NO ENCONTRADO EN MAESTRO")</f>
        <v>NO ENCONTRADO EN MAESTRO</v>
      </c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ht="22.5" customHeight="1">
      <c r="A937" s="25"/>
      <c r="B937" s="15"/>
      <c r="C937" s="21"/>
      <c r="D937" s="22"/>
      <c r="E937" s="22"/>
      <c r="F937" s="22"/>
      <c r="G937" s="29"/>
      <c r="H937" s="13"/>
      <c r="I937" s="14">
        <f t="shared" si="1"/>
        <v>0</v>
      </c>
      <c r="J937" s="15">
        <f t="shared" si="2"/>
        <v>0</v>
      </c>
      <c r="K937" s="14">
        <f t="shared" si="3"/>
        <v>0</v>
      </c>
      <c r="L937" s="16" t="str">
        <f>IFERROR(__xludf.DUMMYFUNCTION("IFERROR(
  IF(
    VLOOKUP(C937, IMPORTRANGE(""gid=860555792"", ""Maestro!B:C""), 2, FALSE) = D937, 
    ""CONCILIADO"", 
    ""ERROR EN MONTO""
  ), 
  ""NO ENCONTRADO EN MAESTRO""
)"),"NO ENCONTRADO EN MAESTRO")</f>
        <v>NO ENCONTRADO EN MAESTRO</v>
      </c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ht="22.5" customHeight="1">
      <c r="A938" s="25"/>
      <c r="B938" s="15"/>
      <c r="C938" s="21"/>
      <c r="D938" s="22"/>
      <c r="E938" s="22"/>
      <c r="F938" s="22"/>
      <c r="G938" s="29"/>
      <c r="H938" s="13"/>
      <c r="I938" s="14">
        <f t="shared" si="1"/>
        <v>0</v>
      </c>
      <c r="J938" s="15">
        <f t="shared" si="2"/>
        <v>0</v>
      </c>
      <c r="K938" s="14">
        <f t="shared" si="3"/>
        <v>0</v>
      </c>
      <c r="L938" s="16" t="str">
        <f>IFERROR(__xludf.DUMMYFUNCTION("IFERROR(
  IF(
    VLOOKUP(C938, IMPORTRANGE(""gid=860555792"", ""Maestro!B:C""), 2, FALSE) = D938, 
    ""CONCILIADO"", 
    ""ERROR EN MONTO""
  ), 
  ""NO ENCONTRADO EN MAESTRO""
)"),"NO ENCONTRADO EN MAESTRO")</f>
        <v>NO ENCONTRADO EN MAESTRO</v>
      </c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ht="22.5" customHeight="1">
      <c r="A939" s="25"/>
      <c r="B939" s="15"/>
      <c r="C939" s="21"/>
      <c r="D939" s="22"/>
      <c r="E939" s="22"/>
      <c r="F939" s="22"/>
      <c r="G939" s="29"/>
      <c r="H939" s="13"/>
      <c r="I939" s="14">
        <f t="shared" si="1"/>
        <v>0</v>
      </c>
      <c r="J939" s="15">
        <f t="shared" si="2"/>
        <v>0</v>
      </c>
      <c r="K939" s="14">
        <f t="shared" si="3"/>
        <v>0</v>
      </c>
      <c r="L939" s="16" t="str">
        <f>IFERROR(__xludf.DUMMYFUNCTION("IFERROR(
  IF(
    VLOOKUP(C939, IMPORTRANGE(""gid=860555792"", ""Maestro!B:C""), 2, FALSE) = D939, 
    ""CONCILIADO"", 
    ""ERROR EN MONTO""
  ), 
  ""NO ENCONTRADO EN MAESTRO""
)"),"NO ENCONTRADO EN MAESTRO")</f>
        <v>NO ENCONTRADO EN MAESTRO</v>
      </c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ht="22.5" customHeight="1">
      <c r="A940" s="25"/>
      <c r="B940" s="15"/>
      <c r="C940" s="21"/>
      <c r="D940" s="22"/>
      <c r="E940" s="22"/>
      <c r="F940" s="22"/>
      <c r="G940" s="29"/>
      <c r="H940" s="13"/>
      <c r="I940" s="14">
        <f t="shared" si="1"/>
        <v>0</v>
      </c>
      <c r="J940" s="15">
        <f t="shared" si="2"/>
        <v>0</v>
      </c>
      <c r="K940" s="14">
        <f t="shared" si="3"/>
        <v>0</v>
      </c>
      <c r="L940" s="16" t="str">
        <f>IFERROR(__xludf.DUMMYFUNCTION("IFERROR(
  IF(
    VLOOKUP(C940, IMPORTRANGE(""gid=860555792"", ""Maestro!B:C""), 2, FALSE) = D940, 
    ""CONCILIADO"", 
    ""ERROR EN MONTO""
  ), 
  ""NO ENCONTRADO EN MAESTRO""
)"),"NO ENCONTRADO EN MAESTRO")</f>
        <v>NO ENCONTRADO EN MAESTRO</v>
      </c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ht="22.5" customHeight="1">
      <c r="A941" s="25"/>
      <c r="B941" s="15"/>
      <c r="C941" s="21"/>
      <c r="D941" s="22"/>
      <c r="E941" s="22"/>
      <c r="F941" s="22"/>
      <c r="G941" s="29"/>
      <c r="H941" s="13"/>
      <c r="I941" s="14">
        <f t="shared" si="1"/>
        <v>0</v>
      </c>
      <c r="J941" s="15">
        <f t="shared" si="2"/>
        <v>0</v>
      </c>
      <c r="K941" s="14">
        <f t="shared" si="3"/>
        <v>0</v>
      </c>
      <c r="L941" s="16" t="str">
        <f>IFERROR(__xludf.DUMMYFUNCTION("IFERROR(
  IF(
    VLOOKUP(C941, IMPORTRANGE(""gid=860555792"", ""Maestro!B:C""), 2, FALSE) = D941, 
    ""CONCILIADO"", 
    ""ERROR EN MONTO""
  ), 
  ""NO ENCONTRADO EN MAESTRO""
)"),"NO ENCONTRADO EN MAESTRO")</f>
        <v>NO ENCONTRADO EN MAESTRO</v>
      </c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ht="22.5" customHeight="1">
      <c r="A942" s="25"/>
      <c r="B942" s="15"/>
      <c r="C942" s="21"/>
      <c r="D942" s="22"/>
      <c r="E942" s="22"/>
      <c r="F942" s="22"/>
      <c r="G942" s="29"/>
      <c r="H942" s="13"/>
      <c r="I942" s="14">
        <f t="shared" si="1"/>
        <v>0</v>
      </c>
      <c r="J942" s="15">
        <f t="shared" si="2"/>
        <v>0</v>
      </c>
      <c r="K942" s="14">
        <f t="shared" si="3"/>
        <v>0</v>
      </c>
      <c r="L942" s="16" t="str">
        <f>IFERROR(__xludf.DUMMYFUNCTION("IFERROR(
  IF(
    VLOOKUP(C942, IMPORTRANGE(""gid=860555792"", ""Maestro!B:C""), 2, FALSE) = D942, 
    ""CONCILIADO"", 
    ""ERROR EN MONTO""
  ), 
  ""NO ENCONTRADO EN MAESTRO""
)"),"NO ENCONTRADO EN MAESTRO")</f>
        <v>NO ENCONTRADO EN MAESTRO</v>
      </c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ht="22.5" customHeight="1">
      <c r="A943" s="25"/>
      <c r="B943" s="15"/>
      <c r="C943" s="21"/>
      <c r="D943" s="22"/>
      <c r="E943" s="22"/>
      <c r="F943" s="22"/>
      <c r="G943" s="29"/>
      <c r="H943" s="13"/>
      <c r="I943" s="14">
        <f t="shared" si="1"/>
        <v>0</v>
      </c>
      <c r="J943" s="15">
        <f t="shared" si="2"/>
        <v>0</v>
      </c>
      <c r="K943" s="14">
        <f t="shared" si="3"/>
        <v>0</v>
      </c>
      <c r="L943" s="16" t="str">
        <f>IFERROR(__xludf.DUMMYFUNCTION("IFERROR(
  IF(
    VLOOKUP(C943, IMPORTRANGE(""gid=860555792"", ""Maestro!B:C""), 2, FALSE) = D943, 
    ""CONCILIADO"", 
    ""ERROR EN MONTO""
  ), 
  ""NO ENCONTRADO EN MAESTRO""
)"),"NO ENCONTRADO EN MAESTRO")</f>
        <v>NO ENCONTRADO EN MAESTRO</v>
      </c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ht="22.5" customHeight="1">
      <c r="A944" s="25"/>
      <c r="B944" s="15"/>
      <c r="C944" s="21"/>
      <c r="D944" s="22"/>
      <c r="E944" s="22"/>
      <c r="F944" s="22"/>
      <c r="G944" s="29"/>
      <c r="H944" s="13"/>
      <c r="I944" s="14">
        <f t="shared" si="1"/>
        <v>0</v>
      </c>
      <c r="J944" s="15">
        <f t="shared" si="2"/>
        <v>0</v>
      </c>
      <c r="K944" s="14">
        <f t="shared" si="3"/>
        <v>0</v>
      </c>
      <c r="L944" s="16" t="str">
        <f>IFERROR(__xludf.DUMMYFUNCTION("IFERROR(
  IF(
    VLOOKUP(C944, IMPORTRANGE(""gid=860555792"", ""Maestro!B:C""), 2, FALSE) = D944, 
    ""CONCILIADO"", 
    ""ERROR EN MONTO""
  ), 
  ""NO ENCONTRADO EN MAESTRO""
)"),"NO ENCONTRADO EN MAESTRO")</f>
        <v>NO ENCONTRADO EN MAESTRO</v>
      </c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ht="22.5" customHeight="1">
      <c r="A945" s="25"/>
      <c r="B945" s="15"/>
      <c r="C945" s="21"/>
      <c r="D945" s="22"/>
      <c r="E945" s="22"/>
      <c r="F945" s="22"/>
      <c r="G945" s="29"/>
      <c r="H945" s="13"/>
      <c r="I945" s="14">
        <f t="shared" si="1"/>
        <v>0</v>
      </c>
      <c r="J945" s="15">
        <f t="shared" si="2"/>
        <v>0</v>
      </c>
      <c r="K945" s="14">
        <f t="shared" si="3"/>
        <v>0</v>
      </c>
      <c r="L945" s="16" t="str">
        <f>IFERROR(__xludf.DUMMYFUNCTION("IFERROR(
  IF(
    VLOOKUP(C945, IMPORTRANGE(""gid=860555792"", ""Maestro!B:C""), 2, FALSE) = D945, 
    ""CONCILIADO"", 
    ""ERROR EN MONTO""
  ), 
  ""NO ENCONTRADO EN MAESTRO""
)"),"NO ENCONTRADO EN MAESTRO")</f>
        <v>NO ENCONTRADO EN MAESTRO</v>
      </c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ht="22.5" customHeight="1">
      <c r="A946" s="25"/>
      <c r="B946" s="15"/>
      <c r="C946" s="21"/>
      <c r="D946" s="22"/>
      <c r="E946" s="22"/>
      <c r="F946" s="22"/>
      <c r="G946" s="29"/>
      <c r="H946" s="13"/>
      <c r="I946" s="14">
        <f t="shared" si="1"/>
        <v>0</v>
      </c>
      <c r="J946" s="15">
        <f t="shared" si="2"/>
        <v>0</v>
      </c>
      <c r="K946" s="14">
        <f t="shared" si="3"/>
        <v>0</v>
      </c>
      <c r="L946" s="16" t="str">
        <f>IFERROR(__xludf.DUMMYFUNCTION("IFERROR(
  IF(
    VLOOKUP(C946, IMPORTRANGE(""gid=860555792"", ""Maestro!B:C""), 2, FALSE) = D946, 
    ""CONCILIADO"", 
    ""ERROR EN MONTO""
  ), 
  ""NO ENCONTRADO EN MAESTRO""
)"),"NO ENCONTRADO EN MAESTRO")</f>
        <v>NO ENCONTRADO EN MAESTRO</v>
      </c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ht="22.5" customHeight="1">
      <c r="A947" s="25"/>
      <c r="B947" s="15"/>
      <c r="C947" s="21"/>
      <c r="D947" s="22"/>
      <c r="E947" s="22"/>
      <c r="F947" s="22"/>
      <c r="G947" s="29"/>
      <c r="H947" s="13"/>
      <c r="I947" s="14">
        <f t="shared" si="1"/>
        <v>0</v>
      </c>
      <c r="J947" s="15">
        <f t="shared" si="2"/>
        <v>0</v>
      </c>
      <c r="K947" s="14">
        <f t="shared" si="3"/>
        <v>0</v>
      </c>
      <c r="L947" s="16" t="str">
        <f>IFERROR(__xludf.DUMMYFUNCTION("IFERROR(
  IF(
    VLOOKUP(C947, IMPORTRANGE(""gid=860555792"", ""Maestro!B:C""), 2, FALSE) = D947, 
    ""CONCILIADO"", 
    ""ERROR EN MONTO""
  ), 
  ""NO ENCONTRADO EN MAESTRO""
)"),"NO ENCONTRADO EN MAESTRO")</f>
        <v>NO ENCONTRADO EN MAESTRO</v>
      </c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ht="22.5" customHeight="1">
      <c r="A948" s="25"/>
      <c r="B948" s="15"/>
      <c r="C948" s="21"/>
      <c r="D948" s="22"/>
      <c r="E948" s="22"/>
      <c r="F948" s="22"/>
      <c r="G948" s="29"/>
      <c r="H948" s="13"/>
      <c r="I948" s="14">
        <f t="shared" si="1"/>
        <v>0</v>
      </c>
      <c r="J948" s="15">
        <f t="shared" si="2"/>
        <v>0</v>
      </c>
      <c r="K948" s="14">
        <f t="shared" si="3"/>
        <v>0</v>
      </c>
      <c r="L948" s="16" t="str">
        <f>IFERROR(__xludf.DUMMYFUNCTION("IFERROR(
  IF(
    VLOOKUP(C948, IMPORTRANGE(""gid=860555792"", ""Maestro!B:C""), 2, FALSE) = D948, 
    ""CONCILIADO"", 
    ""ERROR EN MONTO""
  ), 
  ""NO ENCONTRADO EN MAESTRO""
)"),"NO ENCONTRADO EN MAESTRO")</f>
        <v>NO ENCONTRADO EN MAESTRO</v>
      </c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ht="22.5" customHeight="1">
      <c r="A949" s="25"/>
      <c r="B949" s="15"/>
      <c r="C949" s="21"/>
      <c r="D949" s="22"/>
      <c r="E949" s="22"/>
      <c r="F949" s="22"/>
      <c r="G949" s="29"/>
      <c r="H949" s="13"/>
      <c r="I949" s="14">
        <f t="shared" si="1"/>
        <v>0</v>
      </c>
      <c r="J949" s="15">
        <f t="shared" si="2"/>
        <v>0</v>
      </c>
      <c r="K949" s="14">
        <f t="shared" si="3"/>
        <v>0</v>
      </c>
      <c r="L949" s="16" t="str">
        <f>IFERROR(__xludf.DUMMYFUNCTION("IFERROR(
  IF(
    VLOOKUP(C949, IMPORTRANGE(""gid=860555792"", ""Maestro!B:C""), 2, FALSE) = D949, 
    ""CONCILIADO"", 
    ""ERROR EN MONTO""
  ), 
  ""NO ENCONTRADO EN MAESTRO""
)"),"NO ENCONTRADO EN MAESTRO")</f>
        <v>NO ENCONTRADO EN MAESTRO</v>
      </c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ht="22.5" customHeight="1">
      <c r="A950" s="25"/>
      <c r="B950" s="15"/>
      <c r="C950" s="21"/>
      <c r="D950" s="22"/>
      <c r="E950" s="22"/>
      <c r="F950" s="22"/>
      <c r="G950" s="29"/>
      <c r="H950" s="13"/>
      <c r="I950" s="14">
        <f t="shared" si="1"/>
        <v>0</v>
      </c>
      <c r="J950" s="15">
        <f t="shared" si="2"/>
        <v>0</v>
      </c>
      <c r="K950" s="14">
        <f t="shared" si="3"/>
        <v>0</v>
      </c>
      <c r="L950" s="16" t="str">
        <f>IFERROR(__xludf.DUMMYFUNCTION("IFERROR(
  IF(
    VLOOKUP(C950, IMPORTRANGE(""gid=860555792"", ""Maestro!B:C""), 2, FALSE) = D950, 
    ""CONCILIADO"", 
    ""ERROR EN MONTO""
  ), 
  ""NO ENCONTRADO EN MAESTRO""
)"),"NO ENCONTRADO EN MAESTRO")</f>
        <v>NO ENCONTRADO EN MAESTRO</v>
      </c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ht="22.5" customHeight="1">
      <c r="A951" s="25"/>
      <c r="B951" s="15"/>
      <c r="C951" s="21"/>
      <c r="D951" s="22"/>
      <c r="E951" s="22"/>
      <c r="F951" s="22"/>
      <c r="G951" s="29"/>
      <c r="H951" s="13"/>
      <c r="I951" s="14">
        <f t="shared" si="1"/>
        <v>0</v>
      </c>
      <c r="J951" s="15">
        <f t="shared" si="2"/>
        <v>0</v>
      </c>
      <c r="K951" s="14">
        <f t="shared" si="3"/>
        <v>0</v>
      </c>
      <c r="L951" s="16" t="str">
        <f>IFERROR(__xludf.DUMMYFUNCTION("IFERROR(
  IF(
    VLOOKUP(C951, IMPORTRANGE(""gid=860555792"", ""Maestro!B:C""), 2, FALSE) = D951, 
    ""CONCILIADO"", 
    ""ERROR EN MONTO""
  ), 
  ""NO ENCONTRADO EN MAESTRO""
)"),"NO ENCONTRADO EN MAESTRO")</f>
        <v>NO ENCONTRADO EN MAESTRO</v>
      </c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ht="22.5" customHeight="1">
      <c r="A952" s="25"/>
      <c r="B952" s="15"/>
      <c r="C952" s="21"/>
      <c r="D952" s="22"/>
      <c r="E952" s="22"/>
      <c r="F952" s="22"/>
      <c r="G952" s="29"/>
      <c r="H952" s="13"/>
      <c r="I952" s="14">
        <f t="shared" si="1"/>
        <v>0</v>
      </c>
      <c r="J952" s="15">
        <f t="shared" si="2"/>
        <v>0</v>
      </c>
      <c r="K952" s="14">
        <f t="shared" si="3"/>
        <v>0</v>
      </c>
      <c r="L952" s="16" t="str">
        <f>IFERROR(__xludf.DUMMYFUNCTION("IFERROR(
  IF(
    VLOOKUP(C952, IMPORTRANGE(""gid=860555792"", ""Maestro!B:C""), 2, FALSE) = D952, 
    ""CONCILIADO"", 
    ""ERROR EN MONTO""
  ), 
  ""NO ENCONTRADO EN MAESTRO""
)"),"NO ENCONTRADO EN MAESTRO")</f>
        <v>NO ENCONTRADO EN MAESTRO</v>
      </c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ht="22.5" customHeight="1">
      <c r="A953" s="25"/>
      <c r="B953" s="15"/>
      <c r="C953" s="21"/>
      <c r="D953" s="22"/>
      <c r="E953" s="22"/>
      <c r="F953" s="22"/>
      <c r="G953" s="29"/>
      <c r="H953" s="13"/>
      <c r="I953" s="14">
        <f t="shared" si="1"/>
        <v>0</v>
      </c>
      <c r="J953" s="15">
        <f t="shared" si="2"/>
        <v>0</v>
      </c>
      <c r="K953" s="14">
        <f t="shared" si="3"/>
        <v>0</v>
      </c>
      <c r="L953" s="16" t="str">
        <f>IFERROR(__xludf.DUMMYFUNCTION("IFERROR(
  IF(
    VLOOKUP(C953, IMPORTRANGE(""gid=860555792"", ""Maestro!B:C""), 2, FALSE) = D953, 
    ""CONCILIADO"", 
    ""ERROR EN MONTO""
  ), 
  ""NO ENCONTRADO EN MAESTRO""
)"),"NO ENCONTRADO EN MAESTRO")</f>
        <v>NO ENCONTRADO EN MAESTRO</v>
      </c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ht="22.5" customHeight="1">
      <c r="A954" s="25"/>
      <c r="B954" s="15"/>
      <c r="C954" s="21"/>
      <c r="D954" s="22"/>
      <c r="E954" s="22"/>
      <c r="F954" s="22"/>
      <c r="G954" s="29"/>
      <c r="H954" s="13"/>
      <c r="I954" s="14">
        <f t="shared" si="1"/>
        <v>0</v>
      </c>
      <c r="J954" s="15">
        <f t="shared" si="2"/>
        <v>0</v>
      </c>
      <c r="K954" s="14">
        <f t="shared" si="3"/>
        <v>0</v>
      </c>
      <c r="L954" s="16" t="str">
        <f>IFERROR(__xludf.DUMMYFUNCTION("IFERROR(
  IF(
    VLOOKUP(C954, IMPORTRANGE(""gid=860555792"", ""Maestro!B:C""), 2, FALSE) = D954, 
    ""CONCILIADO"", 
    ""ERROR EN MONTO""
  ), 
  ""NO ENCONTRADO EN MAESTRO""
)"),"NO ENCONTRADO EN MAESTRO")</f>
        <v>NO ENCONTRADO EN MAESTRO</v>
      </c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ht="22.5" customHeight="1">
      <c r="A955" s="25"/>
      <c r="B955" s="15"/>
      <c r="C955" s="21"/>
      <c r="D955" s="22"/>
      <c r="E955" s="22"/>
      <c r="F955" s="22"/>
      <c r="G955" s="29"/>
      <c r="H955" s="13"/>
      <c r="I955" s="14">
        <f t="shared" si="1"/>
        <v>0</v>
      </c>
      <c r="J955" s="15">
        <f t="shared" si="2"/>
        <v>0</v>
      </c>
      <c r="K955" s="14">
        <f t="shared" si="3"/>
        <v>0</v>
      </c>
      <c r="L955" s="16" t="str">
        <f>IFERROR(__xludf.DUMMYFUNCTION("IFERROR(
  IF(
    VLOOKUP(C955, IMPORTRANGE(""gid=860555792"", ""Maestro!B:C""), 2, FALSE) = D955, 
    ""CONCILIADO"", 
    ""ERROR EN MONTO""
  ), 
  ""NO ENCONTRADO EN MAESTRO""
)"),"NO ENCONTRADO EN MAESTRO")</f>
        <v>NO ENCONTRADO EN MAESTRO</v>
      </c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ht="22.5" customHeight="1">
      <c r="A956" s="25"/>
      <c r="B956" s="15"/>
      <c r="C956" s="21"/>
      <c r="D956" s="22"/>
      <c r="E956" s="22"/>
      <c r="F956" s="22"/>
      <c r="G956" s="29"/>
      <c r="H956" s="13"/>
      <c r="I956" s="14">
        <f t="shared" si="1"/>
        <v>0</v>
      </c>
      <c r="J956" s="15">
        <f t="shared" si="2"/>
        <v>0</v>
      </c>
      <c r="K956" s="14">
        <f t="shared" si="3"/>
        <v>0</v>
      </c>
      <c r="L956" s="16" t="str">
        <f>IFERROR(__xludf.DUMMYFUNCTION("IFERROR(
  IF(
    VLOOKUP(C956, IMPORTRANGE(""gid=860555792"", ""Maestro!B:C""), 2, FALSE) = D956, 
    ""CONCILIADO"", 
    ""ERROR EN MONTO""
  ), 
  ""NO ENCONTRADO EN MAESTRO""
)"),"NO ENCONTRADO EN MAESTRO")</f>
        <v>NO ENCONTRADO EN MAESTRO</v>
      </c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ht="22.5" customHeight="1">
      <c r="A957" s="25"/>
      <c r="B957" s="15"/>
      <c r="C957" s="21"/>
      <c r="D957" s="22"/>
      <c r="E957" s="22"/>
      <c r="F957" s="22"/>
      <c r="G957" s="29"/>
      <c r="H957" s="13"/>
      <c r="I957" s="14">
        <f t="shared" si="1"/>
        <v>0</v>
      </c>
      <c r="J957" s="15">
        <f t="shared" si="2"/>
        <v>0</v>
      </c>
      <c r="K957" s="14">
        <f t="shared" si="3"/>
        <v>0</v>
      </c>
      <c r="L957" s="16" t="str">
        <f>IFERROR(__xludf.DUMMYFUNCTION("IFERROR(
  IF(
    VLOOKUP(C957, IMPORTRANGE(""gid=860555792"", ""Maestro!B:C""), 2, FALSE) = D957, 
    ""CONCILIADO"", 
    ""ERROR EN MONTO""
  ), 
  ""NO ENCONTRADO EN MAESTRO""
)"),"NO ENCONTRADO EN MAESTRO")</f>
        <v>NO ENCONTRADO EN MAESTRO</v>
      </c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ht="22.5" customHeight="1">
      <c r="A958" s="25"/>
      <c r="B958" s="15"/>
      <c r="C958" s="21"/>
      <c r="D958" s="22"/>
      <c r="E958" s="22"/>
      <c r="F958" s="22"/>
      <c r="G958" s="29"/>
      <c r="H958" s="13"/>
      <c r="I958" s="14">
        <f t="shared" si="1"/>
        <v>0</v>
      </c>
      <c r="J958" s="15">
        <f t="shared" si="2"/>
        <v>0</v>
      </c>
      <c r="K958" s="14">
        <f t="shared" si="3"/>
        <v>0</v>
      </c>
      <c r="L958" s="16" t="str">
        <f>IFERROR(__xludf.DUMMYFUNCTION("IFERROR(
  IF(
    VLOOKUP(C958, IMPORTRANGE(""gid=860555792"", ""Maestro!B:C""), 2, FALSE) = D958, 
    ""CONCILIADO"", 
    ""ERROR EN MONTO""
  ), 
  ""NO ENCONTRADO EN MAESTRO""
)"),"NO ENCONTRADO EN MAESTRO")</f>
        <v>NO ENCONTRADO EN MAESTRO</v>
      </c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ht="22.5" customHeight="1">
      <c r="A959" s="25"/>
      <c r="B959" s="15"/>
      <c r="C959" s="21"/>
      <c r="D959" s="22"/>
      <c r="E959" s="22"/>
      <c r="F959" s="22"/>
      <c r="G959" s="29"/>
      <c r="H959" s="13"/>
      <c r="I959" s="14">
        <f t="shared" si="1"/>
        <v>0</v>
      </c>
      <c r="J959" s="15">
        <f t="shared" si="2"/>
        <v>0</v>
      </c>
      <c r="K959" s="14">
        <f t="shared" si="3"/>
        <v>0</v>
      </c>
      <c r="L959" s="16" t="str">
        <f>IFERROR(__xludf.DUMMYFUNCTION("IFERROR(
  IF(
    VLOOKUP(C959, IMPORTRANGE(""gid=860555792"", ""Maestro!B:C""), 2, FALSE) = D959, 
    ""CONCILIADO"", 
    ""ERROR EN MONTO""
  ), 
  ""NO ENCONTRADO EN MAESTRO""
)"),"NO ENCONTRADO EN MAESTRO")</f>
        <v>NO ENCONTRADO EN MAESTRO</v>
      </c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ht="22.5" customHeight="1">
      <c r="A960" s="25"/>
      <c r="B960" s="15"/>
      <c r="C960" s="21"/>
      <c r="D960" s="22"/>
      <c r="E960" s="22"/>
      <c r="F960" s="22"/>
      <c r="G960" s="29"/>
      <c r="H960" s="13"/>
      <c r="I960" s="14">
        <f t="shared" si="1"/>
        <v>0</v>
      </c>
      <c r="J960" s="15">
        <f t="shared" si="2"/>
        <v>0</v>
      </c>
      <c r="K960" s="14">
        <f t="shared" si="3"/>
        <v>0</v>
      </c>
      <c r="L960" s="16" t="str">
        <f>IFERROR(__xludf.DUMMYFUNCTION("IFERROR(
  IF(
    VLOOKUP(C960, IMPORTRANGE(""gid=860555792"", ""Maestro!B:C""), 2, FALSE) = D960, 
    ""CONCILIADO"", 
    ""ERROR EN MONTO""
  ), 
  ""NO ENCONTRADO EN MAESTRO""
)"),"NO ENCONTRADO EN MAESTRO")</f>
        <v>NO ENCONTRADO EN MAESTRO</v>
      </c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ht="22.5" customHeight="1">
      <c r="A961" s="25"/>
      <c r="B961" s="15"/>
      <c r="C961" s="21"/>
      <c r="D961" s="22"/>
      <c r="E961" s="22"/>
      <c r="F961" s="22"/>
      <c r="G961" s="29"/>
      <c r="H961" s="13"/>
      <c r="I961" s="14">
        <f t="shared" si="1"/>
        <v>0</v>
      </c>
      <c r="J961" s="15">
        <f t="shared" si="2"/>
        <v>0</v>
      </c>
      <c r="K961" s="14">
        <f t="shared" si="3"/>
        <v>0</v>
      </c>
      <c r="L961" s="16" t="str">
        <f>IFERROR(__xludf.DUMMYFUNCTION("IFERROR(
  IF(
    VLOOKUP(C961, IMPORTRANGE(""gid=860555792"", ""Maestro!B:C""), 2, FALSE) = D961, 
    ""CONCILIADO"", 
    ""ERROR EN MONTO""
  ), 
  ""NO ENCONTRADO EN MAESTRO""
)"),"NO ENCONTRADO EN MAESTRO")</f>
        <v>NO ENCONTRADO EN MAESTRO</v>
      </c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ht="22.5" customHeight="1">
      <c r="A962" s="25"/>
      <c r="B962" s="15"/>
      <c r="C962" s="21"/>
      <c r="D962" s="22"/>
      <c r="E962" s="22"/>
      <c r="F962" s="22"/>
      <c r="G962" s="29"/>
      <c r="H962" s="13"/>
      <c r="I962" s="14">
        <f t="shared" si="1"/>
        <v>0</v>
      </c>
      <c r="J962" s="15">
        <f t="shared" si="2"/>
        <v>0</v>
      </c>
      <c r="K962" s="14">
        <f t="shared" si="3"/>
        <v>0</v>
      </c>
      <c r="L962" s="16" t="str">
        <f>IFERROR(__xludf.DUMMYFUNCTION("IFERROR(
  IF(
    VLOOKUP(C962, IMPORTRANGE(""gid=860555792"", ""Maestro!B:C""), 2, FALSE) = D962, 
    ""CONCILIADO"", 
    ""ERROR EN MONTO""
  ), 
  ""NO ENCONTRADO EN MAESTRO""
)"),"NO ENCONTRADO EN MAESTRO")</f>
        <v>NO ENCONTRADO EN MAESTRO</v>
      </c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ht="22.5" customHeight="1">
      <c r="A963" s="25"/>
      <c r="B963" s="15"/>
      <c r="C963" s="21"/>
      <c r="D963" s="22"/>
      <c r="E963" s="22"/>
      <c r="F963" s="22"/>
      <c r="G963" s="29"/>
      <c r="H963" s="13"/>
      <c r="I963" s="14">
        <f t="shared" si="1"/>
        <v>0</v>
      </c>
      <c r="J963" s="15">
        <f t="shared" si="2"/>
        <v>0</v>
      </c>
      <c r="K963" s="14">
        <f t="shared" si="3"/>
        <v>0</v>
      </c>
      <c r="L963" s="16" t="str">
        <f>IFERROR(__xludf.DUMMYFUNCTION("IFERROR(
  IF(
    VLOOKUP(C963, IMPORTRANGE(""gid=860555792"", ""Maestro!B:C""), 2, FALSE) = D963, 
    ""CONCILIADO"", 
    ""ERROR EN MONTO""
  ), 
  ""NO ENCONTRADO EN MAESTRO""
)"),"NO ENCONTRADO EN MAESTRO")</f>
        <v>NO ENCONTRADO EN MAESTRO</v>
      </c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ht="22.5" customHeight="1">
      <c r="A964" s="25"/>
      <c r="B964" s="15"/>
      <c r="C964" s="21"/>
      <c r="D964" s="22"/>
      <c r="E964" s="22"/>
      <c r="F964" s="22"/>
      <c r="G964" s="29"/>
      <c r="H964" s="13"/>
      <c r="I964" s="14">
        <f t="shared" si="1"/>
        <v>0</v>
      </c>
      <c r="J964" s="15">
        <f t="shared" si="2"/>
        <v>0</v>
      </c>
      <c r="K964" s="14">
        <f t="shared" si="3"/>
        <v>0</v>
      </c>
      <c r="L964" s="16" t="str">
        <f>IFERROR(__xludf.DUMMYFUNCTION("IFERROR(
  IF(
    VLOOKUP(C964, IMPORTRANGE(""gid=860555792"", ""Maestro!B:C""), 2, FALSE) = D964, 
    ""CONCILIADO"", 
    ""ERROR EN MONTO""
  ), 
  ""NO ENCONTRADO EN MAESTRO""
)"),"NO ENCONTRADO EN MAESTRO")</f>
        <v>NO ENCONTRADO EN MAESTRO</v>
      </c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ht="22.5" customHeight="1">
      <c r="A965" s="25"/>
      <c r="B965" s="15"/>
      <c r="C965" s="21"/>
      <c r="D965" s="22"/>
      <c r="E965" s="22"/>
      <c r="F965" s="22"/>
      <c r="G965" s="29"/>
      <c r="H965" s="13"/>
      <c r="I965" s="14">
        <f t="shared" si="1"/>
        <v>0</v>
      </c>
      <c r="J965" s="15">
        <f t="shared" si="2"/>
        <v>0</v>
      </c>
      <c r="K965" s="14">
        <f t="shared" si="3"/>
        <v>0</v>
      </c>
      <c r="L965" s="16" t="str">
        <f>IFERROR(__xludf.DUMMYFUNCTION("IFERROR(
  IF(
    VLOOKUP(C965, IMPORTRANGE(""gid=860555792"", ""Maestro!B:C""), 2, FALSE) = D965, 
    ""CONCILIADO"", 
    ""ERROR EN MONTO""
  ), 
  ""NO ENCONTRADO EN MAESTRO""
)"),"NO ENCONTRADO EN MAESTRO")</f>
        <v>NO ENCONTRADO EN MAESTRO</v>
      </c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ht="22.5" customHeight="1">
      <c r="A966" s="25"/>
      <c r="B966" s="15"/>
      <c r="C966" s="21"/>
      <c r="D966" s="22"/>
      <c r="E966" s="22"/>
      <c r="F966" s="22"/>
      <c r="G966" s="29"/>
      <c r="H966" s="13"/>
      <c r="I966" s="14">
        <f t="shared" si="1"/>
        <v>0</v>
      </c>
      <c r="J966" s="15">
        <f t="shared" si="2"/>
        <v>0</v>
      </c>
      <c r="K966" s="14">
        <f t="shared" si="3"/>
        <v>0</v>
      </c>
      <c r="L966" s="16" t="str">
        <f>IFERROR(__xludf.DUMMYFUNCTION("IFERROR(
  IF(
    VLOOKUP(C966, IMPORTRANGE(""gid=860555792"", ""Maestro!B:C""), 2, FALSE) = D966, 
    ""CONCILIADO"", 
    ""ERROR EN MONTO""
  ), 
  ""NO ENCONTRADO EN MAESTRO""
)"),"NO ENCONTRADO EN MAESTRO")</f>
        <v>NO ENCONTRADO EN MAESTRO</v>
      </c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ht="22.5" customHeight="1">
      <c r="A967" s="25"/>
      <c r="B967" s="15"/>
      <c r="C967" s="21"/>
      <c r="D967" s="22"/>
      <c r="E967" s="22"/>
      <c r="F967" s="22"/>
      <c r="G967" s="29"/>
      <c r="H967" s="13"/>
      <c r="I967" s="14">
        <f t="shared" si="1"/>
        <v>0</v>
      </c>
      <c r="J967" s="15">
        <f t="shared" si="2"/>
        <v>0</v>
      </c>
      <c r="K967" s="14">
        <f t="shared" si="3"/>
        <v>0</v>
      </c>
      <c r="L967" s="16" t="str">
        <f>IFERROR(__xludf.DUMMYFUNCTION("IFERROR(
  IF(
    VLOOKUP(C967, IMPORTRANGE(""gid=860555792"", ""Maestro!B:C""), 2, FALSE) = D967, 
    ""CONCILIADO"", 
    ""ERROR EN MONTO""
  ), 
  ""NO ENCONTRADO EN MAESTRO""
)"),"NO ENCONTRADO EN MAESTRO")</f>
        <v>NO ENCONTRADO EN MAESTRO</v>
      </c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ht="22.5" customHeight="1">
      <c r="A968" s="25"/>
      <c r="B968" s="15"/>
      <c r="C968" s="21"/>
      <c r="D968" s="22"/>
      <c r="E968" s="22"/>
      <c r="F968" s="22"/>
      <c r="G968" s="29"/>
      <c r="H968" s="13"/>
      <c r="I968" s="14">
        <f t="shared" si="1"/>
        <v>0</v>
      </c>
      <c r="J968" s="15">
        <f t="shared" si="2"/>
        <v>0</v>
      </c>
      <c r="K968" s="14">
        <f t="shared" si="3"/>
        <v>0</v>
      </c>
      <c r="L968" s="16" t="str">
        <f>IFERROR(__xludf.DUMMYFUNCTION("IFERROR(
  IF(
    VLOOKUP(C968, IMPORTRANGE(""gid=860555792"", ""Maestro!B:C""), 2, FALSE) = D968, 
    ""CONCILIADO"", 
    ""ERROR EN MONTO""
  ), 
  ""NO ENCONTRADO EN MAESTRO""
)"),"NO ENCONTRADO EN MAESTRO")</f>
        <v>NO ENCONTRADO EN MAESTRO</v>
      </c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ht="22.5" customHeight="1">
      <c r="A969" s="25"/>
      <c r="B969" s="15"/>
      <c r="C969" s="21"/>
      <c r="D969" s="22"/>
      <c r="E969" s="22"/>
      <c r="F969" s="22"/>
      <c r="G969" s="29"/>
      <c r="H969" s="13"/>
      <c r="I969" s="14">
        <f t="shared" si="1"/>
        <v>0</v>
      </c>
      <c r="J969" s="15">
        <f t="shared" si="2"/>
        <v>0</v>
      </c>
      <c r="K969" s="14">
        <f t="shared" si="3"/>
        <v>0</v>
      </c>
      <c r="L969" s="16" t="str">
        <f>IFERROR(__xludf.DUMMYFUNCTION("IFERROR(
  IF(
    VLOOKUP(C969, IMPORTRANGE(""gid=860555792"", ""Maestro!B:C""), 2, FALSE) = D969, 
    ""CONCILIADO"", 
    ""ERROR EN MONTO""
  ), 
  ""NO ENCONTRADO EN MAESTRO""
)"),"NO ENCONTRADO EN MAESTRO")</f>
        <v>NO ENCONTRADO EN MAESTRO</v>
      </c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ht="22.5" customHeight="1">
      <c r="A970" s="25"/>
      <c r="B970" s="15"/>
      <c r="C970" s="21"/>
      <c r="D970" s="22"/>
      <c r="E970" s="22"/>
      <c r="F970" s="22"/>
      <c r="G970" s="29"/>
      <c r="H970" s="13"/>
      <c r="I970" s="14">
        <f t="shared" si="1"/>
        <v>0</v>
      </c>
      <c r="J970" s="15">
        <f t="shared" si="2"/>
        <v>0</v>
      </c>
      <c r="K970" s="14">
        <f t="shared" si="3"/>
        <v>0</v>
      </c>
      <c r="L970" s="16" t="str">
        <f>IFERROR(__xludf.DUMMYFUNCTION("IFERROR(
  IF(
    VLOOKUP(C970, IMPORTRANGE(""gid=860555792"", ""Maestro!B:C""), 2, FALSE) = D970, 
    ""CONCILIADO"", 
    ""ERROR EN MONTO""
  ), 
  ""NO ENCONTRADO EN MAESTRO""
)"),"NO ENCONTRADO EN MAESTRO")</f>
        <v>NO ENCONTRADO EN MAESTRO</v>
      </c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ht="22.5" customHeight="1">
      <c r="A971" s="25"/>
      <c r="B971" s="15"/>
      <c r="C971" s="21"/>
      <c r="D971" s="22"/>
      <c r="E971" s="22"/>
      <c r="F971" s="22"/>
      <c r="G971" s="29"/>
      <c r="H971" s="13"/>
      <c r="I971" s="14">
        <f t="shared" si="1"/>
        <v>0</v>
      </c>
      <c r="J971" s="15">
        <f t="shared" si="2"/>
        <v>0</v>
      </c>
      <c r="K971" s="14">
        <f t="shared" si="3"/>
        <v>0</v>
      </c>
      <c r="L971" s="16" t="str">
        <f>IFERROR(__xludf.DUMMYFUNCTION("IFERROR(
  IF(
    VLOOKUP(C971, IMPORTRANGE(""gid=860555792"", ""Maestro!B:C""), 2, FALSE) = D971, 
    ""CONCILIADO"", 
    ""ERROR EN MONTO""
  ), 
  ""NO ENCONTRADO EN MAESTRO""
)"),"NO ENCONTRADO EN MAESTRO")</f>
        <v>NO ENCONTRADO EN MAESTRO</v>
      </c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ht="22.5" customHeight="1">
      <c r="A972" s="25"/>
      <c r="B972" s="15"/>
      <c r="C972" s="21"/>
      <c r="D972" s="22"/>
      <c r="E972" s="22"/>
      <c r="F972" s="22"/>
      <c r="G972" s="29"/>
      <c r="H972" s="13"/>
      <c r="I972" s="14">
        <f t="shared" si="1"/>
        <v>0</v>
      </c>
      <c r="J972" s="15">
        <f t="shared" si="2"/>
        <v>0</v>
      </c>
      <c r="K972" s="14">
        <f t="shared" si="3"/>
        <v>0</v>
      </c>
      <c r="L972" s="16" t="str">
        <f>IFERROR(__xludf.DUMMYFUNCTION("IFERROR(
  IF(
    VLOOKUP(C972, IMPORTRANGE(""gid=860555792"", ""Maestro!B:C""), 2, FALSE) = D972, 
    ""CONCILIADO"", 
    ""ERROR EN MONTO""
  ), 
  ""NO ENCONTRADO EN MAESTRO""
)"),"NO ENCONTRADO EN MAESTRO")</f>
        <v>NO ENCONTRADO EN MAESTRO</v>
      </c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ht="22.5" customHeight="1">
      <c r="A973" s="25"/>
      <c r="B973" s="15"/>
      <c r="C973" s="21"/>
      <c r="D973" s="22"/>
      <c r="E973" s="22"/>
      <c r="F973" s="22"/>
      <c r="G973" s="29"/>
      <c r="H973" s="13"/>
      <c r="I973" s="14">
        <f t="shared" si="1"/>
        <v>0</v>
      </c>
      <c r="J973" s="15">
        <f t="shared" si="2"/>
        <v>0</v>
      </c>
      <c r="K973" s="14">
        <f t="shared" si="3"/>
        <v>0</v>
      </c>
      <c r="L973" s="16" t="str">
        <f>IFERROR(__xludf.DUMMYFUNCTION("IFERROR(
  IF(
    VLOOKUP(C973, IMPORTRANGE(""gid=860555792"", ""Maestro!B:C""), 2, FALSE) = D973, 
    ""CONCILIADO"", 
    ""ERROR EN MONTO""
  ), 
  ""NO ENCONTRADO EN MAESTRO""
)"),"NO ENCONTRADO EN MAESTRO")</f>
        <v>NO ENCONTRADO EN MAESTRO</v>
      </c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ht="22.5" customHeight="1">
      <c r="A974" s="25"/>
      <c r="B974" s="15"/>
      <c r="C974" s="21"/>
      <c r="D974" s="22"/>
      <c r="E974" s="22"/>
      <c r="F974" s="22"/>
      <c r="G974" s="29"/>
      <c r="H974" s="13"/>
      <c r="I974" s="14">
        <f t="shared" si="1"/>
        <v>0</v>
      </c>
      <c r="J974" s="15">
        <f t="shared" si="2"/>
        <v>0</v>
      </c>
      <c r="K974" s="14">
        <f t="shared" si="3"/>
        <v>0</v>
      </c>
      <c r="L974" s="16" t="str">
        <f>IFERROR(__xludf.DUMMYFUNCTION("IFERROR(
  IF(
    VLOOKUP(C974, IMPORTRANGE(""gid=860555792"", ""Maestro!B:C""), 2, FALSE) = D974, 
    ""CONCILIADO"", 
    ""ERROR EN MONTO""
  ), 
  ""NO ENCONTRADO EN MAESTRO""
)"),"NO ENCONTRADO EN MAESTRO")</f>
        <v>NO ENCONTRADO EN MAESTRO</v>
      </c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ht="22.5" customHeight="1">
      <c r="A975" s="25"/>
      <c r="B975" s="15"/>
      <c r="C975" s="21"/>
      <c r="D975" s="22"/>
      <c r="E975" s="22"/>
      <c r="F975" s="22"/>
      <c r="G975" s="29"/>
      <c r="H975" s="13"/>
      <c r="I975" s="14">
        <f t="shared" si="1"/>
        <v>0</v>
      </c>
      <c r="J975" s="15">
        <f t="shared" si="2"/>
        <v>0</v>
      </c>
      <c r="K975" s="14">
        <f t="shared" si="3"/>
        <v>0</v>
      </c>
      <c r="L975" s="16" t="str">
        <f>IFERROR(__xludf.DUMMYFUNCTION("IFERROR(
  IF(
    VLOOKUP(C975, IMPORTRANGE(""gid=860555792"", ""Maestro!B:C""), 2, FALSE) = D975, 
    ""CONCILIADO"", 
    ""ERROR EN MONTO""
  ), 
  ""NO ENCONTRADO EN MAESTRO""
)"),"NO ENCONTRADO EN MAESTRO")</f>
        <v>NO ENCONTRADO EN MAESTRO</v>
      </c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ht="22.5" customHeight="1">
      <c r="A976" s="25"/>
      <c r="B976" s="15"/>
      <c r="C976" s="21"/>
      <c r="D976" s="22"/>
      <c r="E976" s="22"/>
      <c r="F976" s="22"/>
      <c r="G976" s="29"/>
      <c r="H976" s="13"/>
      <c r="I976" s="14">
        <f t="shared" si="1"/>
        <v>0</v>
      </c>
      <c r="J976" s="15">
        <f t="shared" si="2"/>
        <v>0</v>
      </c>
      <c r="K976" s="14">
        <f t="shared" si="3"/>
        <v>0</v>
      </c>
      <c r="L976" s="16" t="str">
        <f>IFERROR(__xludf.DUMMYFUNCTION("IFERROR(
  IF(
    VLOOKUP(C976, IMPORTRANGE(""gid=860555792"", ""Maestro!B:C""), 2, FALSE) = D976, 
    ""CONCILIADO"", 
    ""ERROR EN MONTO""
  ), 
  ""NO ENCONTRADO EN MAESTRO""
)"),"NO ENCONTRADO EN MAESTRO")</f>
        <v>NO ENCONTRADO EN MAESTRO</v>
      </c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ht="22.5" customHeight="1">
      <c r="A977" s="25"/>
      <c r="B977" s="15"/>
      <c r="C977" s="21"/>
      <c r="D977" s="22"/>
      <c r="E977" s="22"/>
      <c r="F977" s="22"/>
      <c r="G977" s="29"/>
      <c r="H977" s="13"/>
      <c r="I977" s="14">
        <f t="shared" si="1"/>
        <v>0</v>
      </c>
      <c r="J977" s="15">
        <f t="shared" si="2"/>
        <v>0</v>
      </c>
      <c r="K977" s="14">
        <f t="shared" si="3"/>
        <v>0</v>
      </c>
      <c r="L977" s="16" t="str">
        <f>IFERROR(__xludf.DUMMYFUNCTION("IFERROR(
  IF(
    VLOOKUP(C977, IMPORTRANGE(""gid=860555792"", ""Maestro!B:C""), 2, FALSE) = D977, 
    ""CONCILIADO"", 
    ""ERROR EN MONTO""
  ), 
  ""NO ENCONTRADO EN MAESTRO""
)"),"NO ENCONTRADO EN MAESTRO")</f>
        <v>NO ENCONTRADO EN MAESTRO</v>
      </c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ht="22.5" customHeight="1">
      <c r="A978" s="25"/>
      <c r="B978" s="15"/>
      <c r="C978" s="21"/>
      <c r="D978" s="22"/>
      <c r="E978" s="22"/>
      <c r="F978" s="22"/>
      <c r="G978" s="29"/>
      <c r="H978" s="13"/>
      <c r="I978" s="14">
        <f t="shared" si="1"/>
        <v>0</v>
      </c>
      <c r="J978" s="15">
        <f t="shared" si="2"/>
        <v>0</v>
      </c>
      <c r="K978" s="14">
        <f t="shared" si="3"/>
        <v>0</v>
      </c>
      <c r="L978" s="16" t="str">
        <f>IFERROR(__xludf.DUMMYFUNCTION("IFERROR(
  IF(
    VLOOKUP(C978, IMPORTRANGE(""gid=860555792"", ""Maestro!B:C""), 2, FALSE) = D978, 
    ""CONCILIADO"", 
    ""ERROR EN MONTO""
  ), 
  ""NO ENCONTRADO EN MAESTRO""
)"),"NO ENCONTRADO EN MAESTRO")</f>
        <v>NO ENCONTRADO EN MAESTRO</v>
      </c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ht="22.5" customHeight="1">
      <c r="A979" s="25"/>
      <c r="B979" s="15"/>
      <c r="C979" s="21"/>
      <c r="D979" s="22"/>
      <c r="E979" s="22"/>
      <c r="F979" s="22"/>
      <c r="G979" s="29"/>
      <c r="H979" s="13"/>
      <c r="I979" s="14">
        <f t="shared" si="1"/>
        <v>0</v>
      </c>
      <c r="J979" s="15">
        <f t="shared" si="2"/>
        <v>0</v>
      </c>
      <c r="K979" s="14">
        <f t="shared" si="3"/>
        <v>0</v>
      </c>
      <c r="L979" s="16" t="str">
        <f>IFERROR(__xludf.DUMMYFUNCTION("IFERROR(
  IF(
    VLOOKUP(C979, IMPORTRANGE(""gid=860555792"", ""Maestro!B:C""), 2, FALSE) = D979, 
    ""CONCILIADO"", 
    ""ERROR EN MONTO""
  ), 
  ""NO ENCONTRADO EN MAESTRO""
)"),"NO ENCONTRADO EN MAESTRO")</f>
        <v>NO ENCONTRADO EN MAESTRO</v>
      </c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ht="22.5" customHeight="1">
      <c r="A980" s="25"/>
      <c r="B980" s="15"/>
      <c r="C980" s="21"/>
      <c r="D980" s="22"/>
      <c r="E980" s="22"/>
      <c r="F980" s="22"/>
      <c r="G980" s="29"/>
      <c r="H980" s="13"/>
      <c r="I980" s="14">
        <f t="shared" si="1"/>
        <v>0</v>
      </c>
      <c r="J980" s="15">
        <f t="shared" si="2"/>
        <v>0</v>
      </c>
      <c r="K980" s="14">
        <f t="shared" si="3"/>
        <v>0</v>
      </c>
      <c r="L980" s="16" t="str">
        <f>IFERROR(__xludf.DUMMYFUNCTION("IFERROR(
  IF(
    VLOOKUP(C980, IMPORTRANGE(""gid=860555792"", ""Maestro!B:C""), 2, FALSE) = D980, 
    ""CONCILIADO"", 
    ""ERROR EN MONTO""
  ), 
  ""NO ENCONTRADO EN MAESTRO""
)"),"NO ENCONTRADO EN MAESTRO")</f>
        <v>NO ENCONTRADO EN MAESTRO</v>
      </c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ht="22.5" customHeight="1">
      <c r="A981" s="25"/>
      <c r="B981" s="15"/>
      <c r="C981" s="21"/>
      <c r="D981" s="22"/>
      <c r="E981" s="22"/>
      <c r="F981" s="22"/>
      <c r="G981" s="29"/>
      <c r="H981" s="13"/>
      <c r="I981" s="14">
        <f t="shared" si="1"/>
        <v>0</v>
      </c>
      <c r="J981" s="15">
        <f t="shared" si="2"/>
        <v>0</v>
      </c>
      <c r="K981" s="14">
        <f t="shared" si="3"/>
        <v>0</v>
      </c>
      <c r="L981" s="16" t="str">
        <f>IFERROR(__xludf.DUMMYFUNCTION("IFERROR(
  IF(
    VLOOKUP(C981, IMPORTRANGE(""gid=860555792"", ""Maestro!B:C""), 2, FALSE) = D981, 
    ""CONCILIADO"", 
    ""ERROR EN MONTO""
  ), 
  ""NO ENCONTRADO EN MAESTRO""
)"),"NO ENCONTRADO EN MAESTRO")</f>
        <v>NO ENCONTRADO EN MAESTRO</v>
      </c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ht="22.5" customHeight="1">
      <c r="A982" s="25"/>
      <c r="B982" s="15"/>
      <c r="C982" s="21"/>
      <c r="D982" s="22"/>
      <c r="E982" s="22"/>
      <c r="F982" s="22"/>
      <c r="G982" s="29"/>
      <c r="H982" s="13"/>
      <c r="I982" s="14">
        <f t="shared" si="1"/>
        <v>0</v>
      </c>
      <c r="J982" s="15">
        <f t="shared" si="2"/>
        <v>0</v>
      </c>
      <c r="K982" s="14">
        <f t="shared" si="3"/>
        <v>0</v>
      </c>
      <c r="L982" s="16" t="str">
        <f>IFERROR(__xludf.DUMMYFUNCTION("IFERROR(
  IF(
    VLOOKUP(C982, IMPORTRANGE(""gid=860555792"", ""Maestro!B:C""), 2, FALSE) = D982, 
    ""CONCILIADO"", 
    ""ERROR EN MONTO""
  ), 
  ""NO ENCONTRADO EN MAESTRO""
)"),"NO ENCONTRADO EN MAESTRO")</f>
        <v>NO ENCONTRADO EN MAESTRO</v>
      </c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ht="22.5" customHeight="1">
      <c r="A983" s="25"/>
      <c r="B983" s="15"/>
      <c r="C983" s="21"/>
      <c r="D983" s="22"/>
      <c r="E983" s="22"/>
      <c r="F983" s="22"/>
      <c r="G983" s="29"/>
      <c r="H983" s="13"/>
      <c r="I983" s="14">
        <f t="shared" si="1"/>
        <v>0</v>
      </c>
      <c r="J983" s="15">
        <f t="shared" si="2"/>
        <v>0</v>
      </c>
      <c r="K983" s="14">
        <f t="shared" si="3"/>
        <v>0</v>
      </c>
      <c r="L983" s="16" t="str">
        <f>IFERROR(__xludf.DUMMYFUNCTION("IFERROR(
  IF(
    VLOOKUP(C983, IMPORTRANGE(""gid=860555792"", ""Maestro!B:C""), 2, FALSE) = D983, 
    ""CONCILIADO"", 
    ""ERROR EN MONTO""
  ), 
  ""NO ENCONTRADO EN MAESTRO""
)"),"NO ENCONTRADO EN MAESTRO")</f>
        <v>NO ENCONTRADO EN MAESTRO</v>
      </c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ht="22.5" customHeight="1">
      <c r="A984" s="25"/>
      <c r="B984" s="15"/>
      <c r="C984" s="21"/>
      <c r="D984" s="22"/>
      <c r="E984" s="22"/>
      <c r="F984" s="22"/>
      <c r="G984" s="29"/>
      <c r="H984" s="13"/>
      <c r="I984" s="14">
        <f t="shared" si="1"/>
        <v>0</v>
      </c>
      <c r="J984" s="15">
        <f t="shared" si="2"/>
        <v>0</v>
      </c>
      <c r="K984" s="14">
        <f t="shared" si="3"/>
        <v>0</v>
      </c>
      <c r="L984" s="16" t="str">
        <f>IFERROR(__xludf.DUMMYFUNCTION("IFERROR(
  IF(
    VLOOKUP(C984, IMPORTRANGE(""gid=860555792"", ""Maestro!B:C""), 2, FALSE) = D984, 
    ""CONCILIADO"", 
    ""ERROR EN MONTO""
  ), 
  ""NO ENCONTRADO EN MAESTRO""
)"),"NO ENCONTRADO EN MAESTRO")</f>
        <v>NO ENCONTRADO EN MAESTRO</v>
      </c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ht="22.5" customHeight="1">
      <c r="A985" s="25"/>
      <c r="B985" s="15"/>
      <c r="C985" s="21"/>
      <c r="D985" s="22"/>
      <c r="E985" s="22"/>
      <c r="F985" s="22"/>
      <c r="G985" s="29"/>
      <c r="H985" s="13"/>
      <c r="I985" s="14">
        <f t="shared" si="1"/>
        <v>0</v>
      </c>
      <c r="J985" s="15">
        <f t="shared" si="2"/>
        <v>0</v>
      </c>
      <c r="K985" s="14">
        <f t="shared" si="3"/>
        <v>0</v>
      </c>
      <c r="L985" s="16" t="str">
        <f>IFERROR(__xludf.DUMMYFUNCTION("IFERROR(
  IF(
    VLOOKUP(C985, IMPORTRANGE(""gid=860555792"", ""Maestro!B:C""), 2, FALSE) = D985, 
    ""CONCILIADO"", 
    ""ERROR EN MONTO""
  ), 
  ""NO ENCONTRADO EN MAESTRO""
)"),"NO ENCONTRADO EN MAESTRO")</f>
        <v>NO ENCONTRADO EN MAESTRO</v>
      </c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ht="22.5" customHeight="1">
      <c r="A986" s="25"/>
      <c r="B986" s="15"/>
      <c r="C986" s="21"/>
      <c r="D986" s="22"/>
      <c r="E986" s="22"/>
      <c r="F986" s="22"/>
      <c r="G986" s="29"/>
      <c r="H986" s="13"/>
      <c r="I986" s="14">
        <f t="shared" si="1"/>
        <v>0</v>
      </c>
      <c r="J986" s="15">
        <f t="shared" si="2"/>
        <v>0</v>
      </c>
      <c r="K986" s="14">
        <f t="shared" si="3"/>
        <v>0</v>
      </c>
      <c r="L986" s="16" t="str">
        <f>IFERROR(__xludf.DUMMYFUNCTION("IFERROR(
  IF(
    VLOOKUP(C986, IMPORTRANGE(""gid=860555792"", ""Maestro!B:C""), 2, FALSE) = D986, 
    ""CONCILIADO"", 
    ""ERROR EN MONTO""
  ), 
  ""NO ENCONTRADO EN MAESTRO""
)"),"NO ENCONTRADO EN MAESTRO")</f>
        <v>NO ENCONTRADO EN MAESTRO</v>
      </c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ht="22.5" customHeight="1">
      <c r="A987" s="25"/>
      <c r="B987" s="15"/>
      <c r="C987" s="21"/>
      <c r="D987" s="22"/>
      <c r="E987" s="22"/>
      <c r="F987" s="22"/>
      <c r="G987" s="29"/>
      <c r="H987" s="13"/>
      <c r="I987" s="14">
        <f t="shared" si="1"/>
        <v>0</v>
      </c>
      <c r="J987" s="15">
        <f t="shared" si="2"/>
        <v>0</v>
      </c>
      <c r="K987" s="14">
        <f t="shared" si="3"/>
        <v>0</v>
      </c>
      <c r="L987" s="16" t="str">
        <f>IFERROR(__xludf.DUMMYFUNCTION("IFERROR(
  IF(
    VLOOKUP(C987, IMPORTRANGE(""gid=860555792"", ""Maestro!B:C""), 2, FALSE) = D987, 
    ""CONCILIADO"", 
    ""ERROR EN MONTO""
  ), 
  ""NO ENCONTRADO EN MAESTRO""
)"),"NO ENCONTRADO EN MAESTRO")</f>
        <v>NO ENCONTRADO EN MAESTRO</v>
      </c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ht="22.5" customHeight="1">
      <c r="A988" s="25"/>
      <c r="B988" s="15"/>
      <c r="C988" s="21"/>
      <c r="D988" s="22"/>
      <c r="E988" s="22"/>
      <c r="F988" s="22"/>
      <c r="G988" s="29"/>
      <c r="H988" s="13"/>
      <c r="I988" s="14">
        <f t="shared" si="1"/>
        <v>0</v>
      </c>
      <c r="J988" s="15">
        <f t="shared" si="2"/>
        <v>0</v>
      </c>
      <c r="K988" s="14">
        <f t="shared" si="3"/>
        <v>0</v>
      </c>
      <c r="L988" s="16" t="str">
        <f>IFERROR(__xludf.DUMMYFUNCTION("IFERROR(
  IF(
    VLOOKUP(C988, IMPORTRANGE(""gid=860555792"", ""Maestro!B:C""), 2, FALSE) = D988, 
    ""CONCILIADO"", 
    ""ERROR EN MONTO""
  ), 
  ""NO ENCONTRADO EN MAESTRO""
)"),"NO ENCONTRADO EN MAESTRO")</f>
        <v>NO ENCONTRADO EN MAESTRO</v>
      </c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ht="22.5" customHeight="1">
      <c r="A989" s="25"/>
      <c r="B989" s="15"/>
      <c r="C989" s="21"/>
      <c r="D989" s="22"/>
      <c r="E989" s="22"/>
      <c r="F989" s="22"/>
      <c r="G989" s="29"/>
      <c r="H989" s="13"/>
      <c r="I989" s="14">
        <f t="shared" si="1"/>
        <v>0</v>
      </c>
      <c r="J989" s="15">
        <f t="shared" si="2"/>
        <v>0</v>
      </c>
      <c r="K989" s="14">
        <f t="shared" si="3"/>
        <v>0</v>
      </c>
      <c r="L989" s="16" t="str">
        <f>IFERROR(__xludf.DUMMYFUNCTION("IFERROR(
  IF(
    VLOOKUP(C989, IMPORTRANGE(""gid=860555792"", ""Maestro!B:C""), 2, FALSE) = D989, 
    ""CONCILIADO"", 
    ""ERROR EN MONTO""
  ), 
  ""NO ENCONTRADO EN MAESTRO""
)"),"NO ENCONTRADO EN MAESTRO")</f>
        <v>NO ENCONTRADO EN MAESTRO</v>
      </c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ht="22.5" customHeight="1">
      <c r="A990" s="25"/>
      <c r="B990" s="15"/>
      <c r="C990" s="21"/>
      <c r="D990" s="22"/>
      <c r="E990" s="22"/>
      <c r="F990" s="22"/>
      <c r="G990" s="29"/>
      <c r="H990" s="13"/>
      <c r="I990" s="14">
        <f t="shared" si="1"/>
        <v>0</v>
      </c>
      <c r="J990" s="15">
        <f t="shared" si="2"/>
        <v>0</v>
      </c>
      <c r="K990" s="14">
        <f t="shared" si="3"/>
        <v>0</v>
      </c>
      <c r="L990" s="16" t="str">
        <f>IFERROR(__xludf.DUMMYFUNCTION("IFERROR(
  IF(
    VLOOKUP(C990, IMPORTRANGE(""gid=860555792"", ""Maestro!B:C""), 2, FALSE) = D990, 
    ""CONCILIADO"", 
    ""ERROR EN MONTO""
  ), 
  ""NO ENCONTRADO EN MAESTRO""
)"),"NO ENCONTRADO EN MAESTRO")</f>
        <v>NO ENCONTRADO EN MAESTRO</v>
      </c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ht="22.5" customHeight="1">
      <c r="A991" s="25"/>
      <c r="B991" s="15"/>
      <c r="C991" s="21"/>
      <c r="D991" s="22"/>
      <c r="E991" s="22"/>
      <c r="F991" s="22"/>
      <c r="G991" s="29"/>
      <c r="H991" s="13"/>
      <c r="I991" s="14">
        <f t="shared" si="1"/>
        <v>0</v>
      </c>
      <c r="J991" s="15">
        <f t="shared" si="2"/>
        <v>0</v>
      </c>
      <c r="K991" s="14">
        <f t="shared" si="3"/>
        <v>0</v>
      </c>
      <c r="L991" s="16" t="str">
        <f>IFERROR(__xludf.DUMMYFUNCTION("IFERROR(
  IF(
    VLOOKUP(C991, IMPORTRANGE(""gid=860555792"", ""Maestro!B:C""), 2, FALSE) = D991, 
    ""CONCILIADO"", 
    ""ERROR EN MONTO""
  ), 
  ""NO ENCONTRADO EN MAESTRO""
)"),"NO ENCONTRADO EN MAESTRO")</f>
        <v>NO ENCONTRADO EN MAESTRO</v>
      </c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ht="22.5" customHeight="1">
      <c r="A992" s="25"/>
      <c r="B992" s="15"/>
      <c r="C992" s="21"/>
      <c r="D992" s="22"/>
      <c r="E992" s="22"/>
      <c r="F992" s="22"/>
      <c r="G992" s="29"/>
      <c r="H992" s="13"/>
      <c r="I992" s="14">
        <f t="shared" si="1"/>
        <v>0</v>
      </c>
      <c r="J992" s="15">
        <f t="shared" si="2"/>
        <v>0</v>
      </c>
      <c r="K992" s="14">
        <f t="shared" si="3"/>
        <v>0</v>
      </c>
      <c r="L992" s="16" t="str">
        <f>IFERROR(__xludf.DUMMYFUNCTION("IFERROR(
  IF(
    VLOOKUP(C992, IMPORTRANGE(""gid=860555792"", ""Maestro!B:C""), 2, FALSE) = D992, 
    ""CONCILIADO"", 
    ""ERROR EN MONTO""
  ), 
  ""NO ENCONTRADO EN MAESTRO""
)"),"NO ENCONTRADO EN MAESTRO")</f>
        <v>NO ENCONTRADO EN MAESTRO</v>
      </c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ht="22.5" customHeight="1">
      <c r="A993" s="25"/>
      <c r="B993" s="15"/>
      <c r="C993" s="21"/>
      <c r="D993" s="22"/>
      <c r="E993" s="22"/>
      <c r="F993" s="22"/>
      <c r="G993" s="29"/>
      <c r="H993" s="13"/>
      <c r="I993" s="14">
        <f t="shared" si="1"/>
        <v>0</v>
      </c>
      <c r="J993" s="15">
        <f t="shared" si="2"/>
        <v>0</v>
      </c>
      <c r="K993" s="14">
        <f t="shared" si="3"/>
        <v>0</v>
      </c>
      <c r="L993" s="16" t="str">
        <f>IFERROR(__xludf.DUMMYFUNCTION("IFERROR(
  IF(
    VLOOKUP(C993, IMPORTRANGE(""gid=860555792"", ""Maestro!B:C""), 2, FALSE) = D993, 
    ""CONCILIADO"", 
    ""ERROR EN MONTO""
  ), 
  ""NO ENCONTRADO EN MAESTRO""
)"),"NO ENCONTRADO EN MAESTRO")</f>
        <v>NO ENCONTRADO EN MAESTRO</v>
      </c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ht="22.5" customHeight="1">
      <c r="A994" s="25"/>
      <c r="B994" s="15"/>
      <c r="C994" s="21"/>
      <c r="D994" s="22"/>
      <c r="E994" s="22"/>
      <c r="F994" s="22"/>
      <c r="G994" s="29"/>
      <c r="H994" s="13"/>
      <c r="I994" s="14">
        <f t="shared" si="1"/>
        <v>0</v>
      </c>
      <c r="J994" s="15">
        <f t="shared" si="2"/>
        <v>0</v>
      </c>
      <c r="K994" s="14">
        <f t="shared" si="3"/>
        <v>0</v>
      </c>
      <c r="L994" s="16" t="str">
        <f>IFERROR(__xludf.DUMMYFUNCTION("IFERROR(
  IF(
    VLOOKUP(C994, IMPORTRANGE(""gid=860555792"", ""Maestro!B:C""), 2, FALSE) = D994, 
    ""CONCILIADO"", 
    ""ERROR EN MONTO""
  ), 
  ""NO ENCONTRADO EN MAESTRO""
)"),"NO ENCONTRADO EN MAESTRO")</f>
        <v>NO ENCONTRADO EN MAESTRO</v>
      </c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ht="22.5" customHeight="1">
      <c r="A995" s="25"/>
      <c r="B995" s="15"/>
      <c r="C995" s="21"/>
      <c r="D995" s="22"/>
      <c r="E995" s="22"/>
      <c r="F995" s="22"/>
      <c r="G995" s="29"/>
      <c r="H995" s="13"/>
      <c r="I995" s="14">
        <f t="shared" si="1"/>
        <v>0</v>
      </c>
      <c r="J995" s="15">
        <f t="shared" si="2"/>
        <v>0</v>
      </c>
      <c r="K995" s="14">
        <f t="shared" si="3"/>
        <v>0</v>
      </c>
      <c r="L995" s="16" t="str">
        <f>IFERROR(__xludf.DUMMYFUNCTION("IFERROR(
  IF(
    VLOOKUP(C995, IMPORTRANGE(""gid=860555792"", ""Maestro!B:C""), 2, FALSE) = D995, 
    ""CONCILIADO"", 
    ""ERROR EN MONTO""
  ), 
  ""NO ENCONTRADO EN MAESTRO""
)"),"NO ENCONTRADO EN MAESTRO")</f>
        <v>NO ENCONTRADO EN MAESTRO</v>
      </c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ht="22.5" customHeight="1">
      <c r="A996" s="25"/>
      <c r="B996" s="15"/>
      <c r="C996" s="21"/>
      <c r="D996" s="22"/>
      <c r="E996" s="22"/>
      <c r="F996" s="22"/>
      <c r="G996" s="29"/>
      <c r="H996" s="13"/>
      <c r="I996" s="14">
        <f t="shared" si="1"/>
        <v>0</v>
      </c>
      <c r="J996" s="15">
        <f t="shared" si="2"/>
        <v>0</v>
      </c>
      <c r="K996" s="14">
        <f t="shared" si="3"/>
        <v>0</v>
      </c>
      <c r="L996" s="16" t="str">
        <f>IFERROR(__xludf.DUMMYFUNCTION("IFERROR(
  IF(
    VLOOKUP(C996, IMPORTRANGE(""gid=860555792"", ""Maestro!B:C""), 2, FALSE) = D996, 
    ""CONCILIADO"", 
    ""ERROR EN MONTO""
  ), 
  ""NO ENCONTRADO EN MAESTRO""
)"),"NO ENCONTRADO EN MAESTRO")</f>
        <v>NO ENCONTRADO EN MAESTRO</v>
      </c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ht="22.5" customHeight="1">
      <c r="A997" s="25"/>
      <c r="B997" s="15"/>
      <c r="C997" s="21"/>
      <c r="D997" s="22"/>
      <c r="E997" s="22"/>
      <c r="F997" s="22"/>
      <c r="G997" s="29"/>
      <c r="H997" s="13"/>
      <c r="I997" s="14">
        <f t="shared" si="1"/>
        <v>0</v>
      </c>
      <c r="J997" s="15">
        <f t="shared" si="2"/>
        <v>0</v>
      </c>
      <c r="K997" s="14">
        <f t="shared" si="3"/>
        <v>0</v>
      </c>
      <c r="L997" s="16" t="str">
        <f>IFERROR(__xludf.DUMMYFUNCTION("IFERROR(
  IF(
    VLOOKUP(C997, IMPORTRANGE(""gid=860555792"", ""Maestro!B:C""), 2, FALSE) = D997, 
    ""CONCILIADO"", 
    ""ERROR EN MONTO""
  ), 
  ""NO ENCONTRADO EN MAESTRO""
)"),"NO ENCONTRADO EN MAESTRO")</f>
        <v>NO ENCONTRADO EN MAESTRO</v>
      </c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ht="22.5" customHeight="1">
      <c r="A998" s="25"/>
      <c r="B998" s="15"/>
      <c r="C998" s="21"/>
      <c r="D998" s="22"/>
      <c r="E998" s="22"/>
      <c r="F998" s="22"/>
      <c r="G998" s="29"/>
      <c r="H998" s="13"/>
      <c r="I998" s="14">
        <f t="shared" si="1"/>
        <v>0</v>
      </c>
      <c r="J998" s="15">
        <f t="shared" si="2"/>
        <v>0</v>
      </c>
      <c r="K998" s="14">
        <f t="shared" si="3"/>
        <v>0</v>
      </c>
      <c r="L998" s="16" t="str">
        <f>IFERROR(__xludf.DUMMYFUNCTION("IFERROR(
  IF(
    VLOOKUP(C998, IMPORTRANGE(""gid=860555792"", ""Maestro!B:C""), 2, FALSE) = D998, 
    ""CONCILIADO"", 
    ""ERROR EN MONTO""
  ), 
  ""NO ENCONTRADO EN MAESTRO""
)"),"NO ENCONTRADO EN MAESTRO")</f>
        <v>NO ENCONTRADO EN MAESTRO</v>
      </c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 ht="22.5" customHeight="1">
      <c r="A999" s="25"/>
      <c r="B999" s="15"/>
      <c r="C999" s="21"/>
      <c r="D999" s="22"/>
      <c r="E999" s="22"/>
      <c r="F999" s="22"/>
      <c r="G999" s="29"/>
      <c r="H999" s="13"/>
      <c r="I999" s="14">
        <f t="shared" si="1"/>
        <v>0</v>
      </c>
      <c r="J999" s="15">
        <f t="shared" si="2"/>
        <v>0</v>
      </c>
      <c r="K999" s="14">
        <f t="shared" si="3"/>
        <v>0</v>
      </c>
      <c r="L999" s="16" t="str">
        <f>IFERROR(__xludf.DUMMYFUNCTION("IFERROR(
  IF(
    VLOOKUP(C999, IMPORTRANGE(""gid=860555792"", ""Maestro!B:C""), 2, FALSE) = D999, 
    ""CONCILIADO"", 
    ""ERROR EN MONTO""
  ), 
  ""NO ENCONTRADO EN MAESTRO""
)"),"NO ENCONTRADO EN MAESTRO")</f>
        <v>NO ENCONTRADO EN MAESTRO</v>
      </c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 ht="22.5" customHeight="1">
      <c r="A1000" s="25"/>
      <c r="B1000" s="15"/>
      <c r="C1000" s="21"/>
      <c r="D1000" s="22"/>
      <c r="E1000" s="22"/>
      <c r="F1000" s="22"/>
      <c r="G1000" s="29"/>
      <c r="H1000" s="13"/>
      <c r="I1000" s="14">
        <f t="shared" si="1"/>
        <v>0</v>
      </c>
      <c r="J1000" s="15">
        <f t="shared" si="2"/>
        <v>0</v>
      </c>
      <c r="K1000" s="14">
        <f t="shared" si="3"/>
        <v>0</v>
      </c>
      <c r="L1000" s="16" t="str">
        <f>IFERROR(__xludf.DUMMYFUNCTION("IFERROR(
  IF(
    VLOOKUP(C1000, IMPORTRANGE(""gid=860555792"", ""Maestro!B:C""), 2, FALSE) = D1000, 
    ""CONCILIADO"", 
    ""ERROR EN MONTO""
  ), 
  ""NO ENCONTRADO EN MAESTRO""
)"),"NO ENCONTRADO EN MAESTRO")</f>
        <v>NO ENCONTRADO EN MAESTRO</v>
      </c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  <row r="1001" ht="22.5" customHeight="1">
      <c r="A1001" s="25"/>
      <c r="B1001" s="15"/>
      <c r="C1001" s="21"/>
      <c r="D1001" s="22"/>
      <c r="E1001" s="22"/>
      <c r="F1001" s="22"/>
      <c r="G1001" s="29"/>
      <c r="H1001" s="13"/>
      <c r="I1001" s="14">
        <f t="shared" si="1"/>
        <v>0</v>
      </c>
      <c r="J1001" s="15">
        <f t="shared" si="2"/>
        <v>0</v>
      </c>
      <c r="K1001" s="14">
        <f t="shared" si="3"/>
        <v>0</v>
      </c>
      <c r="L1001" s="16" t="str">
        <f>IFERROR(__xludf.DUMMYFUNCTION("IFERROR(
  IF(
    VLOOKUP(C1001, IMPORTRANGE(""gid=860555792"", ""Maestro!B:C""), 2, FALSE) = D1001, 
    ""CONCILIADO"", 
    ""ERROR EN MONTO""
  ), 
  ""NO ENCONTRADO EN MAESTRO""
)"),"NO ENCONTRADO EN MAESTRO")</f>
        <v>NO ENCONTRADO EN MAESTRO</v>
      </c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</row>
    <row r="1002" ht="22.5" customHeight="1">
      <c r="A1002" s="25"/>
      <c r="B1002" s="15"/>
      <c r="C1002" s="21"/>
      <c r="D1002" s="22"/>
      <c r="E1002" s="22"/>
      <c r="F1002" s="22"/>
      <c r="G1002" s="29"/>
      <c r="H1002" s="13"/>
      <c r="I1002" s="14">
        <f t="shared" si="1"/>
        <v>0</v>
      </c>
      <c r="J1002" s="15">
        <f t="shared" si="2"/>
        <v>0</v>
      </c>
      <c r="K1002" s="14">
        <f t="shared" si="3"/>
        <v>0</v>
      </c>
      <c r="L1002" s="16" t="str">
        <f>IFERROR(__xludf.DUMMYFUNCTION("IFERROR(
  IF(
    VLOOKUP(C1002, IMPORTRANGE(""gid=860555792"", ""Maestro!B:C""), 2, FALSE) = D1002, 
    ""CONCILIADO"", 
    ""ERROR EN MONTO""
  ), 
  ""NO ENCONTRADO EN MAESTRO""
)"),"NO ENCONTRADO EN MAESTRO")</f>
        <v>NO ENCONTRADO EN MAESTRO</v>
      </c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</row>
    <row r="1003" ht="22.5" customHeight="1">
      <c r="A1003" s="25"/>
      <c r="B1003" s="15"/>
      <c r="C1003" s="21"/>
      <c r="D1003" s="22"/>
      <c r="E1003" s="22"/>
      <c r="F1003" s="22"/>
      <c r="G1003" s="29"/>
      <c r="H1003" s="13"/>
      <c r="I1003" s="14">
        <f t="shared" si="1"/>
        <v>0</v>
      </c>
      <c r="J1003" s="15">
        <f t="shared" si="2"/>
        <v>0</v>
      </c>
      <c r="K1003" s="14">
        <f t="shared" si="3"/>
        <v>0</v>
      </c>
      <c r="L1003" s="16" t="str">
        <f>IFERROR(__xludf.DUMMYFUNCTION("IFERROR(
  IF(
    VLOOKUP(C1003, IMPORTRANGE(""gid=860555792"", ""Maestro!B:C""), 2, FALSE) = D1003, 
    ""CONCILIADO"", 
    ""ERROR EN MONTO""
  ), 
  ""NO ENCONTRADO EN MAESTRO""
)"),"NO ENCONTRADO EN MAESTRO")</f>
        <v>NO ENCONTRADO EN MAESTRO</v>
      </c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</row>
    <row r="1004" ht="22.5" customHeight="1">
      <c r="A1004" s="25"/>
      <c r="B1004" s="15"/>
      <c r="C1004" s="21"/>
      <c r="D1004" s="22"/>
      <c r="E1004" s="22"/>
      <c r="F1004" s="22"/>
      <c r="G1004" s="29"/>
      <c r="H1004" s="13"/>
      <c r="I1004" s="14">
        <f t="shared" si="1"/>
        <v>0</v>
      </c>
      <c r="J1004" s="15">
        <f t="shared" si="2"/>
        <v>0</v>
      </c>
      <c r="K1004" s="14">
        <f t="shared" si="3"/>
        <v>0</v>
      </c>
      <c r="L1004" s="16" t="str">
        <f>IFERROR(__xludf.DUMMYFUNCTION("IFERROR(
  IF(
    VLOOKUP(C1004, IMPORTRANGE(""gid=860555792"", ""Maestro!B:C""), 2, FALSE) = D1004, 
    ""CONCILIADO"", 
    ""ERROR EN MONTO""
  ), 
  ""NO ENCONTRADO EN MAESTRO""
)"),"NO ENCONTRADO EN MAESTRO")</f>
        <v>NO ENCONTRADO EN MAESTRO</v>
      </c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</row>
    <row r="1005" ht="22.5" customHeight="1">
      <c r="A1005" s="25"/>
      <c r="B1005" s="15"/>
      <c r="C1005" s="21"/>
      <c r="D1005" s="22"/>
      <c r="E1005" s="22"/>
      <c r="F1005" s="22"/>
      <c r="G1005" s="29"/>
      <c r="H1005" s="13"/>
      <c r="I1005" s="14">
        <f t="shared" si="1"/>
        <v>0</v>
      </c>
      <c r="J1005" s="15">
        <f t="shared" si="2"/>
        <v>0</v>
      </c>
      <c r="K1005" s="14">
        <f t="shared" si="3"/>
        <v>0</v>
      </c>
      <c r="L1005" s="16" t="str">
        <f>IFERROR(__xludf.DUMMYFUNCTION("IFERROR(
  IF(
    VLOOKUP(C1005, IMPORTRANGE(""gid=860555792"", ""Maestro!B:C""), 2, FALSE) = D1005, 
    ""CONCILIADO"", 
    ""ERROR EN MONTO""
  ), 
  ""NO ENCONTRADO EN MAESTRO""
)"),"NO ENCONTRADO EN MAESTRO")</f>
        <v>NO ENCONTRADO EN MAESTRO</v>
      </c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</row>
    <row r="1006" ht="22.5" customHeight="1">
      <c r="A1006" s="25"/>
      <c r="B1006" s="15"/>
      <c r="C1006" s="21"/>
      <c r="D1006" s="22"/>
      <c r="E1006" s="22"/>
      <c r="F1006" s="22"/>
      <c r="G1006" s="29"/>
      <c r="H1006" s="13"/>
      <c r="I1006" s="14">
        <f t="shared" si="1"/>
        <v>0</v>
      </c>
      <c r="J1006" s="15">
        <f t="shared" si="2"/>
        <v>0</v>
      </c>
      <c r="K1006" s="14">
        <f t="shared" si="3"/>
        <v>0</v>
      </c>
      <c r="L1006" s="16" t="str">
        <f>IFERROR(__xludf.DUMMYFUNCTION("IFERROR(
  IF(
    VLOOKUP(C1006, IMPORTRANGE(""gid=860555792"", ""Maestro!B:C""), 2, FALSE) = D1006, 
    ""CONCILIADO"", 
    ""ERROR EN MONTO""
  ), 
  ""NO ENCONTRADO EN MAESTRO""
)"),"NO ENCONTRADO EN MAESTRO")</f>
        <v>NO ENCONTRADO EN MAESTRO</v>
      </c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</row>
    <row r="1007" ht="22.5" customHeight="1">
      <c r="A1007" s="25"/>
      <c r="B1007" s="15"/>
      <c r="C1007" s="21"/>
      <c r="D1007" s="22"/>
      <c r="E1007" s="22"/>
      <c r="F1007" s="22"/>
      <c r="G1007" s="29"/>
      <c r="H1007" s="13"/>
      <c r="I1007" s="14">
        <f t="shared" si="1"/>
        <v>0</v>
      </c>
      <c r="J1007" s="15">
        <f t="shared" si="2"/>
        <v>0</v>
      </c>
      <c r="K1007" s="14">
        <f t="shared" si="3"/>
        <v>0</v>
      </c>
      <c r="L1007" s="16" t="str">
        <f>IFERROR(__xludf.DUMMYFUNCTION("IFERROR(
  IF(
    VLOOKUP(C1007, IMPORTRANGE(""gid=860555792"", ""Maestro!B:C""), 2, FALSE) = D1007, 
    ""CONCILIADO"", 
    ""ERROR EN MONTO""
  ), 
  ""NO ENCONTRADO EN MAESTRO""
)"),"NO ENCONTRADO EN MAESTRO")</f>
        <v>NO ENCONTRADO EN MAESTRO</v>
      </c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</row>
    <row r="1008" ht="22.5" customHeight="1">
      <c r="A1008" s="25"/>
      <c r="B1008" s="15"/>
      <c r="C1008" s="21"/>
      <c r="D1008" s="22"/>
      <c r="E1008" s="22"/>
      <c r="F1008" s="22"/>
      <c r="G1008" s="29"/>
      <c r="H1008" s="13"/>
      <c r="I1008" s="14">
        <f t="shared" si="1"/>
        <v>0</v>
      </c>
      <c r="J1008" s="15">
        <f t="shared" si="2"/>
        <v>0</v>
      </c>
      <c r="K1008" s="14">
        <f t="shared" si="3"/>
        <v>0</v>
      </c>
      <c r="L1008" s="16" t="str">
        <f>IFERROR(__xludf.DUMMYFUNCTION("IFERROR(
  IF(
    VLOOKUP(C1008, IMPORTRANGE(""gid=860555792"", ""Maestro!B:C""), 2, FALSE) = D1008, 
    ""CONCILIADO"", 
    ""ERROR EN MONTO""
  ), 
  ""NO ENCONTRADO EN MAESTRO""
)"),"NO ENCONTRADO EN MAESTRO")</f>
        <v>NO ENCONTRADO EN MAESTRO</v>
      </c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</row>
    <row r="1009" ht="22.5" customHeight="1">
      <c r="A1009" s="25"/>
      <c r="B1009" s="15"/>
      <c r="C1009" s="21"/>
      <c r="D1009" s="22"/>
      <c r="E1009" s="22"/>
      <c r="F1009" s="22"/>
      <c r="G1009" s="29"/>
      <c r="H1009" s="13"/>
      <c r="I1009" s="14">
        <f t="shared" si="1"/>
        <v>0</v>
      </c>
      <c r="J1009" s="15">
        <f t="shared" si="2"/>
        <v>0</v>
      </c>
      <c r="K1009" s="14">
        <f t="shared" si="3"/>
        <v>0</v>
      </c>
      <c r="L1009" s="16" t="str">
        <f>IFERROR(__xludf.DUMMYFUNCTION("IFERROR(
  IF(
    VLOOKUP(C1009, IMPORTRANGE(""gid=860555792"", ""Maestro!B:C""), 2, FALSE) = D1009, 
    ""CONCILIADO"", 
    ""ERROR EN MONTO""
  ), 
  ""NO ENCONTRADO EN MAESTRO""
)"),"NO ENCONTRADO EN MAESTRO")</f>
        <v>NO ENCONTRADO EN MAESTRO</v>
      </c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</row>
    <row r="1010" ht="22.5" customHeight="1">
      <c r="A1010" s="25"/>
      <c r="B1010" s="15"/>
      <c r="C1010" s="21"/>
      <c r="D1010" s="22"/>
      <c r="E1010" s="22"/>
      <c r="F1010" s="22"/>
      <c r="G1010" s="29"/>
      <c r="H1010" s="13"/>
      <c r="I1010" s="14">
        <f t="shared" si="1"/>
        <v>0</v>
      </c>
      <c r="J1010" s="15">
        <f t="shared" si="2"/>
        <v>0</v>
      </c>
      <c r="K1010" s="14">
        <f t="shared" si="3"/>
        <v>0</v>
      </c>
      <c r="L1010" s="16" t="str">
        <f>IFERROR(__xludf.DUMMYFUNCTION("IFERROR(
  IF(
    VLOOKUP(C1010, IMPORTRANGE(""gid=860555792"", ""Maestro!B:C""), 2, FALSE) = D1010, 
    ""CONCILIADO"", 
    ""ERROR EN MONTO""
  ), 
  ""NO ENCONTRADO EN MAESTRO""
)"),"NO ENCONTRADO EN MAESTRO")</f>
        <v>NO ENCONTRADO EN MAESTRO</v>
      </c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</row>
    <row r="1011" ht="22.5" customHeight="1">
      <c r="A1011" s="25"/>
      <c r="B1011" s="15"/>
      <c r="C1011" s="21"/>
      <c r="D1011" s="22"/>
      <c r="E1011" s="22"/>
      <c r="F1011" s="22"/>
      <c r="G1011" s="29"/>
      <c r="H1011" s="13"/>
      <c r="I1011" s="14">
        <f t="shared" si="1"/>
        <v>0</v>
      </c>
      <c r="J1011" s="15">
        <f t="shared" si="2"/>
        <v>0</v>
      </c>
      <c r="K1011" s="14">
        <f t="shared" si="3"/>
        <v>0</v>
      </c>
      <c r="L1011" s="16" t="str">
        <f>IFERROR(__xludf.DUMMYFUNCTION("IFERROR(
  IF(
    VLOOKUP(C1011, IMPORTRANGE(""gid=860555792"", ""Maestro!B:C""), 2, FALSE) = D1011, 
    ""CONCILIADO"", 
    ""ERROR EN MONTO""
  ), 
  ""NO ENCONTRADO EN MAESTRO""
)"),"NO ENCONTRADO EN MAESTRO")</f>
        <v>NO ENCONTRADO EN MAESTRO</v>
      </c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</row>
    <row r="1012" ht="22.5" customHeight="1">
      <c r="A1012" s="25"/>
      <c r="B1012" s="15"/>
      <c r="C1012" s="21"/>
      <c r="D1012" s="22"/>
      <c r="E1012" s="22"/>
      <c r="F1012" s="22"/>
      <c r="G1012" s="29"/>
      <c r="H1012" s="13"/>
      <c r="I1012" s="14">
        <f t="shared" si="1"/>
        <v>0</v>
      </c>
      <c r="J1012" s="15">
        <f t="shared" si="2"/>
        <v>0</v>
      </c>
      <c r="K1012" s="14">
        <f t="shared" si="3"/>
        <v>0</v>
      </c>
      <c r="L1012" s="16" t="str">
        <f>IFERROR(__xludf.DUMMYFUNCTION("IFERROR(
  IF(
    VLOOKUP(C1012, IMPORTRANGE(""gid=860555792"", ""Maestro!B:C""), 2, FALSE) = D1012, 
    ""CONCILIADO"", 
    ""ERROR EN MONTO""
  ), 
  ""NO ENCONTRADO EN MAESTRO""
)"),"NO ENCONTRADO EN MAESTRO")</f>
        <v>NO ENCONTRADO EN MAESTRO</v>
      </c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</row>
    <row r="1013" ht="22.5" customHeight="1">
      <c r="A1013" s="25"/>
      <c r="B1013" s="15"/>
      <c r="C1013" s="21"/>
      <c r="D1013" s="22"/>
      <c r="E1013" s="22"/>
      <c r="F1013" s="22"/>
      <c r="G1013" s="29"/>
      <c r="H1013" s="13"/>
      <c r="I1013" s="14">
        <f t="shared" si="1"/>
        <v>0</v>
      </c>
      <c r="J1013" s="15">
        <f t="shared" si="2"/>
        <v>0</v>
      </c>
      <c r="K1013" s="14">
        <f t="shared" si="3"/>
        <v>0</v>
      </c>
      <c r="L1013" s="16" t="str">
        <f>IFERROR(__xludf.DUMMYFUNCTION("IFERROR(
  IF(
    VLOOKUP(C1013, IMPORTRANGE(""gid=860555792"", ""Maestro!B:C""), 2, FALSE) = D1013, 
    ""CONCILIADO"", 
    ""ERROR EN MONTO""
  ), 
  ""NO ENCONTRADO EN MAESTRO""
)"),"NO ENCONTRADO EN MAESTRO")</f>
        <v>NO ENCONTRADO EN MAESTRO</v>
      </c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</row>
    <row r="1014" ht="22.5" customHeight="1">
      <c r="A1014" s="25"/>
      <c r="B1014" s="15"/>
      <c r="C1014" s="21"/>
      <c r="D1014" s="22"/>
      <c r="E1014" s="22"/>
      <c r="F1014" s="22"/>
      <c r="G1014" s="29"/>
      <c r="H1014" s="13"/>
      <c r="I1014" s="14">
        <f t="shared" si="1"/>
        <v>0</v>
      </c>
      <c r="J1014" s="15">
        <f t="shared" si="2"/>
        <v>0</v>
      </c>
      <c r="K1014" s="14">
        <f t="shared" si="3"/>
        <v>0</v>
      </c>
      <c r="L1014" s="16" t="str">
        <f>IFERROR(__xludf.DUMMYFUNCTION("IFERROR(
  IF(
    VLOOKUP(C1014, IMPORTRANGE(""gid=860555792"", ""Maestro!B:C""), 2, FALSE) = D1014, 
    ""CONCILIADO"", 
    ""ERROR EN MONTO""
  ), 
  ""NO ENCONTRADO EN MAESTRO""
)"),"NO ENCONTRADO EN MAESTRO")</f>
        <v>NO ENCONTRADO EN MAESTRO</v>
      </c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</row>
    <row r="1015" ht="22.5" customHeight="1">
      <c r="A1015" s="25"/>
      <c r="B1015" s="15"/>
      <c r="C1015" s="21"/>
      <c r="D1015" s="22"/>
      <c r="E1015" s="22"/>
      <c r="F1015" s="22"/>
      <c r="G1015" s="29"/>
      <c r="H1015" s="13"/>
      <c r="I1015" s="14">
        <f t="shared" si="1"/>
        <v>0</v>
      </c>
      <c r="J1015" s="15">
        <f t="shared" si="2"/>
        <v>0</v>
      </c>
      <c r="K1015" s="14">
        <f t="shared" si="3"/>
        <v>0</v>
      </c>
      <c r="L1015" s="16" t="str">
        <f>IFERROR(__xludf.DUMMYFUNCTION("IFERROR(
  IF(
    VLOOKUP(C1015, IMPORTRANGE(""gid=860555792"", ""Maestro!B:C""), 2, FALSE) = D1015, 
    ""CONCILIADO"", 
    ""ERROR EN MONTO""
  ), 
  ""NO ENCONTRADO EN MAESTRO""
)"),"NO ENCONTRADO EN MAESTRO")</f>
        <v>NO ENCONTRADO EN MAESTRO</v>
      </c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</row>
    <row r="1016" ht="22.5" customHeight="1">
      <c r="A1016" s="25"/>
      <c r="B1016" s="15"/>
      <c r="C1016" s="21"/>
      <c r="D1016" s="22"/>
      <c r="E1016" s="22"/>
      <c r="F1016" s="22"/>
      <c r="G1016" s="29"/>
      <c r="H1016" s="13"/>
      <c r="I1016" s="14">
        <f t="shared" si="1"/>
        <v>0</v>
      </c>
      <c r="J1016" s="15">
        <f t="shared" si="2"/>
        <v>0</v>
      </c>
      <c r="K1016" s="14">
        <f t="shared" si="3"/>
        <v>0</v>
      </c>
      <c r="L1016" s="16" t="str">
        <f>IFERROR(__xludf.DUMMYFUNCTION("IFERROR(
  IF(
    VLOOKUP(C1016, IMPORTRANGE(""gid=860555792"", ""Maestro!B:C""), 2, FALSE) = D1016, 
    ""CONCILIADO"", 
    ""ERROR EN MONTO""
  ), 
  ""NO ENCONTRADO EN MAESTRO""
)"),"NO ENCONTRADO EN MAESTRO")</f>
        <v>NO ENCONTRADO EN MAESTRO</v>
      </c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</row>
    <row r="1017" ht="22.5" customHeight="1">
      <c r="A1017" s="25"/>
      <c r="B1017" s="15"/>
      <c r="C1017" s="21"/>
      <c r="D1017" s="22"/>
      <c r="E1017" s="22"/>
      <c r="F1017" s="22"/>
      <c r="G1017" s="29"/>
      <c r="H1017" s="13"/>
      <c r="I1017" s="14">
        <f t="shared" si="1"/>
        <v>0</v>
      </c>
      <c r="J1017" s="15">
        <f t="shared" si="2"/>
        <v>0</v>
      </c>
      <c r="K1017" s="14">
        <f t="shared" si="3"/>
        <v>0</v>
      </c>
      <c r="L1017" s="16" t="str">
        <f>IFERROR(__xludf.DUMMYFUNCTION("IFERROR(
  IF(
    VLOOKUP(C1017, IMPORTRANGE(""gid=860555792"", ""Maestro!B:C""), 2, FALSE) = D1017, 
    ""CONCILIADO"", 
    ""ERROR EN MONTO""
  ), 
  ""NO ENCONTRADO EN MAESTRO""
)"),"NO ENCONTRADO EN MAESTRO")</f>
        <v>NO ENCONTRADO EN MAESTRO</v>
      </c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</row>
    <row r="1018" ht="22.5" customHeight="1">
      <c r="A1018" s="25"/>
      <c r="B1018" s="15"/>
      <c r="C1018" s="21"/>
      <c r="D1018" s="22"/>
      <c r="E1018" s="22"/>
      <c r="F1018" s="22"/>
      <c r="G1018" s="29"/>
      <c r="H1018" s="13"/>
      <c r="I1018" s="14">
        <f t="shared" si="1"/>
        <v>0</v>
      </c>
      <c r="J1018" s="15">
        <f t="shared" si="2"/>
        <v>0</v>
      </c>
      <c r="K1018" s="14">
        <f t="shared" si="3"/>
        <v>0</v>
      </c>
      <c r="L1018" s="16" t="str">
        <f>IFERROR(__xludf.DUMMYFUNCTION("IFERROR(
  IF(
    VLOOKUP(C1018, IMPORTRANGE(""gid=860555792"", ""Maestro!B:C""), 2, FALSE) = D1018, 
    ""CONCILIADO"", 
    ""ERROR EN MONTO""
  ), 
  ""NO ENCONTRADO EN MAESTRO""
)"),"NO ENCONTRADO EN MAESTRO")</f>
        <v>NO ENCONTRADO EN MAESTRO</v>
      </c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</row>
    <row r="1019" ht="22.5" customHeight="1">
      <c r="A1019" s="25"/>
      <c r="B1019" s="15"/>
      <c r="C1019" s="21"/>
      <c r="D1019" s="22"/>
      <c r="E1019" s="22"/>
      <c r="F1019" s="22"/>
      <c r="G1019" s="29"/>
      <c r="H1019" s="13"/>
      <c r="I1019" s="14">
        <f t="shared" si="1"/>
        <v>0</v>
      </c>
      <c r="J1019" s="15">
        <f t="shared" si="2"/>
        <v>0</v>
      </c>
      <c r="K1019" s="14">
        <f t="shared" si="3"/>
        <v>0</v>
      </c>
      <c r="L1019" s="16" t="str">
        <f>IFERROR(__xludf.DUMMYFUNCTION("IFERROR(
  IF(
    VLOOKUP(C1019, IMPORTRANGE(""gid=860555792"", ""Maestro!B:C""), 2, FALSE) = D1019, 
    ""CONCILIADO"", 
    ""ERROR EN MONTO""
  ), 
  ""NO ENCONTRADO EN MAESTRO""
)"),"NO ENCONTRADO EN MAESTRO")</f>
        <v>NO ENCONTRADO EN MAESTRO</v>
      </c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</row>
    <row r="1020" ht="22.5" customHeight="1">
      <c r="A1020" s="25"/>
      <c r="B1020" s="15"/>
      <c r="C1020" s="21"/>
      <c r="D1020" s="22"/>
      <c r="E1020" s="22"/>
      <c r="F1020" s="22"/>
      <c r="G1020" s="29"/>
      <c r="H1020" s="13"/>
      <c r="I1020" s="14">
        <f t="shared" si="1"/>
        <v>0</v>
      </c>
      <c r="J1020" s="15">
        <f t="shared" si="2"/>
        <v>0</v>
      </c>
      <c r="K1020" s="14">
        <f t="shared" si="3"/>
        <v>0</v>
      </c>
      <c r="L1020" s="16" t="str">
        <f>IFERROR(__xludf.DUMMYFUNCTION("IFERROR(
  IF(
    VLOOKUP(C1020, IMPORTRANGE(""gid=860555792"", ""Maestro!B:C""), 2, FALSE) = D1020, 
    ""CONCILIADO"", 
    ""ERROR EN MONTO""
  ), 
  ""NO ENCONTRADO EN MAESTRO""
)"),"NO ENCONTRADO EN MAESTRO")</f>
        <v>NO ENCONTRADO EN MAESTRO</v>
      </c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</row>
    <row r="1021" ht="22.5" customHeight="1">
      <c r="A1021" s="25"/>
      <c r="B1021" s="15"/>
      <c r="C1021" s="21"/>
      <c r="D1021" s="22"/>
      <c r="E1021" s="22"/>
      <c r="F1021" s="22"/>
      <c r="G1021" s="29"/>
      <c r="H1021" s="13"/>
      <c r="I1021" s="14">
        <f t="shared" si="1"/>
        <v>0</v>
      </c>
      <c r="J1021" s="15">
        <f t="shared" si="2"/>
        <v>0</v>
      </c>
      <c r="K1021" s="14">
        <f t="shared" si="3"/>
        <v>0</v>
      </c>
      <c r="L1021" s="16" t="str">
        <f>IFERROR(__xludf.DUMMYFUNCTION("IFERROR(
  IF(
    VLOOKUP(C1021, IMPORTRANGE(""gid=860555792"", ""Maestro!B:C""), 2, FALSE) = D1021, 
    ""CONCILIADO"", 
    ""ERROR EN MONTO""
  ), 
  ""NO ENCONTRADO EN MAESTRO""
)"),"NO ENCONTRADO EN MAESTRO")</f>
        <v>NO ENCONTRADO EN MAESTRO</v>
      </c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</row>
    <row r="1022" ht="22.5" customHeight="1">
      <c r="A1022" s="25"/>
      <c r="B1022" s="15"/>
      <c r="C1022" s="21"/>
      <c r="D1022" s="22"/>
      <c r="E1022" s="22"/>
      <c r="F1022" s="22"/>
      <c r="G1022" s="29"/>
      <c r="H1022" s="13"/>
      <c r="I1022" s="14">
        <f t="shared" si="1"/>
        <v>0</v>
      </c>
      <c r="J1022" s="15">
        <f t="shared" si="2"/>
        <v>0</v>
      </c>
      <c r="K1022" s="14">
        <f t="shared" si="3"/>
        <v>0</v>
      </c>
      <c r="L1022" s="16" t="str">
        <f>IFERROR(__xludf.DUMMYFUNCTION("IFERROR(
  IF(
    VLOOKUP(C1022, IMPORTRANGE(""gid=860555792"", ""Maestro!B:C""), 2, FALSE) = D1022, 
    ""CONCILIADO"", 
    ""ERROR EN MONTO""
  ), 
  ""NO ENCONTRADO EN MAESTRO""
)"),"NO ENCONTRADO EN MAESTRO")</f>
        <v>NO ENCONTRADO EN MAESTRO</v>
      </c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</row>
    <row r="1023" ht="22.5" customHeight="1">
      <c r="A1023" s="25"/>
      <c r="B1023" s="15"/>
      <c r="C1023" s="21"/>
      <c r="D1023" s="22"/>
      <c r="E1023" s="22"/>
      <c r="F1023" s="22"/>
      <c r="G1023" s="29"/>
      <c r="H1023" s="13"/>
      <c r="I1023" s="14">
        <f t="shared" si="1"/>
        <v>0</v>
      </c>
      <c r="J1023" s="15">
        <f t="shared" si="2"/>
        <v>0</v>
      </c>
      <c r="K1023" s="14">
        <f t="shared" si="3"/>
        <v>0</v>
      </c>
      <c r="L1023" s="16" t="str">
        <f>IFERROR(__xludf.DUMMYFUNCTION("IFERROR(
  IF(
    VLOOKUP(C1023, IMPORTRANGE(""gid=860555792"", ""Maestro!B:C""), 2, FALSE) = D1023, 
    ""CONCILIADO"", 
    ""ERROR EN MONTO""
  ), 
  ""NO ENCONTRADO EN MAESTRO""
)"),"NO ENCONTRADO EN MAESTRO")</f>
        <v>NO ENCONTRADO EN MAESTRO</v>
      </c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</row>
    <row r="1024" ht="22.5" customHeight="1">
      <c r="A1024" s="25"/>
      <c r="B1024" s="15"/>
      <c r="C1024" s="21"/>
      <c r="D1024" s="22"/>
      <c r="E1024" s="22"/>
      <c r="F1024" s="22"/>
      <c r="G1024" s="29"/>
      <c r="H1024" s="13"/>
      <c r="I1024" s="14">
        <f t="shared" si="1"/>
        <v>0</v>
      </c>
      <c r="J1024" s="15">
        <f t="shared" si="2"/>
        <v>0</v>
      </c>
      <c r="K1024" s="14">
        <f t="shared" si="3"/>
        <v>0</v>
      </c>
      <c r="L1024" s="16" t="str">
        <f>IFERROR(__xludf.DUMMYFUNCTION("IFERROR(
  IF(
    VLOOKUP(C1024, IMPORTRANGE(""gid=860555792"", ""Maestro!B:C""), 2, FALSE) = D1024, 
    ""CONCILIADO"", 
    ""ERROR EN MONTO""
  ), 
  ""NO ENCONTRADO EN MAESTRO""
)"),"NO ENCONTRADO EN MAESTRO")</f>
        <v>NO ENCONTRADO EN MAESTRO</v>
      </c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</row>
    <row r="1025" ht="22.5" customHeight="1">
      <c r="A1025" s="25"/>
      <c r="B1025" s="15"/>
      <c r="C1025" s="21"/>
      <c r="D1025" s="22"/>
      <c r="E1025" s="22"/>
      <c r="F1025" s="22"/>
      <c r="G1025" s="29"/>
      <c r="H1025" s="13"/>
      <c r="I1025" s="14">
        <f t="shared" si="1"/>
        <v>0</v>
      </c>
      <c r="J1025" s="15">
        <f t="shared" si="2"/>
        <v>0</v>
      </c>
      <c r="K1025" s="14">
        <f t="shared" si="3"/>
        <v>0</v>
      </c>
      <c r="L1025" s="16" t="str">
        <f>IFERROR(__xludf.DUMMYFUNCTION("IFERROR(
  IF(
    VLOOKUP(C1025, IMPORTRANGE(""gid=860555792"", ""Maestro!B:C""), 2, FALSE) = D1025, 
    ""CONCILIADO"", 
    ""ERROR EN MONTO""
  ), 
  ""NO ENCONTRADO EN MAESTRO""
)"),"NO ENCONTRADO EN MAESTRO")</f>
        <v>NO ENCONTRADO EN MAESTRO</v>
      </c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</row>
    <row r="1026" ht="22.5" customHeight="1">
      <c r="A1026" s="25"/>
      <c r="B1026" s="15"/>
      <c r="C1026" s="21"/>
      <c r="D1026" s="22"/>
      <c r="E1026" s="22"/>
      <c r="F1026" s="22"/>
      <c r="G1026" s="29"/>
      <c r="H1026" s="13"/>
      <c r="I1026" s="14">
        <f t="shared" si="1"/>
        <v>0</v>
      </c>
      <c r="J1026" s="15">
        <f t="shared" si="2"/>
        <v>0</v>
      </c>
      <c r="K1026" s="14">
        <f t="shared" si="3"/>
        <v>0</v>
      </c>
      <c r="L1026" s="16" t="str">
        <f>IFERROR(__xludf.DUMMYFUNCTION("IFERROR(
  IF(
    VLOOKUP(C1026, IMPORTRANGE(""gid=860555792"", ""Maestro!B:C""), 2, FALSE) = D1026, 
    ""CONCILIADO"", 
    ""ERROR EN MONTO""
  ), 
  ""NO ENCONTRADO EN MAESTRO""
)"),"NO ENCONTRADO EN MAESTRO")</f>
        <v>NO ENCONTRADO EN MAESTRO</v>
      </c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</row>
    <row r="1027" ht="22.5" customHeight="1">
      <c r="A1027" s="25"/>
      <c r="B1027" s="15"/>
      <c r="C1027" s="21"/>
      <c r="D1027" s="22"/>
      <c r="E1027" s="22"/>
      <c r="F1027" s="22"/>
      <c r="G1027" s="29"/>
      <c r="H1027" s="13"/>
      <c r="I1027" s="14">
        <f t="shared" si="1"/>
        <v>0</v>
      </c>
      <c r="J1027" s="15">
        <f t="shared" si="2"/>
        <v>0</v>
      </c>
      <c r="K1027" s="14">
        <f t="shared" si="3"/>
        <v>0</v>
      </c>
      <c r="L1027" s="16" t="str">
        <f>IFERROR(__xludf.DUMMYFUNCTION("IFERROR(
  IF(
    VLOOKUP(C1027, IMPORTRANGE(""gid=860555792"", ""Maestro!B:C""), 2, FALSE) = D1027, 
    ""CONCILIADO"", 
    ""ERROR EN MONTO""
  ), 
  ""NO ENCONTRADO EN MAESTRO""
)"),"NO ENCONTRADO EN MAESTRO")</f>
        <v>NO ENCONTRADO EN MAESTRO</v>
      </c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</row>
    <row r="1028" ht="22.5" customHeight="1">
      <c r="A1028" s="25"/>
      <c r="B1028" s="15"/>
      <c r="C1028" s="21"/>
      <c r="D1028" s="22"/>
      <c r="E1028" s="22"/>
      <c r="F1028" s="22"/>
      <c r="G1028" s="29"/>
      <c r="H1028" s="13"/>
      <c r="I1028" s="14">
        <f t="shared" si="1"/>
        <v>0</v>
      </c>
      <c r="J1028" s="15">
        <f t="shared" si="2"/>
        <v>0</v>
      </c>
      <c r="K1028" s="14">
        <f t="shared" si="3"/>
        <v>0</v>
      </c>
      <c r="L1028" s="16" t="str">
        <f>IFERROR(__xludf.DUMMYFUNCTION("IFERROR(
  IF(
    VLOOKUP(C1028, IMPORTRANGE(""gid=860555792"", ""Maestro!B:C""), 2, FALSE) = D1028, 
    ""CONCILIADO"", 
    ""ERROR EN MONTO""
  ), 
  ""NO ENCONTRADO EN MAESTRO""
)"),"NO ENCONTRADO EN MAESTRO")</f>
        <v>NO ENCONTRADO EN MAESTRO</v>
      </c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</row>
    <row r="1029" ht="22.5" customHeight="1">
      <c r="A1029" s="25"/>
      <c r="B1029" s="15"/>
      <c r="C1029" s="21"/>
      <c r="D1029" s="22"/>
      <c r="E1029" s="22"/>
      <c r="F1029" s="22"/>
      <c r="G1029" s="29"/>
      <c r="H1029" s="13"/>
      <c r="I1029" s="14">
        <f t="shared" si="1"/>
        <v>0</v>
      </c>
      <c r="J1029" s="15">
        <f t="shared" si="2"/>
        <v>0</v>
      </c>
      <c r="K1029" s="14">
        <f t="shared" si="3"/>
        <v>0</v>
      </c>
      <c r="L1029" s="16" t="str">
        <f>IFERROR(__xludf.DUMMYFUNCTION("IFERROR(
  IF(
    VLOOKUP(C1029, IMPORTRANGE(""gid=860555792"", ""Maestro!B:C""), 2, FALSE) = D1029, 
    ""CONCILIADO"", 
    ""ERROR EN MONTO""
  ), 
  ""NO ENCONTRADO EN MAESTRO""
)"),"NO ENCONTRADO EN MAESTRO")</f>
        <v>NO ENCONTRADO EN MAESTRO</v>
      </c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</row>
    <row r="1030" ht="22.5" customHeight="1">
      <c r="A1030" s="25"/>
      <c r="B1030" s="15"/>
      <c r="C1030" s="21"/>
      <c r="D1030" s="22"/>
      <c r="E1030" s="22"/>
      <c r="F1030" s="22"/>
      <c r="G1030" s="29"/>
      <c r="H1030" s="13"/>
      <c r="I1030" s="14">
        <f t="shared" si="1"/>
        <v>0</v>
      </c>
      <c r="J1030" s="15">
        <f t="shared" si="2"/>
        <v>0</v>
      </c>
      <c r="K1030" s="14">
        <f t="shared" si="3"/>
        <v>0</v>
      </c>
      <c r="L1030" s="16" t="str">
        <f>IFERROR(__xludf.DUMMYFUNCTION("IFERROR(
  IF(
    VLOOKUP(C1030, IMPORTRANGE(""gid=860555792"", ""Maestro!B:C""), 2, FALSE) = D1030, 
    ""CONCILIADO"", 
    ""ERROR EN MONTO""
  ), 
  ""NO ENCONTRADO EN MAESTRO""
)"),"NO ENCONTRADO EN MAESTRO")</f>
        <v>NO ENCONTRADO EN MAESTRO</v>
      </c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</row>
    <row r="1031" ht="22.5" customHeight="1">
      <c r="A1031" s="25"/>
      <c r="B1031" s="15"/>
      <c r="C1031" s="21"/>
      <c r="D1031" s="22"/>
      <c r="E1031" s="22"/>
      <c r="F1031" s="22"/>
      <c r="G1031" s="29"/>
      <c r="H1031" s="13"/>
      <c r="I1031" s="14">
        <f t="shared" si="1"/>
        <v>0</v>
      </c>
      <c r="J1031" s="15">
        <f t="shared" si="2"/>
        <v>0</v>
      </c>
      <c r="K1031" s="14">
        <f t="shared" si="3"/>
        <v>0</v>
      </c>
      <c r="L1031" s="16" t="str">
        <f>IFERROR(__xludf.DUMMYFUNCTION("IFERROR(
  IF(
    VLOOKUP(C1031, IMPORTRANGE(""gid=860555792"", ""Maestro!B:C""), 2, FALSE) = D1031, 
    ""CONCILIADO"", 
    ""ERROR EN MONTO""
  ), 
  ""NO ENCONTRADO EN MAESTRO""
)"),"NO ENCONTRADO EN MAESTRO")</f>
        <v>NO ENCONTRADO EN MAESTRO</v>
      </c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</row>
    <row r="1032" ht="22.5" customHeight="1">
      <c r="A1032" s="25"/>
      <c r="B1032" s="15"/>
      <c r="C1032" s="21"/>
      <c r="D1032" s="22"/>
      <c r="E1032" s="22"/>
      <c r="F1032" s="22"/>
      <c r="G1032" s="29"/>
      <c r="H1032" s="13"/>
      <c r="I1032" s="14">
        <f t="shared" si="1"/>
        <v>0</v>
      </c>
      <c r="J1032" s="15">
        <f t="shared" si="2"/>
        <v>0</v>
      </c>
      <c r="K1032" s="14">
        <f t="shared" si="3"/>
        <v>0</v>
      </c>
      <c r="L1032" s="16" t="str">
        <f>IFERROR(__xludf.DUMMYFUNCTION("IFERROR(
  IF(
    VLOOKUP(C1032, IMPORTRANGE(""gid=860555792"", ""Maestro!B:C""), 2, FALSE) = D1032, 
    ""CONCILIADO"", 
    ""ERROR EN MONTO""
  ), 
  ""NO ENCONTRADO EN MAESTRO""
)"),"NO ENCONTRADO EN MAESTRO")</f>
        <v>NO ENCONTRADO EN MAESTRO</v>
      </c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</row>
    <row r="1033" ht="22.5" customHeight="1">
      <c r="A1033" s="25"/>
      <c r="B1033" s="15"/>
      <c r="C1033" s="21"/>
      <c r="D1033" s="22"/>
      <c r="E1033" s="22"/>
      <c r="F1033" s="22"/>
      <c r="G1033" s="29"/>
      <c r="H1033" s="13"/>
      <c r="I1033" s="14">
        <f t="shared" si="1"/>
        <v>0</v>
      </c>
      <c r="J1033" s="15">
        <f t="shared" si="2"/>
        <v>0</v>
      </c>
      <c r="K1033" s="14">
        <f t="shared" si="3"/>
        <v>0</v>
      </c>
      <c r="L1033" s="16" t="str">
        <f>IFERROR(__xludf.DUMMYFUNCTION("IFERROR(
  IF(
    VLOOKUP(C1033, IMPORTRANGE(""gid=860555792"", ""Maestro!B:C""), 2, FALSE) = D1033, 
    ""CONCILIADO"", 
    ""ERROR EN MONTO""
  ), 
  ""NO ENCONTRADO EN MAESTRO""
)"),"NO ENCONTRADO EN MAESTRO")</f>
        <v>NO ENCONTRADO EN MAESTRO</v>
      </c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</row>
    <row r="1034" ht="22.5" customHeight="1">
      <c r="A1034" s="25"/>
      <c r="B1034" s="15"/>
      <c r="C1034" s="21"/>
      <c r="D1034" s="22"/>
      <c r="E1034" s="22"/>
      <c r="F1034" s="22"/>
      <c r="G1034" s="29"/>
      <c r="H1034" s="13"/>
      <c r="I1034" s="14">
        <f t="shared" si="1"/>
        <v>0</v>
      </c>
      <c r="J1034" s="15">
        <f t="shared" si="2"/>
        <v>0</v>
      </c>
      <c r="K1034" s="14">
        <f t="shared" si="3"/>
        <v>0</v>
      </c>
      <c r="L1034" s="16" t="str">
        <f>IFERROR(__xludf.DUMMYFUNCTION("IFERROR(
  IF(
    VLOOKUP(C1034, IMPORTRANGE(""gid=860555792"", ""Maestro!B:C""), 2, FALSE) = D1034, 
    ""CONCILIADO"", 
    ""ERROR EN MONTO""
  ), 
  ""NO ENCONTRADO EN MAESTRO""
)"),"NO ENCONTRADO EN MAESTRO")</f>
        <v>NO ENCONTRADO EN MAESTRO</v>
      </c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</row>
    <row r="1035" ht="22.5" customHeight="1">
      <c r="A1035" s="25"/>
      <c r="B1035" s="15"/>
      <c r="C1035" s="21"/>
      <c r="D1035" s="22"/>
      <c r="E1035" s="22"/>
      <c r="F1035" s="22"/>
      <c r="G1035" s="29"/>
      <c r="H1035" s="13"/>
      <c r="I1035" s="14">
        <f t="shared" si="1"/>
        <v>0</v>
      </c>
      <c r="J1035" s="15">
        <f t="shared" si="2"/>
        <v>0</v>
      </c>
      <c r="K1035" s="14">
        <f t="shared" si="3"/>
        <v>0</v>
      </c>
      <c r="L1035" s="16" t="str">
        <f>IFERROR(__xludf.DUMMYFUNCTION("IFERROR(
  IF(
    VLOOKUP(C1035, IMPORTRANGE(""gid=860555792"", ""Maestro!B:C""), 2, FALSE) = D1035, 
    ""CONCILIADO"", 
    ""ERROR EN MONTO""
  ), 
  ""NO ENCONTRADO EN MAESTRO""
)"),"NO ENCONTRADO EN MAESTRO")</f>
        <v>NO ENCONTRADO EN MAESTRO</v>
      </c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</row>
    <row r="1036" ht="22.5" customHeight="1">
      <c r="A1036" s="25"/>
      <c r="B1036" s="15"/>
      <c r="C1036" s="21"/>
      <c r="D1036" s="22"/>
      <c r="E1036" s="22"/>
      <c r="F1036" s="22"/>
      <c r="G1036" s="29"/>
      <c r="H1036" s="13"/>
      <c r="I1036" s="14">
        <f t="shared" si="1"/>
        <v>0</v>
      </c>
      <c r="J1036" s="15">
        <f t="shared" si="2"/>
        <v>0</v>
      </c>
      <c r="K1036" s="14">
        <f t="shared" si="3"/>
        <v>0</v>
      </c>
      <c r="L1036" s="16" t="str">
        <f>IFERROR(__xludf.DUMMYFUNCTION("IFERROR(
  IF(
    VLOOKUP(C1036, IMPORTRANGE(""gid=860555792"", ""Maestro!B:C""), 2, FALSE) = D1036, 
    ""CONCILIADO"", 
    ""ERROR EN MONTO""
  ), 
  ""NO ENCONTRADO EN MAESTRO""
)"),"NO ENCONTRADO EN MAESTRO")</f>
        <v>NO ENCONTRADO EN MAESTRO</v>
      </c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</row>
    <row r="1037" ht="22.5" customHeight="1">
      <c r="A1037" s="25"/>
      <c r="B1037" s="15"/>
      <c r="C1037" s="21"/>
      <c r="D1037" s="22"/>
      <c r="E1037" s="22"/>
      <c r="F1037" s="22"/>
      <c r="G1037" s="29"/>
      <c r="H1037" s="13"/>
      <c r="I1037" s="14">
        <f t="shared" si="1"/>
        <v>0</v>
      </c>
      <c r="J1037" s="15">
        <f t="shared" si="2"/>
        <v>0</v>
      </c>
      <c r="K1037" s="14">
        <f t="shared" si="3"/>
        <v>0</v>
      </c>
      <c r="L1037" s="16" t="str">
        <f>IFERROR(__xludf.DUMMYFUNCTION("IFERROR(
  IF(
    VLOOKUP(C1037, IMPORTRANGE(""gid=860555792"", ""Maestro!B:C""), 2, FALSE) = D1037, 
    ""CONCILIADO"", 
    ""ERROR EN MONTO""
  ), 
  ""NO ENCONTRADO EN MAESTRO""
)"),"NO ENCONTRADO EN MAESTRO")</f>
        <v>NO ENCONTRADO EN MAESTRO</v>
      </c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</row>
    <row r="1038" ht="22.5" customHeight="1">
      <c r="A1038" s="25"/>
      <c r="B1038" s="15"/>
      <c r="C1038" s="21"/>
      <c r="D1038" s="22"/>
      <c r="E1038" s="22"/>
      <c r="F1038" s="22"/>
      <c r="G1038" s="29"/>
      <c r="H1038" s="13"/>
      <c r="I1038" s="14">
        <f t="shared" si="1"/>
        <v>0</v>
      </c>
      <c r="J1038" s="15">
        <f t="shared" si="2"/>
        <v>0</v>
      </c>
      <c r="K1038" s="14">
        <f t="shared" si="3"/>
        <v>0</v>
      </c>
      <c r="L1038" s="16" t="str">
        <f>IFERROR(__xludf.DUMMYFUNCTION("IFERROR(
  IF(
    VLOOKUP(C1038, IMPORTRANGE(""gid=860555792"", ""Maestro!B:C""), 2, FALSE) = D1038, 
    ""CONCILIADO"", 
    ""ERROR EN MONTO""
  ), 
  ""NO ENCONTRADO EN MAESTRO""
)"),"NO ENCONTRADO EN MAESTRO")</f>
        <v>NO ENCONTRADO EN MAESTRO</v>
      </c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</row>
    <row r="1039" ht="22.5" customHeight="1">
      <c r="A1039" s="25"/>
      <c r="B1039" s="15"/>
      <c r="C1039" s="21"/>
      <c r="D1039" s="22"/>
      <c r="E1039" s="22"/>
      <c r="F1039" s="22"/>
      <c r="G1039" s="29"/>
      <c r="H1039" s="13"/>
      <c r="I1039" s="14">
        <f t="shared" si="1"/>
        <v>0</v>
      </c>
      <c r="J1039" s="15">
        <f t="shared" si="2"/>
        <v>0</v>
      </c>
      <c r="K1039" s="14">
        <f t="shared" si="3"/>
        <v>0</v>
      </c>
      <c r="L1039" s="16" t="str">
        <f>IFERROR(__xludf.DUMMYFUNCTION("IFERROR(
  IF(
    VLOOKUP(C1039, IMPORTRANGE(""gid=860555792"", ""Maestro!B:C""), 2, FALSE) = D1039, 
    ""CONCILIADO"", 
    ""ERROR EN MONTO""
  ), 
  ""NO ENCONTRADO EN MAESTRO""
)"),"NO ENCONTRADO EN MAESTRO")</f>
        <v>NO ENCONTRADO EN MAESTRO</v>
      </c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</row>
    <row r="1040" ht="22.5" customHeight="1">
      <c r="A1040" s="25"/>
      <c r="B1040" s="15"/>
      <c r="C1040" s="21"/>
      <c r="D1040" s="22"/>
      <c r="E1040" s="22"/>
      <c r="F1040" s="22"/>
      <c r="G1040" s="29"/>
      <c r="H1040" s="13"/>
      <c r="I1040" s="14">
        <f t="shared" si="1"/>
        <v>0</v>
      </c>
      <c r="J1040" s="15">
        <f t="shared" si="2"/>
        <v>0</v>
      </c>
      <c r="K1040" s="14">
        <f t="shared" si="3"/>
        <v>0</v>
      </c>
      <c r="L1040" s="16" t="str">
        <f>IFERROR(__xludf.DUMMYFUNCTION("IFERROR(
  IF(
    VLOOKUP(C1040, IMPORTRANGE(""gid=860555792"", ""Maestro!B:C""), 2, FALSE) = D1040, 
    ""CONCILIADO"", 
    ""ERROR EN MONTO""
  ), 
  ""NO ENCONTRADO EN MAESTRO""
)"),"NO ENCONTRADO EN MAESTRO")</f>
        <v>NO ENCONTRADO EN MAESTRO</v>
      </c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</row>
    <row r="1041" ht="22.5" customHeight="1">
      <c r="A1041" s="25"/>
      <c r="B1041" s="15"/>
      <c r="C1041" s="21"/>
      <c r="D1041" s="22"/>
      <c r="E1041" s="22"/>
      <c r="F1041" s="22"/>
      <c r="G1041" s="29"/>
      <c r="H1041" s="13"/>
      <c r="I1041" s="14">
        <f t="shared" si="1"/>
        <v>0</v>
      </c>
      <c r="J1041" s="15">
        <f t="shared" si="2"/>
        <v>0</v>
      </c>
      <c r="K1041" s="14">
        <f t="shared" si="3"/>
        <v>0</v>
      </c>
      <c r="L1041" s="16" t="str">
        <f>IFERROR(__xludf.DUMMYFUNCTION("IFERROR(
  IF(
    VLOOKUP(C1041, IMPORTRANGE(""gid=860555792"", ""Maestro!B:C""), 2, FALSE) = D1041, 
    ""CONCILIADO"", 
    ""ERROR EN MONTO""
  ), 
  ""NO ENCONTRADO EN MAESTRO""
)"),"NO ENCONTRADO EN MAESTRO")</f>
        <v>NO ENCONTRADO EN MAESTRO</v>
      </c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</row>
    <row r="1042" ht="22.5" customHeight="1">
      <c r="A1042" s="25"/>
      <c r="B1042" s="15"/>
      <c r="C1042" s="21"/>
      <c r="D1042" s="22"/>
      <c r="E1042" s="22"/>
      <c r="F1042" s="22"/>
      <c r="G1042" s="29"/>
      <c r="H1042" s="13"/>
      <c r="I1042" s="14">
        <f t="shared" si="1"/>
        <v>0</v>
      </c>
      <c r="J1042" s="15">
        <f t="shared" si="2"/>
        <v>0</v>
      </c>
      <c r="K1042" s="14">
        <f t="shared" si="3"/>
        <v>0</v>
      </c>
      <c r="L1042" s="16" t="str">
        <f>IFERROR(__xludf.DUMMYFUNCTION("IFERROR(
  IF(
    VLOOKUP(C1042, IMPORTRANGE(""gid=860555792"", ""Maestro!B:C""), 2, FALSE) = D1042, 
    ""CONCILIADO"", 
    ""ERROR EN MONTO""
  ), 
  ""NO ENCONTRADO EN MAESTRO""
)"),"NO ENCONTRADO EN MAESTRO")</f>
        <v>NO ENCONTRADO EN MAESTRO</v>
      </c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</row>
    <row r="1043" ht="22.5" customHeight="1">
      <c r="A1043" s="25"/>
      <c r="B1043" s="15"/>
      <c r="C1043" s="21"/>
      <c r="D1043" s="22"/>
      <c r="E1043" s="22"/>
      <c r="F1043" s="22"/>
      <c r="G1043" s="29"/>
      <c r="H1043" s="13"/>
      <c r="I1043" s="14">
        <f t="shared" si="1"/>
        <v>0</v>
      </c>
      <c r="J1043" s="15">
        <f t="shared" si="2"/>
        <v>0</v>
      </c>
      <c r="K1043" s="14">
        <f t="shared" si="3"/>
        <v>0</v>
      </c>
      <c r="L1043" s="16" t="str">
        <f>IFERROR(__xludf.DUMMYFUNCTION("IFERROR(
  IF(
    VLOOKUP(C1043, IMPORTRANGE(""gid=860555792"", ""Maestro!B:C""), 2, FALSE) = D1043, 
    ""CONCILIADO"", 
    ""ERROR EN MONTO""
  ), 
  ""NO ENCONTRADO EN MAESTRO""
)"),"NO ENCONTRADO EN MAESTRO")</f>
        <v>NO ENCONTRADO EN MAESTRO</v>
      </c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</row>
    <row r="1044" ht="22.5" customHeight="1">
      <c r="A1044" s="25"/>
      <c r="B1044" s="15"/>
      <c r="C1044" s="21"/>
      <c r="D1044" s="22"/>
      <c r="E1044" s="22"/>
      <c r="F1044" s="22"/>
      <c r="G1044" s="29"/>
      <c r="H1044" s="13"/>
      <c r="I1044" s="14">
        <f t="shared" si="1"/>
        <v>0</v>
      </c>
      <c r="J1044" s="15">
        <f t="shared" si="2"/>
        <v>0</v>
      </c>
      <c r="K1044" s="14">
        <f t="shared" si="3"/>
        <v>0</v>
      </c>
      <c r="L1044" s="16" t="str">
        <f>IFERROR(__xludf.DUMMYFUNCTION("IFERROR(
  IF(
    VLOOKUP(C1044, IMPORTRANGE(""gid=860555792"", ""Maestro!B:C""), 2, FALSE) = D1044, 
    ""CONCILIADO"", 
    ""ERROR EN MONTO""
  ), 
  ""NO ENCONTRADO EN MAESTRO""
)"),"NO ENCONTRADO EN MAESTRO")</f>
        <v>NO ENCONTRADO EN MAESTRO</v>
      </c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</row>
    <row r="1045" ht="22.5" customHeight="1">
      <c r="A1045" s="25"/>
      <c r="B1045" s="15"/>
      <c r="C1045" s="21"/>
      <c r="D1045" s="22"/>
      <c r="E1045" s="22"/>
      <c r="F1045" s="22"/>
      <c r="G1045" s="29"/>
      <c r="H1045" s="13"/>
      <c r="I1045" s="14">
        <f t="shared" si="1"/>
        <v>0</v>
      </c>
      <c r="J1045" s="15">
        <f t="shared" si="2"/>
        <v>0</v>
      </c>
      <c r="K1045" s="14">
        <f t="shared" si="3"/>
        <v>0</v>
      </c>
      <c r="L1045" s="16" t="str">
        <f>IFERROR(__xludf.DUMMYFUNCTION("IFERROR(
  IF(
    VLOOKUP(C1045, IMPORTRANGE(""gid=860555792"", ""Maestro!B:C""), 2, FALSE) = D1045, 
    ""CONCILIADO"", 
    ""ERROR EN MONTO""
  ), 
  ""NO ENCONTRADO EN MAESTRO""
)"),"NO ENCONTRADO EN MAESTRO")</f>
        <v>NO ENCONTRADO EN MAESTRO</v>
      </c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</row>
    <row r="1046" ht="22.5" customHeight="1">
      <c r="A1046" s="25"/>
      <c r="B1046" s="15"/>
      <c r="C1046" s="21"/>
      <c r="D1046" s="22"/>
      <c r="E1046" s="22"/>
      <c r="F1046" s="22"/>
      <c r="G1046" s="29"/>
      <c r="H1046" s="13"/>
      <c r="I1046" s="14">
        <f t="shared" si="1"/>
        <v>0</v>
      </c>
      <c r="J1046" s="15">
        <f t="shared" si="2"/>
        <v>0</v>
      </c>
      <c r="K1046" s="14">
        <f t="shared" si="3"/>
        <v>0</v>
      </c>
      <c r="L1046" s="16" t="str">
        <f>IFERROR(__xludf.DUMMYFUNCTION("IFERROR(
  IF(
    VLOOKUP(C1046, IMPORTRANGE(""gid=860555792"", ""Maestro!B:C""), 2, FALSE) = D1046, 
    ""CONCILIADO"", 
    ""ERROR EN MONTO""
  ), 
  ""NO ENCONTRADO EN MAESTRO""
)"),"NO ENCONTRADO EN MAESTRO")</f>
        <v>NO ENCONTRADO EN MAESTRO</v>
      </c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</row>
    <row r="1047" ht="22.5" customHeight="1">
      <c r="A1047" s="25"/>
      <c r="B1047" s="15"/>
      <c r="C1047" s="21"/>
      <c r="D1047" s="22"/>
      <c r="E1047" s="22"/>
      <c r="F1047" s="22"/>
      <c r="G1047" s="29"/>
      <c r="H1047" s="13"/>
      <c r="I1047" s="14">
        <f t="shared" si="1"/>
        <v>0</v>
      </c>
      <c r="J1047" s="15">
        <f t="shared" si="2"/>
        <v>0</v>
      </c>
      <c r="K1047" s="14">
        <f t="shared" si="3"/>
        <v>0</v>
      </c>
      <c r="L1047" s="16" t="str">
        <f>IFERROR(__xludf.DUMMYFUNCTION("IFERROR(
  IF(
    VLOOKUP(C1047, IMPORTRANGE(""gid=860555792"", ""Maestro!B:C""), 2, FALSE) = D1047, 
    ""CONCILIADO"", 
    ""ERROR EN MONTO""
  ), 
  ""NO ENCONTRADO EN MAESTRO""
)"),"NO ENCONTRADO EN MAESTRO")</f>
        <v>NO ENCONTRADO EN MAESTRO</v>
      </c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</row>
    <row r="1048" ht="22.5" customHeight="1">
      <c r="A1048" s="25"/>
      <c r="B1048" s="15"/>
      <c r="C1048" s="21"/>
      <c r="D1048" s="22"/>
      <c r="E1048" s="22"/>
      <c r="F1048" s="22"/>
      <c r="G1048" s="29"/>
      <c r="H1048" s="13"/>
      <c r="I1048" s="14">
        <f t="shared" si="1"/>
        <v>0</v>
      </c>
      <c r="J1048" s="15">
        <f t="shared" si="2"/>
        <v>0</v>
      </c>
      <c r="K1048" s="14">
        <f t="shared" si="3"/>
        <v>0</v>
      </c>
      <c r="L1048" s="16" t="str">
        <f>IFERROR(__xludf.DUMMYFUNCTION("IFERROR(
  IF(
    VLOOKUP(C1048, IMPORTRANGE(""gid=860555792"", ""Maestro!B:C""), 2, FALSE) = D1048, 
    ""CONCILIADO"", 
    ""ERROR EN MONTO""
  ), 
  ""NO ENCONTRADO EN MAESTRO""
)"),"NO ENCONTRADO EN MAESTRO")</f>
        <v>NO ENCONTRADO EN MAESTRO</v>
      </c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</row>
    <row r="1049" ht="22.5" customHeight="1">
      <c r="A1049" s="25"/>
      <c r="B1049" s="15"/>
      <c r="C1049" s="21"/>
      <c r="D1049" s="22"/>
      <c r="E1049" s="22"/>
      <c r="F1049" s="22"/>
      <c r="G1049" s="29"/>
      <c r="H1049" s="13"/>
      <c r="I1049" s="14">
        <f t="shared" si="1"/>
        <v>0</v>
      </c>
      <c r="J1049" s="15">
        <f t="shared" si="2"/>
        <v>0</v>
      </c>
      <c r="K1049" s="14">
        <f t="shared" si="3"/>
        <v>0</v>
      </c>
      <c r="L1049" s="16" t="str">
        <f>IFERROR(__xludf.DUMMYFUNCTION("IFERROR(
  IF(
    VLOOKUP(C1049, IMPORTRANGE(""gid=860555792"", ""Maestro!B:C""), 2, FALSE) = D1049, 
    ""CONCILIADO"", 
    ""ERROR EN MONTO""
  ), 
  ""NO ENCONTRADO EN MAESTRO""
)"),"NO ENCONTRADO EN MAESTRO")</f>
        <v>NO ENCONTRADO EN MAESTRO</v>
      </c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</row>
    <row r="1050" ht="22.5" customHeight="1">
      <c r="A1050" s="25"/>
      <c r="B1050" s="15"/>
      <c r="C1050" s="21"/>
      <c r="D1050" s="22"/>
      <c r="E1050" s="22"/>
      <c r="F1050" s="22"/>
      <c r="G1050" s="29"/>
      <c r="H1050" s="13"/>
      <c r="I1050" s="14">
        <f t="shared" si="1"/>
        <v>0</v>
      </c>
      <c r="J1050" s="15">
        <f t="shared" si="2"/>
        <v>0</v>
      </c>
      <c r="K1050" s="14">
        <f t="shared" si="3"/>
        <v>0</v>
      </c>
      <c r="L1050" s="16" t="str">
        <f>IFERROR(__xludf.DUMMYFUNCTION("IFERROR(
  IF(
    VLOOKUP(C1050, IMPORTRANGE(""gid=860555792"", ""Maestro!B:C""), 2, FALSE) = D1050, 
    ""CONCILIADO"", 
    ""ERROR EN MONTO""
  ), 
  ""NO ENCONTRADO EN MAESTRO""
)"),"NO ENCONTRADO EN MAESTRO")</f>
        <v>NO ENCONTRADO EN MAESTRO</v>
      </c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</row>
    <row r="1051" ht="22.5" customHeight="1">
      <c r="A1051" s="25"/>
      <c r="B1051" s="15"/>
      <c r="C1051" s="21"/>
      <c r="D1051" s="22"/>
      <c r="E1051" s="22"/>
      <c r="F1051" s="22"/>
      <c r="G1051" s="29"/>
      <c r="H1051" s="13"/>
      <c r="I1051" s="14">
        <f t="shared" si="1"/>
        <v>0</v>
      </c>
      <c r="J1051" s="15">
        <f t="shared" si="2"/>
        <v>0</v>
      </c>
      <c r="K1051" s="14">
        <f t="shared" si="3"/>
        <v>0</v>
      </c>
      <c r="L1051" s="16" t="str">
        <f>IFERROR(__xludf.DUMMYFUNCTION("IFERROR(
  IF(
    VLOOKUP(C1051, IMPORTRANGE(""gid=860555792"", ""Maestro!B:C""), 2, FALSE) = D1051, 
    ""CONCILIADO"", 
    ""ERROR EN MONTO""
  ), 
  ""NO ENCONTRADO EN MAESTRO""
)"),"NO ENCONTRADO EN MAESTRO")</f>
        <v>NO ENCONTRADO EN MAESTRO</v>
      </c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</row>
    <row r="1052" ht="22.5" customHeight="1">
      <c r="A1052" s="25"/>
      <c r="B1052" s="15"/>
      <c r="C1052" s="21"/>
      <c r="D1052" s="22"/>
      <c r="E1052" s="22"/>
      <c r="F1052" s="22"/>
      <c r="G1052" s="29"/>
      <c r="H1052" s="13"/>
      <c r="I1052" s="14">
        <f t="shared" si="1"/>
        <v>0</v>
      </c>
      <c r="J1052" s="15">
        <f t="shared" si="2"/>
        <v>0</v>
      </c>
      <c r="K1052" s="14">
        <f t="shared" si="3"/>
        <v>0</v>
      </c>
      <c r="L1052" s="16" t="str">
        <f>IFERROR(__xludf.DUMMYFUNCTION("IFERROR(
  IF(
    VLOOKUP(C1052, IMPORTRANGE(""gid=860555792"", ""Maestro!B:C""), 2, FALSE) = D1052, 
    ""CONCILIADO"", 
    ""ERROR EN MONTO""
  ), 
  ""NO ENCONTRADO EN MAESTRO""
)"),"NO ENCONTRADO EN MAESTRO")</f>
        <v>NO ENCONTRADO EN MAESTRO</v>
      </c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</row>
    <row r="1053" ht="22.5" customHeight="1">
      <c r="A1053" s="25"/>
      <c r="B1053" s="15"/>
      <c r="C1053" s="21"/>
      <c r="D1053" s="22"/>
      <c r="E1053" s="22"/>
      <c r="F1053" s="22"/>
      <c r="G1053" s="29"/>
      <c r="H1053" s="13"/>
      <c r="I1053" s="14">
        <f t="shared" si="1"/>
        <v>0</v>
      </c>
      <c r="J1053" s="15">
        <f t="shared" si="2"/>
        <v>0</v>
      </c>
      <c r="K1053" s="14">
        <f t="shared" si="3"/>
        <v>0</v>
      </c>
      <c r="L1053" s="16" t="str">
        <f>IFERROR(__xludf.DUMMYFUNCTION("IFERROR(
  IF(
    VLOOKUP(C1053, IMPORTRANGE(""gid=860555792"", ""Maestro!B:C""), 2, FALSE) = D1053, 
    ""CONCILIADO"", 
    ""ERROR EN MONTO""
  ), 
  ""NO ENCONTRADO EN MAESTRO""
)"),"NO ENCONTRADO EN MAESTRO")</f>
        <v>NO ENCONTRADO EN MAESTRO</v>
      </c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</row>
    <row r="1054" ht="22.5" customHeight="1">
      <c r="A1054" s="25"/>
      <c r="B1054" s="15"/>
      <c r="C1054" s="21"/>
      <c r="D1054" s="22"/>
      <c r="E1054" s="22"/>
      <c r="F1054" s="22"/>
      <c r="G1054" s="29"/>
      <c r="H1054" s="13"/>
      <c r="I1054" s="14">
        <f t="shared" si="1"/>
        <v>0</v>
      </c>
      <c r="J1054" s="15">
        <f t="shared" si="2"/>
        <v>0</v>
      </c>
      <c r="K1054" s="14">
        <f t="shared" si="3"/>
        <v>0</v>
      </c>
      <c r="L1054" s="16" t="str">
        <f>IFERROR(__xludf.DUMMYFUNCTION("IFERROR(
  IF(
    VLOOKUP(C1054, IMPORTRANGE(""gid=860555792"", ""Maestro!B:C""), 2, FALSE) = D1054, 
    ""CONCILIADO"", 
    ""ERROR EN MONTO""
  ), 
  ""NO ENCONTRADO EN MAESTRO""
)"),"NO ENCONTRADO EN MAESTRO")</f>
        <v>NO ENCONTRADO EN MAESTRO</v>
      </c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</row>
    <row r="1055" ht="22.5" customHeight="1">
      <c r="A1055" s="25"/>
      <c r="B1055" s="15"/>
      <c r="C1055" s="21"/>
      <c r="D1055" s="22"/>
      <c r="E1055" s="22"/>
      <c r="F1055" s="22"/>
      <c r="G1055" s="29"/>
      <c r="H1055" s="13"/>
      <c r="I1055" s="14">
        <f t="shared" si="1"/>
        <v>0</v>
      </c>
      <c r="J1055" s="15">
        <f t="shared" si="2"/>
        <v>0</v>
      </c>
      <c r="K1055" s="14">
        <f t="shared" si="3"/>
        <v>0</v>
      </c>
      <c r="L1055" s="16" t="str">
        <f>IFERROR(__xludf.DUMMYFUNCTION("IFERROR(
  IF(
    VLOOKUP(C1055, IMPORTRANGE(""gid=860555792"", ""Maestro!B:C""), 2, FALSE) = D1055, 
    ""CONCILIADO"", 
    ""ERROR EN MONTO""
  ), 
  ""NO ENCONTRADO EN MAESTRO""
)"),"NO ENCONTRADO EN MAESTRO")</f>
        <v>NO ENCONTRADO EN MAESTRO</v>
      </c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</row>
    <row r="1056" ht="22.5" customHeight="1">
      <c r="A1056" s="25"/>
      <c r="B1056" s="15"/>
      <c r="C1056" s="21"/>
      <c r="D1056" s="22"/>
      <c r="E1056" s="22"/>
      <c r="F1056" s="22"/>
      <c r="G1056" s="29"/>
      <c r="H1056" s="13"/>
      <c r="I1056" s="14">
        <f t="shared" si="1"/>
        <v>0</v>
      </c>
      <c r="J1056" s="15">
        <f t="shared" si="2"/>
        <v>0</v>
      </c>
      <c r="K1056" s="14">
        <f t="shared" si="3"/>
        <v>0</v>
      </c>
      <c r="L1056" s="16" t="str">
        <f>IFERROR(__xludf.DUMMYFUNCTION("IFERROR(
  IF(
    VLOOKUP(C1056, IMPORTRANGE(""gid=860555792"", ""Maestro!B:C""), 2, FALSE) = D1056, 
    ""CONCILIADO"", 
    ""ERROR EN MONTO""
  ), 
  ""NO ENCONTRADO EN MAESTRO""
)"),"NO ENCONTRADO EN MAESTRO")</f>
        <v>NO ENCONTRADO EN MAESTRO</v>
      </c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</row>
    <row r="1057" ht="22.5" customHeight="1">
      <c r="A1057" s="25"/>
      <c r="B1057" s="15"/>
      <c r="C1057" s="21"/>
      <c r="D1057" s="22"/>
      <c r="E1057" s="22"/>
      <c r="F1057" s="22"/>
      <c r="G1057" s="29"/>
      <c r="H1057" s="13"/>
      <c r="I1057" s="14">
        <f t="shared" si="1"/>
        <v>0</v>
      </c>
      <c r="J1057" s="15">
        <f t="shared" si="2"/>
        <v>0</v>
      </c>
      <c r="K1057" s="14">
        <f t="shared" si="3"/>
        <v>0</v>
      </c>
      <c r="L1057" s="16" t="str">
        <f>IFERROR(__xludf.DUMMYFUNCTION("IFERROR(
  IF(
    VLOOKUP(C1057, IMPORTRANGE(""gid=860555792"", ""Maestro!B:C""), 2, FALSE) = D1057, 
    ""CONCILIADO"", 
    ""ERROR EN MONTO""
  ), 
  ""NO ENCONTRADO EN MAESTRO""
)"),"NO ENCONTRADO EN MAESTRO")</f>
        <v>NO ENCONTRADO EN MAESTRO</v>
      </c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</row>
    <row r="1058" ht="22.5" customHeight="1">
      <c r="A1058" s="25"/>
      <c r="B1058" s="15"/>
      <c r="C1058" s="21"/>
      <c r="D1058" s="22"/>
      <c r="E1058" s="22"/>
      <c r="F1058" s="22"/>
      <c r="G1058" s="29"/>
      <c r="H1058" s="13"/>
      <c r="I1058" s="14">
        <f t="shared" si="1"/>
        <v>0</v>
      </c>
      <c r="J1058" s="15">
        <f t="shared" si="2"/>
        <v>0</v>
      </c>
      <c r="K1058" s="14">
        <f t="shared" si="3"/>
        <v>0</v>
      </c>
      <c r="L1058" s="16" t="str">
        <f>IFERROR(__xludf.DUMMYFUNCTION("IFERROR(
  IF(
    VLOOKUP(C1058, IMPORTRANGE(""gid=860555792"", ""Maestro!B:C""), 2, FALSE) = D1058, 
    ""CONCILIADO"", 
    ""ERROR EN MONTO""
  ), 
  ""NO ENCONTRADO EN MAESTRO""
)"),"NO ENCONTRADO EN MAESTRO")</f>
        <v>NO ENCONTRADO EN MAESTRO</v>
      </c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</row>
    <row r="1059" ht="22.5" customHeight="1">
      <c r="A1059" s="25"/>
      <c r="B1059" s="15"/>
      <c r="C1059" s="21"/>
      <c r="D1059" s="22"/>
      <c r="E1059" s="22"/>
      <c r="F1059" s="22"/>
      <c r="G1059" s="29"/>
      <c r="H1059" s="13"/>
      <c r="I1059" s="14">
        <f t="shared" si="1"/>
        <v>0</v>
      </c>
      <c r="J1059" s="15">
        <f t="shared" si="2"/>
        <v>0</v>
      </c>
      <c r="K1059" s="14">
        <f t="shared" si="3"/>
        <v>0</v>
      </c>
      <c r="L1059" s="16" t="str">
        <f>IFERROR(__xludf.DUMMYFUNCTION("IFERROR(
  IF(
    VLOOKUP(C1059, IMPORTRANGE(""gid=860555792"", ""Maestro!B:C""), 2, FALSE) = D1059, 
    ""CONCILIADO"", 
    ""ERROR EN MONTO""
  ), 
  ""NO ENCONTRADO EN MAESTRO""
)"),"NO ENCONTRADO EN MAESTRO")</f>
        <v>NO ENCONTRADO EN MAESTRO</v>
      </c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</row>
    <row r="1060" ht="22.5" customHeight="1">
      <c r="A1060" s="25"/>
      <c r="B1060" s="15"/>
      <c r="C1060" s="21"/>
      <c r="D1060" s="22"/>
      <c r="E1060" s="22"/>
      <c r="F1060" s="22"/>
      <c r="G1060" s="29"/>
      <c r="H1060" s="13"/>
      <c r="I1060" s="14">
        <f t="shared" si="1"/>
        <v>0</v>
      </c>
      <c r="J1060" s="15">
        <f t="shared" si="2"/>
        <v>0</v>
      </c>
      <c r="K1060" s="14">
        <f t="shared" si="3"/>
        <v>0</v>
      </c>
      <c r="L1060" s="16" t="str">
        <f>IFERROR(__xludf.DUMMYFUNCTION("IFERROR(
  IF(
    VLOOKUP(C1060, IMPORTRANGE(""gid=860555792"", ""Maestro!B:C""), 2, FALSE) = D1060, 
    ""CONCILIADO"", 
    ""ERROR EN MONTO""
  ), 
  ""NO ENCONTRADO EN MAESTRO""
)"),"NO ENCONTRADO EN MAESTRO")</f>
        <v>NO ENCONTRADO EN MAESTRO</v>
      </c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</row>
    <row r="1061" ht="22.5" customHeight="1">
      <c r="A1061" s="25"/>
      <c r="B1061" s="15"/>
      <c r="C1061" s="21"/>
      <c r="D1061" s="22"/>
      <c r="E1061" s="22"/>
      <c r="F1061" s="22"/>
      <c r="G1061" s="29"/>
      <c r="H1061" s="13"/>
      <c r="I1061" s="14">
        <f t="shared" si="1"/>
        <v>0</v>
      </c>
      <c r="J1061" s="15">
        <f t="shared" si="2"/>
        <v>0</v>
      </c>
      <c r="K1061" s="14">
        <f t="shared" si="3"/>
        <v>0</v>
      </c>
      <c r="L1061" s="16" t="str">
        <f>IFERROR(__xludf.DUMMYFUNCTION("IFERROR(
  IF(
    VLOOKUP(C1061, IMPORTRANGE(""gid=860555792"", ""Maestro!B:C""), 2, FALSE) = D1061, 
    ""CONCILIADO"", 
    ""ERROR EN MONTO""
  ), 
  ""NO ENCONTRADO EN MAESTRO""
)"),"NO ENCONTRADO EN MAESTRO")</f>
        <v>NO ENCONTRADO EN MAESTRO</v>
      </c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</row>
    <row r="1062" ht="22.5" customHeight="1">
      <c r="A1062" s="25"/>
      <c r="B1062" s="15"/>
      <c r="C1062" s="21"/>
      <c r="D1062" s="22"/>
      <c r="E1062" s="22"/>
      <c r="F1062" s="22"/>
      <c r="G1062" s="29"/>
      <c r="H1062" s="13"/>
      <c r="I1062" s="14">
        <f t="shared" si="1"/>
        <v>0</v>
      </c>
      <c r="J1062" s="15">
        <f t="shared" si="2"/>
        <v>0</v>
      </c>
      <c r="K1062" s="14">
        <f t="shared" si="3"/>
        <v>0</v>
      </c>
      <c r="L1062" s="16" t="str">
        <f>IFERROR(__xludf.DUMMYFUNCTION("IFERROR(
  IF(
    VLOOKUP(C1062, IMPORTRANGE(""gid=860555792"", ""Maestro!B:C""), 2, FALSE) = D1062, 
    ""CONCILIADO"", 
    ""ERROR EN MONTO""
  ), 
  ""NO ENCONTRADO EN MAESTRO""
)"),"NO ENCONTRADO EN MAESTRO")</f>
        <v>NO ENCONTRADO EN MAESTRO</v>
      </c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</row>
    <row r="1063" ht="22.5" customHeight="1">
      <c r="A1063" s="25"/>
      <c r="B1063" s="15"/>
      <c r="C1063" s="21"/>
      <c r="D1063" s="22"/>
      <c r="E1063" s="22"/>
      <c r="F1063" s="22"/>
      <c r="G1063" s="29"/>
      <c r="H1063" s="13"/>
      <c r="I1063" s="14">
        <f t="shared" si="1"/>
        <v>0</v>
      </c>
      <c r="J1063" s="15">
        <f t="shared" si="2"/>
        <v>0</v>
      </c>
      <c r="K1063" s="14">
        <f t="shared" si="3"/>
        <v>0</v>
      </c>
      <c r="L1063" s="16" t="str">
        <f>IFERROR(__xludf.DUMMYFUNCTION("IFERROR(
  IF(
    VLOOKUP(C1063, IMPORTRANGE(""gid=860555792"", ""Maestro!B:C""), 2, FALSE) = D1063, 
    ""CONCILIADO"", 
    ""ERROR EN MONTO""
  ), 
  ""NO ENCONTRADO EN MAESTRO""
)"),"NO ENCONTRADO EN MAESTRO")</f>
        <v>NO ENCONTRADO EN MAESTRO</v>
      </c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</row>
    <row r="1064" ht="22.5" customHeight="1">
      <c r="A1064" s="25"/>
      <c r="B1064" s="15"/>
      <c r="C1064" s="21"/>
      <c r="D1064" s="22"/>
      <c r="E1064" s="22"/>
      <c r="F1064" s="22"/>
      <c r="G1064" s="29"/>
      <c r="H1064" s="13"/>
      <c r="I1064" s="14">
        <f t="shared" si="1"/>
        <v>0</v>
      </c>
      <c r="J1064" s="15">
        <f t="shared" si="2"/>
        <v>0</v>
      </c>
      <c r="K1064" s="14">
        <f t="shared" si="3"/>
        <v>0</v>
      </c>
      <c r="L1064" s="16" t="str">
        <f>IFERROR(__xludf.DUMMYFUNCTION("IFERROR(
  IF(
    VLOOKUP(C1064, IMPORTRANGE(""gid=860555792"", ""Maestro!B:C""), 2, FALSE) = D1064, 
    ""CONCILIADO"", 
    ""ERROR EN MONTO""
  ), 
  ""NO ENCONTRADO EN MAESTRO""
)"),"NO ENCONTRADO EN MAESTRO")</f>
        <v>NO ENCONTRADO EN MAESTRO</v>
      </c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</row>
    <row r="1065" ht="22.5" customHeight="1">
      <c r="A1065" s="25"/>
      <c r="B1065" s="15"/>
      <c r="C1065" s="21"/>
      <c r="D1065" s="22"/>
      <c r="E1065" s="22"/>
      <c r="F1065" s="22"/>
      <c r="G1065" s="29"/>
      <c r="H1065" s="13"/>
      <c r="I1065" s="14">
        <f t="shared" si="1"/>
        <v>0</v>
      </c>
      <c r="J1065" s="15">
        <f t="shared" si="2"/>
        <v>0</v>
      </c>
      <c r="K1065" s="14">
        <f t="shared" si="3"/>
        <v>0</v>
      </c>
      <c r="L1065" s="16" t="str">
        <f>IFERROR(__xludf.DUMMYFUNCTION("IFERROR(
  IF(
    VLOOKUP(C1065, IMPORTRANGE(""gid=860555792"", ""Maestro!B:C""), 2, FALSE) = D1065, 
    ""CONCILIADO"", 
    ""ERROR EN MONTO""
  ), 
  ""NO ENCONTRADO EN MAESTRO""
)"),"NO ENCONTRADO EN MAESTRO")</f>
        <v>NO ENCONTRADO EN MAESTRO</v>
      </c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</row>
    <row r="1066" ht="22.5" customHeight="1">
      <c r="A1066" s="25"/>
      <c r="B1066" s="15"/>
      <c r="C1066" s="21"/>
      <c r="D1066" s="22"/>
      <c r="E1066" s="22"/>
      <c r="F1066" s="22"/>
      <c r="G1066" s="29"/>
      <c r="H1066" s="13"/>
      <c r="I1066" s="14">
        <f t="shared" si="1"/>
        <v>0</v>
      </c>
      <c r="J1066" s="15">
        <f t="shared" si="2"/>
        <v>0</v>
      </c>
      <c r="K1066" s="14">
        <f t="shared" si="3"/>
        <v>0</v>
      </c>
      <c r="L1066" s="16" t="str">
        <f>IFERROR(__xludf.DUMMYFUNCTION("IFERROR(
  IF(
    VLOOKUP(C1066, IMPORTRANGE(""gid=860555792"", ""Maestro!B:C""), 2, FALSE) = D1066, 
    ""CONCILIADO"", 
    ""ERROR EN MONTO""
  ), 
  ""NO ENCONTRADO EN MAESTRO""
)"),"NO ENCONTRADO EN MAESTRO")</f>
        <v>NO ENCONTRADO EN MAESTRO</v>
      </c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</row>
    <row r="1067" ht="22.5" customHeight="1">
      <c r="A1067" s="25"/>
      <c r="B1067" s="15"/>
      <c r="C1067" s="21"/>
      <c r="D1067" s="22"/>
      <c r="E1067" s="22"/>
      <c r="F1067" s="22"/>
      <c r="G1067" s="29"/>
      <c r="H1067" s="13"/>
      <c r="I1067" s="14">
        <f t="shared" si="1"/>
        <v>0</v>
      </c>
      <c r="J1067" s="15">
        <f t="shared" si="2"/>
        <v>0</v>
      </c>
      <c r="K1067" s="14">
        <f t="shared" si="3"/>
        <v>0</v>
      </c>
      <c r="L1067" s="16" t="str">
        <f>IFERROR(__xludf.DUMMYFUNCTION("IFERROR(
  IF(
    VLOOKUP(C1067, IMPORTRANGE(""gid=860555792"", ""Maestro!B:C""), 2, FALSE) = D1067, 
    ""CONCILIADO"", 
    ""ERROR EN MONTO""
  ), 
  ""NO ENCONTRADO EN MAESTRO""
)"),"NO ENCONTRADO EN MAESTRO")</f>
        <v>NO ENCONTRADO EN MAESTRO</v>
      </c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</row>
    <row r="1068" ht="22.5" customHeight="1">
      <c r="A1068" s="25"/>
      <c r="B1068" s="15"/>
      <c r="C1068" s="21"/>
      <c r="D1068" s="22"/>
      <c r="E1068" s="22"/>
      <c r="F1068" s="22"/>
      <c r="G1068" s="29"/>
      <c r="H1068" s="13"/>
      <c r="I1068" s="14">
        <f t="shared" si="1"/>
        <v>0</v>
      </c>
      <c r="J1068" s="15">
        <f t="shared" si="2"/>
        <v>0</v>
      </c>
      <c r="K1068" s="14">
        <f t="shared" si="3"/>
        <v>0</v>
      </c>
      <c r="L1068" s="16" t="str">
        <f>IFERROR(__xludf.DUMMYFUNCTION("IFERROR(
  IF(
    VLOOKUP(C1068, IMPORTRANGE(""gid=860555792"", ""Maestro!B:C""), 2, FALSE) = D1068, 
    ""CONCILIADO"", 
    ""ERROR EN MONTO""
  ), 
  ""NO ENCONTRADO EN MAESTRO""
)"),"NO ENCONTRADO EN MAESTRO")</f>
        <v>NO ENCONTRADO EN MAESTRO</v>
      </c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</row>
    <row r="1069" ht="22.5" customHeight="1">
      <c r="A1069" s="25"/>
      <c r="B1069" s="15"/>
      <c r="C1069" s="21"/>
      <c r="D1069" s="22"/>
      <c r="E1069" s="22"/>
      <c r="F1069" s="22"/>
      <c r="G1069" s="29"/>
      <c r="H1069" s="13"/>
      <c r="I1069" s="14">
        <f t="shared" si="1"/>
        <v>0</v>
      </c>
      <c r="J1069" s="15">
        <f t="shared" si="2"/>
        <v>0</v>
      </c>
      <c r="K1069" s="14">
        <f t="shared" si="3"/>
        <v>0</v>
      </c>
      <c r="L1069" s="16" t="str">
        <f>IFERROR(__xludf.DUMMYFUNCTION("IFERROR(
  IF(
    VLOOKUP(C1069, IMPORTRANGE(""gid=860555792"", ""Maestro!B:C""), 2, FALSE) = D1069, 
    ""CONCILIADO"", 
    ""ERROR EN MONTO""
  ), 
  ""NO ENCONTRADO EN MAESTRO""
)"),"NO ENCONTRADO EN MAESTRO")</f>
        <v>NO ENCONTRADO EN MAESTRO</v>
      </c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</row>
    <row r="1070" ht="22.5" customHeight="1">
      <c r="A1070" s="25"/>
      <c r="B1070" s="15"/>
      <c r="C1070" s="21"/>
      <c r="D1070" s="22"/>
      <c r="E1070" s="22"/>
      <c r="F1070" s="22"/>
      <c r="G1070" s="29"/>
      <c r="H1070" s="13"/>
      <c r="I1070" s="14">
        <f t="shared" si="1"/>
        <v>0</v>
      </c>
      <c r="J1070" s="15">
        <f t="shared" si="2"/>
        <v>0</v>
      </c>
      <c r="K1070" s="14">
        <f t="shared" si="3"/>
        <v>0</v>
      </c>
      <c r="L1070" s="16" t="str">
        <f>IFERROR(__xludf.DUMMYFUNCTION("IFERROR(
  IF(
    VLOOKUP(C1070, IMPORTRANGE(""gid=860555792"", ""Maestro!B:C""), 2, FALSE) = D1070, 
    ""CONCILIADO"", 
    ""ERROR EN MONTO""
  ), 
  ""NO ENCONTRADO EN MAESTRO""
)"),"NO ENCONTRADO EN MAESTRO")</f>
        <v>NO ENCONTRADO EN MAESTRO</v>
      </c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</row>
    <row r="1071" ht="22.5" customHeight="1">
      <c r="A1071" s="25"/>
      <c r="B1071" s="15"/>
      <c r="C1071" s="21"/>
      <c r="D1071" s="22"/>
      <c r="E1071" s="22"/>
      <c r="F1071" s="22"/>
      <c r="G1071" s="29"/>
      <c r="H1071" s="13"/>
      <c r="I1071" s="14">
        <f t="shared" si="1"/>
        <v>0</v>
      </c>
      <c r="J1071" s="15">
        <f t="shared" si="2"/>
        <v>0</v>
      </c>
      <c r="K1071" s="14">
        <f t="shared" si="3"/>
        <v>0</v>
      </c>
      <c r="L1071" s="16" t="str">
        <f>IFERROR(__xludf.DUMMYFUNCTION("IFERROR(
  IF(
    VLOOKUP(C1071, IMPORTRANGE(""gid=860555792"", ""Maestro!B:C""), 2, FALSE) = D1071, 
    ""CONCILIADO"", 
    ""ERROR EN MONTO""
  ), 
  ""NO ENCONTRADO EN MAESTRO""
)"),"NO ENCONTRADO EN MAESTRO")</f>
        <v>NO ENCONTRADO EN MAESTRO</v>
      </c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</row>
    <row r="1072" ht="22.5" customHeight="1">
      <c r="A1072" s="25"/>
      <c r="B1072" s="15"/>
      <c r="C1072" s="21"/>
      <c r="D1072" s="22"/>
      <c r="E1072" s="22"/>
      <c r="F1072" s="22"/>
      <c r="G1072" s="29"/>
      <c r="H1072" s="13"/>
      <c r="I1072" s="14">
        <f t="shared" si="1"/>
        <v>0</v>
      </c>
      <c r="J1072" s="15">
        <f t="shared" si="2"/>
        <v>0</v>
      </c>
      <c r="K1072" s="14">
        <f t="shared" si="3"/>
        <v>0</v>
      </c>
      <c r="L1072" s="16" t="str">
        <f>IFERROR(__xludf.DUMMYFUNCTION("IFERROR(
  IF(
    VLOOKUP(C1072, IMPORTRANGE(""gid=860555792"", ""Maestro!B:C""), 2, FALSE) = D1072, 
    ""CONCILIADO"", 
    ""ERROR EN MONTO""
  ), 
  ""NO ENCONTRADO EN MAESTRO""
)"),"NO ENCONTRADO EN MAESTRO")</f>
        <v>NO ENCONTRADO EN MAESTRO</v>
      </c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</row>
    <row r="1073" ht="22.5" customHeight="1">
      <c r="A1073" s="25"/>
      <c r="B1073" s="15"/>
      <c r="C1073" s="21"/>
      <c r="D1073" s="22"/>
      <c r="E1073" s="22"/>
      <c r="F1073" s="22"/>
      <c r="G1073" s="29"/>
      <c r="H1073" s="13"/>
      <c r="I1073" s="14">
        <f t="shared" si="1"/>
        <v>0</v>
      </c>
      <c r="J1073" s="15">
        <f t="shared" si="2"/>
        <v>0</v>
      </c>
      <c r="K1073" s="14">
        <f t="shared" si="3"/>
        <v>0</v>
      </c>
      <c r="L1073" s="16" t="str">
        <f>IFERROR(__xludf.DUMMYFUNCTION("IFERROR(
  IF(
    VLOOKUP(C1073, IMPORTRANGE(""gid=860555792"", ""Maestro!B:C""), 2, FALSE) = D1073, 
    ""CONCILIADO"", 
    ""ERROR EN MONTO""
  ), 
  ""NO ENCONTRADO EN MAESTRO""
)"),"NO ENCONTRADO EN MAESTRO")</f>
        <v>NO ENCONTRADO EN MAESTRO</v>
      </c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</row>
    <row r="1074" ht="22.5" customHeight="1">
      <c r="A1074" s="25"/>
      <c r="B1074" s="15"/>
      <c r="C1074" s="21"/>
      <c r="D1074" s="22"/>
      <c r="E1074" s="22"/>
      <c r="F1074" s="22"/>
      <c r="G1074" s="29"/>
      <c r="H1074" s="13"/>
      <c r="I1074" s="14">
        <f t="shared" si="1"/>
        <v>0</v>
      </c>
      <c r="J1074" s="15">
        <f t="shared" si="2"/>
        <v>0</v>
      </c>
      <c r="K1074" s="14">
        <f t="shared" si="3"/>
        <v>0</v>
      </c>
      <c r="L1074" s="16" t="str">
        <f>IFERROR(__xludf.DUMMYFUNCTION("IFERROR(
  IF(
    VLOOKUP(C1074, IMPORTRANGE(""gid=860555792"", ""Maestro!B:C""), 2, FALSE) = D1074, 
    ""CONCILIADO"", 
    ""ERROR EN MONTO""
  ), 
  ""NO ENCONTRADO EN MAESTRO""
)"),"NO ENCONTRADO EN MAESTRO")</f>
        <v>NO ENCONTRADO EN MAESTRO</v>
      </c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</row>
    <row r="1075" ht="22.5" customHeight="1">
      <c r="A1075" s="25"/>
      <c r="B1075" s="15"/>
      <c r="C1075" s="21"/>
      <c r="D1075" s="22"/>
      <c r="E1075" s="22"/>
      <c r="F1075" s="22"/>
      <c r="G1075" s="29"/>
      <c r="H1075" s="13"/>
      <c r="I1075" s="14">
        <f t="shared" si="1"/>
        <v>0</v>
      </c>
      <c r="J1075" s="15">
        <f t="shared" si="2"/>
        <v>0</v>
      </c>
      <c r="K1075" s="14">
        <f t="shared" si="3"/>
        <v>0</v>
      </c>
      <c r="L1075" s="16" t="str">
        <f>IFERROR(__xludf.DUMMYFUNCTION("IFERROR(
  IF(
    VLOOKUP(C1075, IMPORTRANGE(""gid=860555792"", ""Maestro!B:C""), 2, FALSE) = D1075, 
    ""CONCILIADO"", 
    ""ERROR EN MONTO""
  ), 
  ""NO ENCONTRADO EN MAESTRO""
)"),"NO ENCONTRADO EN MAESTRO")</f>
        <v>NO ENCONTRADO EN MAESTRO</v>
      </c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</row>
    <row r="1076" ht="22.5" customHeight="1">
      <c r="A1076" s="25"/>
      <c r="B1076" s="15"/>
      <c r="C1076" s="21"/>
      <c r="D1076" s="22"/>
      <c r="E1076" s="22"/>
      <c r="F1076" s="22"/>
      <c r="G1076" s="29"/>
      <c r="H1076" s="13"/>
      <c r="I1076" s="14">
        <f t="shared" si="1"/>
        <v>0</v>
      </c>
      <c r="J1076" s="15">
        <f t="shared" si="2"/>
        <v>0</v>
      </c>
      <c r="K1076" s="14">
        <f t="shared" si="3"/>
        <v>0</v>
      </c>
      <c r="L1076" s="16" t="str">
        <f>IFERROR(__xludf.DUMMYFUNCTION("IFERROR(
  IF(
    VLOOKUP(C1076, IMPORTRANGE(""gid=860555792"", ""Maestro!B:C""), 2, FALSE) = D1076, 
    ""CONCILIADO"", 
    ""ERROR EN MONTO""
  ), 
  ""NO ENCONTRADO EN MAESTRO""
)"),"NO ENCONTRADO EN MAESTRO")</f>
        <v>NO ENCONTRADO EN MAESTRO</v>
      </c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</row>
    <row r="1077" ht="22.5" customHeight="1">
      <c r="A1077" s="25"/>
      <c r="B1077" s="15"/>
      <c r="C1077" s="21"/>
      <c r="D1077" s="22"/>
      <c r="E1077" s="22"/>
      <c r="F1077" s="22"/>
      <c r="G1077" s="29"/>
      <c r="H1077" s="13"/>
      <c r="I1077" s="14">
        <f t="shared" si="1"/>
        <v>0</v>
      </c>
      <c r="J1077" s="15">
        <f t="shared" si="2"/>
        <v>0</v>
      </c>
      <c r="K1077" s="14">
        <f t="shared" si="3"/>
        <v>0</v>
      </c>
      <c r="L1077" s="16" t="str">
        <f>IFERROR(__xludf.DUMMYFUNCTION("IFERROR(
  IF(
    VLOOKUP(C1077, IMPORTRANGE(""gid=860555792"", ""Maestro!B:C""), 2, FALSE) = D1077, 
    ""CONCILIADO"", 
    ""ERROR EN MONTO""
  ), 
  ""NO ENCONTRADO EN MAESTRO""
)"),"NO ENCONTRADO EN MAESTRO")</f>
        <v>NO ENCONTRADO EN MAESTRO</v>
      </c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</row>
    <row r="1078" ht="22.5" customHeight="1">
      <c r="A1078" s="25"/>
      <c r="B1078" s="15"/>
      <c r="C1078" s="21"/>
      <c r="D1078" s="22"/>
      <c r="E1078" s="22"/>
      <c r="F1078" s="22"/>
      <c r="G1078" s="29"/>
      <c r="H1078" s="13"/>
      <c r="I1078" s="14">
        <f t="shared" si="1"/>
        <v>0</v>
      </c>
      <c r="J1078" s="15">
        <f t="shared" si="2"/>
        <v>0</v>
      </c>
      <c r="K1078" s="14">
        <f t="shared" si="3"/>
        <v>0</v>
      </c>
      <c r="L1078" s="16" t="str">
        <f>IFERROR(__xludf.DUMMYFUNCTION("IFERROR(
  IF(
    VLOOKUP(C1078, IMPORTRANGE(""gid=860555792"", ""Maestro!B:C""), 2, FALSE) = D1078, 
    ""CONCILIADO"", 
    ""ERROR EN MONTO""
  ), 
  ""NO ENCONTRADO EN MAESTRO""
)"),"NO ENCONTRADO EN MAESTRO")</f>
        <v>NO ENCONTRADO EN MAESTRO</v>
      </c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</row>
    <row r="1079" ht="22.5" customHeight="1">
      <c r="A1079" s="25"/>
      <c r="B1079" s="15"/>
      <c r="C1079" s="21"/>
      <c r="D1079" s="22"/>
      <c r="E1079" s="22"/>
      <c r="F1079" s="22"/>
      <c r="G1079" s="29"/>
      <c r="H1079" s="13"/>
      <c r="I1079" s="14">
        <f t="shared" si="1"/>
        <v>0</v>
      </c>
      <c r="J1079" s="15">
        <f t="shared" si="2"/>
        <v>0</v>
      </c>
      <c r="K1079" s="14">
        <f t="shared" si="3"/>
        <v>0</v>
      </c>
      <c r="L1079" s="16" t="str">
        <f>IFERROR(__xludf.DUMMYFUNCTION("IFERROR(
  IF(
    VLOOKUP(C1079, IMPORTRANGE(""gid=860555792"", ""Maestro!B:C""), 2, FALSE) = D1079, 
    ""CONCILIADO"", 
    ""ERROR EN MONTO""
  ), 
  ""NO ENCONTRADO EN MAESTRO""
)"),"NO ENCONTRADO EN MAESTRO")</f>
        <v>NO ENCONTRADO EN MAESTRO</v>
      </c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</row>
    <row r="1080" ht="22.5" customHeight="1">
      <c r="A1080" s="25"/>
      <c r="B1080" s="15"/>
      <c r="C1080" s="21"/>
      <c r="D1080" s="22"/>
      <c r="E1080" s="22"/>
      <c r="F1080" s="22"/>
      <c r="G1080" s="29"/>
      <c r="H1080" s="13"/>
      <c r="I1080" s="14">
        <f t="shared" si="1"/>
        <v>0</v>
      </c>
      <c r="J1080" s="15">
        <f t="shared" si="2"/>
        <v>0</v>
      </c>
      <c r="K1080" s="14">
        <f t="shared" si="3"/>
        <v>0</v>
      </c>
      <c r="L1080" s="16" t="str">
        <f>IFERROR(__xludf.DUMMYFUNCTION("IFERROR(
  IF(
    VLOOKUP(C1080, IMPORTRANGE(""gid=860555792"", ""Maestro!B:C""), 2, FALSE) = D1080, 
    ""CONCILIADO"", 
    ""ERROR EN MONTO""
  ), 
  ""NO ENCONTRADO EN MAESTRO""
)"),"NO ENCONTRADO EN MAESTRO")</f>
        <v>NO ENCONTRADO EN MAESTRO</v>
      </c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</row>
    <row r="1081" ht="22.5" customHeight="1">
      <c r="A1081" s="25"/>
      <c r="B1081" s="15"/>
      <c r="C1081" s="21"/>
      <c r="D1081" s="22"/>
      <c r="E1081" s="22"/>
      <c r="F1081" s="22"/>
      <c r="G1081" s="29"/>
      <c r="H1081" s="13"/>
      <c r="I1081" s="14">
        <f t="shared" si="1"/>
        <v>0</v>
      </c>
      <c r="J1081" s="15">
        <f t="shared" si="2"/>
        <v>0</v>
      </c>
      <c r="K1081" s="14">
        <f t="shared" si="3"/>
        <v>0</v>
      </c>
      <c r="L1081" s="16" t="str">
        <f>IFERROR(__xludf.DUMMYFUNCTION("IFERROR(
  IF(
    VLOOKUP(C1081, IMPORTRANGE(""gid=860555792"", ""Maestro!B:C""), 2, FALSE) = D1081, 
    ""CONCILIADO"", 
    ""ERROR EN MONTO""
  ), 
  ""NO ENCONTRADO EN MAESTRO""
)"),"NO ENCONTRADO EN MAESTRO")</f>
        <v>NO ENCONTRADO EN MAESTRO</v>
      </c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</row>
    <row r="1082" ht="22.5" customHeight="1">
      <c r="A1082" s="25"/>
      <c r="B1082" s="15"/>
      <c r="C1082" s="21"/>
      <c r="D1082" s="22"/>
      <c r="E1082" s="22"/>
      <c r="F1082" s="22"/>
      <c r="G1082" s="29"/>
      <c r="H1082" s="13"/>
      <c r="I1082" s="14">
        <f t="shared" si="1"/>
        <v>0</v>
      </c>
      <c r="J1082" s="15">
        <f t="shared" si="2"/>
        <v>0</v>
      </c>
      <c r="K1082" s="14">
        <f t="shared" si="3"/>
        <v>0</v>
      </c>
      <c r="L1082" s="16" t="str">
        <f>IFERROR(__xludf.DUMMYFUNCTION("IFERROR(
  IF(
    VLOOKUP(C1082, IMPORTRANGE(""gid=860555792"", ""Maestro!B:C""), 2, FALSE) = D1082, 
    ""CONCILIADO"", 
    ""ERROR EN MONTO""
  ), 
  ""NO ENCONTRADO EN MAESTRO""
)"),"NO ENCONTRADO EN MAESTRO")</f>
        <v>NO ENCONTRADO EN MAESTRO</v>
      </c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</row>
    <row r="1083" ht="22.5" customHeight="1">
      <c r="A1083" s="25"/>
      <c r="B1083" s="15"/>
      <c r="C1083" s="21"/>
      <c r="D1083" s="22"/>
      <c r="E1083" s="22"/>
      <c r="F1083" s="22"/>
      <c r="G1083" s="29"/>
      <c r="H1083" s="13"/>
      <c r="I1083" s="14">
        <f t="shared" si="1"/>
        <v>0</v>
      </c>
      <c r="J1083" s="15">
        <f t="shared" si="2"/>
        <v>0</v>
      </c>
      <c r="K1083" s="14">
        <f t="shared" si="3"/>
        <v>0</v>
      </c>
      <c r="L1083" s="16" t="str">
        <f>IFERROR(__xludf.DUMMYFUNCTION("IFERROR(
  IF(
    VLOOKUP(C1083, IMPORTRANGE(""gid=860555792"", ""Maestro!B:C""), 2, FALSE) = D1083, 
    ""CONCILIADO"", 
    ""ERROR EN MONTO""
  ), 
  ""NO ENCONTRADO EN MAESTRO""
)"),"NO ENCONTRADO EN MAESTRO")</f>
        <v>NO ENCONTRADO EN MAESTRO</v>
      </c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</row>
    <row r="1084" ht="22.5" customHeight="1">
      <c r="A1084" s="25"/>
      <c r="B1084" s="15"/>
      <c r="C1084" s="21"/>
      <c r="D1084" s="22"/>
      <c r="E1084" s="22"/>
      <c r="F1084" s="22"/>
      <c r="G1084" s="29"/>
      <c r="H1084" s="13"/>
      <c r="I1084" s="14">
        <f t="shared" si="1"/>
        <v>0</v>
      </c>
      <c r="J1084" s="15">
        <f t="shared" si="2"/>
        <v>0</v>
      </c>
      <c r="K1084" s="14">
        <f t="shared" si="3"/>
        <v>0</v>
      </c>
      <c r="L1084" s="16" t="str">
        <f>IFERROR(__xludf.DUMMYFUNCTION("IFERROR(
  IF(
    VLOOKUP(C1084, IMPORTRANGE(""gid=860555792"", ""Maestro!B:C""), 2, FALSE) = D1084, 
    ""CONCILIADO"", 
    ""ERROR EN MONTO""
  ), 
  ""NO ENCONTRADO EN MAESTRO""
)"),"NO ENCONTRADO EN MAESTRO")</f>
        <v>NO ENCONTRADO EN MAESTRO</v>
      </c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</row>
    <row r="1085" ht="22.5" customHeight="1">
      <c r="A1085" s="25"/>
      <c r="B1085" s="15"/>
      <c r="C1085" s="21"/>
      <c r="D1085" s="22"/>
      <c r="E1085" s="22"/>
      <c r="F1085" s="22"/>
      <c r="G1085" s="29"/>
      <c r="H1085" s="13"/>
      <c r="I1085" s="14">
        <f t="shared" si="1"/>
        <v>0</v>
      </c>
      <c r="J1085" s="15">
        <f t="shared" si="2"/>
        <v>0</v>
      </c>
      <c r="K1085" s="14">
        <f t="shared" si="3"/>
        <v>0</v>
      </c>
      <c r="L1085" s="16" t="str">
        <f>IFERROR(__xludf.DUMMYFUNCTION("IFERROR(
  IF(
    VLOOKUP(C1085, IMPORTRANGE(""gid=860555792"", ""Maestro!B:C""), 2, FALSE) = D1085, 
    ""CONCILIADO"", 
    ""ERROR EN MONTO""
  ), 
  ""NO ENCONTRADO EN MAESTRO""
)"),"NO ENCONTRADO EN MAESTRO")</f>
        <v>NO ENCONTRADO EN MAESTRO</v>
      </c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</row>
    <row r="1086" ht="22.5" customHeight="1">
      <c r="A1086" s="25"/>
      <c r="B1086" s="15"/>
      <c r="C1086" s="21"/>
      <c r="D1086" s="22"/>
      <c r="E1086" s="22"/>
      <c r="F1086" s="22"/>
      <c r="G1086" s="29"/>
      <c r="H1086" s="13"/>
      <c r="I1086" s="14">
        <f t="shared" si="1"/>
        <v>0</v>
      </c>
      <c r="J1086" s="15">
        <f t="shared" si="2"/>
        <v>0</v>
      </c>
      <c r="K1086" s="14">
        <f t="shared" si="3"/>
        <v>0</v>
      </c>
      <c r="L1086" s="16" t="str">
        <f>IFERROR(__xludf.DUMMYFUNCTION("IFERROR(
  IF(
    VLOOKUP(C1086, IMPORTRANGE(""gid=860555792"", ""Maestro!B:C""), 2, FALSE) = D1086, 
    ""CONCILIADO"", 
    ""ERROR EN MONTO""
  ), 
  ""NO ENCONTRADO EN MAESTRO""
)"),"NO ENCONTRADO EN MAESTRO")</f>
        <v>NO ENCONTRADO EN MAESTRO</v>
      </c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</row>
    <row r="1087" ht="22.5" customHeight="1">
      <c r="A1087" s="25"/>
      <c r="B1087" s="15"/>
      <c r="C1087" s="21"/>
      <c r="D1087" s="22"/>
      <c r="E1087" s="22"/>
      <c r="F1087" s="22"/>
      <c r="G1087" s="29"/>
      <c r="H1087" s="13"/>
      <c r="I1087" s="14">
        <f t="shared" si="1"/>
        <v>0</v>
      </c>
      <c r="J1087" s="15">
        <f t="shared" si="2"/>
        <v>0</v>
      </c>
      <c r="K1087" s="14">
        <f t="shared" si="3"/>
        <v>0</v>
      </c>
      <c r="L1087" s="16" t="str">
        <f>IFERROR(__xludf.DUMMYFUNCTION("IFERROR(
  IF(
    VLOOKUP(C1087, IMPORTRANGE(""gid=860555792"", ""Maestro!B:C""), 2, FALSE) = D1087, 
    ""CONCILIADO"", 
    ""ERROR EN MONTO""
  ), 
  ""NO ENCONTRADO EN MAESTRO""
)"),"NO ENCONTRADO EN MAESTRO")</f>
        <v>NO ENCONTRADO EN MAESTRO</v>
      </c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</row>
    <row r="1088" ht="22.5" customHeight="1">
      <c r="A1088" s="25"/>
      <c r="B1088" s="15"/>
      <c r="C1088" s="21"/>
      <c r="D1088" s="22"/>
      <c r="E1088" s="22"/>
      <c r="F1088" s="22"/>
      <c r="G1088" s="29"/>
      <c r="H1088" s="13"/>
      <c r="I1088" s="14">
        <f t="shared" si="1"/>
        <v>0</v>
      </c>
      <c r="J1088" s="15">
        <f t="shared" si="2"/>
        <v>0</v>
      </c>
      <c r="K1088" s="14">
        <f t="shared" si="3"/>
        <v>0</v>
      </c>
      <c r="L1088" s="16" t="str">
        <f>IFERROR(__xludf.DUMMYFUNCTION("IFERROR(
  IF(
    VLOOKUP(C1088, IMPORTRANGE(""gid=860555792"", ""Maestro!B:C""), 2, FALSE) = D1088, 
    ""CONCILIADO"", 
    ""ERROR EN MONTO""
  ), 
  ""NO ENCONTRADO EN MAESTRO""
)"),"NO ENCONTRADO EN MAESTRO")</f>
        <v>NO ENCONTRADO EN MAESTRO</v>
      </c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</row>
    <row r="1089" ht="22.5" customHeight="1">
      <c r="A1089" s="25"/>
      <c r="B1089" s="15"/>
      <c r="C1089" s="21"/>
      <c r="D1089" s="22"/>
      <c r="E1089" s="22"/>
      <c r="F1089" s="22"/>
      <c r="G1089" s="29"/>
      <c r="H1089" s="13"/>
      <c r="I1089" s="14">
        <f t="shared" si="1"/>
        <v>0</v>
      </c>
      <c r="J1089" s="15">
        <f t="shared" si="2"/>
        <v>0</v>
      </c>
      <c r="K1089" s="14">
        <f t="shared" si="3"/>
        <v>0</v>
      </c>
      <c r="L1089" s="16" t="str">
        <f>IFERROR(__xludf.DUMMYFUNCTION("IFERROR(
  IF(
    VLOOKUP(C1089, IMPORTRANGE(""gid=860555792"", ""Maestro!B:C""), 2, FALSE) = D1089, 
    ""CONCILIADO"", 
    ""ERROR EN MONTO""
  ), 
  ""NO ENCONTRADO EN MAESTRO""
)"),"NO ENCONTRADO EN MAESTRO")</f>
        <v>NO ENCONTRADO EN MAESTRO</v>
      </c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</row>
    <row r="1090" ht="22.5" customHeight="1">
      <c r="A1090" s="25"/>
      <c r="B1090" s="15"/>
      <c r="C1090" s="21"/>
      <c r="D1090" s="22"/>
      <c r="E1090" s="22"/>
      <c r="F1090" s="22"/>
      <c r="G1090" s="29"/>
      <c r="H1090" s="13"/>
      <c r="I1090" s="14">
        <f t="shared" si="1"/>
        <v>0</v>
      </c>
      <c r="J1090" s="15">
        <f t="shared" si="2"/>
        <v>0</v>
      </c>
      <c r="K1090" s="14">
        <f t="shared" si="3"/>
        <v>0</v>
      </c>
      <c r="L1090" s="16" t="str">
        <f>IFERROR(__xludf.DUMMYFUNCTION("IFERROR(
  IF(
    VLOOKUP(C1090, IMPORTRANGE(""gid=860555792"", ""Maestro!B:C""), 2, FALSE) = D1090, 
    ""CONCILIADO"", 
    ""ERROR EN MONTO""
  ), 
  ""NO ENCONTRADO EN MAESTRO""
)"),"NO ENCONTRADO EN MAESTRO")</f>
        <v>NO ENCONTRADO EN MAESTRO</v>
      </c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</row>
  </sheetData>
  <dataValidations>
    <dataValidation type="custom" allowBlank="1" showDropDown="1" sqref="A2:A1090">
      <formula1>OR(NOT(ISERROR(DATEVALUE(A2))), AND(ISNUMBER(A2), LEFT(CELL("format", A2))="D"))</formula1>
    </dataValidation>
    <dataValidation type="custom" allowBlank="1" showDropDown="1" sqref="B2:C1090 G2:G1090 I2:K1090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hidden="1" min="5" max="5" width="12.63"/>
  </cols>
  <sheetData>
    <row r="1"/>
    <row r="2"/>
    <row r="3"/>
    <row r="4"/>
    <row r="5"/>
    <row r="6"/>
    <row r="7"/>
    <row r="8"/>
    <row r="9">
      <c r="A9" s="30"/>
      <c r="C9" s="32"/>
      <c r="D9" s="32"/>
    </row>
    <row r="10">
      <c r="A10" s="30"/>
      <c r="C10" s="32"/>
      <c r="D10" s="32"/>
    </row>
    <row r="11">
      <c r="A11" s="30"/>
      <c r="C11" s="32"/>
      <c r="D11" s="32"/>
    </row>
    <row r="12">
      <c r="A12" s="30"/>
      <c r="C12" s="32"/>
      <c r="D12" s="32"/>
    </row>
    <row r="13">
      <c r="A13" s="30"/>
      <c r="C13" s="32"/>
      <c r="D13" s="32"/>
    </row>
    <row r="14">
      <c r="A14" s="30"/>
      <c r="C14" s="32"/>
      <c r="D14" s="32"/>
    </row>
    <row r="15">
      <c r="A15" s="30"/>
      <c r="C15" s="32"/>
      <c r="D15" s="32"/>
    </row>
    <row r="16">
      <c r="A16" s="30"/>
      <c r="C16" s="32"/>
      <c r="D16" s="32"/>
    </row>
    <row r="17">
      <c r="A17" s="30"/>
      <c r="C17" s="32"/>
      <c r="D17" s="32"/>
    </row>
    <row r="18">
      <c r="A18" s="30"/>
      <c r="C18" s="32"/>
      <c r="D18" s="32"/>
    </row>
    <row r="19">
      <c r="A19" s="30"/>
      <c r="C19" s="32"/>
      <c r="D19" s="32"/>
    </row>
    <row r="20">
      <c r="A20" s="30"/>
      <c r="C20" s="32"/>
      <c r="D20" s="32"/>
    </row>
    <row r="21">
      <c r="A21" s="30"/>
      <c r="C21" s="32"/>
      <c r="D21" s="32"/>
    </row>
    <row r="22">
      <c r="A22" s="30"/>
      <c r="C22" s="32"/>
      <c r="D22" s="32"/>
    </row>
    <row r="23">
      <c r="A23" s="30"/>
      <c r="C23" s="32"/>
      <c r="D23" s="32"/>
    </row>
    <row r="24">
      <c r="A24" s="30"/>
      <c r="C24" s="32"/>
      <c r="D24" s="32"/>
    </row>
    <row r="25">
      <c r="A25" s="30"/>
      <c r="C25" s="32"/>
      <c r="D25" s="32"/>
    </row>
    <row r="26">
      <c r="A26" s="30"/>
      <c r="C26" s="32"/>
      <c r="D26" s="32"/>
    </row>
    <row r="27">
      <c r="A27" s="30"/>
      <c r="C27" s="32"/>
      <c r="D27" s="32"/>
    </row>
    <row r="28">
      <c r="A28" s="30"/>
      <c r="C28" s="32"/>
      <c r="D28" s="32"/>
    </row>
    <row r="29">
      <c r="A29" s="30"/>
      <c r="C29" s="32"/>
      <c r="D29" s="32"/>
    </row>
    <row r="30">
      <c r="A30" s="30"/>
      <c r="C30" s="32"/>
      <c r="D30" s="32"/>
    </row>
    <row r="31">
      <c r="A31" s="30"/>
      <c r="C31" s="32"/>
      <c r="D31" s="32"/>
    </row>
    <row r="32">
      <c r="A32" s="30"/>
      <c r="C32" s="32"/>
      <c r="D32" s="32"/>
    </row>
    <row r="33">
      <c r="A33" s="30"/>
      <c r="C33" s="32"/>
      <c r="D33" s="32"/>
    </row>
    <row r="34">
      <c r="A34" s="30"/>
      <c r="C34" s="32"/>
      <c r="D34" s="32"/>
    </row>
    <row r="35">
      <c r="A35" s="30"/>
      <c r="C35" s="32"/>
      <c r="D35" s="32"/>
    </row>
    <row r="36">
      <c r="A36" s="30"/>
      <c r="C36" s="32"/>
      <c r="D36" s="32"/>
    </row>
    <row r="37">
      <c r="A37" s="30"/>
      <c r="C37" s="32"/>
      <c r="D37" s="32"/>
    </row>
    <row r="38">
      <c r="A38" s="30"/>
      <c r="C38" s="32"/>
      <c r="D38" s="32"/>
    </row>
    <row r="39">
      <c r="A39" s="30"/>
      <c r="C39" s="32"/>
      <c r="D39" s="32"/>
    </row>
    <row r="40">
      <c r="A40" s="30"/>
      <c r="C40" s="32"/>
      <c r="D40" s="32"/>
    </row>
    <row r="41">
      <c r="A41" s="30"/>
      <c r="C41" s="32"/>
      <c r="D41" s="32"/>
    </row>
    <row r="42">
      <c r="A42" s="30"/>
      <c r="C42" s="32"/>
      <c r="D42" s="32"/>
    </row>
    <row r="43">
      <c r="A43" s="30"/>
      <c r="C43" s="32"/>
      <c r="D43" s="32"/>
    </row>
    <row r="44">
      <c r="A44" s="30"/>
      <c r="C44" s="32"/>
      <c r="D44" s="32"/>
    </row>
    <row r="45">
      <c r="A45" s="30"/>
      <c r="C45" s="32"/>
      <c r="D45" s="32"/>
    </row>
    <row r="46">
      <c r="A46" s="30"/>
      <c r="C46" s="32"/>
      <c r="D46" s="32"/>
    </row>
    <row r="47">
      <c r="A47" s="30"/>
      <c r="C47" s="32"/>
      <c r="D47" s="32"/>
    </row>
    <row r="48">
      <c r="A48" s="30"/>
      <c r="C48" s="32"/>
      <c r="D48" s="32"/>
    </row>
    <row r="49">
      <c r="A49" s="30"/>
      <c r="C49" s="32"/>
      <c r="D49" s="32"/>
    </row>
    <row r="50">
      <c r="A50" s="30"/>
      <c r="C50" s="32"/>
      <c r="D50" s="32"/>
    </row>
    <row r="51">
      <c r="A51" s="30"/>
      <c r="C51" s="32"/>
      <c r="D51" s="32"/>
    </row>
    <row r="52">
      <c r="A52" s="30"/>
      <c r="C52" s="32"/>
      <c r="D52" s="32"/>
    </row>
    <row r="53">
      <c r="A53" s="30"/>
      <c r="C53" s="32"/>
      <c r="D53" s="32"/>
    </row>
    <row r="54">
      <c r="A54" s="30"/>
      <c r="C54" s="32"/>
      <c r="D54" s="32"/>
    </row>
    <row r="55">
      <c r="A55" s="30"/>
      <c r="C55" s="32"/>
      <c r="D55" s="32"/>
    </row>
    <row r="56">
      <c r="A56" s="30"/>
      <c r="C56" s="32"/>
      <c r="D56" s="32"/>
    </row>
    <row r="57">
      <c r="A57" s="30"/>
      <c r="C57" s="32"/>
      <c r="D57" s="32"/>
    </row>
    <row r="58">
      <c r="A58" s="30"/>
      <c r="C58" s="32"/>
      <c r="D58" s="32"/>
    </row>
    <row r="59">
      <c r="A59" s="30"/>
      <c r="C59" s="32"/>
      <c r="D59" s="32"/>
    </row>
    <row r="60">
      <c r="A60" s="30"/>
      <c r="C60" s="32"/>
      <c r="D60" s="32"/>
    </row>
    <row r="61">
      <c r="A61" s="30"/>
      <c r="C61" s="32"/>
      <c r="D61" s="32"/>
    </row>
    <row r="62">
      <c r="A62" s="30"/>
      <c r="C62" s="32"/>
      <c r="D62" s="32"/>
    </row>
    <row r="63">
      <c r="A63" s="30"/>
      <c r="C63" s="32"/>
      <c r="D63" s="32"/>
    </row>
    <row r="64">
      <c r="A64" s="30"/>
      <c r="C64" s="32"/>
      <c r="D64" s="32"/>
    </row>
    <row r="65">
      <c r="A65" s="30"/>
      <c r="C65" s="32"/>
      <c r="D65" s="32"/>
    </row>
    <row r="66">
      <c r="A66" s="30"/>
      <c r="C66" s="32"/>
      <c r="D66" s="32"/>
    </row>
    <row r="67">
      <c r="A67" s="30"/>
      <c r="C67" s="32"/>
      <c r="D67" s="32"/>
    </row>
    <row r="68">
      <c r="A68" s="30"/>
      <c r="C68" s="32"/>
      <c r="D68" s="32"/>
    </row>
    <row r="69">
      <c r="A69" s="30"/>
      <c r="C69" s="32"/>
      <c r="D69" s="32"/>
    </row>
    <row r="70">
      <c r="A70" s="30"/>
      <c r="C70" s="32"/>
      <c r="D70" s="32"/>
    </row>
    <row r="71">
      <c r="A71" s="30"/>
      <c r="C71" s="32"/>
      <c r="D71" s="32"/>
    </row>
    <row r="72">
      <c r="A72" s="30"/>
      <c r="C72" s="32"/>
      <c r="D72" s="32"/>
    </row>
    <row r="73">
      <c r="A73" s="30"/>
      <c r="C73" s="32"/>
      <c r="D73" s="32"/>
    </row>
    <row r="74">
      <c r="A74" s="30"/>
      <c r="C74" s="32"/>
      <c r="D74" s="32"/>
    </row>
    <row r="75">
      <c r="A75" s="30"/>
      <c r="C75" s="32"/>
      <c r="D75" s="32"/>
    </row>
    <row r="76">
      <c r="A76" s="30"/>
      <c r="C76" s="32"/>
      <c r="D76" s="32"/>
    </row>
    <row r="77">
      <c r="A77" s="30"/>
      <c r="C77" s="32"/>
      <c r="D77" s="32"/>
    </row>
    <row r="78">
      <c r="A78" s="30"/>
      <c r="C78" s="32"/>
      <c r="D78" s="32"/>
    </row>
    <row r="79">
      <c r="A79" s="30"/>
      <c r="C79" s="32"/>
      <c r="D79" s="32"/>
    </row>
    <row r="80">
      <c r="A80" s="30"/>
      <c r="C80" s="32"/>
      <c r="D80" s="32"/>
    </row>
    <row r="81">
      <c r="A81" s="30"/>
      <c r="C81" s="32"/>
      <c r="D81" s="32"/>
    </row>
    <row r="82">
      <c r="A82" s="30"/>
      <c r="C82" s="32"/>
      <c r="D82" s="32"/>
    </row>
    <row r="83">
      <c r="A83" s="30"/>
      <c r="C83" s="32"/>
      <c r="D83" s="32"/>
    </row>
    <row r="84">
      <c r="A84" s="30"/>
      <c r="C84" s="32"/>
      <c r="D84" s="32"/>
    </row>
    <row r="85">
      <c r="A85" s="30"/>
      <c r="C85" s="32"/>
      <c r="D85" s="32"/>
    </row>
    <row r="86">
      <c r="A86" s="30"/>
      <c r="C86" s="32"/>
      <c r="D86" s="32"/>
    </row>
    <row r="87">
      <c r="A87" s="30"/>
      <c r="C87" s="32"/>
      <c r="D87" s="32"/>
    </row>
    <row r="88">
      <c r="A88" s="30"/>
      <c r="C88" s="32"/>
      <c r="D88" s="32"/>
    </row>
    <row r="89">
      <c r="A89" s="30"/>
      <c r="C89" s="32"/>
      <c r="D89" s="32"/>
    </row>
    <row r="90">
      <c r="A90" s="30"/>
      <c r="C90" s="32"/>
      <c r="D90" s="32"/>
    </row>
    <row r="91">
      <c r="A91" s="30"/>
      <c r="C91" s="32"/>
      <c r="D91" s="32"/>
    </row>
    <row r="92">
      <c r="A92" s="30"/>
      <c r="C92" s="32"/>
      <c r="D92" s="32"/>
    </row>
    <row r="93">
      <c r="A93" s="30"/>
      <c r="C93" s="32"/>
      <c r="D93" s="32"/>
    </row>
    <row r="94">
      <c r="A94" s="30"/>
      <c r="C94" s="32"/>
      <c r="D94" s="32"/>
    </row>
    <row r="95">
      <c r="A95" s="30"/>
      <c r="C95" s="32"/>
      <c r="D95" s="32"/>
    </row>
    <row r="96">
      <c r="A96" s="30"/>
      <c r="C96" s="32"/>
      <c r="D96" s="32"/>
    </row>
    <row r="97">
      <c r="A97" s="30"/>
      <c r="C97" s="32"/>
      <c r="D97" s="32"/>
    </row>
    <row r="98">
      <c r="A98" s="30"/>
      <c r="C98" s="32"/>
      <c r="D98" s="32"/>
    </row>
    <row r="99">
      <c r="A99" s="30"/>
      <c r="C99" s="32"/>
      <c r="D99" s="32"/>
    </row>
    <row r="100">
      <c r="A100" s="30"/>
      <c r="C100" s="32"/>
      <c r="D100" s="32"/>
    </row>
    <row r="101">
      <c r="A101" s="30"/>
      <c r="C101" s="32"/>
      <c r="D101" s="32"/>
    </row>
    <row r="102">
      <c r="A102" s="30"/>
      <c r="C102" s="32"/>
      <c r="D102" s="32"/>
    </row>
    <row r="103">
      <c r="A103" s="30"/>
      <c r="C103" s="32"/>
      <c r="D103" s="32"/>
    </row>
    <row r="104">
      <c r="A104" s="30"/>
      <c r="C104" s="32"/>
      <c r="D104" s="32"/>
    </row>
    <row r="105">
      <c r="A105" s="30"/>
      <c r="C105" s="32"/>
      <c r="D105" s="32"/>
    </row>
    <row r="106">
      <c r="A106" s="30"/>
      <c r="C106" s="32"/>
      <c r="D106" s="32"/>
    </row>
    <row r="107">
      <c r="A107" s="30"/>
      <c r="C107" s="32"/>
      <c r="D107" s="32"/>
    </row>
    <row r="108">
      <c r="A108" s="30"/>
      <c r="C108" s="32"/>
      <c r="D108" s="32"/>
    </row>
    <row r="109">
      <c r="A109" s="30"/>
      <c r="C109" s="32"/>
      <c r="D109" s="32"/>
    </row>
    <row r="110">
      <c r="A110" s="30"/>
      <c r="C110" s="32"/>
      <c r="D110" s="32"/>
    </row>
    <row r="111">
      <c r="A111" s="30"/>
      <c r="C111" s="32"/>
      <c r="D111" s="32"/>
    </row>
    <row r="112">
      <c r="A112" s="30"/>
      <c r="C112" s="32"/>
      <c r="D112" s="32"/>
    </row>
    <row r="113">
      <c r="A113" s="30"/>
      <c r="C113" s="32"/>
      <c r="D113" s="32"/>
    </row>
    <row r="114">
      <c r="A114" s="30"/>
      <c r="C114" s="32"/>
      <c r="D114" s="32"/>
    </row>
    <row r="115">
      <c r="A115" s="30"/>
      <c r="C115" s="32"/>
      <c r="D115" s="32"/>
    </row>
    <row r="116">
      <c r="A116" s="30"/>
      <c r="C116" s="32"/>
      <c r="D116" s="32"/>
    </row>
    <row r="117">
      <c r="A117" s="30"/>
      <c r="C117" s="32"/>
      <c r="D117" s="32"/>
    </row>
    <row r="118">
      <c r="A118" s="30"/>
      <c r="C118" s="32"/>
      <c r="D118" s="32"/>
    </row>
    <row r="119">
      <c r="A119" s="30"/>
      <c r="C119" s="32"/>
      <c r="D119" s="32"/>
    </row>
    <row r="120">
      <c r="A120" s="30"/>
      <c r="C120" s="32"/>
      <c r="D120" s="32"/>
    </row>
    <row r="121">
      <c r="A121" s="30"/>
      <c r="C121" s="32"/>
      <c r="D121" s="32"/>
    </row>
    <row r="122">
      <c r="A122" s="30"/>
      <c r="C122" s="32"/>
      <c r="D122" s="32"/>
    </row>
    <row r="123">
      <c r="A123" s="30"/>
      <c r="C123" s="32"/>
      <c r="D123" s="32"/>
    </row>
    <row r="124">
      <c r="A124" s="30"/>
      <c r="C124" s="32"/>
      <c r="D124" s="32"/>
    </row>
    <row r="125">
      <c r="A125" s="30"/>
      <c r="C125" s="32"/>
      <c r="D125" s="32"/>
    </row>
    <row r="126">
      <c r="A126" s="30"/>
      <c r="C126" s="32"/>
      <c r="D126" s="32"/>
    </row>
    <row r="127">
      <c r="A127" s="30"/>
      <c r="C127" s="32"/>
      <c r="D127" s="32"/>
    </row>
    <row r="128">
      <c r="A128" s="30"/>
      <c r="C128" s="32"/>
      <c r="D128" s="32"/>
    </row>
    <row r="129">
      <c r="A129" s="30"/>
      <c r="C129" s="32"/>
      <c r="D129" s="32"/>
    </row>
    <row r="130">
      <c r="A130" s="30"/>
      <c r="C130" s="32"/>
      <c r="D130" s="32"/>
    </row>
    <row r="131">
      <c r="A131" s="30"/>
      <c r="C131" s="32"/>
      <c r="D131" s="32"/>
    </row>
    <row r="132">
      <c r="A132" s="30"/>
      <c r="C132" s="32"/>
      <c r="D132" s="32"/>
    </row>
    <row r="133">
      <c r="A133" s="30"/>
      <c r="C133" s="32"/>
      <c r="D133" s="32"/>
    </row>
    <row r="134">
      <c r="A134" s="30"/>
      <c r="C134" s="32"/>
      <c r="D134" s="32"/>
    </row>
    <row r="135">
      <c r="A135" s="30"/>
      <c r="C135" s="32"/>
      <c r="D135" s="32"/>
    </row>
    <row r="136">
      <c r="A136" s="30"/>
      <c r="C136" s="32"/>
      <c r="D136" s="32"/>
    </row>
    <row r="137">
      <c r="A137" s="30"/>
      <c r="C137" s="32"/>
      <c r="D137" s="32"/>
    </row>
    <row r="138">
      <c r="A138" s="30"/>
      <c r="C138" s="32"/>
      <c r="D138" s="32"/>
    </row>
    <row r="139">
      <c r="A139" s="30"/>
      <c r="C139" s="32"/>
      <c r="D139" s="32"/>
    </row>
    <row r="140">
      <c r="A140" s="30"/>
      <c r="C140" s="32"/>
      <c r="D140" s="32"/>
    </row>
    <row r="141">
      <c r="A141" s="30"/>
      <c r="C141" s="32"/>
      <c r="D141" s="32"/>
    </row>
    <row r="142">
      <c r="A142" s="30"/>
      <c r="C142" s="32"/>
      <c r="D142" s="32"/>
    </row>
    <row r="143">
      <c r="A143" s="30"/>
      <c r="C143" s="32"/>
      <c r="D143" s="32"/>
    </row>
    <row r="144">
      <c r="A144" s="30"/>
      <c r="C144" s="32"/>
      <c r="D144" s="32"/>
    </row>
    <row r="145">
      <c r="A145" s="30"/>
      <c r="C145" s="32"/>
      <c r="D145" s="32"/>
    </row>
    <row r="146">
      <c r="A146" s="30"/>
      <c r="C146" s="32"/>
      <c r="D146" s="32"/>
    </row>
    <row r="147">
      <c r="A147" s="30"/>
      <c r="C147" s="32"/>
      <c r="D147" s="32"/>
    </row>
    <row r="148">
      <c r="A148" s="30"/>
      <c r="C148" s="32"/>
      <c r="D148" s="32"/>
    </row>
    <row r="149">
      <c r="A149" s="30"/>
      <c r="C149" s="32"/>
      <c r="D149" s="32"/>
    </row>
    <row r="150">
      <c r="A150" s="30"/>
      <c r="C150" s="32"/>
      <c r="D150" s="32"/>
    </row>
    <row r="151">
      <c r="A151" s="30"/>
      <c r="C151" s="32"/>
      <c r="D151" s="32"/>
    </row>
    <row r="152">
      <c r="A152" s="30"/>
      <c r="C152" s="32"/>
      <c r="D152" s="32"/>
    </row>
    <row r="153">
      <c r="A153" s="30"/>
      <c r="C153" s="32"/>
      <c r="D153" s="32"/>
    </row>
    <row r="154">
      <c r="A154" s="30"/>
      <c r="C154" s="32"/>
      <c r="D154" s="32"/>
    </row>
    <row r="155">
      <c r="A155" s="30"/>
      <c r="C155" s="32"/>
      <c r="D155" s="32"/>
    </row>
    <row r="156">
      <c r="A156" s="30"/>
      <c r="C156" s="32"/>
      <c r="D156" s="32"/>
    </row>
    <row r="157">
      <c r="A157" s="30"/>
      <c r="C157" s="32"/>
      <c r="D157" s="32"/>
    </row>
    <row r="158">
      <c r="A158" s="30"/>
      <c r="C158" s="32"/>
      <c r="D158" s="32"/>
    </row>
    <row r="159">
      <c r="A159" s="30"/>
      <c r="C159" s="32"/>
      <c r="D159" s="32"/>
    </row>
    <row r="160">
      <c r="A160" s="30"/>
      <c r="C160" s="32"/>
      <c r="D160" s="32"/>
    </row>
    <row r="161">
      <c r="A161" s="30"/>
      <c r="C161" s="32"/>
      <c r="D161" s="32"/>
    </row>
    <row r="162">
      <c r="A162" s="30"/>
      <c r="C162" s="32"/>
      <c r="D162" s="32"/>
    </row>
    <row r="163">
      <c r="A163" s="30"/>
      <c r="C163" s="32"/>
      <c r="D163" s="32"/>
    </row>
    <row r="164">
      <c r="A164" s="30"/>
      <c r="C164" s="32"/>
      <c r="D164" s="32"/>
    </row>
    <row r="165">
      <c r="A165" s="30"/>
      <c r="C165" s="32"/>
      <c r="D165" s="32"/>
    </row>
    <row r="166">
      <c r="A166" s="30"/>
      <c r="C166" s="32"/>
      <c r="D166" s="32"/>
    </row>
    <row r="167">
      <c r="A167" s="30"/>
      <c r="C167" s="32"/>
      <c r="D167" s="32"/>
    </row>
    <row r="168">
      <c r="A168" s="30"/>
      <c r="C168" s="32"/>
      <c r="D168" s="32"/>
    </row>
    <row r="169">
      <c r="A169" s="30"/>
      <c r="C169" s="32"/>
      <c r="D169" s="32"/>
    </row>
    <row r="170">
      <c r="A170" s="30"/>
      <c r="C170" s="32"/>
      <c r="D170" s="32"/>
    </row>
    <row r="171">
      <c r="A171" s="30"/>
      <c r="C171" s="32"/>
      <c r="D171" s="32"/>
    </row>
    <row r="172">
      <c r="A172" s="30"/>
      <c r="C172" s="32"/>
      <c r="D172" s="32"/>
    </row>
    <row r="173">
      <c r="A173" s="30"/>
      <c r="C173" s="32"/>
      <c r="D173" s="32"/>
    </row>
    <row r="174">
      <c r="A174" s="30"/>
      <c r="C174" s="32"/>
      <c r="D174" s="32"/>
    </row>
    <row r="175">
      <c r="A175" s="30"/>
      <c r="C175" s="32"/>
      <c r="D175" s="32"/>
    </row>
    <row r="176">
      <c r="A176" s="30"/>
      <c r="C176" s="32"/>
      <c r="D176" s="32"/>
    </row>
    <row r="177">
      <c r="A177" s="30"/>
      <c r="C177" s="32"/>
      <c r="D177" s="32"/>
    </row>
    <row r="178">
      <c r="A178" s="30"/>
      <c r="C178" s="32"/>
      <c r="D178" s="32"/>
    </row>
    <row r="179">
      <c r="A179" s="30"/>
      <c r="C179" s="32"/>
      <c r="D179" s="32"/>
    </row>
    <row r="180">
      <c r="A180" s="30"/>
      <c r="C180" s="32"/>
      <c r="D180" s="32"/>
    </row>
    <row r="181">
      <c r="A181" s="30"/>
      <c r="C181" s="32"/>
      <c r="D181" s="32"/>
    </row>
    <row r="182">
      <c r="A182" s="30"/>
      <c r="C182" s="32"/>
      <c r="D182" s="32"/>
    </row>
    <row r="183">
      <c r="A183" s="30"/>
      <c r="C183" s="32"/>
      <c r="D183" s="32"/>
    </row>
    <row r="184">
      <c r="A184" s="30"/>
      <c r="C184" s="32"/>
      <c r="D184" s="32"/>
    </row>
    <row r="185">
      <c r="A185" s="30"/>
      <c r="C185" s="32"/>
      <c r="D185" s="32"/>
    </row>
    <row r="186">
      <c r="A186" s="30"/>
      <c r="C186" s="32"/>
      <c r="D186" s="32"/>
    </row>
    <row r="187">
      <c r="A187" s="30"/>
      <c r="C187" s="32"/>
      <c r="D187" s="32"/>
    </row>
    <row r="188">
      <c r="A188" s="30"/>
      <c r="C188" s="32"/>
      <c r="D188" s="32"/>
    </row>
    <row r="189">
      <c r="A189" s="30"/>
      <c r="C189" s="32"/>
      <c r="D189" s="32"/>
    </row>
    <row r="190">
      <c r="A190" s="30"/>
      <c r="C190" s="32"/>
      <c r="D190" s="32"/>
    </row>
    <row r="191">
      <c r="A191" s="30"/>
      <c r="C191" s="32"/>
      <c r="D191" s="32"/>
    </row>
    <row r="192">
      <c r="A192" s="30"/>
      <c r="C192" s="32"/>
      <c r="D192" s="32"/>
    </row>
    <row r="193">
      <c r="A193" s="30"/>
      <c r="C193" s="32"/>
      <c r="D193" s="32"/>
    </row>
    <row r="194">
      <c r="A194" s="30"/>
      <c r="C194" s="32"/>
      <c r="D194" s="32"/>
    </row>
    <row r="195">
      <c r="A195" s="30"/>
      <c r="C195" s="32"/>
      <c r="D195" s="32"/>
    </row>
    <row r="196">
      <c r="A196" s="30"/>
      <c r="C196" s="32"/>
      <c r="D196" s="32"/>
    </row>
    <row r="197">
      <c r="A197" s="30"/>
      <c r="C197" s="32"/>
      <c r="D197" s="32"/>
    </row>
    <row r="198">
      <c r="A198" s="30"/>
      <c r="C198" s="32"/>
      <c r="D198" s="32"/>
    </row>
    <row r="199">
      <c r="A199" s="30"/>
      <c r="C199" s="32"/>
      <c r="D199" s="32"/>
    </row>
    <row r="200">
      <c r="A200" s="30"/>
      <c r="C200" s="32"/>
      <c r="D200" s="32"/>
    </row>
    <row r="201">
      <c r="A201" s="30"/>
      <c r="C201" s="32"/>
      <c r="D201" s="32"/>
    </row>
    <row r="202">
      <c r="A202" s="30"/>
      <c r="C202" s="32"/>
      <c r="D202" s="32"/>
    </row>
    <row r="203">
      <c r="A203" s="30"/>
      <c r="C203" s="32"/>
      <c r="D203" s="32"/>
    </row>
    <row r="204">
      <c r="A204" s="30"/>
      <c r="C204" s="32"/>
      <c r="D204" s="32"/>
    </row>
    <row r="205">
      <c r="A205" s="30"/>
      <c r="C205" s="32"/>
      <c r="D205" s="32"/>
    </row>
    <row r="206">
      <c r="A206" s="30"/>
      <c r="C206" s="32"/>
      <c r="D206" s="32"/>
    </row>
    <row r="207">
      <c r="A207" s="30"/>
      <c r="C207" s="32"/>
      <c r="D207" s="32"/>
    </row>
    <row r="208">
      <c r="A208" s="30"/>
      <c r="C208" s="32"/>
      <c r="D208" s="32"/>
    </row>
    <row r="209">
      <c r="A209" s="30"/>
      <c r="C209" s="32"/>
      <c r="D209" s="32"/>
    </row>
    <row r="210">
      <c r="A210" s="30"/>
      <c r="C210" s="32"/>
      <c r="D210" s="32"/>
    </row>
    <row r="211">
      <c r="A211" s="30"/>
      <c r="C211" s="32"/>
      <c r="D211" s="32"/>
    </row>
    <row r="212">
      <c r="A212" s="30"/>
      <c r="C212" s="32"/>
      <c r="D212" s="32"/>
    </row>
    <row r="213">
      <c r="A213" s="30"/>
      <c r="C213" s="32"/>
      <c r="D213" s="32"/>
    </row>
    <row r="214">
      <c r="A214" s="30"/>
      <c r="C214" s="32"/>
      <c r="D214" s="32"/>
    </row>
    <row r="215">
      <c r="A215" s="30"/>
      <c r="C215" s="32"/>
      <c r="D215" s="32"/>
    </row>
    <row r="216">
      <c r="A216" s="30"/>
      <c r="C216" s="32"/>
      <c r="D216" s="32"/>
    </row>
    <row r="217">
      <c r="A217" s="30"/>
      <c r="C217" s="32"/>
      <c r="D217" s="32"/>
    </row>
    <row r="218">
      <c r="A218" s="30"/>
      <c r="C218" s="32"/>
      <c r="D218" s="32"/>
    </row>
    <row r="219">
      <c r="A219" s="30"/>
      <c r="C219" s="32"/>
      <c r="D219" s="32"/>
    </row>
    <row r="220">
      <c r="A220" s="30"/>
      <c r="C220" s="32"/>
      <c r="D220" s="32"/>
    </row>
    <row r="221">
      <c r="A221" s="30"/>
      <c r="C221" s="32"/>
      <c r="D221" s="32"/>
    </row>
    <row r="222">
      <c r="A222" s="30"/>
      <c r="C222" s="32"/>
      <c r="D222" s="32"/>
    </row>
    <row r="223">
      <c r="A223" s="30"/>
      <c r="C223" s="32"/>
      <c r="D223" s="32"/>
    </row>
    <row r="224">
      <c r="A224" s="30"/>
      <c r="C224" s="32"/>
      <c r="D224" s="32"/>
    </row>
    <row r="225">
      <c r="A225" s="30"/>
      <c r="C225" s="32"/>
      <c r="D225" s="32"/>
    </row>
    <row r="226">
      <c r="A226" s="30"/>
      <c r="C226" s="32"/>
      <c r="D226" s="32"/>
    </row>
    <row r="227">
      <c r="A227" s="30"/>
      <c r="C227" s="32"/>
      <c r="D227" s="32"/>
    </row>
    <row r="228">
      <c r="A228" s="30"/>
      <c r="C228" s="32"/>
      <c r="D228" s="32"/>
    </row>
    <row r="229">
      <c r="A229" s="30"/>
      <c r="C229" s="32"/>
      <c r="D229" s="32"/>
    </row>
    <row r="230">
      <c r="A230" s="30"/>
      <c r="C230" s="32"/>
      <c r="D230" s="32"/>
    </row>
    <row r="231">
      <c r="A231" s="30"/>
      <c r="C231" s="32"/>
      <c r="D231" s="32"/>
    </row>
    <row r="232">
      <c r="A232" s="30"/>
      <c r="C232" s="32"/>
      <c r="D232" s="32"/>
    </row>
    <row r="233">
      <c r="A233" s="30"/>
      <c r="C233" s="32"/>
      <c r="D233" s="32"/>
    </row>
    <row r="234">
      <c r="A234" s="30"/>
      <c r="C234" s="32"/>
      <c r="D234" s="32"/>
    </row>
    <row r="235">
      <c r="A235" s="30"/>
      <c r="C235" s="32"/>
      <c r="D235" s="32"/>
    </row>
    <row r="236">
      <c r="A236" s="30"/>
      <c r="C236" s="32"/>
      <c r="D236" s="32"/>
    </row>
    <row r="237">
      <c r="A237" s="30"/>
      <c r="C237" s="32"/>
      <c r="D237" s="32"/>
    </row>
    <row r="238">
      <c r="A238" s="30"/>
      <c r="C238" s="32"/>
      <c r="D238" s="32"/>
    </row>
    <row r="239">
      <c r="A239" s="30"/>
      <c r="C239" s="32"/>
      <c r="D239" s="32"/>
    </row>
    <row r="240">
      <c r="A240" s="30"/>
      <c r="C240" s="32"/>
      <c r="D240" s="32"/>
    </row>
    <row r="241">
      <c r="A241" s="30"/>
      <c r="C241" s="32"/>
      <c r="D241" s="32"/>
    </row>
    <row r="242">
      <c r="A242" s="30"/>
      <c r="C242" s="32"/>
      <c r="D242" s="32"/>
    </row>
    <row r="243">
      <c r="A243" s="30"/>
      <c r="C243" s="32"/>
      <c r="D243" s="32"/>
    </row>
    <row r="244">
      <c r="A244" s="30"/>
      <c r="C244" s="32"/>
      <c r="D244" s="32"/>
    </row>
    <row r="245">
      <c r="A245" s="30"/>
      <c r="C245" s="32"/>
      <c r="D245" s="32"/>
    </row>
    <row r="246">
      <c r="A246" s="30"/>
      <c r="C246" s="32"/>
      <c r="D246" s="32"/>
    </row>
    <row r="247">
      <c r="A247" s="30"/>
      <c r="C247" s="32"/>
      <c r="D247" s="32"/>
    </row>
    <row r="248">
      <c r="A248" s="30"/>
      <c r="C248" s="32"/>
      <c r="D248" s="32"/>
    </row>
    <row r="249">
      <c r="A249" s="30"/>
      <c r="C249" s="32"/>
      <c r="D249" s="32"/>
    </row>
    <row r="250">
      <c r="A250" s="30"/>
      <c r="C250" s="32"/>
      <c r="D250" s="32"/>
    </row>
    <row r="251">
      <c r="A251" s="30"/>
      <c r="C251" s="32"/>
      <c r="D251" s="32"/>
    </row>
    <row r="252">
      <c r="A252" s="30"/>
      <c r="C252" s="32"/>
      <c r="D252" s="32"/>
    </row>
    <row r="253">
      <c r="A253" s="30"/>
      <c r="C253" s="32"/>
      <c r="D253" s="32"/>
    </row>
    <row r="254">
      <c r="A254" s="30"/>
      <c r="C254" s="32"/>
      <c r="D254" s="32"/>
    </row>
    <row r="255">
      <c r="A255" s="30"/>
      <c r="C255" s="32"/>
      <c r="D255" s="32"/>
    </row>
    <row r="256">
      <c r="A256" s="30"/>
      <c r="C256" s="32"/>
      <c r="D256" s="32"/>
    </row>
    <row r="257">
      <c r="A257" s="30"/>
      <c r="C257" s="32"/>
      <c r="D257" s="32"/>
    </row>
    <row r="258">
      <c r="A258" s="30"/>
      <c r="C258" s="32"/>
      <c r="D258" s="32"/>
    </row>
    <row r="259">
      <c r="A259" s="30"/>
      <c r="C259" s="32"/>
      <c r="D259" s="32"/>
    </row>
    <row r="260">
      <c r="A260" s="30"/>
      <c r="C260" s="32"/>
      <c r="D260" s="32"/>
    </row>
    <row r="261">
      <c r="A261" s="30"/>
      <c r="C261" s="32"/>
      <c r="D261" s="32"/>
    </row>
    <row r="262">
      <c r="A262" s="30"/>
      <c r="C262" s="32"/>
      <c r="D262" s="32"/>
    </row>
    <row r="263">
      <c r="A263" s="30"/>
      <c r="C263" s="32"/>
      <c r="D263" s="32"/>
    </row>
    <row r="264">
      <c r="A264" s="30"/>
      <c r="C264" s="32"/>
      <c r="D264" s="32"/>
    </row>
    <row r="265">
      <c r="A265" s="30"/>
      <c r="C265" s="32"/>
      <c r="D265" s="32"/>
    </row>
    <row r="266">
      <c r="A266" s="30"/>
      <c r="C266" s="32"/>
      <c r="D266" s="32"/>
    </row>
    <row r="267">
      <c r="A267" s="30"/>
      <c r="C267" s="32"/>
      <c r="D267" s="32"/>
    </row>
    <row r="268">
      <c r="A268" s="30"/>
      <c r="C268" s="32"/>
      <c r="D268" s="32"/>
    </row>
    <row r="269">
      <c r="A269" s="30"/>
      <c r="C269" s="32"/>
      <c r="D269" s="32"/>
    </row>
    <row r="270">
      <c r="A270" s="30"/>
      <c r="C270" s="32"/>
      <c r="D270" s="32"/>
    </row>
    <row r="271">
      <c r="A271" s="30"/>
      <c r="C271" s="32"/>
      <c r="D271" s="32"/>
    </row>
    <row r="272">
      <c r="A272" s="30"/>
      <c r="C272" s="32"/>
      <c r="D272" s="32"/>
    </row>
    <row r="273">
      <c r="A273" s="30"/>
      <c r="C273" s="32"/>
      <c r="D273" s="32"/>
    </row>
    <row r="274">
      <c r="A274" s="30"/>
      <c r="C274" s="32"/>
      <c r="D274" s="32"/>
    </row>
    <row r="275">
      <c r="A275" s="30"/>
      <c r="C275" s="32"/>
      <c r="D275" s="32"/>
    </row>
    <row r="276">
      <c r="A276" s="30"/>
      <c r="C276" s="32"/>
      <c r="D276" s="32"/>
    </row>
    <row r="277">
      <c r="A277" s="30"/>
      <c r="C277" s="32"/>
      <c r="D277" s="32"/>
    </row>
    <row r="278">
      <c r="A278" s="30"/>
      <c r="C278" s="32"/>
      <c r="D278" s="32"/>
    </row>
    <row r="279">
      <c r="A279" s="30"/>
      <c r="C279" s="32"/>
      <c r="D279" s="32"/>
    </row>
    <row r="280">
      <c r="A280" s="30"/>
      <c r="C280" s="32"/>
      <c r="D280" s="32"/>
    </row>
    <row r="281">
      <c r="A281" s="30"/>
      <c r="C281" s="32"/>
      <c r="D281" s="32"/>
    </row>
    <row r="282">
      <c r="A282" s="30"/>
      <c r="C282" s="32"/>
      <c r="D282" s="32"/>
    </row>
    <row r="283">
      <c r="A283" s="30"/>
      <c r="C283" s="32"/>
      <c r="D283" s="32"/>
    </row>
    <row r="284">
      <c r="A284" s="30"/>
      <c r="C284" s="32"/>
      <c r="D284" s="32"/>
    </row>
    <row r="285">
      <c r="A285" s="30"/>
      <c r="C285" s="32"/>
      <c r="D285" s="32"/>
    </row>
    <row r="286">
      <c r="A286" s="30"/>
      <c r="C286" s="32"/>
      <c r="D286" s="32"/>
    </row>
    <row r="287">
      <c r="A287" s="30"/>
      <c r="C287" s="32"/>
      <c r="D287" s="32"/>
    </row>
    <row r="288">
      <c r="A288" s="30"/>
      <c r="C288" s="32"/>
      <c r="D288" s="32"/>
    </row>
    <row r="289">
      <c r="A289" s="30"/>
      <c r="C289" s="32"/>
      <c r="D289" s="32"/>
    </row>
    <row r="290">
      <c r="A290" s="30"/>
      <c r="C290" s="32"/>
      <c r="D290" s="32"/>
    </row>
    <row r="291">
      <c r="A291" s="30"/>
      <c r="C291" s="32"/>
      <c r="D291" s="32"/>
    </row>
    <row r="292">
      <c r="A292" s="30"/>
      <c r="C292" s="32"/>
      <c r="D292" s="32"/>
    </row>
    <row r="293">
      <c r="A293" s="30"/>
      <c r="C293" s="32"/>
      <c r="D293" s="32"/>
    </row>
    <row r="294">
      <c r="A294" s="30"/>
      <c r="C294" s="32"/>
      <c r="D294" s="32"/>
    </row>
    <row r="295">
      <c r="A295" s="30"/>
      <c r="C295" s="32"/>
      <c r="D295" s="32"/>
    </row>
    <row r="296">
      <c r="A296" s="30"/>
      <c r="C296" s="32"/>
      <c r="D296" s="32"/>
    </row>
    <row r="297">
      <c r="A297" s="30"/>
      <c r="C297" s="32"/>
      <c r="D297" s="32"/>
    </row>
    <row r="298">
      <c r="A298" s="30"/>
      <c r="C298" s="32"/>
      <c r="D298" s="32"/>
    </row>
    <row r="299">
      <c r="A299" s="30"/>
      <c r="C299" s="32"/>
      <c r="D299" s="32"/>
    </row>
    <row r="300">
      <c r="A300" s="30"/>
      <c r="C300" s="32"/>
      <c r="D300" s="32"/>
    </row>
    <row r="301">
      <c r="A301" s="30"/>
      <c r="C301" s="32"/>
      <c r="D301" s="32"/>
    </row>
    <row r="302">
      <c r="A302" s="30"/>
      <c r="C302" s="32"/>
      <c r="D302" s="32"/>
    </row>
    <row r="303">
      <c r="A303" s="30"/>
      <c r="C303" s="32"/>
      <c r="D303" s="32"/>
    </row>
    <row r="304">
      <c r="A304" s="30"/>
      <c r="C304" s="32"/>
      <c r="D304" s="32"/>
    </row>
    <row r="305">
      <c r="A305" s="30"/>
      <c r="C305" s="32"/>
      <c r="D305" s="32"/>
    </row>
    <row r="306">
      <c r="A306" s="30"/>
      <c r="C306" s="32"/>
      <c r="D306" s="32"/>
    </row>
    <row r="307">
      <c r="A307" s="30"/>
      <c r="C307" s="32"/>
      <c r="D307" s="32"/>
    </row>
    <row r="308">
      <c r="A308" s="30"/>
      <c r="C308" s="32"/>
      <c r="D308" s="32"/>
    </row>
    <row r="309">
      <c r="A309" s="30"/>
      <c r="C309" s="32"/>
      <c r="D309" s="32"/>
    </row>
    <row r="310">
      <c r="A310" s="30"/>
      <c r="C310" s="32"/>
      <c r="D310" s="32"/>
    </row>
    <row r="311">
      <c r="A311" s="30"/>
      <c r="C311" s="32"/>
      <c r="D311" s="32"/>
    </row>
    <row r="312">
      <c r="A312" s="30"/>
      <c r="C312" s="32"/>
      <c r="D312" s="32"/>
    </row>
    <row r="313">
      <c r="A313" s="30"/>
      <c r="C313" s="32"/>
      <c r="D313" s="32"/>
    </row>
    <row r="314">
      <c r="A314" s="30"/>
      <c r="C314" s="32"/>
      <c r="D314" s="32"/>
    </row>
    <row r="315">
      <c r="A315" s="30"/>
      <c r="C315" s="32"/>
      <c r="D315" s="32"/>
    </row>
    <row r="316">
      <c r="A316" s="30"/>
      <c r="C316" s="32"/>
      <c r="D316" s="32"/>
    </row>
    <row r="317">
      <c r="A317" s="30"/>
      <c r="C317" s="32"/>
      <c r="D317" s="32"/>
    </row>
    <row r="318">
      <c r="A318" s="30"/>
      <c r="C318" s="32"/>
      <c r="D318" s="32"/>
    </row>
    <row r="319">
      <c r="A319" s="30"/>
      <c r="C319" s="32"/>
      <c r="D319" s="32"/>
    </row>
    <row r="320">
      <c r="A320" s="30"/>
      <c r="C320" s="32"/>
      <c r="D320" s="32"/>
    </row>
    <row r="321">
      <c r="A321" s="30"/>
      <c r="C321" s="32"/>
      <c r="D321" s="32"/>
    </row>
    <row r="322">
      <c r="A322" s="30"/>
      <c r="C322" s="32"/>
      <c r="D322" s="32"/>
    </row>
    <row r="323">
      <c r="A323" s="30"/>
      <c r="C323" s="32"/>
      <c r="D323" s="32"/>
    </row>
    <row r="324">
      <c r="A324" s="30"/>
      <c r="C324" s="32"/>
      <c r="D324" s="32"/>
    </row>
    <row r="325">
      <c r="A325" s="30"/>
      <c r="C325" s="32"/>
      <c r="D325" s="32"/>
    </row>
    <row r="326">
      <c r="A326" s="30"/>
      <c r="C326" s="32"/>
      <c r="D326" s="32"/>
    </row>
    <row r="327">
      <c r="A327" s="30"/>
      <c r="C327" s="32"/>
      <c r="D327" s="32"/>
    </row>
    <row r="328">
      <c r="A328" s="30"/>
      <c r="C328" s="32"/>
      <c r="D328" s="32"/>
    </row>
    <row r="329">
      <c r="A329" s="30"/>
      <c r="C329" s="32"/>
      <c r="D329" s="32"/>
    </row>
    <row r="330">
      <c r="A330" s="30"/>
      <c r="C330" s="32"/>
      <c r="D330" s="32"/>
    </row>
    <row r="331">
      <c r="A331" s="30"/>
      <c r="C331" s="32"/>
      <c r="D331" s="32"/>
    </row>
    <row r="332">
      <c r="A332" s="30"/>
      <c r="C332" s="32"/>
      <c r="D332" s="32"/>
    </row>
    <row r="333">
      <c r="A333" s="30"/>
      <c r="C333" s="32"/>
      <c r="D333" s="32"/>
    </row>
    <row r="334">
      <c r="A334" s="30"/>
      <c r="C334" s="32"/>
      <c r="D334" s="32"/>
    </row>
    <row r="335">
      <c r="A335" s="30"/>
      <c r="C335" s="32"/>
      <c r="D335" s="32"/>
    </row>
    <row r="336">
      <c r="A336" s="30"/>
      <c r="C336" s="32"/>
      <c r="D336" s="32"/>
    </row>
    <row r="337">
      <c r="A337" s="30"/>
      <c r="C337" s="32"/>
      <c r="D337" s="32"/>
    </row>
    <row r="338">
      <c r="A338" s="30"/>
      <c r="C338" s="32"/>
      <c r="D338" s="32"/>
    </row>
    <row r="339">
      <c r="A339" s="30"/>
      <c r="C339" s="32"/>
      <c r="D339" s="32"/>
    </row>
    <row r="340">
      <c r="A340" s="30"/>
      <c r="C340" s="32"/>
      <c r="D340" s="32"/>
    </row>
    <row r="341">
      <c r="A341" s="30"/>
      <c r="C341" s="32"/>
      <c r="D341" s="32"/>
    </row>
    <row r="342">
      <c r="A342" s="30"/>
      <c r="C342" s="32"/>
      <c r="D342" s="32"/>
    </row>
    <row r="343">
      <c r="A343" s="30"/>
      <c r="C343" s="32"/>
      <c r="D343" s="32"/>
    </row>
    <row r="344">
      <c r="A344" s="30"/>
      <c r="C344" s="32"/>
      <c r="D344" s="32"/>
    </row>
    <row r="345">
      <c r="A345" s="30"/>
      <c r="C345" s="32"/>
      <c r="D345" s="32"/>
    </row>
    <row r="346">
      <c r="A346" s="30"/>
      <c r="C346" s="32"/>
      <c r="D346" s="32"/>
    </row>
    <row r="347">
      <c r="A347" s="30"/>
      <c r="C347" s="32"/>
      <c r="D347" s="32"/>
    </row>
    <row r="348">
      <c r="A348" s="30"/>
      <c r="C348" s="32"/>
      <c r="D348" s="32"/>
    </row>
    <row r="349">
      <c r="A349" s="30"/>
      <c r="C349" s="32"/>
      <c r="D349" s="32"/>
    </row>
    <row r="350">
      <c r="A350" s="30"/>
      <c r="C350" s="32"/>
      <c r="D350" s="32"/>
    </row>
    <row r="351">
      <c r="A351" s="30"/>
      <c r="C351" s="32"/>
      <c r="D351" s="32"/>
    </row>
    <row r="352">
      <c r="A352" s="30"/>
      <c r="C352" s="32"/>
      <c r="D352" s="32"/>
    </row>
    <row r="353">
      <c r="A353" s="30"/>
      <c r="C353" s="32"/>
      <c r="D353" s="32"/>
    </row>
    <row r="354">
      <c r="A354" s="30"/>
      <c r="C354" s="32"/>
      <c r="D354" s="32"/>
    </row>
    <row r="355">
      <c r="A355" s="30"/>
      <c r="C355" s="32"/>
      <c r="D355" s="32"/>
    </row>
    <row r="356">
      <c r="A356" s="30"/>
      <c r="C356" s="32"/>
      <c r="D356" s="32"/>
    </row>
    <row r="357">
      <c r="A357" s="30"/>
      <c r="C357" s="32"/>
      <c r="D357" s="32"/>
    </row>
    <row r="358">
      <c r="A358" s="30"/>
      <c r="C358" s="32"/>
      <c r="D358" s="32"/>
    </row>
    <row r="359">
      <c r="A359" s="30"/>
      <c r="C359" s="32"/>
      <c r="D359" s="32"/>
    </row>
    <row r="360">
      <c r="A360" s="30"/>
      <c r="C360" s="32"/>
      <c r="D360" s="32"/>
    </row>
    <row r="361">
      <c r="A361" s="30"/>
      <c r="C361" s="32"/>
      <c r="D361" s="32"/>
    </row>
    <row r="362">
      <c r="A362" s="30"/>
      <c r="C362" s="32"/>
      <c r="D362" s="32"/>
    </row>
    <row r="363">
      <c r="A363" s="30"/>
      <c r="C363" s="32"/>
      <c r="D363" s="32"/>
    </row>
    <row r="364">
      <c r="A364" s="30"/>
      <c r="C364" s="32"/>
      <c r="D364" s="32"/>
    </row>
    <row r="365">
      <c r="A365" s="30"/>
      <c r="C365" s="32"/>
      <c r="D365" s="32"/>
    </row>
    <row r="366">
      <c r="A366" s="30"/>
      <c r="C366" s="32"/>
      <c r="D366" s="32"/>
    </row>
    <row r="367">
      <c r="A367" s="30"/>
      <c r="C367" s="32"/>
      <c r="D367" s="32"/>
    </row>
    <row r="368">
      <c r="A368" s="30"/>
      <c r="C368" s="32"/>
      <c r="D368" s="32"/>
    </row>
    <row r="369">
      <c r="A369" s="30"/>
      <c r="C369" s="32"/>
      <c r="D369" s="32"/>
    </row>
    <row r="370">
      <c r="A370" s="30"/>
      <c r="C370" s="32"/>
      <c r="D370" s="32"/>
    </row>
    <row r="371">
      <c r="A371" s="30"/>
      <c r="C371" s="32"/>
      <c r="D371" s="32"/>
    </row>
    <row r="372">
      <c r="A372" s="30"/>
      <c r="C372" s="32"/>
      <c r="D372" s="32"/>
    </row>
    <row r="373">
      <c r="A373" s="30"/>
      <c r="C373" s="32"/>
      <c r="D373" s="32"/>
    </row>
    <row r="374">
      <c r="A374" s="30"/>
      <c r="C374" s="32"/>
      <c r="D374" s="32"/>
    </row>
    <row r="375">
      <c r="A375" s="30"/>
      <c r="C375" s="32"/>
      <c r="D375" s="32"/>
    </row>
    <row r="376">
      <c r="A376" s="30"/>
      <c r="C376" s="32"/>
      <c r="D376" s="32"/>
    </row>
    <row r="377">
      <c r="A377" s="30"/>
      <c r="C377" s="32"/>
      <c r="D377" s="32"/>
    </row>
    <row r="378">
      <c r="A378" s="30"/>
      <c r="C378" s="32"/>
      <c r="D378" s="32"/>
    </row>
    <row r="379">
      <c r="A379" s="30"/>
      <c r="C379" s="32"/>
      <c r="D379" s="32"/>
    </row>
    <row r="380">
      <c r="A380" s="30"/>
      <c r="C380" s="32"/>
      <c r="D380" s="32"/>
    </row>
    <row r="381">
      <c r="A381" s="30"/>
      <c r="C381" s="32"/>
      <c r="D381" s="32"/>
    </row>
    <row r="382">
      <c r="A382" s="30"/>
      <c r="C382" s="32"/>
      <c r="D382" s="32"/>
    </row>
    <row r="383">
      <c r="A383" s="30"/>
      <c r="C383" s="32"/>
      <c r="D383" s="32"/>
    </row>
    <row r="384">
      <c r="A384" s="30"/>
      <c r="C384" s="32"/>
      <c r="D384" s="32"/>
    </row>
    <row r="385">
      <c r="A385" s="30"/>
      <c r="C385" s="32"/>
      <c r="D385" s="32"/>
    </row>
    <row r="386">
      <c r="A386" s="30"/>
      <c r="C386" s="32"/>
      <c r="D386" s="32"/>
    </row>
    <row r="387">
      <c r="A387" s="30"/>
      <c r="C387" s="32"/>
      <c r="D387" s="32"/>
    </row>
    <row r="388">
      <c r="A388" s="30"/>
      <c r="C388" s="32"/>
      <c r="D388" s="32"/>
    </row>
    <row r="389">
      <c r="A389" s="30"/>
      <c r="C389" s="32"/>
      <c r="D389" s="32"/>
    </row>
    <row r="390">
      <c r="A390" s="30"/>
      <c r="C390" s="32"/>
      <c r="D390" s="32"/>
    </row>
    <row r="391">
      <c r="A391" s="30"/>
      <c r="C391" s="32"/>
      <c r="D391" s="32"/>
    </row>
    <row r="392">
      <c r="A392" s="30"/>
      <c r="C392" s="32"/>
      <c r="D392" s="32"/>
    </row>
    <row r="393">
      <c r="A393" s="30"/>
      <c r="C393" s="32"/>
      <c r="D393" s="32"/>
    </row>
    <row r="394">
      <c r="A394" s="30"/>
      <c r="C394" s="32"/>
      <c r="D394" s="32"/>
    </row>
    <row r="395">
      <c r="A395" s="30"/>
      <c r="C395" s="32"/>
      <c r="D395" s="32"/>
    </row>
    <row r="396">
      <c r="A396" s="30"/>
      <c r="C396" s="32"/>
      <c r="D396" s="32"/>
    </row>
    <row r="397">
      <c r="A397" s="30"/>
      <c r="C397" s="32"/>
      <c r="D397" s="32"/>
    </row>
    <row r="398">
      <c r="A398" s="30"/>
      <c r="C398" s="32"/>
      <c r="D398" s="32"/>
    </row>
    <row r="399">
      <c r="A399" s="30"/>
      <c r="C399" s="32"/>
      <c r="D399" s="32"/>
    </row>
    <row r="400">
      <c r="A400" s="30"/>
      <c r="C400" s="32"/>
      <c r="D400" s="32"/>
    </row>
    <row r="401">
      <c r="A401" s="30"/>
      <c r="C401" s="32"/>
      <c r="D401" s="32"/>
    </row>
    <row r="402">
      <c r="A402" s="30"/>
      <c r="C402" s="32"/>
      <c r="D402" s="32"/>
    </row>
    <row r="403">
      <c r="A403" s="30"/>
      <c r="C403" s="32"/>
      <c r="D403" s="32"/>
    </row>
    <row r="404">
      <c r="A404" s="30"/>
      <c r="C404" s="32"/>
      <c r="D404" s="32"/>
    </row>
    <row r="405">
      <c r="A405" s="30"/>
      <c r="C405" s="32"/>
      <c r="D405" s="32"/>
    </row>
    <row r="406">
      <c r="A406" s="30"/>
      <c r="C406" s="32"/>
      <c r="D406" s="32"/>
    </row>
    <row r="407">
      <c r="A407" s="30"/>
      <c r="C407" s="32"/>
      <c r="D407" s="32"/>
    </row>
    <row r="408">
      <c r="A408" s="30"/>
      <c r="C408" s="32"/>
      <c r="D408" s="32"/>
    </row>
    <row r="409">
      <c r="A409" s="30"/>
      <c r="C409" s="32"/>
      <c r="D409" s="32"/>
    </row>
    <row r="410">
      <c r="A410" s="30"/>
      <c r="C410" s="32"/>
      <c r="D410" s="32"/>
    </row>
    <row r="411">
      <c r="A411" s="30"/>
      <c r="C411" s="32"/>
      <c r="D411" s="32"/>
    </row>
    <row r="412">
      <c r="A412" s="30"/>
      <c r="C412" s="32"/>
      <c r="D412" s="32"/>
    </row>
    <row r="413">
      <c r="A413" s="30"/>
      <c r="C413" s="32"/>
      <c r="D413" s="32"/>
    </row>
    <row r="414">
      <c r="A414" s="30"/>
      <c r="C414" s="32"/>
      <c r="D414" s="32"/>
    </row>
    <row r="415">
      <c r="A415" s="30"/>
      <c r="C415" s="32"/>
      <c r="D415" s="32"/>
    </row>
    <row r="416">
      <c r="A416" s="30"/>
      <c r="C416" s="32"/>
      <c r="D416" s="32"/>
    </row>
    <row r="417">
      <c r="A417" s="30"/>
      <c r="C417" s="32"/>
      <c r="D417" s="32"/>
    </row>
    <row r="418">
      <c r="A418" s="30"/>
      <c r="C418" s="32"/>
      <c r="D418" s="32"/>
    </row>
    <row r="419">
      <c r="A419" s="30"/>
      <c r="C419" s="32"/>
      <c r="D419" s="32"/>
    </row>
    <row r="420">
      <c r="A420" s="30"/>
      <c r="C420" s="32"/>
      <c r="D420" s="32"/>
    </row>
    <row r="421">
      <c r="A421" s="30"/>
      <c r="C421" s="32"/>
      <c r="D421" s="32"/>
    </row>
    <row r="422">
      <c r="A422" s="30"/>
      <c r="C422" s="32"/>
      <c r="D422" s="32"/>
    </row>
    <row r="423">
      <c r="A423" s="30"/>
      <c r="C423" s="32"/>
      <c r="D423" s="32"/>
    </row>
    <row r="424">
      <c r="A424" s="30"/>
      <c r="C424" s="32"/>
      <c r="D424" s="32"/>
    </row>
    <row r="425">
      <c r="A425" s="30"/>
      <c r="C425" s="32"/>
      <c r="D425" s="32"/>
    </row>
    <row r="426">
      <c r="A426" s="30"/>
      <c r="C426" s="32"/>
      <c r="D426" s="32"/>
    </row>
    <row r="427">
      <c r="A427" s="30"/>
      <c r="C427" s="32"/>
      <c r="D427" s="32"/>
    </row>
    <row r="428">
      <c r="A428" s="30"/>
      <c r="C428" s="32"/>
      <c r="D428" s="32"/>
    </row>
    <row r="429">
      <c r="A429" s="30"/>
      <c r="C429" s="32"/>
      <c r="D429" s="32"/>
    </row>
    <row r="430">
      <c r="A430" s="30"/>
      <c r="C430" s="32"/>
      <c r="D430" s="32"/>
    </row>
    <row r="431">
      <c r="A431" s="30"/>
      <c r="C431" s="32"/>
      <c r="D431" s="32"/>
    </row>
    <row r="432">
      <c r="A432" s="30"/>
      <c r="C432" s="32"/>
      <c r="D432" s="32"/>
    </row>
    <row r="433">
      <c r="A433" s="30"/>
      <c r="C433" s="32"/>
      <c r="D433" s="32"/>
    </row>
    <row r="434">
      <c r="A434" s="30"/>
      <c r="C434" s="32"/>
      <c r="D434" s="32"/>
    </row>
    <row r="435">
      <c r="A435" s="30"/>
      <c r="C435" s="32"/>
      <c r="D435" s="32"/>
    </row>
    <row r="436">
      <c r="A436" s="30"/>
      <c r="C436" s="32"/>
      <c r="D436" s="32"/>
    </row>
    <row r="437">
      <c r="A437" s="30"/>
      <c r="C437" s="32"/>
      <c r="D437" s="32"/>
    </row>
    <row r="438">
      <c r="A438" s="30"/>
      <c r="C438" s="32"/>
      <c r="D438" s="32"/>
    </row>
    <row r="439">
      <c r="A439" s="30"/>
      <c r="C439" s="32"/>
      <c r="D439" s="32"/>
    </row>
    <row r="440">
      <c r="A440" s="30"/>
      <c r="C440" s="32"/>
      <c r="D440" s="32"/>
    </row>
    <row r="441">
      <c r="A441" s="30"/>
      <c r="C441" s="32"/>
      <c r="D441" s="32"/>
    </row>
    <row r="442">
      <c r="A442" s="30"/>
      <c r="C442" s="32"/>
      <c r="D442" s="32"/>
    </row>
    <row r="443">
      <c r="A443" s="30"/>
      <c r="C443" s="32"/>
      <c r="D443" s="32"/>
    </row>
    <row r="444">
      <c r="A444" s="30"/>
      <c r="C444" s="32"/>
      <c r="D444" s="32"/>
    </row>
    <row r="445">
      <c r="A445" s="30"/>
      <c r="C445" s="32"/>
      <c r="D445" s="32"/>
    </row>
    <row r="446">
      <c r="A446" s="30"/>
      <c r="C446" s="32"/>
      <c r="D446" s="32"/>
    </row>
    <row r="447">
      <c r="A447" s="30"/>
      <c r="C447" s="32"/>
      <c r="D447" s="32"/>
    </row>
    <row r="448">
      <c r="A448" s="30"/>
      <c r="C448" s="32"/>
      <c r="D448" s="32"/>
    </row>
    <row r="449">
      <c r="A449" s="30"/>
      <c r="C449" s="32"/>
      <c r="D449" s="32"/>
    </row>
    <row r="450">
      <c r="A450" s="30"/>
      <c r="C450" s="32"/>
      <c r="D450" s="32"/>
    </row>
    <row r="451">
      <c r="A451" s="30"/>
      <c r="C451" s="32"/>
      <c r="D451" s="32"/>
    </row>
    <row r="452">
      <c r="A452" s="30"/>
      <c r="C452" s="32"/>
      <c r="D452" s="32"/>
    </row>
    <row r="453">
      <c r="A453" s="30"/>
      <c r="C453" s="32"/>
      <c r="D453" s="32"/>
    </row>
    <row r="454">
      <c r="A454" s="30"/>
      <c r="C454" s="32"/>
      <c r="D454" s="32"/>
    </row>
    <row r="455">
      <c r="A455" s="30"/>
      <c r="C455" s="32"/>
      <c r="D455" s="32"/>
    </row>
    <row r="456">
      <c r="A456" s="30"/>
      <c r="C456" s="32"/>
      <c r="D456" s="32"/>
    </row>
    <row r="457">
      <c r="A457" s="30"/>
      <c r="C457" s="32"/>
      <c r="D457" s="32"/>
    </row>
    <row r="458">
      <c r="A458" s="30"/>
      <c r="C458" s="32"/>
      <c r="D458" s="32"/>
    </row>
    <row r="459">
      <c r="A459" s="30"/>
      <c r="C459" s="32"/>
      <c r="D459" s="32"/>
    </row>
    <row r="460">
      <c r="A460" s="30"/>
      <c r="C460" s="32"/>
      <c r="D460" s="32"/>
    </row>
    <row r="461">
      <c r="A461" s="30"/>
      <c r="C461" s="32"/>
      <c r="D461" s="32"/>
    </row>
    <row r="462">
      <c r="A462" s="30"/>
      <c r="C462" s="32"/>
      <c r="D462" s="32"/>
    </row>
    <row r="463">
      <c r="A463" s="30"/>
      <c r="C463" s="32"/>
      <c r="D463" s="32"/>
    </row>
    <row r="464">
      <c r="A464" s="30"/>
      <c r="C464" s="32"/>
      <c r="D464" s="32"/>
    </row>
    <row r="465">
      <c r="A465" s="30"/>
      <c r="C465" s="32"/>
      <c r="D465" s="32"/>
    </row>
    <row r="466">
      <c r="A466" s="30"/>
      <c r="C466" s="32"/>
      <c r="D466" s="32"/>
    </row>
    <row r="467">
      <c r="A467" s="30"/>
      <c r="C467" s="32"/>
      <c r="D467" s="32"/>
    </row>
    <row r="468">
      <c r="A468" s="30"/>
      <c r="C468" s="32"/>
      <c r="D468" s="32"/>
    </row>
    <row r="469">
      <c r="A469" s="30"/>
      <c r="C469" s="32"/>
      <c r="D469" s="32"/>
    </row>
    <row r="470">
      <c r="A470" s="30"/>
      <c r="C470" s="32"/>
      <c r="D470" s="32"/>
    </row>
    <row r="471">
      <c r="A471" s="30"/>
      <c r="C471" s="32"/>
      <c r="D471" s="32"/>
    </row>
    <row r="472">
      <c r="A472" s="30"/>
      <c r="C472" s="32"/>
      <c r="D472" s="32"/>
    </row>
    <row r="473">
      <c r="A473" s="30"/>
      <c r="C473" s="32"/>
      <c r="D473" s="32"/>
    </row>
    <row r="474">
      <c r="A474" s="30"/>
      <c r="C474" s="32"/>
      <c r="D474" s="32"/>
    </row>
    <row r="475">
      <c r="A475" s="30"/>
      <c r="C475" s="32"/>
      <c r="D475" s="32"/>
    </row>
    <row r="476">
      <c r="A476" s="30"/>
      <c r="C476" s="32"/>
      <c r="D476" s="32"/>
    </row>
    <row r="477">
      <c r="A477" s="30"/>
      <c r="C477" s="32"/>
      <c r="D477" s="32"/>
    </row>
    <row r="478">
      <c r="A478" s="30"/>
      <c r="C478" s="32"/>
      <c r="D478" s="32"/>
    </row>
    <row r="479">
      <c r="A479" s="30"/>
      <c r="C479" s="32"/>
      <c r="D479" s="32"/>
    </row>
    <row r="480">
      <c r="A480" s="30"/>
      <c r="C480" s="32"/>
      <c r="D480" s="32"/>
    </row>
    <row r="481">
      <c r="A481" s="30"/>
      <c r="C481" s="32"/>
      <c r="D481" s="32"/>
    </row>
    <row r="482">
      <c r="A482" s="30"/>
      <c r="C482" s="32"/>
      <c r="D482" s="32"/>
    </row>
    <row r="483">
      <c r="A483" s="30"/>
      <c r="C483" s="32"/>
      <c r="D483" s="32"/>
    </row>
    <row r="484">
      <c r="A484" s="30"/>
      <c r="C484" s="32"/>
      <c r="D484" s="32"/>
    </row>
    <row r="485">
      <c r="A485" s="30"/>
      <c r="C485" s="32"/>
      <c r="D485" s="32"/>
    </row>
    <row r="486">
      <c r="A486" s="30"/>
      <c r="C486" s="32"/>
      <c r="D486" s="32"/>
    </row>
    <row r="487">
      <c r="A487" s="30"/>
      <c r="C487" s="32"/>
      <c r="D487" s="32"/>
    </row>
    <row r="488">
      <c r="A488" s="30"/>
      <c r="C488" s="32"/>
      <c r="D488" s="32"/>
    </row>
    <row r="489">
      <c r="A489" s="30"/>
      <c r="C489" s="32"/>
      <c r="D489" s="32"/>
    </row>
    <row r="490">
      <c r="A490" s="30"/>
      <c r="C490" s="32"/>
      <c r="D490" s="32"/>
    </row>
    <row r="491">
      <c r="A491" s="30"/>
      <c r="C491" s="32"/>
      <c r="D491" s="32"/>
    </row>
    <row r="492">
      <c r="A492" s="30"/>
      <c r="C492" s="32"/>
      <c r="D492" s="32"/>
    </row>
    <row r="493">
      <c r="A493" s="30"/>
      <c r="C493" s="32"/>
      <c r="D493" s="32"/>
    </row>
    <row r="494">
      <c r="A494" s="30"/>
      <c r="C494" s="32"/>
      <c r="D494" s="32"/>
    </row>
    <row r="495">
      <c r="A495" s="30"/>
      <c r="C495" s="32"/>
      <c r="D495" s="32"/>
    </row>
    <row r="496">
      <c r="A496" s="30"/>
      <c r="C496" s="32"/>
      <c r="D496" s="32"/>
    </row>
    <row r="497">
      <c r="A497" s="30"/>
      <c r="C497" s="32"/>
      <c r="D497" s="32"/>
    </row>
    <row r="498">
      <c r="A498" s="30"/>
      <c r="C498" s="32"/>
      <c r="D498" s="32"/>
    </row>
    <row r="499">
      <c r="A499" s="30"/>
      <c r="C499" s="32"/>
      <c r="D499" s="32"/>
    </row>
    <row r="500">
      <c r="A500" s="30"/>
      <c r="C500" s="32"/>
      <c r="D500" s="32"/>
    </row>
    <row r="501">
      <c r="A501" s="30"/>
      <c r="C501" s="32"/>
      <c r="D501" s="32"/>
    </row>
    <row r="502">
      <c r="A502" s="30"/>
      <c r="C502" s="32"/>
      <c r="D502" s="32"/>
    </row>
    <row r="503">
      <c r="A503" s="30"/>
      <c r="C503" s="32"/>
      <c r="D503" s="32"/>
    </row>
    <row r="504">
      <c r="A504" s="30"/>
      <c r="C504" s="32"/>
      <c r="D504" s="32"/>
    </row>
    <row r="505">
      <c r="A505" s="30"/>
      <c r="C505" s="32"/>
      <c r="D505" s="32"/>
    </row>
    <row r="506">
      <c r="A506" s="30"/>
      <c r="C506" s="32"/>
      <c r="D506" s="32"/>
    </row>
    <row r="507">
      <c r="A507" s="30"/>
      <c r="C507" s="32"/>
      <c r="D507" s="32"/>
    </row>
    <row r="508">
      <c r="A508" s="30"/>
      <c r="C508" s="32"/>
      <c r="D508" s="32"/>
    </row>
    <row r="509">
      <c r="A509" s="30"/>
      <c r="C509" s="32"/>
      <c r="D509" s="32"/>
    </row>
    <row r="510">
      <c r="A510" s="30"/>
      <c r="C510" s="32"/>
      <c r="D510" s="32"/>
    </row>
    <row r="511">
      <c r="A511" s="30"/>
      <c r="C511" s="32"/>
      <c r="D511" s="32"/>
    </row>
    <row r="512">
      <c r="A512" s="30"/>
      <c r="C512" s="32"/>
      <c r="D512" s="32"/>
    </row>
    <row r="513">
      <c r="A513" s="30"/>
      <c r="C513" s="32"/>
      <c r="D513" s="32"/>
    </row>
    <row r="514">
      <c r="A514" s="30"/>
      <c r="C514" s="32"/>
      <c r="D514" s="32"/>
    </row>
    <row r="515">
      <c r="A515" s="30"/>
      <c r="C515" s="32"/>
      <c r="D515" s="32"/>
    </row>
    <row r="516">
      <c r="A516" s="30"/>
      <c r="C516" s="32"/>
      <c r="D516" s="32"/>
    </row>
    <row r="517">
      <c r="A517" s="30"/>
      <c r="C517" s="32"/>
      <c r="D517" s="32"/>
    </row>
    <row r="518">
      <c r="A518" s="30"/>
      <c r="C518" s="32"/>
      <c r="D518" s="32"/>
    </row>
    <row r="519">
      <c r="A519" s="30"/>
      <c r="C519" s="32"/>
      <c r="D519" s="32"/>
    </row>
    <row r="520">
      <c r="A520" s="30"/>
      <c r="C520" s="32"/>
      <c r="D520" s="32"/>
    </row>
    <row r="521">
      <c r="A521" s="30"/>
      <c r="C521" s="32"/>
      <c r="D521" s="32"/>
    </row>
    <row r="522">
      <c r="A522" s="30"/>
      <c r="C522" s="32"/>
      <c r="D522" s="32"/>
    </row>
    <row r="523">
      <c r="A523" s="30"/>
      <c r="C523" s="32"/>
      <c r="D523" s="32"/>
    </row>
    <row r="524">
      <c r="A524" s="30"/>
      <c r="C524" s="32"/>
      <c r="D524" s="32"/>
    </row>
    <row r="525">
      <c r="A525" s="30"/>
      <c r="C525" s="32"/>
      <c r="D525" s="32"/>
    </row>
    <row r="526">
      <c r="A526" s="30"/>
      <c r="C526" s="32"/>
      <c r="D526" s="32"/>
    </row>
    <row r="527">
      <c r="A527" s="30"/>
      <c r="C527" s="32"/>
      <c r="D527" s="32"/>
    </row>
    <row r="528">
      <c r="A528" s="30"/>
      <c r="C528" s="32"/>
      <c r="D528" s="32"/>
    </row>
    <row r="529">
      <c r="A529" s="30"/>
      <c r="C529" s="32"/>
      <c r="D529" s="32"/>
    </row>
    <row r="530">
      <c r="A530" s="30"/>
      <c r="C530" s="32"/>
      <c r="D530" s="32"/>
    </row>
    <row r="531">
      <c r="A531" s="30"/>
      <c r="C531" s="32"/>
      <c r="D531" s="32"/>
    </row>
    <row r="532">
      <c r="A532" s="30"/>
      <c r="C532" s="32"/>
      <c r="D532" s="32"/>
    </row>
    <row r="533">
      <c r="A533" s="30"/>
      <c r="C533" s="32"/>
      <c r="D533" s="32"/>
    </row>
    <row r="534">
      <c r="A534" s="30"/>
      <c r="C534" s="32"/>
      <c r="D534" s="32"/>
    </row>
    <row r="535">
      <c r="A535" s="30"/>
      <c r="C535" s="32"/>
      <c r="D535" s="32"/>
    </row>
    <row r="536">
      <c r="A536" s="30"/>
      <c r="C536" s="32"/>
      <c r="D536" s="32"/>
    </row>
    <row r="537">
      <c r="A537" s="30"/>
      <c r="C537" s="32"/>
      <c r="D537" s="32"/>
    </row>
    <row r="538">
      <c r="A538" s="30"/>
      <c r="C538" s="32"/>
      <c r="D538" s="32"/>
    </row>
    <row r="539">
      <c r="A539" s="30"/>
      <c r="C539" s="32"/>
      <c r="D539" s="32"/>
    </row>
    <row r="540">
      <c r="A540" s="30"/>
      <c r="C540" s="32"/>
      <c r="D540" s="32"/>
    </row>
    <row r="541">
      <c r="A541" s="30"/>
      <c r="C541" s="32"/>
      <c r="D541" s="32"/>
    </row>
    <row r="542">
      <c r="A542" s="30"/>
      <c r="C542" s="32"/>
      <c r="D542" s="32"/>
    </row>
    <row r="543">
      <c r="A543" s="30"/>
      <c r="C543" s="32"/>
      <c r="D543" s="32"/>
    </row>
    <row r="544">
      <c r="A544" s="30"/>
      <c r="C544" s="32"/>
      <c r="D544" s="32"/>
    </row>
    <row r="545">
      <c r="A545" s="30"/>
      <c r="C545" s="32"/>
      <c r="D545" s="32"/>
    </row>
    <row r="546">
      <c r="A546" s="30"/>
      <c r="C546" s="32"/>
      <c r="D546" s="32"/>
    </row>
    <row r="547">
      <c r="A547" s="30"/>
      <c r="C547" s="32"/>
      <c r="D547" s="32"/>
    </row>
    <row r="548">
      <c r="A548" s="30"/>
      <c r="C548" s="32"/>
      <c r="D548" s="32"/>
    </row>
    <row r="549">
      <c r="A549" s="30"/>
      <c r="C549" s="32"/>
      <c r="D549" s="32"/>
    </row>
    <row r="550">
      <c r="A550" s="30"/>
      <c r="C550" s="32"/>
      <c r="D550" s="32"/>
    </row>
    <row r="551">
      <c r="A551" s="30"/>
      <c r="C551" s="32"/>
      <c r="D551" s="32"/>
    </row>
    <row r="552">
      <c r="A552" s="30"/>
      <c r="C552" s="32"/>
      <c r="D552" s="32"/>
    </row>
    <row r="553">
      <c r="A553" s="30"/>
      <c r="C553" s="32"/>
      <c r="D553" s="32"/>
    </row>
    <row r="554">
      <c r="A554" s="30"/>
      <c r="C554" s="32"/>
      <c r="D554" s="32"/>
    </row>
    <row r="555">
      <c r="A555" s="30"/>
      <c r="C555" s="32"/>
      <c r="D555" s="32"/>
    </row>
    <row r="556">
      <c r="A556" s="30"/>
      <c r="C556" s="32"/>
      <c r="D556" s="32"/>
    </row>
    <row r="557">
      <c r="A557" s="30"/>
      <c r="C557" s="32"/>
      <c r="D557" s="32"/>
    </row>
    <row r="558">
      <c r="A558" s="30"/>
      <c r="C558" s="32"/>
      <c r="D558" s="32"/>
    </row>
    <row r="559">
      <c r="A559" s="30"/>
      <c r="C559" s="32"/>
      <c r="D559" s="32"/>
    </row>
    <row r="560">
      <c r="A560" s="30"/>
      <c r="C560" s="32"/>
      <c r="D560" s="32"/>
    </row>
    <row r="561">
      <c r="A561" s="30"/>
      <c r="C561" s="32"/>
      <c r="D561" s="32"/>
    </row>
    <row r="562">
      <c r="A562" s="30"/>
      <c r="C562" s="32"/>
      <c r="D562" s="32"/>
    </row>
    <row r="563">
      <c r="A563" s="30"/>
      <c r="C563" s="32"/>
      <c r="D563" s="32"/>
    </row>
    <row r="564">
      <c r="A564" s="30"/>
      <c r="C564" s="32"/>
      <c r="D564" s="32"/>
    </row>
    <row r="565">
      <c r="A565" s="30"/>
      <c r="C565" s="32"/>
      <c r="D565" s="32"/>
    </row>
    <row r="566">
      <c r="A566" s="30"/>
      <c r="C566" s="32"/>
      <c r="D566" s="32"/>
    </row>
    <row r="567">
      <c r="A567" s="30"/>
      <c r="C567" s="32"/>
      <c r="D567" s="32"/>
    </row>
    <row r="568">
      <c r="A568" s="30"/>
      <c r="C568" s="32"/>
      <c r="D568" s="32"/>
    </row>
    <row r="569">
      <c r="A569" s="30"/>
      <c r="C569" s="32"/>
      <c r="D569" s="32"/>
    </row>
    <row r="570">
      <c r="A570" s="30"/>
      <c r="C570" s="32"/>
      <c r="D570" s="32"/>
    </row>
    <row r="571">
      <c r="A571" s="30"/>
      <c r="C571" s="32"/>
      <c r="D571" s="32"/>
    </row>
    <row r="572">
      <c r="A572" s="30"/>
      <c r="C572" s="32"/>
      <c r="D572" s="32"/>
    </row>
    <row r="573">
      <c r="A573" s="30"/>
      <c r="C573" s="32"/>
      <c r="D573" s="32"/>
    </row>
    <row r="574">
      <c r="A574" s="30"/>
      <c r="C574" s="32"/>
      <c r="D574" s="32"/>
    </row>
    <row r="575">
      <c r="A575" s="30"/>
      <c r="C575" s="32"/>
      <c r="D575" s="32"/>
    </row>
    <row r="576">
      <c r="A576" s="30"/>
      <c r="C576" s="32"/>
      <c r="D576" s="32"/>
    </row>
    <row r="577">
      <c r="A577" s="30"/>
      <c r="C577" s="32"/>
      <c r="D577" s="32"/>
    </row>
    <row r="578">
      <c r="A578" s="30"/>
      <c r="C578" s="32"/>
      <c r="D578" s="32"/>
    </row>
    <row r="579">
      <c r="A579" s="30"/>
      <c r="C579" s="32"/>
      <c r="D579" s="32"/>
    </row>
    <row r="580">
      <c r="A580" s="30"/>
      <c r="C580" s="32"/>
      <c r="D580" s="32"/>
    </row>
    <row r="581">
      <c r="A581" s="30"/>
      <c r="C581" s="32"/>
      <c r="D581" s="32"/>
    </row>
    <row r="582">
      <c r="A582" s="30"/>
      <c r="C582" s="32"/>
      <c r="D582" s="32"/>
    </row>
    <row r="583">
      <c r="A583" s="30"/>
      <c r="C583" s="32"/>
      <c r="D583" s="32"/>
    </row>
    <row r="584">
      <c r="A584" s="30"/>
      <c r="C584" s="32"/>
      <c r="D584" s="32"/>
    </row>
    <row r="585">
      <c r="A585" s="30"/>
      <c r="C585" s="32"/>
      <c r="D585" s="32"/>
    </row>
    <row r="586">
      <c r="A586" s="30"/>
      <c r="C586" s="32"/>
      <c r="D586" s="32"/>
    </row>
    <row r="587">
      <c r="A587" s="30"/>
      <c r="C587" s="32"/>
      <c r="D587" s="32"/>
    </row>
    <row r="588">
      <c r="A588" s="30"/>
      <c r="C588" s="32"/>
      <c r="D588" s="32"/>
    </row>
    <row r="589">
      <c r="A589" s="30"/>
      <c r="C589" s="32"/>
      <c r="D589" s="32"/>
    </row>
    <row r="590">
      <c r="A590" s="30"/>
      <c r="C590" s="32"/>
      <c r="D590" s="32"/>
    </row>
    <row r="591">
      <c r="A591" s="30"/>
      <c r="C591" s="32"/>
      <c r="D591" s="32"/>
    </row>
    <row r="592">
      <c r="A592" s="30"/>
      <c r="C592" s="32"/>
      <c r="D592" s="32"/>
    </row>
    <row r="593">
      <c r="A593" s="30"/>
      <c r="C593" s="32"/>
      <c r="D593" s="32"/>
    </row>
    <row r="594">
      <c r="A594" s="30"/>
      <c r="C594" s="32"/>
      <c r="D594" s="32"/>
    </row>
    <row r="595">
      <c r="A595" s="30"/>
      <c r="C595" s="32"/>
      <c r="D595" s="32"/>
    </row>
    <row r="596">
      <c r="A596" s="30"/>
      <c r="C596" s="32"/>
      <c r="D596" s="32"/>
    </row>
    <row r="597">
      <c r="A597" s="30"/>
      <c r="C597" s="32"/>
      <c r="D597" s="32"/>
    </row>
    <row r="598">
      <c r="A598" s="30"/>
      <c r="C598" s="32"/>
      <c r="D598" s="32"/>
    </row>
    <row r="599">
      <c r="A599" s="30"/>
      <c r="C599" s="32"/>
      <c r="D599" s="32"/>
    </row>
    <row r="600">
      <c r="A600" s="30"/>
      <c r="C600" s="32"/>
      <c r="D600" s="32"/>
    </row>
    <row r="601">
      <c r="A601" s="30"/>
      <c r="C601" s="32"/>
      <c r="D601" s="32"/>
    </row>
    <row r="602">
      <c r="A602" s="30"/>
      <c r="C602" s="32"/>
      <c r="D602" s="32"/>
    </row>
    <row r="603">
      <c r="A603" s="30"/>
      <c r="C603" s="32"/>
      <c r="D603" s="32"/>
    </row>
    <row r="604">
      <c r="A604" s="30"/>
      <c r="C604" s="32"/>
      <c r="D604" s="32"/>
    </row>
    <row r="605">
      <c r="A605" s="30"/>
      <c r="C605" s="32"/>
      <c r="D605" s="32"/>
    </row>
    <row r="606">
      <c r="A606" s="30"/>
      <c r="C606" s="32"/>
      <c r="D606" s="32"/>
    </row>
    <row r="607">
      <c r="A607" s="30"/>
      <c r="C607" s="32"/>
      <c r="D607" s="32"/>
    </row>
    <row r="608">
      <c r="A608" s="30"/>
      <c r="C608" s="32"/>
      <c r="D608" s="32"/>
    </row>
    <row r="609">
      <c r="A609" s="30"/>
      <c r="C609" s="32"/>
      <c r="D609" s="32"/>
    </row>
    <row r="610">
      <c r="A610" s="30"/>
      <c r="C610" s="32"/>
      <c r="D610" s="32"/>
    </row>
    <row r="611">
      <c r="A611" s="30"/>
      <c r="C611" s="32"/>
      <c r="D611" s="32"/>
    </row>
    <row r="612">
      <c r="A612" s="30"/>
      <c r="C612" s="32"/>
      <c r="D612" s="32"/>
    </row>
    <row r="613">
      <c r="A613" s="30"/>
      <c r="C613" s="32"/>
      <c r="D613" s="32"/>
    </row>
    <row r="614">
      <c r="A614" s="30"/>
      <c r="C614" s="32"/>
      <c r="D614" s="32"/>
    </row>
    <row r="615">
      <c r="A615" s="30"/>
      <c r="C615" s="32"/>
      <c r="D615" s="32"/>
    </row>
    <row r="616">
      <c r="A616" s="30"/>
      <c r="C616" s="32"/>
      <c r="D616" s="32"/>
    </row>
    <row r="617">
      <c r="A617" s="30"/>
      <c r="C617" s="32"/>
      <c r="D617" s="32"/>
    </row>
    <row r="618">
      <c r="A618" s="30"/>
      <c r="C618" s="32"/>
      <c r="D618" s="32"/>
    </row>
    <row r="619">
      <c r="A619" s="30"/>
      <c r="C619" s="32"/>
      <c r="D619" s="32"/>
    </row>
    <row r="620">
      <c r="A620" s="30"/>
      <c r="C620" s="32"/>
      <c r="D620" s="32"/>
    </row>
    <row r="621">
      <c r="A621" s="30"/>
      <c r="C621" s="32"/>
      <c r="D621" s="32"/>
    </row>
    <row r="622">
      <c r="A622" s="30"/>
      <c r="C622" s="32"/>
      <c r="D622" s="32"/>
    </row>
    <row r="623">
      <c r="A623" s="30"/>
      <c r="C623" s="32"/>
      <c r="D623" s="32"/>
    </row>
    <row r="624">
      <c r="A624" s="30"/>
      <c r="C624" s="32"/>
      <c r="D624" s="32"/>
    </row>
    <row r="625">
      <c r="A625" s="30"/>
      <c r="C625" s="32"/>
      <c r="D625" s="32"/>
    </row>
    <row r="626">
      <c r="A626" s="30"/>
      <c r="C626" s="32"/>
      <c r="D626" s="32"/>
    </row>
    <row r="627">
      <c r="A627" s="30"/>
      <c r="C627" s="32"/>
      <c r="D627" s="32"/>
    </row>
    <row r="628">
      <c r="A628" s="30"/>
      <c r="C628" s="32"/>
      <c r="D628" s="32"/>
    </row>
    <row r="629">
      <c r="A629" s="30"/>
      <c r="C629" s="32"/>
      <c r="D629" s="32"/>
    </row>
    <row r="630">
      <c r="A630" s="30"/>
      <c r="C630" s="32"/>
      <c r="D630" s="32"/>
    </row>
    <row r="631">
      <c r="A631" s="30"/>
      <c r="C631" s="32"/>
      <c r="D631" s="32"/>
    </row>
    <row r="632">
      <c r="A632" s="30"/>
      <c r="C632" s="32"/>
      <c r="D632" s="32"/>
    </row>
    <row r="633">
      <c r="A633" s="30"/>
      <c r="C633" s="32"/>
      <c r="D633" s="32"/>
    </row>
    <row r="634">
      <c r="A634" s="30"/>
      <c r="C634" s="32"/>
      <c r="D634" s="32"/>
    </row>
    <row r="635">
      <c r="A635" s="30"/>
      <c r="C635" s="32"/>
      <c r="D635" s="32"/>
    </row>
    <row r="636">
      <c r="A636" s="30"/>
      <c r="C636" s="32"/>
      <c r="D636" s="32"/>
    </row>
    <row r="637">
      <c r="A637" s="30"/>
      <c r="C637" s="32"/>
      <c r="D637" s="32"/>
    </row>
    <row r="638">
      <c r="A638" s="30"/>
      <c r="C638" s="32"/>
      <c r="D638" s="32"/>
    </row>
    <row r="639">
      <c r="A639" s="30"/>
      <c r="C639" s="32"/>
      <c r="D639" s="32"/>
    </row>
    <row r="640">
      <c r="A640" s="30"/>
      <c r="C640" s="32"/>
      <c r="D640" s="32"/>
    </row>
    <row r="641">
      <c r="A641" s="30"/>
      <c r="C641" s="32"/>
      <c r="D641" s="32"/>
    </row>
    <row r="642">
      <c r="A642" s="30"/>
      <c r="C642" s="32"/>
      <c r="D642" s="32"/>
    </row>
    <row r="643">
      <c r="A643" s="30"/>
      <c r="C643" s="32"/>
      <c r="D643" s="32"/>
    </row>
    <row r="644">
      <c r="A644" s="30"/>
      <c r="C644" s="32"/>
      <c r="D644" s="32"/>
    </row>
    <row r="645">
      <c r="A645" s="30"/>
      <c r="C645" s="32"/>
      <c r="D645" s="32"/>
    </row>
    <row r="646">
      <c r="A646" s="30"/>
      <c r="C646" s="32"/>
      <c r="D646" s="32"/>
    </row>
    <row r="647">
      <c r="A647" s="30"/>
      <c r="C647" s="32"/>
      <c r="D647" s="32"/>
    </row>
    <row r="648">
      <c r="A648" s="30"/>
      <c r="C648" s="32"/>
      <c r="D648" s="32"/>
    </row>
    <row r="649">
      <c r="A649" s="30"/>
      <c r="C649" s="32"/>
      <c r="D649" s="32"/>
    </row>
    <row r="650">
      <c r="A650" s="30"/>
      <c r="C650" s="32"/>
      <c r="D650" s="32"/>
    </row>
    <row r="651">
      <c r="A651" s="30"/>
      <c r="C651" s="32"/>
      <c r="D651" s="32"/>
    </row>
    <row r="652">
      <c r="A652" s="30"/>
      <c r="C652" s="32"/>
      <c r="D652" s="32"/>
    </row>
    <row r="653">
      <c r="A653" s="30"/>
      <c r="C653" s="32"/>
      <c r="D653" s="32"/>
    </row>
    <row r="654">
      <c r="A654" s="30"/>
      <c r="C654" s="32"/>
      <c r="D654" s="32"/>
    </row>
    <row r="655">
      <c r="A655" s="30"/>
      <c r="C655" s="32"/>
      <c r="D655" s="32"/>
    </row>
    <row r="656">
      <c r="A656" s="30"/>
      <c r="C656" s="32"/>
      <c r="D656" s="32"/>
    </row>
    <row r="657">
      <c r="A657" s="30"/>
      <c r="C657" s="32"/>
      <c r="D657" s="32"/>
    </row>
    <row r="658">
      <c r="A658" s="30"/>
      <c r="C658" s="32"/>
      <c r="D658" s="32"/>
    </row>
    <row r="659">
      <c r="A659" s="30"/>
      <c r="C659" s="32"/>
      <c r="D659" s="32"/>
    </row>
    <row r="660">
      <c r="A660" s="30"/>
      <c r="C660" s="32"/>
      <c r="D660" s="32"/>
    </row>
    <row r="661">
      <c r="A661" s="30"/>
      <c r="C661" s="32"/>
      <c r="D661" s="32"/>
    </row>
    <row r="662">
      <c r="A662" s="30"/>
      <c r="C662" s="32"/>
      <c r="D662" s="32"/>
    </row>
    <row r="663">
      <c r="A663" s="30"/>
      <c r="C663" s="32"/>
      <c r="D663" s="32"/>
    </row>
    <row r="664">
      <c r="A664" s="30"/>
      <c r="C664" s="32"/>
      <c r="D664" s="32"/>
    </row>
    <row r="665">
      <c r="A665" s="30"/>
      <c r="C665" s="32"/>
      <c r="D665" s="32"/>
    </row>
    <row r="666">
      <c r="A666" s="30"/>
      <c r="C666" s="32"/>
      <c r="D666" s="32"/>
    </row>
    <row r="667">
      <c r="A667" s="30"/>
      <c r="C667" s="32"/>
      <c r="D667" s="32"/>
    </row>
    <row r="668">
      <c r="A668" s="30"/>
      <c r="C668" s="32"/>
      <c r="D668" s="32"/>
    </row>
    <row r="669">
      <c r="A669" s="30"/>
      <c r="C669" s="32"/>
      <c r="D669" s="32"/>
    </row>
    <row r="670">
      <c r="A670" s="30"/>
      <c r="C670" s="32"/>
      <c r="D670" s="32"/>
    </row>
    <row r="671">
      <c r="A671" s="30"/>
      <c r="C671" s="32"/>
      <c r="D671" s="32"/>
    </row>
    <row r="672">
      <c r="A672" s="30"/>
      <c r="C672" s="32"/>
      <c r="D672" s="32"/>
    </row>
    <row r="673">
      <c r="A673" s="30"/>
      <c r="C673" s="32"/>
      <c r="D673" s="32"/>
    </row>
    <row r="674">
      <c r="A674" s="30"/>
      <c r="C674" s="32"/>
      <c r="D674" s="32"/>
    </row>
    <row r="675">
      <c r="A675" s="30"/>
      <c r="C675" s="32"/>
      <c r="D675" s="32"/>
    </row>
    <row r="676">
      <c r="A676" s="30"/>
      <c r="C676" s="32"/>
      <c r="D676" s="32"/>
    </row>
    <row r="677">
      <c r="A677" s="30"/>
      <c r="C677" s="32"/>
      <c r="D677" s="32"/>
    </row>
    <row r="678">
      <c r="A678" s="30"/>
      <c r="C678" s="32"/>
      <c r="D678" s="32"/>
    </row>
    <row r="679">
      <c r="A679" s="30"/>
      <c r="C679" s="32"/>
      <c r="D679" s="32"/>
    </row>
    <row r="680">
      <c r="A680" s="30"/>
      <c r="C680" s="32"/>
      <c r="D680" s="32"/>
    </row>
    <row r="681">
      <c r="A681" s="30"/>
      <c r="C681" s="32"/>
      <c r="D681" s="32"/>
    </row>
    <row r="682">
      <c r="A682" s="30"/>
      <c r="C682" s="32"/>
      <c r="D682" s="32"/>
    </row>
    <row r="683">
      <c r="A683" s="30"/>
      <c r="C683" s="32"/>
      <c r="D683" s="32"/>
    </row>
    <row r="684">
      <c r="A684" s="30"/>
      <c r="C684" s="32"/>
      <c r="D684" s="32"/>
    </row>
    <row r="685">
      <c r="A685" s="30"/>
      <c r="C685" s="32"/>
      <c r="D685" s="32"/>
    </row>
    <row r="686">
      <c r="A686" s="30"/>
      <c r="C686" s="32"/>
      <c r="D686" s="32"/>
    </row>
    <row r="687">
      <c r="A687" s="30"/>
      <c r="C687" s="32"/>
      <c r="D687" s="32"/>
    </row>
    <row r="688">
      <c r="A688" s="30"/>
      <c r="C688" s="32"/>
      <c r="D688" s="32"/>
    </row>
    <row r="689">
      <c r="A689" s="30"/>
      <c r="C689" s="32"/>
      <c r="D689" s="32"/>
    </row>
    <row r="690">
      <c r="A690" s="30"/>
      <c r="C690" s="32"/>
      <c r="D690" s="32"/>
    </row>
    <row r="691">
      <c r="A691" s="30"/>
      <c r="C691" s="32"/>
      <c r="D691" s="32"/>
    </row>
    <row r="692">
      <c r="A692" s="30"/>
      <c r="C692" s="32"/>
      <c r="D692" s="32"/>
    </row>
    <row r="693">
      <c r="A693" s="30"/>
      <c r="C693" s="32"/>
      <c r="D693" s="32"/>
    </row>
    <row r="694">
      <c r="A694" s="30"/>
      <c r="C694" s="32"/>
      <c r="D694" s="32"/>
    </row>
    <row r="695">
      <c r="A695" s="30"/>
      <c r="C695" s="32"/>
      <c r="D695" s="32"/>
    </row>
    <row r="696">
      <c r="A696" s="30"/>
      <c r="C696" s="32"/>
      <c r="D696" s="32"/>
    </row>
    <row r="697">
      <c r="A697" s="30"/>
      <c r="C697" s="32"/>
      <c r="D697" s="32"/>
    </row>
    <row r="698">
      <c r="A698" s="30"/>
      <c r="C698" s="32"/>
      <c r="D698" s="32"/>
    </row>
    <row r="699">
      <c r="A699" s="30"/>
      <c r="C699" s="32"/>
      <c r="D699" s="32"/>
    </row>
    <row r="700">
      <c r="A700" s="30"/>
      <c r="C700" s="32"/>
      <c r="D700" s="32"/>
    </row>
    <row r="701">
      <c r="A701" s="30"/>
      <c r="C701" s="32"/>
      <c r="D701" s="32"/>
    </row>
    <row r="702">
      <c r="A702" s="30"/>
      <c r="C702" s="32"/>
      <c r="D702" s="32"/>
    </row>
    <row r="703">
      <c r="A703" s="30"/>
      <c r="C703" s="32"/>
      <c r="D703" s="32"/>
    </row>
    <row r="704">
      <c r="A704" s="30"/>
      <c r="C704" s="32"/>
      <c r="D704" s="32"/>
    </row>
    <row r="705">
      <c r="A705" s="30"/>
      <c r="C705" s="32"/>
      <c r="D705" s="32"/>
    </row>
    <row r="706">
      <c r="A706" s="30"/>
      <c r="C706" s="32"/>
      <c r="D706" s="32"/>
    </row>
    <row r="707">
      <c r="A707" s="30"/>
      <c r="C707" s="32"/>
      <c r="D707" s="32"/>
    </row>
    <row r="708">
      <c r="A708" s="30"/>
      <c r="C708" s="32"/>
      <c r="D708" s="32"/>
    </row>
    <row r="709">
      <c r="A709" s="30"/>
      <c r="C709" s="32"/>
      <c r="D709" s="32"/>
    </row>
    <row r="710">
      <c r="A710" s="30"/>
      <c r="C710" s="32"/>
      <c r="D710" s="32"/>
    </row>
    <row r="711">
      <c r="A711" s="30"/>
      <c r="C711" s="32"/>
      <c r="D711" s="32"/>
    </row>
    <row r="712">
      <c r="A712" s="30"/>
      <c r="C712" s="32"/>
      <c r="D712" s="32"/>
    </row>
    <row r="713">
      <c r="A713" s="30"/>
      <c r="C713" s="32"/>
      <c r="D713" s="32"/>
    </row>
    <row r="714">
      <c r="A714" s="30"/>
      <c r="C714" s="32"/>
      <c r="D714" s="32"/>
    </row>
    <row r="715">
      <c r="A715" s="30"/>
      <c r="C715" s="32"/>
      <c r="D715" s="32"/>
    </row>
    <row r="716">
      <c r="A716" s="30"/>
      <c r="C716" s="32"/>
      <c r="D716" s="32"/>
    </row>
    <row r="717">
      <c r="A717" s="30"/>
      <c r="C717" s="32"/>
      <c r="D717" s="32"/>
    </row>
    <row r="718">
      <c r="A718" s="30"/>
      <c r="C718" s="32"/>
      <c r="D718" s="32"/>
    </row>
    <row r="719">
      <c r="A719" s="30"/>
      <c r="C719" s="32"/>
      <c r="D719" s="32"/>
    </row>
    <row r="720">
      <c r="A720" s="30"/>
      <c r="C720" s="32"/>
      <c r="D720" s="32"/>
    </row>
    <row r="721">
      <c r="A721" s="30"/>
      <c r="C721" s="32"/>
      <c r="D721" s="32"/>
    </row>
    <row r="722">
      <c r="A722" s="30"/>
      <c r="C722" s="32"/>
      <c r="D722" s="32"/>
    </row>
    <row r="723">
      <c r="A723" s="30"/>
      <c r="C723" s="32"/>
      <c r="D723" s="32"/>
    </row>
    <row r="724">
      <c r="A724" s="30"/>
      <c r="C724" s="32"/>
      <c r="D724" s="32"/>
    </row>
    <row r="725">
      <c r="A725" s="30"/>
      <c r="C725" s="32"/>
      <c r="D725" s="32"/>
    </row>
    <row r="726">
      <c r="A726" s="30"/>
      <c r="C726" s="32"/>
      <c r="D726" s="32"/>
    </row>
    <row r="727">
      <c r="A727" s="30"/>
      <c r="C727" s="32"/>
      <c r="D727" s="32"/>
    </row>
    <row r="728">
      <c r="A728" s="30"/>
      <c r="C728" s="32"/>
      <c r="D728" s="32"/>
    </row>
    <row r="729">
      <c r="A729" s="30"/>
      <c r="C729" s="32"/>
      <c r="D729" s="32"/>
    </row>
    <row r="730">
      <c r="A730" s="30"/>
      <c r="C730" s="32"/>
      <c r="D730" s="32"/>
    </row>
    <row r="731">
      <c r="A731" s="30"/>
      <c r="C731" s="32"/>
      <c r="D731" s="32"/>
    </row>
    <row r="732">
      <c r="A732" s="30"/>
      <c r="C732" s="32"/>
      <c r="D732" s="32"/>
    </row>
    <row r="733">
      <c r="A733" s="30"/>
      <c r="C733" s="32"/>
      <c r="D733" s="32"/>
    </row>
    <row r="734">
      <c r="A734" s="30"/>
      <c r="C734" s="32"/>
      <c r="D734" s="32"/>
    </row>
    <row r="735">
      <c r="A735" s="30"/>
      <c r="C735" s="32"/>
      <c r="D735" s="32"/>
    </row>
    <row r="736">
      <c r="A736" s="30"/>
      <c r="C736" s="32"/>
      <c r="D736" s="32"/>
    </row>
    <row r="737">
      <c r="A737" s="30"/>
      <c r="C737" s="32"/>
      <c r="D737" s="32"/>
    </row>
    <row r="738">
      <c r="A738" s="30"/>
      <c r="C738" s="32"/>
      <c r="D738" s="32"/>
    </row>
    <row r="739">
      <c r="A739" s="30"/>
      <c r="C739" s="32"/>
      <c r="D739" s="32"/>
    </row>
    <row r="740">
      <c r="A740" s="30"/>
      <c r="C740" s="32"/>
      <c r="D740" s="32"/>
    </row>
    <row r="741">
      <c r="A741" s="30"/>
      <c r="C741" s="32"/>
      <c r="D741" s="32"/>
    </row>
    <row r="742">
      <c r="A742" s="30"/>
      <c r="C742" s="32"/>
      <c r="D742" s="32"/>
    </row>
    <row r="743">
      <c r="A743" s="30"/>
      <c r="C743" s="32"/>
      <c r="D743" s="32"/>
    </row>
    <row r="744">
      <c r="A744" s="30"/>
      <c r="C744" s="32"/>
      <c r="D744" s="32"/>
    </row>
    <row r="745">
      <c r="A745" s="30"/>
      <c r="C745" s="32"/>
      <c r="D745" s="32"/>
    </row>
    <row r="746">
      <c r="A746" s="30"/>
      <c r="C746" s="32"/>
      <c r="D746" s="32"/>
    </row>
    <row r="747">
      <c r="A747" s="30"/>
      <c r="C747" s="32"/>
      <c r="D747" s="32"/>
    </row>
    <row r="748">
      <c r="A748" s="30"/>
      <c r="C748" s="32"/>
      <c r="D748" s="32"/>
    </row>
    <row r="749">
      <c r="A749" s="30"/>
      <c r="C749" s="32"/>
      <c r="D749" s="32"/>
    </row>
    <row r="750">
      <c r="A750" s="30"/>
      <c r="C750" s="32"/>
      <c r="D750" s="32"/>
    </row>
    <row r="751">
      <c r="A751" s="30"/>
      <c r="C751" s="32"/>
      <c r="D751" s="32"/>
    </row>
    <row r="752">
      <c r="A752" s="30"/>
      <c r="C752" s="32"/>
      <c r="D752" s="32"/>
    </row>
    <row r="753">
      <c r="A753" s="30"/>
      <c r="C753" s="32"/>
      <c r="D753" s="32"/>
    </row>
    <row r="754">
      <c r="A754" s="30"/>
      <c r="C754" s="32"/>
      <c r="D754" s="32"/>
    </row>
    <row r="755">
      <c r="A755" s="30"/>
      <c r="C755" s="32"/>
      <c r="D755" s="32"/>
    </row>
    <row r="756">
      <c r="A756" s="30"/>
      <c r="C756" s="32"/>
      <c r="D756" s="32"/>
    </row>
    <row r="757">
      <c r="A757" s="30"/>
      <c r="C757" s="32"/>
      <c r="D757" s="32"/>
    </row>
    <row r="758">
      <c r="A758" s="30"/>
      <c r="C758" s="32"/>
      <c r="D758" s="32"/>
    </row>
    <row r="759">
      <c r="A759" s="30"/>
      <c r="C759" s="32"/>
      <c r="D759" s="32"/>
    </row>
    <row r="760">
      <c r="A760" s="30"/>
      <c r="C760" s="32"/>
      <c r="D760" s="32"/>
    </row>
    <row r="761">
      <c r="A761" s="30"/>
      <c r="C761" s="32"/>
      <c r="D761" s="32"/>
    </row>
    <row r="762">
      <c r="A762" s="30"/>
      <c r="C762" s="32"/>
      <c r="D762" s="32"/>
    </row>
    <row r="763">
      <c r="A763" s="30"/>
      <c r="C763" s="32"/>
      <c r="D763" s="32"/>
    </row>
    <row r="764">
      <c r="A764" s="30"/>
      <c r="C764" s="32"/>
      <c r="D764" s="32"/>
    </row>
    <row r="765">
      <c r="A765" s="30"/>
      <c r="C765" s="32"/>
      <c r="D765" s="32"/>
    </row>
    <row r="766">
      <c r="A766" s="30"/>
      <c r="C766" s="32"/>
      <c r="D766" s="32"/>
    </row>
    <row r="767">
      <c r="A767" s="30"/>
      <c r="C767" s="32"/>
      <c r="D767" s="32"/>
    </row>
    <row r="768">
      <c r="A768" s="30"/>
      <c r="C768" s="32"/>
      <c r="D768" s="32"/>
    </row>
    <row r="769">
      <c r="A769" s="30"/>
      <c r="C769" s="32"/>
      <c r="D769" s="32"/>
    </row>
    <row r="770">
      <c r="A770" s="30"/>
      <c r="C770" s="32"/>
      <c r="D770" s="32"/>
    </row>
    <row r="771">
      <c r="A771" s="30"/>
      <c r="C771" s="32"/>
      <c r="D771" s="32"/>
    </row>
    <row r="772">
      <c r="A772" s="30"/>
      <c r="C772" s="32"/>
      <c r="D772" s="32"/>
    </row>
    <row r="773">
      <c r="A773" s="30"/>
      <c r="C773" s="32"/>
      <c r="D773" s="32"/>
    </row>
    <row r="774">
      <c r="A774" s="30"/>
      <c r="C774" s="32"/>
      <c r="D774" s="32"/>
    </row>
    <row r="775">
      <c r="A775" s="30"/>
      <c r="C775" s="32"/>
      <c r="D775" s="32"/>
    </row>
    <row r="776">
      <c r="A776" s="30"/>
      <c r="C776" s="32"/>
      <c r="D776" s="32"/>
    </row>
    <row r="777">
      <c r="A777" s="30"/>
      <c r="C777" s="32"/>
      <c r="D777" s="32"/>
    </row>
    <row r="778">
      <c r="A778" s="30"/>
      <c r="C778" s="32"/>
      <c r="D778" s="32"/>
    </row>
    <row r="779">
      <c r="A779" s="30"/>
      <c r="C779" s="32"/>
      <c r="D779" s="32"/>
    </row>
    <row r="780">
      <c r="A780" s="30"/>
      <c r="C780" s="32"/>
      <c r="D780" s="32"/>
    </row>
    <row r="781">
      <c r="A781" s="30"/>
      <c r="C781" s="32"/>
      <c r="D781" s="32"/>
    </row>
    <row r="782">
      <c r="A782" s="30"/>
      <c r="C782" s="32"/>
      <c r="D782" s="32"/>
    </row>
    <row r="783">
      <c r="A783" s="30"/>
      <c r="C783" s="32"/>
      <c r="D783" s="32"/>
    </row>
    <row r="784">
      <c r="A784" s="30"/>
      <c r="C784" s="32"/>
      <c r="D784" s="32"/>
    </row>
    <row r="785">
      <c r="A785" s="30"/>
      <c r="C785" s="32"/>
      <c r="D785" s="32"/>
    </row>
    <row r="786">
      <c r="A786" s="30"/>
      <c r="C786" s="32"/>
      <c r="D786" s="32"/>
    </row>
    <row r="787">
      <c r="A787" s="30"/>
      <c r="C787" s="32"/>
      <c r="D787" s="32"/>
    </row>
    <row r="788">
      <c r="A788" s="30"/>
      <c r="C788" s="32"/>
      <c r="D788" s="32"/>
    </row>
    <row r="789">
      <c r="A789" s="30"/>
      <c r="C789" s="32"/>
      <c r="D789" s="32"/>
    </row>
    <row r="790">
      <c r="A790" s="30"/>
      <c r="C790" s="32"/>
      <c r="D790" s="32"/>
    </row>
    <row r="791">
      <c r="A791" s="30"/>
      <c r="C791" s="32"/>
      <c r="D791" s="32"/>
    </row>
    <row r="792">
      <c r="A792" s="30"/>
      <c r="C792" s="32"/>
      <c r="D792" s="32"/>
    </row>
    <row r="793">
      <c r="A793" s="30"/>
      <c r="C793" s="32"/>
      <c r="D793" s="32"/>
    </row>
    <row r="794">
      <c r="A794" s="30"/>
      <c r="C794" s="32"/>
      <c r="D794" s="32"/>
    </row>
    <row r="795">
      <c r="A795" s="30"/>
      <c r="C795" s="32"/>
      <c r="D795" s="32"/>
    </row>
    <row r="796">
      <c r="A796" s="30"/>
      <c r="C796" s="32"/>
      <c r="D796" s="32"/>
    </row>
    <row r="797">
      <c r="A797" s="30"/>
      <c r="C797" s="32"/>
      <c r="D797" s="32"/>
    </row>
    <row r="798">
      <c r="A798" s="30"/>
      <c r="C798" s="32"/>
      <c r="D798" s="32"/>
    </row>
    <row r="799">
      <c r="A799" s="30"/>
      <c r="C799" s="32"/>
      <c r="D799" s="32"/>
    </row>
    <row r="800">
      <c r="A800" s="30"/>
      <c r="C800" s="32"/>
      <c r="D800" s="32"/>
    </row>
    <row r="801">
      <c r="A801" s="30"/>
      <c r="C801" s="32"/>
      <c r="D801" s="32"/>
    </row>
    <row r="802">
      <c r="A802" s="30"/>
      <c r="C802" s="32"/>
      <c r="D802" s="32"/>
    </row>
    <row r="803">
      <c r="A803" s="30"/>
      <c r="C803" s="32"/>
      <c r="D803" s="32"/>
    </row>
    <row r="804">
      <c r="A804" s="30"/>
      <c r="C804" s="32"/>
      <c r="D804" s="32"/>
    </row>
    <row r="805">
      <c r="A805" s="30"/>
      <c r="C805" s="32"/>
      <c r="D805" s="32"/>
    </row>
    <row r="806">
      <c r="A806" s="30"/>
      <c r="C806" s="32"/>
      <c r="D806" s="32"/>
    </row>
    <row r="807">
      <c r="A807" s="30"/>
      <c r="C807" s="32"/>
      <c r="D807" s="32"/>
    </row>
    <row r="808">
      <c r="A808" s="30"/>
      <c r="C808" s="32"/>
      <c r="D808" s="32"/>
    </row>
    <row r="809">
      <c r="A809" s="30"/>
      <c r="C809" s="32"/>
      <c r="D809" s="32"/>
    </row>
    <row r="810">
      <c r="A810" s="30"/>
      <c r="C810" s="32"/>
      <c r="D810" s="32"/>
    </row>
    <row r="811">
      <c r="A811" s="30"/>
      <c r="C811" s="32"/>
      <c r="D811" s="32"/>
    </row>
    <row r="812">
      <c r="A812" s="30"/>
      <c r="C812" s="32"/>
      <c r="D812" s="32"/>
    </row>
    <row r="813">
      <c r="A813" s="30"/>
      <c r="C813" s="32"/>
      <c r="D813" s="32"/>
    </row>
    <row r="814">
      <c r="A814" s="30"/>
      <c r="C814" s="32"/>
      <c r="D814" s="32"/>
    </row>
    <row r="815">
      <c r="A815" s="30"/>
      <c r="C815" s="32"/>
      <c r="D815" s="32"/>
    </row>
    <row r="816">
      <c r="A816" s="30"/>
      <c r="C816" s="32"/>
      <c r="D816" s="32"/>
    </row>
    <row r="817">
      <c r="A817" s="30"/>
      <c r="C817" s="32"/>
      <c r="D817" s="32"/>
    </row>
    <row r="818">
      <c r="A818" s="30"/>
      <c r="C818" s="32"/>
      <c r="D818" s="32"/>
    </row>
    <row r="819">
      <c r="A819" s="30"/>
      <c r="C819" s="32"/>
      <c r="D819" s="32"/>
    </row>
    <row r="820">
      <c r="A820" s="30"/>
      <c r="C820" s="32"/>
      <c r="D820" s="32"/>
    </row>
    <row r="821">
      <c r="A821" s="30"/>
      <c r="C821" s="32"/>
      <c r="D821" s="32"/>
    </row>
    <row r="822">
      <c r="A822" s="30"/>
      <c r="C822" s="32"/>
      <c r="D822" s="32"/>
    </row>
    <row r="823">
      <c r="A823" s="30"/>
      <c r="C823" s="32"/>
      <c r="D823" s="32"/>
    </row>
    <row r="824">
      <c r="A824" s="30"/>
      <c r="C824" s="32"/>
      <c r="D824" s="32"/>
    </row>
    <row r="825">
      <c r="A825" s="30"/>
      <c r="C825" s="32"/>
      <c r="D825" s="32"/>
    </row>
    <row r="826">
      <c r="A826" s="30"/>
      <c r="C826" s="32"/>
      <c r="D826" s="32"/>
    </row>
    <row r="827">
      <c r="A827" s="30"/>
      <c r="C827" s="32"/>
      <c r="D827" s="32"/>
    </row>
    <row r="828">
      <c r="A828" s="30"/>
      <c r="C828" s="32"/>
      <c r="D828" s="32"/>
    </row>
    <row r="829">
      <c r="A829" s="30"/>
      <c r="C829" s="32"/>
      <c r="D829" s="32"/>
    </row>
    <row r="830">
      <c r="A830" s="30"/>
      <c r="C830" s="32"/>
      <c r="D830" s="32"/>
    </row>
    <row r="831">
      <c r="A831" s="30"/>
      <c r="C831" s="32"/>
      <c r="D831" s="32"/>
    </row>
    <row r="832">
      <c r="A832" s="30"/>
      <c r="C832" s="32"/>
      <c r="D832" s="32"/>
    </row>
    <row r="833">
      <c r="A833" s="30"/>
      <c r="C833" s="32"/>
      <c r="D833" s="32"/>
    </row>
    <row r="834">
      <c r="A834" s="30"/>
      <c r="C834" s="32"/>
      <c r="D834" s="32"/>
    </row>
    <row r="835">
      <c r="A835" s="30"/>
      <c r="C835" s="32"/>
      <c r="D835" s="32"/>
    </row>
    <row r="836">
      <c r="A836" s="30"/>
      <c r="C836" s="32"/>
      <c r="D836" s="32"/>
    </row>
    <row r="837">
      <c r="A837" s="30"/>
      <c r="C837" s="32"/>
      <c r="D837" s="32"/>
    </row>
    <row r="838">
      <c r="A838" s="30"/>
      <c r="C838" s="32"/>
      <c r="D838" s="32"/>
    </row>
    <row r="839">
      <c r="A839" s="30"/>
      <c r="C839" s="32"/>
      <c r="D839" s="32"/>
    </row>
    <row r="840">
      <c r="A840" s="30"/>
      <c r="C840" s="32"/>
      <c r="D840" s="32"/>
    </row>
    <row r="841">
      <c r="A841" s="30"/>
      <c r="C841" s="32"/>
      <c r="D841" s="32"/>
    </row>
    <row r="842">
      <c r="A842" s="30"/>
      <c r="C842" s="32"/>
      <c r="D842" s="32"/>
    </row>
    <row r="843">
      <c r="A843" s="30"/>
      <c r="C843" s="32"/>
      <c r="D843" s="32"/>
    </row>
    <row r="844">
      <c r="A844" s="30"/>
      <c r="C844" s="32"/>
      <c r="D844" s="32"/>
    </row>
    <row r="845">
      <c r="A845" s="30"/>
      <c r="C845" s="32"/>
      <c r="D845" s="32"/>
    </row>
    <row r="846">
      <c r="A846" s="30"/>
      <c r="C846" s="32"/>
      <c r="D846" s="32"/>
    </row>
    <row r="847">
      <c r="A847" s="30"/>
      <c r="C847" s="32"/>
      <c r="D847" s="32"/>
    </row>
    <row r="848">
      <c r="A848" s="30"/>
      <c r="C848" s="32"/>
      <c r="D848" s="32"/>
    </row>
    <row r="849">
      <c r="A849" s="30"/>
      <c r="C849" s="32"/>
      <c r="D849" s="32"/>
    </row>
    <row r="850">
      <c r="A850" s="30"/>
      <c r="C850" s="32"/>
      <c r="D850" s="32"/>
    </row>
    <row r="851">
      <c r="A851" s="30"/>
      <c r="C851" s="32"/>
      <c r="D851" s="32"/>
    </row>
    <row r="852">
      <c r="A852" s="30"/>
      <c r="C852" s="32"/>
      <c r="D852" s="32"/>
    </row>
    <row r="853">
      <c r="A853" s="30"/>
      <c r="C853" s="32"/>
      <c r="D853" s="32"/>
    </row>
    <row r="854">
      <c r="A854" s="30"/>
      <c r="C854" s="32"/>
      <c r="D854" s="32"/>
    </row>
    <row r="855">
      <c r="A855" s="30"/>
      <c r="C855" s="32"/>
      <c r="D855" s="32"/>
    </row>
    <row r="856">
      <c r="A856" s="30"/>
      <c r="C856" s="32"/>
      <c r="D856" s="32"/>
    </row>
    <row r="857">
      <c r="A857" s="30"/>
      <c r="C857" s="32"/>
      <c r="D857" s="32"/>
    </row>
    <row r="858">
      <c r="A858" s="30"/>
      <c r="C858" s="32"/>
      <c r="D858" s="32"/>
    </row>
    <row r="859">
      <c r="A859" s="30"/>
      <c r="C859" s="32"/>
      <c r="D859" s="32"/>
    </row>
    <row r="860">
      <c r="A860" s="30"/>
      <c r="C860" s="32"/>
      <c r="D860" s="32"/>
    </row>
    <row r="861">
      <c r="A861" s="30"/>
      <c r="C861" s="32"/>
      <c r="D861" s="32"/>
    </row>
    <row r="862">
      <c r="A862" s="30"/>
      <c r="C862" s="32"/>
      <c r="D862" s="32"/>
    </row>
    <row r="863">
      <c r="A863" s="30"/>
      <c r="C863" s="32"/>
      <c r="D863" s="32"/>
    </row>
    <row r="864">
      <c r="A864" s="30"/>
      <c r="C864" s="32"/>
      <c r="D864" s="32"/>
    </row>
    <row r="865">
      <c r="A865" s="30"/>
      <c r="C865" s="32"/>
      <c r="D865" s="32"/>
    </row>
    <row r="866">
      <c r="A866" s="30"/>
      <c r="C866" s="32"/>
      <c r="D866" s="32"/>
    </row>
    <row r="867">
      <c r="A867" s="30"/>
      <c r="C867" s="32"/>
      <c r="D867" s="32"/>
    </row>
    <row r="868">
      <c r="A868" s="30"/>
      <c r="C868" s="32"/>
      <c r="D868" s="32"/>
    </row>
    <row r="869">
      <c r="A869" s="30"/>
      <c r="C869" s="32"/>
      <c r="D869" s="32"/>
    </row>
    <row r="870">
      <c r="A870" s="30"/>
      <c r="C870" s="32"/>
      <c r="D870" s="32"/>
    </row>
    <row r="871">
      <c r="A871" s="30"/>
      <c r="C871" s="32"/>
      <c r="D871" s="32"/>
    </row>
    <row r="872">
      <c r="A872" s="30"/>
      <c r="C872" s="32"/>
      <c r="D872" s="32"/>
    </row>
    <row r="873">
      <c r="A873" s="30"/>
      <c r="C873" s="32"/>
      <c r="D873" s="32"/>
    </row>
    <row r="874">
      <c r="A874" s="30"/>
      <c r="C874" s="32"/>
      <c r="D874" s="32"/>
    </row>
    <row r="875">
      <c r="A875" s="30"/>
      <c r="C875" s="32"/>
      <c r="D875" s="32"/>
    </row>
    <row r="876">
      <c r="A876" s="30"/>
      <c r="C876" s="32"/>
      <c r="D876" s="32"/>
    </row>
    <row r="877">
      <c r="A877" s="30"/>
      <c r="C877" s="32"/>
      <c r="D877" s="32"/>
    </row>
    <row r="878">
      <c r="A878" s="30"/>
      <c r="C878" s="32"/>
      <c r="D878" s="32"/>
    </row>
    <row r="879">
      <c r="A879" s="30"/>
      <c r="C879" s="32"/>
      <c r="D879" s="32"/>
    </row>
    <row r="880">
      <c r="A880" s="30"/>
      <c r="C880" s="32"/>
      <c r="D880" s="32"/>
    </row>
    <row r="881">
      <c r="A881" s="30"/>
      <c r="C881" s="32"/>
      <c r="D881" s="32"/>
    </row>
    <row r="882">
      <c r="A882" s="30"/>
      <c r="C882" s="32"/>
      <c r="D882" s="32"/>
    </row>
    <row r="883">
      <c r="A883" s="30"/>
      <c r="C883" s="32"/>
      <c r="D883" s="32"/>
    </row>
    <row r="884">
      <c r="A884" s="30"/>
      <c r="C884" s="32"/>
      <c r="D884" s="32"/>
    </row>
    <row r="885">
      <c r="A885" s="30"/>
      <c r="C885" s="32"/>
      <c r="D885" s="32"/>
    </row>
    <row r="886">
      <c r="A886" s="30"/>
      <c r="C886" s="32"/>
      <c r="D886" s="32"/>
    </row>
    <row r="887">
      <c r="A887" s="30"/>
      <c r="C887" s="32"/>
      <c r="D887" s="32"/>
    </row>
    <row r="888">
      <c r="A888" s="30"/>
      <c r="C888" s="32"/>
      <c r="D888" s="32"/>
    </row>
    <row r="889">
      <c r="A889" s="30"/>
      <c r="C889" s="32"/>
      <c r="D889" s="32"/>
    </row>
    <row r="890">
      <c r="A890" s="30"/>
      <c r="C890" s="32"/>
      <c r="D890" s="32"/>
    </row>
    <row r="891">
      <c r="A891" s="30"/>
      <c r="C891" s="32"/>
      <c r="D891" s="32"/>
    </row>
    <row r="892">
      <c r="A892" s="30"/>
      <c r="C892" s="32"/>
      <c r="D892" s="32"/>
    </row>
    <row r="893">
      <c r="A893" s="30"/>
      <c r="C893" s="32"/>
      <c r="D893" s="32"/>
    </row>
    <row r="894">
      <c r="A894" s="30"/>
      <c r="C894" s="32"/>
      <c r="D894" s="32"/>
    </row>
    <row r="895">
      <c r="A895" s="30"/>
      <c r="C895" s="32"/>
      <c r="D895" s="32"/>
    </row>
    <row r="896">
      <c r="A896" s="30"/>
      <c r="C896" s="32"/>
      <c r="D896" s="32"/>
    </row>
    <row r="897">
      <c r="A897" s="30"/>
      <c r="C897" s="32"/>
      <c r="D897" s="32"/>
    </row>
    <row r="898">
      <c r="A898" s="30"/>
      <c r="C898" s="32"/>
      <c r="D898" s="32"/>
    </row>
    <row r="899">
      <c r="A899" s="30"/>
      <c r="C899" s="32"/>
      <c r="D899" s="32"/>
    </row>
    <row r="900">
      <c r="A900" s="30"/>
      <c r="C900" s="32"/>
      <c r="D900" s="32"/>
    </row>
    <row r="901">
      <c r="A901" s="30"/>
      <c r="C901" s="32"/>
      <c r="D901" s="32"/>
    </row>
    <row r="902">
      <c r="A902" s="30"/>
      <c r="C902" s="32"/>
      <c r="D902" s="32"/>
    </row>
    <row r="903">
      <c r="A903" s="30"/>
      <c r="C903" s="32"/>
      <c r="D903" s="32"/>
    </row>
    <row r="904">
      <c r="A904" s="30"/>
      <c r="C904" s="32"/>
      <c r="D904" s="32"/>
    </row>
    <row r="905">
      <c r="A905" s="30"/>
      <c r="C905" s="32"/>
      <c r="D905" s="32"/>
    </row>
    <row r="906">
      <c r="A906" s="30"/>
      <c r="C906" s="32"/>
      <c r="D906" s="32"/>
    </row>
    <row r="907">
      <c r="A907" s="30"/>
      <c r="C907" s="32"/>
      <c r="D907" s="32"/>
    </row>
    <row r="908">
      <c r="A908" s="30"/>
      <c r="C908" s="32"/>
      <c r="D908" s="32"/>
    </row>
    <row r="909">
      <c r="A909" s="30"/>
      <c r="C909" s="32"/>
      <c r="D909" s="32"/>
    </row>
    <row r="910">
      <c r="A910" s="30"/>
      <c r="C910" s="32"/>
      <c r="D910" s="32"/>
    </row>
    <row r="911">
      <c r="A911" s="30"/>
      <c r="C911" s="32"/>
      <c r="D911" s="32"/>
    </row>
    <row r="912">
      <c r="A912" s="30"/>
      <c r="C912" s="32"/>
      <c r="D912" s="32"/>
    </row>
    <row r="913">
      <c r="A913" s="30"/>
      <c r="C913" s="32"/>
      <c r="D913" s="32"/>
    </row>
    <row r="914">
      <c r="A914" s="30"/>
      <c r="C914" s="32"/>
      <c r="D914" s="32"/>
    </row>
    <row r="915">
      <c r="A915" s="30"/>
      <c r="C915" s="32"/>
      <c r="D915" s="32"/>
    </row>
    <row r="916">
      <c r="A916" s="30"/>
      <c r="C916" s="32"/>
      <c r="D916" s="32"/>
    </row>
    <row r="917">
      <c r="A917" s="30"/>
      <c r="C917" s="32"/>
      <c r="D917" s="32"/>
    </row>
    <row r="918">
      <c r="A918" s="30"/>
      <c r="C918" s="32"/>
      <c r="D918" s="32"/>
    </row>
    <row r="919">
      <c r="A919" s="30"/>
      <c r="C919" s="32"/>
      <c r="D919" s="32"/>
    </row>
    <row r="920">
      <c r="A920" s="30"/>
      <c r="C920" s="32"/>
      <c r="D920" s="32"/>
    </row>
    <row r="921">
      <c r="A921" s="30"/>
      <c r="C921" s="32"/>
      <c r="D921" s="32"/>
    </row>
    <row r="922">
      <c r="A922" s="30"/>
      <c r="C922" s="32"/>
      <c r="D922" s="32"/>
    </row>
    <row r="923">
      <c r="A923" s="30"/>
      <c r="C923" s="32"/>
      <c r="D923" s="32"/>
    </row>
    <row r="924">
      <c r="A924" s="30"/>
      <c r="C924" s="32"/>
      <c r="D924" s="32"/>
    </row>
    <row r="925">
      <c r="A925" s="30"/>
      <c r="C925" s="32"/>
      <c r="D925" s="32"/>
    </row>
    <row r="926">
      <c r="A926" s="30"/>
      <c r="C926" s="32"/>
      <c r="D926" s="32"/>
    </row>
    <row r="927">
      <c r="A927" s="30"/>
      <c r="C927" s="32"/>
      <c r="D927" s="32"/>
    </row>
    <row r="928">
      <c r="A928" s="30"/>
      <c r="C928" s="32"/>
      <c r="D928" s="32"/>
    </row>
    <row r="929">
      <c r="A929" s="30"/>
      <c r="C929" s="32"/>
      <c r="D929" s="32"/>
    </row>
    <row r="930">
      <c r="A930" s="30"/>
      <c r="C930" s="32"/>
      <c r="D930" s="32"/>
    </row>
    <row r="931">
      <c r="A931" s="30"/>
      <c r="C931" s="32"/>
      <c r="D931" s="32"/>
    </row>
    <row r="932">
      <c r="A932" s="30"/>
      <c r="C932" s="32"/>
      <c r="D932" s="32"/>
    </row>
    <row r="933">
      <c r="A933" s="30"/>
      <c r="C933" s="32"/>
      <c r="D933" s="32"/>
    </row>
    <row r="934">
      <c r="A934" s="30"/>
      <c r="C934" s="32"/>
      <c r="D934" s="32"/>
    </row>
    <row r="935">
      <c r="A935" s="30"/>
      <c r="C935" s="32"/>
      <c r="D935" s="32"/>
    </row>
    <row r="936">
      <c r="A936" s="30"/>
      <c r="C936" s="32"/>
      <c r="D936" s="32"/>
    </row>
    <row r="937">
      <c r="A937" s="30"/>
      <c r="C937" s="32"/>
      <c r="D937" s="32"/>
    </row>
    <row r="938">
      <c r="A938" s="30"/>
      <c r="C938" s="32"/>
      <c r="D938" s="32"/>
    </row>
    <row r="939">
      <c r="A939" s="30"/>
      <c r="C939" s="32"/>
      <c r="D939" s="32"/>
    </row>
    <row r="940">
      <c r="A940" s="30"/>
      <c r="C940" s="32"/>
      <c r="D940" s="32"/>
    </row>
    <row r="941">
      <c r="A941" s="30"/>
      <c r="C941" s="32"/>
      <c r="D941" s="32"/>
    </row>
    <row r="942">
      <c r="A942" s="30"/>
      <c r="C942" s="32"/>
      <c r="D942" s="32"/>
    </row>
    <row r="943">
      <c r="A943" s="30"/>
      <c r="C943" s="32"/>
      <c r="D943" s="32"/>
    </row>
    <row r="944">
      <c r="A944" s="30"/>
      <c r="C944" s="32"/>
      <c r="D944" s="32"/>
    </row>
    <row r="945">
      <c r="A945" s="30"/>
      <c r="C945" s="32"/>
      <c r="D945" s="32"/>
    </row>
    <row r="946">
      <c r="A946" s="30"/>
      <c r="C946" s="32"/>
      <c r="D946" s="32"/>
    </row>
    <row r="947">
      <c r="A947" s="30"/>
      <c r="C947" s="32"/>
      <c r="D947" s="32"/>
    </row>
    <row r="948">
      <c r="A948" s="30"/>
      <c r="C948" s="32"/>
      <c r="D948" s="32"/>
    </row>
    <row r="949">
      <c r="A949" s="30"/>
      <c r="C949" s="32"/>
      <c r="D949" s="32"/>
    </row>
    <row r="950">
      <c r="A950" s="30"/>
      <c r="C950" s="32"/>
      <c r="D950" s="32"/>
    </row>
    <row r="951">
      <c r="A951" s="30"/>
      <c r="C951" s="32"/>
      <c r="D951" s="32"/>
    </row>
    <row r="952">
      <c r="A952" s="30"/>
      <c r="C952" s="32"/>
      <c r="D952" s="32"/>
    </row>
    <row r="953">
      <c r="A953" s="30"/>
      <c r="C953" s="32"/>
      <c r="D953" s="32"/>
    </row>
    <row r="954">
      <c r="A954" s="30"/>
      <c r="C954" s="32"/>
      <c r="D954" s="32"/>
    </row>
    <row r="955">
      <c r="A955" s="30"/>
      <c r="C955" s="32"/>
      <c r="D955" s="32"/>
    </row>
    <row r="956">
      <c r="A956" s="30"/>
      <c r="C956" s="32"/>
      <c r="D956" s="32"/>
    </row>
    <row r="957">
      <c r="A957" s="30"/>
      <c r="C957" s="32"/>
      <c r="D957" s="32"/>
    </row>
    <row r="958">
      <c r="A958" s="30"/>
      <c r="C958" s="32"/>
      <c r="D958" s="32"/>
    </row>
    <row r="959">
      <c r="A959" s="30"/>
      <c r="C959" s="32"/>
      <c r="D959" s="32"/>
    </row>
    <row r="960">
      <c r="A960" s="30"/>
      <c r="C960" s="32"/>
      <c r="D960" s="32"/>
    </row>
    <row r="961">
      <c r="A961" s="30"/>
      <c r="C961" s="32"/>
      <c r="D961" s="32"/>
    </row>
    <row r="962">
      <c r="A962" s="30"/>
      <c r="C962" s="32"/>
      <c r="D962" s="32"/>
    </row>
    <row r="963">
      <c r="A963" s="30"/>
      <c r="C963" s="32"/>
      <c r="D963" s="32"/>
    </row>
    <row r="964">
      <c r="A964" s="30"/>
      <c r="C964" s="32"/>
      <c r="D964" s="32"/>
    </row>
    <row r="965">
      <c r="A965" s="30"/>
      <c r="C965" s="32"/>
      <c r="D965" s="32"/>
    </row>
    <row r="966">
      <c r="A966" s="30"/>
      <c r="C966" s="32"/>
      <c r="D966" s="32"/>
    </row>
    <row r="967">
      <c r="A967" s="30"/>
      <c r="C967" s="32"/>
      <c r="D967" s="32"/>
    </row>
    <row r="968">
      <c r="A968" s="30"/>
      <c r="C968" s="32"/>
      <c r="D968" s="32"/>
    </row>
    <row r="969">
      <c r="A969" s="30"/>
      <c r="C969" s="32"/>
      <c r="D969" s="32"/>
    </row>
    <row r="970">
      <c r="A970" s="30"/>
      <c r="C970" s="32"/>
      <c r="D970" s="32"/>
    </row>
    <row r="971">
      <c r="A971" s="30"/>
      <c r="C971" s="32"/>
      <c r="D971" s="32"/>
    </row>
    <row r="972">
      <c r="A972" s="30"/>
      <c r="C972" s="32"/>
      <c r="D972" s="32"/>
    </row>
    <row r="973">
      <c r="A973" s="30"/>
      <c r="C973" s="32"/>
      <c r="D973" s="32"/>
    </row>
    <row r="974">
      <c r="A974" s="30"/>
      <c r="C974" s="32"/>
      <c r="D974" s="32"/>
    </row>
    <row r="975">
      <c r="A975" s="30"/>
      <c r="C975" s="32"/>
      <c r="D975" s="32"/>
    </row>
    <row r="976">
      <c r="A976" s="30"/>
      <c r="C976" s="32"/>
      <c r="D976" s="32"/>
    </row>
    <row r="977">
      <c r="A977" s="30"/>
      <c r="C977" s="32"/>
      <c r="D977" s="32"/>
    </row>
    <row r="978">
      <c r="A978" s="30"/>
      <c r="C978" s="32"/>
      <c r="D978" s="32"/>
    </row>
    <row r="979">
      <c r="A979" s="30"/>
      <c r="C979" s="32"/>
      <c r="D979" s="32"/>
    </row>
    <row r="980">
      <c r="A980" s="30"/>
      <c r="C980" s="32"/>
      <c r="D980" s="32"/>
    </row>
    <row r="981">
      <c r="A981" s="30"/>
      <c r="C981" s="32"/>
      <c r="D981" s="32"/>
    </row>
    <row r="982">
      <c r="A982" s="30"/>
      <c r="C982" s="32"/>
      <c r="D982" s="32"/>
    </row>
    <row r="983">
      <c r="A983" s="30"/>
      <c r="C983" s="32"/>
      <c r="D983" s="32"/>
    </row>
    <row r="984">
      <c r="A984" s="30"/>
      <c r="C984" s="32"/>
      <c r="D984" s="32"/>
    </row>
    <row r="985">
      <c r="A985" s="30"/>
      <c r="C985" s="32"/>
      <c r="D985" s="32"/>
    </row>
    <row r="986">
      <c r="A986" s="30"/>
      <c r="C986" s="32"/>
      <c r="D986" s="32"/>
    </row>
    <row r="987">
      <c r="A987" s="30"/>
      <c r="C987" s="32"/>
      <c r="D987" s="32"/>
    </row>
    <row r="988">
      <c r="A988" s="30"/>
      <c r="C988" s="32"/>
      <c r="D988" s="32"/>
    </row>
    <row r="989">
      <c r="A989" s="30"/>
      <c r="C989" s="32"/>
      <c r="D989" s="32"/>
    </row>
    <row r="990">
      <c r="A990" s="30"/>
      <c r="C990" s="32"/>
      <c r="D990" s="32"/>
    </row>
    <row r="991">
      <c r="A991" s="30"/>
      <c r="C991" s="32"/>
      <c r="D991" s="32"/>
    </row>
    <row r="992">
      <c r="A992" s="30"/>
      <c r="C992" s="32"/>
      <c r="D992" s="32"/>
    </row>
    <row r="993">
      <c r="A993" s="30"/>
      <c r="C993" s="32"/>
      <c r="D993" s="32"/>
    </row>
    <row r="994">
      <c r="A994" s="30"/>
      <c r="C994" s="32"/>
      <c r="D994" s="32"/>
    </row>
    <row r="995">
      <c r="A995" s="30"/>
      <c r="C995" s="32"/>
      <c r="D995" s="32"/>
    </row>
    <row r="996">
      <c r="A996" s="30"/>
      <c r="C996" s="32"/>
      <c r="D996" s="32"/>
    </row>
    <row r="997">
      <c r="A997" s="30"/>
      <c r="C997" s="32"/>
      <c r="D997" s="32"/>
    </row>
    <row r="998">
      <c r="A998" s="30"/>
      <c r="C998" s="32"/>
      <c r="D998" s="32"/>
    </row>
    <row r="999">
      <c r="A999" s="30"/>
      <c r="C999" s="32"/>
      <c r="D999" s="32"/>
    </row>
    <row r="1000">
      <c r="A1000" s="30"/>
      <c r="C1000" s="32"/>
      <c r="D1000" s="3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7.5"/>
    <col hidden="1" min="2" max="2" width="12.63"/>
    <col customWidth="1" min="4" max="4" width="13.38"/>
  </cols>
  <sheetData>
    <row r="1"/>
    <row r="2"/>
    <row r="3"/>
    <row r="4"/>
    <row r="5"/>
    <row r="6"/>
    <row r="7"/>
    <row r="8"/>
    <row r="9"/>
    <row r="10">
      <c r="A10" s="30"/>
      <c r="C10" s="32"/>
      <c r="D10" s="32"/>
    </row>
    <row r="11">
      <c r="A11" s="30"/>
      <c r="C11" s="32"/>
      <c r="D11" s="32"/>
    </row>
    <row r="12">
      <c r="A12" s="30"/>
      <c r="C12" s="32"/>
      <c r="D12" s="32"/>
    </row>
    <row r="13">
      <c r="A13" s="30"/>
      <c r="C13" s="32"/>
      <c r="D13" s="32"/>
    </row>
    <row r="14">
      <c r="A14" s="30"/>
      <c r="C14" s="32"/>
      <c r="D14" s="32"/>
    </row>
    <row r="15">
      <c r="A15" s="30"/>
      <c r="C15" s="32"/>
      <c r="D15" s="32"/>
    </row>
    <row r="16">
      <c r="A16" s="30"/>
      <c r="C16" s="32"/>
      <c r="D16" s="32"/>
    </row>
    <row r="17">
      <c r="A17" s="30"/>
      <c r="C17" s="32"/>
      <c r="D17" s="32"/>
    </row>
    <row r="18">
      <c r="A18" s="30"/>
      <c r="C18" s="32"/>
      <c r="D18" s="32"/>
    </row>
    <row r="19">
      <c r="A19" s="30"/>
      <c r="C19" s="32"/>
      <c r="D19" s="32"/>
    </row>
    <row r="20">
      <c r="A20" s="30"/>
      <c r="C20" s="32"/>
      <c r="D20" s="32"/>
    </row>
    <row r="21">
      <c r="A21" s="30"/>
      <c r="C21" s="32"/>
      <c r="D21" s="32"/>
    </row>
    <row r="22">
      <c r="A22" s="30"/>
      <c r="C22" s="32"/>
      <c r="D22" s="32"/>
    </row>
    <row r="23">
      <c r="A23" s="30"/>
      <c r="C23" s="32"/>
      <c r="D23" s="32"/>
    </row>
    <row r="24">
      <c r="A24" s="30"/>
      <c r="C24" s="32"/>
      <c r="D24" s="32"/>
    </row>
    <row r="25">
      <c r="A25" s="30"/>
      <c r="C25" s="32"/>
      <c r="D25" s="32"/>
    </row>
    <row r="26">
      <c r="A26" s="30"/>
      <c r="C26" s="32"/>
      <c r="D26" s="32"/>
    </row>
    <row r="27">
      <c r="A27" s="30"/>
      <c r="C27" s="32"/>
      <c r="D27" s="32"/>
    </row>
    <row r="28">
      <c r="A28" s="30"/>
      <c r="C28" s="32"/>
      <c r="D28" s="32"/>
    </row>
    <row r="29">
      <c r="A29" s="30"/>
      <c r="C29" s="32"/>
      <c r="D29" s="32"/>
    </row>
    <row r="30">
      <c r="A30" s="30"/>
      <c r="C30" s="32"/>
      <c r="D30" s="32"/>
    </row>
    <row r="31">
      <c r="A31" s="30"/>
      <c r="C31" s="32"/>
      <c r="D31" s="32"/>
    </row>
    <row r="32">
      <c r="A32" s="30"/>
      <c r="C32" s="32"/>
      <c r="D32" s="32"/>
    </row>
    <row r="33">
      <c r="A33" s="30"/>
      <c r="C33" s="32"/>
      <c r="D33" s="32"/>
    </row>
    <row r="34">
      <c r="A34" s="30"/>
      <c r="C34" s="32"/>
      <c r="D34" s="32"/>
    </row>
    <row r="35">
      <c r="A35" s="30"/>
      <c r="C35" s="32"/>
      <c r="D35" s="32"/>
    </row>
    <row r="36">
      <c r="A36" s="30"/>
      <c r="C36" s="32"/>
      <c r="D36" s="32"/>
    </row>
    <row r="37">
      <c r="A37" s="30"/>
      <c r="C37" s="32"/>
      <c r="D37" s="32"/>
    </row>
    <row r="38">
      <c r="A38" s="30"/>
      <c r="C38" s="32"/>
      <c r="D38" s="32"/>
    </row>
    <row r="39">
      <c r="A39" s="30"/>
      <c r="C39" s="32"/>
      <c r="D39" s="32"/>
    </row>
    <row r="40">
      <c r="A40" s="30"/>
      <c r="C40" s="32"/>
      <c r="D40" s="32"/>
    </row>
    <row r="41">
      <c r="A41" s="30"/>
      <c r="C41" s="32"/>
      <c r="D41" s="32"/>
    </row>
    <row r="42">
      <c r="A42" s="30"/>
      <c r="C42" s="32"/>
      <c r="D42" s="32"/>
    </row>
    <row r="43">
      <c r="A43" s="30"/>
      <c r="C43" s="32"/>
      <c r="D43" s="32"/>
    </row>
    <row r="44">
      <c r="A44" s="30"/>
      <c r="C44" s="32"/>
      <c r="D44" s="32"/>
    </row>
    <row r="45">
      <c r="A45" s="30"/>
      <c r="C45" s="32"/>
      <c r="D45" s="32"/>
    </row>
    <row r="46">
      <c r="A46" s="30"/>
      <c r="C46" s="32"/>
      <c r="D46" s="32"/>
    </row>
    <row r="47">
      <c r="A47" s="30"/>
      <c r="C47" s="32"/>
      <c r="D47" s="32"/>
    </row>
    <row r="48">
      <c r="A48" s="30"/>
      <c r="C48" s="32"/>
      <c r="D48" s="32"/>
    </row>
    <row r="49">
      <c r="A49" s="30"/>
      <c r="C49" s="32"/>
      <c r="D49" s="32"/>
    </row>
    <row r="50">
      <c r="A50" s="30"/>
      <c r="C50" s="32"/>
      <c r="D50" s="32"/>
    </row>
    <row r="51">
      <c r="A51" s="30"/>
      <c r="C51" s="32"/>
      <c r="D51" s="32"/>
    </row>
    <row r="52">
      <c r="A52" s="30"/>
      <c r="C52" s="32"/>
      <c r="D52" s="32"/>
    </row>
    <row r="53">
      <c r="A53" s="30"/>
      <c r="C53" s="32"/>
      <c r="D53" s="32"/>
    </row>
    <row r="54">
      <c r="A54" s="30"/>
      <c r="C54" s="32"/>
      <c r="D54" s="32"/>
    </row>
    <row r="55">
      <c r="A55" s="30"/>
      <c r="C55" s="32"/>
      <c r="D55" s="32"/>
    </row>
    <row r="56">
      <c r="A56" s="30"/>
      <c r="C56" s="32"/>
      <c r="D56" s="32"/>
    </row>
    <row r="57">
      <c r="A57" s="30"/>
      <c r="C57" s="32"/>
      <c r="D57" s="32"/>
    </row>
    <row r="58">
      <c r="A58" s="30"/>
      <c r="C58" s="32"/>
      <c r="D58" s="32"/>
    </row>
    <row r="59">
      <c r="A59" s="30"/>
      <c r="C59" s="32"/>
      <c r="D59" s="32"/>
    </row>
    <row r="60">
      <c r="A60" s="30"/>
      <c r="C60" s="32"/>
      <c r="D60" s="32"/>
    </row>
    <row r="61">
      <c r="A61" s="30"/>
      <c r="C61" s="32"/>
      <c r="D61" s="32"/>
    </row>
    <row r="62">
      <c r="A62" s="30"/>
      <c r="C62" s="32"/>
      <c r="D62" s="32"/>
    </row>
    <row r="63">
      <c r="A63" s="30"/>
      <c r="C63" s="32"/>
      <c r="D63" s="32"/>
    </row>
    <row r="64">
      <c r="A64" s="30"/>
      <c r="C64" s="32"/>
      <c r="D64" s="32"/>
    </row>
    <row r="65">
      <c r="A65" s="30"/>
      <c r="C65" s="32"/>
      <c r="D65" s="32"/>
    </row>
    <row r="66">
      <c r="A66" s="30"/>
      <c r="C66" s="32"/>
      <c r="D66" s="32"/>
    </row>
    <row r="67">
      <c r="A67" s="30"/>
      <c r="C67" s="32"/>
      <c r="D67" s="32"/>
    </row>
    <row r="68">
      <c r="A68" s="30"/>
      <c r="C68" s="32"/>
      <c r="D68" s="32"/>
    </row>
    <row r="69">
      <c r="A69" s="30"/>
      <c r="C69" s="32"/>
      <c r="D69" s="32"/>
    </row>
    <row r="70">
      <c r="A70" s="30"/>
      <c r="C70" s="32"/>
      <c r="D70" s="32"/>
    </row>
    <row r="71">
      <c r="A71" s="30"/>
      <c r="C71" s="32"/>
      <c r="D71" s="32"/>
    </row>
    <row r="72">
      <c r="A72" s="30"/>
      <c r="C72" s="32"/>
      <c r="D72" s="32"/>
    </row>
    <row r="73">
      <c r="A73" s="30"/>
      <c r="C73" s="32"/>
      <c r="D73" s="32"/>
    </row>
    <row r="74">
      <c r="A74" s="30"/>
      <c r="C74" s="32"/>
      <c r="D74" s="32"/>
    </row>
    <row r="75">
      <c r="A75" s="30"/>
      <c r="C75" s="32"/>
      <c r="D75" s="32"/>
    </row>
    <row r="76">
      <c r="A76" s="30"/>
      <c r="C76" s="32"/>
      <c r="D76" s="32"/>
    </row>
    <row r="77">
      <c r="A77" s="30"/>
      <c r="C77" s="32"/>
      <c r="D77" s="32"/>
    </row>
    <row r="78">
      <c r="A78" s="30"/>
      <c r="C78" s="32"/>
      <c r="D78" s="32"/>
    </row>
    <row r="79">
      <c r="A79" s="30"/>
      <c r="C79" s="32"/>
      <c r="D79" s="32"/>
    </row>
    <row r="80">
      <c r="A80" s="30"/>
      <c r="C80" s="32"/>
      <c r="D80" s="32"/>
    </row>
    <row r="81">
      <c r="A81" s="30"/>
      <c r="C81" s="32"/>
      <c r="D81" s="32"/>
    </row>
    <row r="82">
      <c r="A82" s="30"/>
      <c r="C82" s="32"/>
      <c r="D82" s="32"/>
    </row>
    <row r="83">
      <c r="A83" s="30"/>
      <c r="C83" s="32"/>
      <c r="D83" s="32"/>
    </row>
    <row r="84">
      <c r="A84" s="30"/>
      <c r="C84" s="32"/>
      <c r="D84" s="32"/>
    </row>
    <row r="85">
      <c r="A85" s="30"/>
      <c r="C85" s="32"/>
      <c r="D85" s="32"/>
    </row>
    <row r="86">
      <c r="A86" s="30"/>
      <c r="C86" s="32"/>
      <c r="D86" s="32"/>
    </row>
    <row r="87">
      <c r="A87" s="30"/>
      <c r="C87" s="32"/>
      <c r="D87" s="32"/>
    </row>
    <row r="88">
      <c r="A88" s="30"/>
      <c r="C88" s="32"/>
      <c r="D88" s="32"/>
    </row>
    <row r="89">
      <c r="A89" s="30"/>
      <c r="C89" s="32"/>
      <c r="D89" s="32"/>
    </row>
    <row r="90">
      <c r="A90" s="30"/>
      <c r="C90" s="32"/>
      <c r="D90" s="32"/>
    </row>
    <row r="91">
      <c r="A91" s="30"/>
      <c r="C91" s="32"/>
      <c r="D91" s="32"/>
    </row>
    <row r="92">
      <c r="A92" s="30"/>
      <c r="C92" s="32"/>
      <c r="D92" s="32"/>
    </row>
    <row r="93">
      <c r="A93" s="30"/>
      <c r="C93" s="32"/>
      <c r="D93" s="32"/>
    </row>
    <row r="94">
      <c r="A94" s="30"/>
      <c r="C94" s="32"/>
      <c r="D94" s="32"/>
    </row>
    <row r="95">
      <c r="A95" s="30"/>
      <c r="C95" s="32"/>
      <c r="D95" s="32"/>
    </row>
    <row r="96">
      <c r="A96" s="30"/>
      <c r="C96" s="32"/>
      <c r="D96" s="32"/>
    </row>
    <row r="97">
      <c r="A97" s="30"/>
      <c r="C97" s="32"/>
      <c r="D97" s="32"/>
    </row>
    <row r="98">
      <c r="A98" s="30"/>
      <c r="C98" s="32"/>
      <c r="D98" s="32"/>
    </row>
    <row r="99">
      <c r="A99" s="30"/>
      <c r="C99" s="32"/>
      <c r="D99" s="32"/>
    </row>
    <row r="100">
      <c r="A100" s="30"/>
      <c r="C100" s="32"/>
      <c r="D100" s="32"/>
    </row>
    <row r="101">
      <c r="A101" s="30"/>
      <c r="C101" s="32"/>
      <c r="D101" s="32"/>
    </row>
    <row r="102">
      <c r="A102" s="30"/>
      <c r="C102" s="32"/>
      <c r="D102" s="32"/>
    </row>
    <row r="103">
      <c r="A103" s="30"/>
      <c r="C103" s="32"/>
      <c r="D103" s="32"/>
    </row>
    <row r="104">
      <c r="A104" s="30"/>
      <c r="C104" s="32"/>
      <c r="D104" s="32"/>
    </row>
    <row r="105">
      <c r="A105" s="30"/>
      <c r="C105" s="32"/>
      <c r="D105" s="32"/>
    </row>
    <row r="106">
      <c r="A106" s="30"/>
      <c r="C106" s="32"/>
      <c r="D106" s="32"/>
    </row>
    <row r="107">
      <c r="A107" s="30"/>
      <c r="C107" s="32"/>
      <c r="D107" s="32"/>
    </row>
    <row r="108">
      <c r="A108" s="30"/>
      <c r="C108" s="32"/>
      <c r="D108" s="32"/>
    </row>
    <row r="109">
      <c r="A109" s="30"/>
      <c r="C109" s="32"/>
      <c r="D109" s="32"/>
    </row>
    <row r="110">
      <c r="A110" s="30"/>
      <c r="C110" s="32"/>
      <c r="D110" s="32"/>
    </row>
    <row r="111">
      <c r="A111" s="30"/>
      <c r="C111" s="32"/>
      <c r="D111" s="32"/>
    </row>
    <row r="112">
      <c r="A112" s="30"/>
      <c r="C112" s="32"/>
      <c r="D112" s="32"/>
    </row>
    <row r="113">
      <c r="A113" s="30"/>
      <c r="C113" s="32"/>
      <c r="D113" s="32"/>
    </row>
    <row r="114">
      <c r="A114" s="30"/>
      <c r="C114" s="32"/>
      <c r="D114" s="32"/>
    </row>
    <row r="115">
      <c r="A115" s="30"/>
      <c r="C115" s="32"/>
      <c r="D115" s="32"/>
    </row>
    <row r="116">
      <c r="A116" s="30"/>
      <c r="C116" s="32"/>
      <c r="D116" s="32"/>
    </row>
    <row r="117">
      <c r="A117" s="30"/>
      <c r="C117" s="32"/>
      <c r="D117" s="32"/>
    </row>
    <row r="118">
      <c r="A118" s="30"/>
      <c r="C118" s="32"/>
      <c r="D118" s="32"/>
    </row>
    <row r="119">
      <c r="A119" s="30"/>
      <c r="C119" s="32"/>
      <c r="D119" s="32"/>
    </row>
    <row r="120">
      <c r="A120" s="30"/>
      <c r="C120" s="32"/>
      <c r="D120" s="32"/>
    </row>
    <row r="121">
      <c r="A121" s="30"/>
      <c r="C121" s="32"/>
      <c r="D121" s="32"/>
    </row>
    <row r="122">
      <c r="A122" s="30"/>
      <c r="C122" s="32"/>
      <c r="D122" s="32"/>
    </row>
    <row r="123">
      <c r="A123" s="30"/>
      <c r="C123" s="32"/>
      <c r="D123" s="32"/>
    </row>
    <row r="124">
      <c r="A124" s="30"/>
      <c r="C124" s="32"/>
      <c r="D124" s="32"/>
    </row>
    <row r="125">
      <c r="A125" s="30"/>
      <c r="C125" s="32"/>
      <c r="D125" s="32"/>
    </row>
    <row r="126">
      <c r="A126" s="30"/>
      <c r="C126" s="32"/>
      <c r="D126" s="32"/>
    </row>
    <row r="127">
      <c r="A127" s="30"/>
      <c r="C127" s="32"/>
      <c r="D127" s="32"/>
    </row>
    <row r="128">
      <c r="A128" s="30"/>
      <c r="C128" s="32"/>
      <c r="D128" s="32"/>
    </row>
    <row r="129">
      <c r="A129" s="30"/>
      <c r="C129" s="32"/>
      <c r="D129" s="32"/>
    </row>
    <row r="130">
      <c r="A130" s="30"/>
      <c r="C130" s="32"/>
      <c r="D130" s="32"/>
    </row>
    <row r="131">
      <c r="A131" s="30"/>
      <c r="C131" s="32"/>
      <c r="D131" s="32"/>
    </row>
    <row r="132">
      <c r="A132" s="30"/>
      <c r="C132" s="32"/>
      <c r="D132" s="32"/>
    </row>
    <row r="133">
      <c r="A133" s="30"/>
      <c r="C133" s="32"/>
      <c r="D133" s="32"/>
    </row>
    <row r="134">
      <c r="A134" s="30"/>
      <c r="C134" s="32"/>
      <c r="D134" s="32"/>
    </row>
    <row r="135">
      <c r="A135" s="30"/>
      <c r="C135" s="32"/>
      <c r="D135" s="32"/>
    </row>
    <row r="136">
      <c r="A136" s="30"/>
      <c r="C136" s="32"/>
      <c r="D136" s="32"/>
    </row>
    <row r="137">
      <c r="A137" s="30"/>
      <c r="C137" s="32"/>
      <c r="D137" s="32"/>
    </row>
    <row r="138">
      <c r="A138" s="30"/>
      <c r="C138" s="32"/>
      <c r="D138" s="32"/>
    </row>
    <row r="139">
      <c r="A139" s="30"/>
      <c r="C139" s="32"/>
      <c r="D139" s="32"/>
    </row>
    <row r="140">
      <c r="A140" s="30"/>
      <c r="C140" s="32"/>
      <c r="D140" s="32"/>
    </row>
    <row r="141">
      <c r="A141" s="30"/>
      <c r="C141" s="32"/>
      <c r="D141" s="32"/>
    </row>
    <row r="142">
      <c r="A142" s="30"/>
      <c r="C142" s="32"/>
      <c r="D142" s="32"/>
    </row>
    <row r="143">
      <c r="A143" s="30"/>
      <c r="C143" s="32"/>
      <c r="D143" s="32"/>
    </row>
    <row r="144">
      <c r="A144" s="30"/>
      <c r="C144" s="32"/>
      <c r="D144" s="32"/>
    </row>
    <row r="145">
      <c r="A145" s="30"/>
      <c r="C145" s="32"/>
      <c r="D145" s="32"/>
    </row>
    <row r="146">
      <c r="A146" s="30"/>
      <c r="C146" s="32"/>
      <c r="D146" s="32"/>
    </row>
    <row r="147">
      <c r="A147" s="30"/>
      <c r="C147" s="32"/>
      <c r="D147" s="32"/>
    </row>
    <row r="148">
      <c r="A148" s="30"/>
      <c r="C148" s="32"/>
      <c r="D148" s="32"/>
    </row>
    <row r="149">
      <c r="A149" s="30"/>
      <c r="C149" s="32"/>
      <c r="D149" s="32"/>
    </row>
    <row r="150">
      <c r="A150" s="30"/>
      <c r="C150" s="32"/>
      <c r="D150" s="32"/>
    </row>
    <row r="151">
      <c r="A151" s="30"/>
      <c r="C151" s="32"/>
      <c r="D151" s="32"/>
    </row>
    <row r="152">
      <c r="A152" s="30"/>
      <c r="C152" s="32"/>
      <c r="D152" s="32"/>
    </row>
    <row r="153">
      <c r="A153" s="30"/>
      <c r="C153" s="32"/>
      <c r="D153" s="32"/>
    </row>
    <row r="154">
      <c r="A154" s="30"/>
      <c r="C154" s="32"/>
      <c r="D154" s="32"/>
    </row>
    <row r="155">
      <c r="A155" s="30"/>
      <c r="C155" s="32"/>
      <c r="D155" s="32"/>
    </row>
    <row r="156">
      <c r="A156" s="30"/>
      <c r="C156" s="32"/>
      <c r="D156" s="32"/>
    </row>
    <row r="157">
      <c r="A157" s="30"/>
      <c r="C157" s="32"/>
      <c r="D157" s="32"/>
    </row>
    <row r="158">
      <c r="A158" s="30"/>
      <c r="C158" s="32"/>
      <c r="D158" s="32"/>
    </row>
    <row r="159">
      <c r="A159" s="30"/>
      <c r="C159" s="32"/>
      <c r="D159" s="32"/>
    </row>
    <row r="160">
      <c r="A160" s="30"/>
      <c r="C160" s="32"/>
      <c r="D160" s="32"/>
    </row>
    <row r="161">
      <c r="A161" s="30"/>
      <c r="C161" s="32"/>
      <c r="D161" s="32"/>
    </row>
    <row r="162">
      <c r="A162" s="30"/>
      <c r="C162" s="32"/>
      <c r="D162" s="32"/>
    </row>
    <row r="163">
      <c r="A163" s="30"/>
      <c r="C163" s="32"/>
      <c r="D163" s="32"/>
    </row>
    <row r="164">
      <c r="A164" s="30"/>
      <c r="C164" s="32"/>
      <c r="D164" s="32"/>
    </row>
    <row r="165">
      <c r="A165" s="30"/>
      <c r="C165" s="32"/>
      <c r="D165" s="32"/>
    </row>
    <row r="166">
      <c r="A166" s="30"/>
      <c r="C166" s="32"/>
      <c r="D166" s="32"/>
    </row>
    <row r="167">
      <c r="A167" s="30"/>
      <c r="C167" s="32"/>
      <c r="D167" s="32"/>
    </row>
    <row r="168">
      <c r="A168" s="30"/>
      <c r="C168" s="32"/>
      <c r="D168" s="32"/>
    </row>
    <row r="169">
      <c r="A169" s="30"/>
      <c r="C169" s="32"/>
      <c r="D169" s="32"/>
    </row>
    <row r="170">
      <c r="A170" s="30"/>
      <c r="C170" s="32"/>
      <c r="D170" s="32"/>
    </row>
    <row r="171">
      <c r="A171" s="30"/>
      <c r="C171" s="32"/>
      <c r="D171" s="32"/>
    </row>
    <row r="172">
      <c r="A172" s="30"/>
      <c r="C172" s="32"/>
      <c r="D172" s="32"/>
    </row>
    <row r="173">
      <c r="A173" s="30"/>
      <c r="C173" s="32"/>
      <c r="D173" s="32"/>
    </row>
    <row r="174">
      <c r="A174" s="30"/>
      <c r="C174" s="32"/>
      <c r="D174" s="32"/>
    </row>
    <row r="175">
      <c r="A175" s="30"/>
      <c r="C175" s="32"/>
      <c r="D175" s="32"/>
    </row>
    <row r="176">
      <c r="A176" s="30"/>
      <c r="C176" s="32"/>
      <c r="D176" s="32"/>
    </row>
    <row r="177">
      <c r="A177" s="30"/>
      <c r="C177" s="32"/>
      <c r="D177" s="32"/>
    </row>
    <row r="178">
      <c r="A178" s="30"/>
      <c r="C178" s="32"/>
      <c r="D178" s="32"/>
    </row>
    <row r="179">
      <c r="A179" s="30"/>
      <c r="C179" s="32"/>
      <c r="D179" s="32"/>
    </row>
    <row r="180">
      <c r="A180" s="30"/>
      <c r="C180" s="32"/>
      <c r="D180" s="32"/>
    </row>
    <row r="181">
      <c r="A181" s="30"/>
      <c r="C181" s="32"/>
      <c r="D181" s="32"/>
    </row>
    <row r="182">
      <c r="A182" s="30"/>
      <c r="C182" s="32"/>
      <c r="D182" s="32"/>
    </row>
    <row r="183">
      <c r="A183" s="30"/>
      <c r="C183" s="32"/>
      <c r="D183" s="32"/>
    </row>
    <row r="184">
      <c r="A184" s="30"/>
      <c r="C184" s="32"/>
      <c r="D184" s="32"/>
    </row>
    <row r="185">
      <c r="A185" s="30"/>
      <c r="C185" s="32"/>
      <c r="D185" s="32"/>
    </row>
    <row r="186">
      <c r="A186" s="30"/>
      <c r="C186" s="32"/>
      <c r="D186" s="32"/>
    </row>
    <row r="187">
      <c r="A187" s="30"/>
      <c r="C187" s="32"/>
      <c r="D187" s="32"/>
    </row>
    <row r="188">
      <c r="A188" s="30"/>
      <c r="C188" s="32"/>
      <c r="D188" s="32"/>
    </row>
    <row r="189">
      <c r="A189" s="30"/>
      <c r="C189" s="32"/>
      <c r="D189" s="32"/>
    </row>
    <row r="190">
      <c r="A190" s="30"/>
      <c r="C190" s="32"/>
      <c r="D190" s="32"/>
    </row>
    <row r="191">
      <c r="A191" s="30"/>
      <c r="C191" s="32"/>
      <c r="D191" s="32"/>
    </row>
    <row r="192">
      <c r="A192" s="30"/>
      <c r="C192" s="32"/>
      <c r="D192" s="32"/>
    </row>
    <row r="193">
      <c r="A193" s="30"/>
      <c r="C193" s="32"/>
      <c r="D193" s="32"/>
    </row>
    <row r="194">
      <c r="A194" s="30"/>
      <c r="C194" s="32"/>
      <c r="D194" s="32"/>
    </row>
    <row r="195">
      <c r="A195" s="30"/>
      <c r="C195" s="32"/>
      <c r="D195" s="32"/>
    </row>
    <row r="196">
      <c r="A196" s="30"/>
      <c r="C196" s="32"/>
      <c r="D196" s="32"/>
    </row>
    <row r="197">
      <c r="A197" s="30"/>
      <c r="C197" s="32"/>
      <c r="D197" s="32"/>
    </row>
    <row r="198">
      <c r="A198" s="30"/>
      <c r="C198" s="32"/>
      <c r="D198" s="32"/>
    </row>
    <row r="199">
      <c r="A199" s="30"/>
      <c r="C199" s="32"/>
      <c r="D199" s="32"/>
    </row>
    <row r="200">
      <c r="A200" s="30"/>
      <c r="C200" s="32"/>
      <c r="D200" s="32"/>
    </row>
    <row r="201">
      <c r="A201" s="30"/>
      <c r="C201" s="32"/>
      <c r="D201" s="32"/>
    </row>
    <row r="202">
      <c r="A202" s="30"/>
      <c r="C202" s="32"/>
      <c r="D202" s="32"/>
    </row>
    <row r="203">
      <c r="A203" s="30"/>
      <c r="C203" s="32"/>
      <c r="D203" s="32"/>
    </row>
    <row r="204">
      <c r="A204" s="30"/>
      <c r="C204" s="32"/>
      <c r="D204" s="32"/>
    </row>
    <row r="205">
      <c r="A205" s="30"/>
      <c r="C205" s="32"/>
      <c r="D205" s="32"/>
    </row>
    <row r="206">
      <c r="A206" s="30"/>
      <c r="C206" s="32"/>
      <c r="D206" s="32"/>
    </row>
    <row r="207">
      <c r="A207" s="30"/>
      <c r="C207" s="32"/>
      <c r="D207" s="32"/>
    </row>
    <row r="208">
      <c r="A208" s="30"/>
      <c r="C208" s="32"/>
      <c r="D208" s="32"/>
    </row>
    <row r="209">
      <c r="A209" s="30"/>
      <c r="C209" s="32"/>
      <c r="D209" s="32"/>
    </row>
    <row r="210">
      <c r="A210" s="30"/>
      <c r="C210" s="32"/>
      <c r="D210" s="32"/>
    </row>
    <row r="211">
      <c r="A211" s="30"/>
      <c r="C211" s="32"/>
      <c r="D211" s="32"/>
    </row>
    <row r="212">
      <c r="A212" s="30"/>
      <c r="C212" s="32"/>
      <c r="D212" s="32"/>
    </row>
    <row r="213">
      <c r="A213" s="30"/>
      <c r="C213" s="32"/>
      <c r="D213" s="32"/>
    </row>
    <row r="214">
      <c r="A214" s="30"/>
      <c r="C214" s="32"/>
      <c r="D214" s="32"/>
    </row>
    <row r="215">
      <c r="A215" s="30"/>
      <c r="C215" s="32"/>
      <c r="D215" s="32"/>
    </row>
    <row r="216">
      <c r="A216" s="30"/>
      <c r="C216" s="32"/>
      <c r="D216" s="32"/>
    </row>
    <row r="217">
      <c r="A217" s="30"/>
      <c r="C217" s="32"/>
      <c r="D217" s="32"/>
    </row>
    <row r="218">
      <c r="A218" s="30"/>
      <c r="C218" s="32"/>
      <c r="D218" s="32"/>
    </row>
    <row r="219">
      <c r="A219" s="30"/>
      <c r="C219" s="32"/>
      <c r="D219" s="32"/>
    </row>
    <row r="220">
      <c r="A220" s="30"/>
      <c r="C220" s="32"/>
      <c r="D220" s="32"/>
    </row>
    <row r="221">
      <c r="A221" s="30"/>
      <c r="C221" s="32"/>
      <c r="D221" s="32"/>
    </row>
    <row r="222">
      <c r="A222" s="30"/>
      <c r="C222" s="32"/>
      <c r="D222" s="32"/>
    </row>
    <row r="223">
      <c r="A223" s="30"/>
      <c r="C223" s="32"/>
      <c r="D223" s="32"/>
    </row>
    <row r="224">
      <c r="A224" s="30"/>
      <c r="C224" s="32"/>
      <c r="D224" s="32"/>
    </row>
    <row r="225">
      <c r="A225" s="30"/>
      <c r="C225" s="32"/>
      <c r="D225" s="32"/>
    </row>
    <row r="226">
      <c r="A226" s="30"/>
      <c r="C226" s="32"/>
      <c r="D226" s="32"/>
    </row>
    <row r="227">
      <c r="A227" s="30"/>
      <c r="C227" s="32"/>
      <c r="D227" s="32"/>
    </row>
    <row r="228">
      <c r="A228" s="30"/>
      <c r="C228" s="32"/>
      <c r="D228" s="32"/>
    </row>
    <row r="229">
      <c r="A229" s="30"/>
      <c r="C229" s="32"/>
      <c r="D229" s="32"/>
    </row>
    <row r="230">
      <c r="A230" s="30"/>
      <c r="C230" s="32"/>
      <c r="D230" s="32"/>
    </row>
    <row r="231">
      <c r="A231" s="30"/>
      <c r="C231" s="32"/>
      <c r="D231" s="32"/>
    </row>
    <row r="232">
      <c r="A232" s="30"/>
      <c r="C232" s="32"/>
      <c r="D232" s="32"/>
    </row>
    <row r="233">
      <c r="A233" s="30"/>
      <c r="C233" s="32"/>
      <c r="D233" s="32"/>
    </row>
    <row r="234">
      <c r="A234" s="30"/>
      <c r="C234" s="32"/>
      <c r="D234" s="32"/>
    </row>
    <row r="235">
      <c r="A235" s="30"/>
      <c r="C235" s="32"/>
      <c r="D235" s="32"/>
    </row>
    <row r="236">
      <c r="A236" s="30"/>
      <c r="C236" s="32"/>
      <c r="D236" s="32"/>
    </row>
    <row r="237">
      <c r="A237" s="30"/>
      <c r="C237" s="32"/>
      <c r="D237" s="32"/>
    </row>
    <row r="238">
      <c r="A238" s="30"/>
      <c r="C238" s="32"/>
      <c r="D238" s="32"/>
    </row>
    <row r="239">
      <c r="A239" s="30"/>
      <c r="C239" s="32"/>
      <c r="D239" s="32"/>
    </row>
    <row r="240">
      <c r="A240" s="30"/>
      <c r="C240" s="32"/>
      <c r="D240" s="32"/>
    </row>
    <row r="241">
      <c r="A241" s="30"/>
      <c r="C241" s="32"/>
      <c r="D241" s="32"/>
    </row>
    <row r="242">
      <c r="A242" s="30"/>
      <c r="C242" s="32"/>
      <c r="D242" s="32"/>
    </row>
    <row r="243">
      <c r="A243" s="30"/>
      <c r="C243" s="32"/>
      <c r="D243" s="32"/>
    </row>
    <row r="244">
      <c r="A244" s="30"/>
      <c r="C244" s="32"/>
      <c r="D244" s="32"/>
    </row>
    <row r="245">
      <c r="A245" s="30"/>
      <c r="C245" s="32"/>
      <c r="D245" s="32"/>
    </row>
    <row r="246">
      <c r="A246" s="30"/>
      <c r="C246" s="32"/>
      <c r="D246" s="32"/>
    </row>
    <row r="247">
      <c r="A247" s="30"/>
      <c r="C247" s="32"/>
      <c r="D247" s="32"/>
    </row>
    <row r="248">
      <c r="A248" s="30"/>
      <c r="C248" s="32"/>
      <c r="D248" s="32"/>
    </row>
    <row r="249">
      <c r="A249" s="30"/>
      <c r="C249" s="32"/>
      <c r="D249" s="32"/>
    </row>
    <row r="250">
      <c r="A250" s="30"/>
      <c r="C250" s="32"/>
      <c r="D250" s="32"/>
    </row>
    <row r="251">
      <c r="A251" s="30"/>
      <c r="C251" s="32"/>
      <c r="D251" s="32"/>
    </row>
    <row r="252">
      <c r="A252" s="30"/>
      <c r="C252" s="32"/>
      <c r="D252" s="32"/>
    </row>
    <row r="253">
      <c r="A253" s="30"/>
      <c r="C253" s="32"/>
      <c r="D253" s="32"/>
    </row>
    <row r="254">
      <c r="A254" s="30"/>
      <c r="C254" s="32"/>
      <c r="D254" s="32"/>
    </row>
    <row r="255">
      <c r="A255" s="30"/>
      <c r="C255" s="32"/>
      <c r="D255" s="32"/>
    </row>
    <row r="256">
      <c r="A256" s="30"/>
      <c r="C256" s="32"/>
      <c r="D256" s="32"/>
    </row>
    <row r="257">
      <c r="A257" s="30"/>
      <c r="C257" s="32"/>
      <c r="D257" s="32"/>
    </row>
    <row r="258">
      <c r="A258" s="30"/>
      <c r="C258" s="32"/>
      <c r="D258" s="32"/>
    </row>
    <row r="259">
      <c r="A259" s="30"/>
      <c r="C259" s="32"/>
      <c r="D259" s="32"/>
    </row>
    <row r="260">
      <c r="A260" s="30"/>
      <c r="C260" s="32"/>
      <c r="D260" s="32"/>
    </row>
    <row r="261">
      <c r="A261" s="30"/>
      <c r="C261" s="32"/>
      <c r="D261" s="32"/>
    </row>
    <row r="262">
      <c r="A262" s="30"/>
      <c r="C262" s="32"/>
      <c r="D262" s="32"/>
    </row>
    <row r="263">
      <c r="A263" s="30"/>
      <c r="C263" s="32"/>
      <c r="D263" s="32"/>
    </row>
    <row r="264">
      <c r="A264" s="30"/>
      <c r="C264" s="32"/>
      <c r="D264" s="32"/>
    </row>
    <row r="265">
      <c r="A265" s="30"/>
      <c r="C265" s="32"/>
      <c r="D265" s="32"/>
    </row>
    <row r="266">
      <c r="A266" s="30"/>
      <c r="C266" s="32"/>
      <c r="D266" s="32"/>
    </row>
    <row r="267">
      <c r="A267" s="30"/>
      <c r="C267" s="32"/>
      <c r="D267" s="32"/>
    </row>
    <row r="268">
      <c r="A268" s="30"/>
      <c r="C268" s="32"/>
      <c r="D268" s="32"/>
    </row>
    <row r="269">
      <c r="A269" s="30"/>
      <c r="C269" s="32"/>
      <c r="D269" s="32"/>
    </row>
    <row r="270">
      <c r="A270" s="30"/>
      <c r="C270" s="32"/>
      <c r="D270" s="32"/>
    </row>
    <row r="271">
      <c r="A271" s="30"/>
      <c r="C271" s="32"/>
      <c r="D271" s="32"/>
    </row>
    <row r="272">
      <c r="A272" s="30"/>
      <c r="C272" s="32"/>
      <c r="D272" s="32"/>
    </row>
    <row r="273">
      <c r="A273" s="30"/>
      <c r="C273" s="32"/>
      <c r="D273" s="32"/>
    </row>
    <row r="274">
      <c r="A274" s="30"/>
      <c r="C274" s="32"/>
      <c r="D274" s="32"/>
    </row>
    <row r="275">
      <c r="A275" s="30"/>
      <c r="C275" s="32"/>
      <c r="D275" s="32"/>
    </row>
    <row r="276">
      <c r="A276" s="30"/>
      <c r="C276" s="32"/>
      <c r="D276" s="32"/>
    </row>
    <row r="277">
      <c r="A277" s="30"/>
      <c r="C277" s="32"/>
      <c r="D277" s="32"/>
    </row>
    <row r="278">
      <c r="A278" s="30"/>
      <c r="C278" s="32"/>
      <c r="D278" s="32"/>
    </row>
    <row r="279">
      <c r="A279" s="30"/>
      <c r="C279" s="32"/>
      <c r="D279" s="32"/>
    </row>
    <row r="280">
      <c r="A280" s="30"/>
      <c r="C280" s="32"/>
      <c r="D280" s="32"/>
    </row>
    <row r="281">
      <c r="A281" s="30"/>
      <c r="C281" s="32"/>
      <c r="D281" s="32"/>
    </row>
    <row r="282">
      <c r="A282" s="30"/>
      <c r="C282" s="32"/>
      <c r="D282" s="32"/>
    </row>
    <row r="283">
      <c r="A283" s="30"/>
      <c r="C283" s="32"/>
      <c r="D283" s="32"/>
    </row>
    <row r="284">
      <c r="A284" s="30"/>
      <c r="C284" s="32"/>
      <c r="D284" s="32"/>
    </row>
    <row r="285">
      <c r="A285" s="30"/>
      <c r="C285" s="32"/>
      <c r="D285" s="32"/>
    </row>
    <row r="286">
      <c r="A286" s="30"/>
      <c r="C286" s="32"/>
      <c r="D286" s="32"/>
    </row>
    <row r="287">
      <c r="A287" s="30"/>
      <c r="C287" s="32"/>
      <c r="D287" s="32"/>
    </row>
    <row r="288">
      <c r="A288" s="30"/>
      <c r="C288" s="32"/>
      <c r="D288" s="32"/>
    </row>
    <row r="289">
      <c r="A289" s="30"/>
      <c r="C289" s="32"/>
      <c r="D289" s="32"/>
    </row>
    <row r="290">
      <c r="A290" s="30"/>
      <c r="C290" s="32"/>
      <c r="D290" s="32"/>
    </row>
    <row r="291">
      <c r="A291" s="30"/>
      <c r="C291" s="32"/>
      <c r="D291" s="32"/>
    </row>
    <row r="292">
      <c r="A292" s="30"/>
      <c r="C292" s="32"/>
      <c r="D292" s="32"/>
    </row>
    <row r="293">
      <c r="A293" s="30"/>
      <c r="C293" s="32"/>
      <c r="D293" s="32"/>
    </row>
    <row r="294">
      <c r="A294" s="30"/>
      <c r="C294" s="32"/>
      <c r="D294" s="32"/>
    </row>
    <row r="295">
      <c r="A295" s="30"/>
      <c r="C295" s="32"/>
      <c r="D295" s="32"/>
    </row>
    <row r="296">
      <c r="A296" s="30"/>
      <c r="C296" s="32"/>
      <c r="D296" s="32"/>
    </row>
    <row r="297">
      <c r="A297" s="30"/>
      <c r="C297" s="32"/>
      <c r="D297" s="32"/>
    </row>
    <row r="298">
      <c r="A298" s="30"/>
      <c r="C298" s="32"/>
      <c r="D298" s="32"/>
    </row>
    <row r="299">
      <c r="A299" s="30"/>
      <c r="C299" s="32"/>
      <c r="D299" s="32"/>
    </row>
    <row r="300">
      <c r="A300" s="30"/>
      <c r="C300" s="32"/>
      <c r="D300" s="32"/>
    </row>
    <row r="301">
      <c r="A301" s="30"/>
      <c r="C301" s="32"/>
      <c r="D301" s="32"/>
    </row>
    <row r="302">
      <c r="A302" s="30"/>
      <c r="C302" s="32"/>
      <c r="D302" s="32"/>
    </row>
    <row r="303">
      <c r="A303" s="30"/>
      <c r="C303" s="32"/>
      <c r="D303" s="32"/>
    </row>
    <row r="304">
      <c r="A304" s="30"/>
      <c r="C304" s="32"/>
      <c r="D304" s="32"/>
    </row>
    <row r="305">
      <c r="A305" s="30"/>
      <c r="C305" s="32"/>
      <c r="D305" s="32"/>
    </row>
    <row r="306">
      <c r="A306" s="30"/>
      <c r="C306" s="32"/>
      <c r="D306" s="32"/>
    </row>
    <row r="307">
      <c r="A307" s="30"/>
      <c r="C307" s="32"/>
      <c r="D307" s="32"/>
    </row>
    <row r="308">
      <c r="A308" s="30"/>
      <c r="C308" s="32"/>
      <c r="D308" s="32"/>
    </row>
    <row r="309">
      <c r="A309" s="30"/>
      <c r="C309" s="32"/>
      <c r="D309" s="32"/>
    </row>
    <row r="310">
      <c r="A310" s="30"/>
      <c r="C310" s="32"/>
      <c r="D310" s="32"/>
    </row>
    <row r="311">
      <c r="A311" s="30"/>
      <c r="C311" s="32"/>
      <c r="D311" s="32"/>
    </row>
    <row r="312">
      <c r="A312" s="30"/>
      <c r="C312" s="32"/>
      <c r="D312" s="32"/>
    </row>
    <row r="313">
      <c r="A313" s="30"/>
      <c r="C313" s="32"/>
      <c r="D313" s="32"/>
    </row>
    <row r="314">
      <c r="A314" s="30"/>
      <c r="C314" s="32"/>
      <c r="D314" s="32"/>
    </row>
    <row r="315">
      <c r="A315" s="30"/>
      <c r="C315" s="32"/>
      <c r="D315" s="32"/>
    </row>
    <row r="316">
      <c r="A316" s="30"/>
      <c r="C316" s="32"/>
      <c r="D316" s="32"/>
    </row>
    <row r="317">
      <c r="A317" s="30"/>
      <c r="C317" s="32"/>
      <c r="D317" s="32"/>
    </row>
    <row r="318">
      <c r="A318" s="30"/>
      <c r="C318" s="32"/>
      <c r="D318" s="32"/>
    </row>
    <row r="319">
      <c r="A319" s="30"/>
      <c r="C319" s="32"/>
      <c r="D319" s="32"/>
    </row>
    <row r="320">
      <c r="A320" s="30"/>
      <c r="C320" s="32"/>
      <c r="D320" s="32"/>
    </row>
    <row r="321">
      <c r="A321" s="30"/>
      <c r="C321" s="32"/>
      <c r="D321" s="32"/>
    </row>
    <row r="322">
      <c r="A322" s="30"/>
      <c r="C322" s="32"/>
      <c r="D322" s="32"/>
    </row>
    <row r="323">
      <c r="A323" s="30"/>
      <c r="C323" s="32"/>
      <c r="D323" s="32"/>
    </row>
    <row r="324">
      <c r="A324" s="30"/>
      <c r="C324" s="32"/>
      <c r="D324" s="32"/>
    </row>
    <row r="325">
      <c r="A325" s="30"/>
      <c r="C325" s="32"/>
      <c r="D325" s="32"/>
    </row>
    <row r="326">
      <c r="A326" s="30"/>
      <c r="C326" s="32"/>
      <c r="D326" s="32"/>
    </row>
    <row r="327">
      <c r="A327" s="30"/>
      <c r="C327" s="32"/>
      <c r="D327" s="32"/>
    </row>
    <row r="328">
      <c r="A328" s="30"/>
      <c r="C328" s="32"/>
      <c r="D328" s="32"/>
    </row>
    <row r="329">
      <c r="A329" s="30"/>
      <c r="C329" s="32"/>
      <c r="D329" s="32"/>
    </row>
    <row r="330">
      <c r="A330" s="30"/>
      <c r="C330" s="32"/>
      <c r="D330" s="32"/>
    </row>
    <row r="331">
      <c r="A331" s="30"/>
      <c r="C331" s="32"/>
      <c r="D331" s="32"/>
    </row>
    <row r="332">
      <c r="A332" s="30"/>
      <c r="C332" s="32"/>
      <c r="D332" s="32"/>
    </row>
    <row r="333">
      <c r="A333" s="30"/>
      <c r="C333" s="32"/>
      <c r="D333" s="32"/>
    </row>
    <row r="334">
      <c r="A334" s="30"/>
      <c r="C334" s="32"/>
      <c r="D334" s="32"/>
    </row>
    <row r="335">
      <c r="A335" s="30"/>
      <c r="C335" s="32"/>
      <c r="D335" s="32"/>
    </row>
    <row r="336">
      <c r="A336" s="30"/>
      <c r="C336" s="32"/>
      <c r="D336" s="32"/>
    </row>
    <row r="337">
      <c r="A337" s="30"/>
      <c r="C337" s="32"/>
      <c r="D337" s="32"/>
    </row>
    <row r="338">
      <c r="A338" s="30"/>
      <c r="C338" s="32"/>
      <c r="D338" s="32"/>
    </row>
    <row r="339">
      <c r="A339" s="30"/>
      <c r="C339" s="32"/>
      <c r="D339" s="32"/>
    </row>
    <row r="340">
      <c r="A340" s="30"/>
      <c r="C340" s="32"/>
      <c r="D340" s="32"/>
    </row>
    <row r="341">
      <c r="A341" s="30"/>
      <c r="C341" s="32"/>
      <c r="D341" s="32"/>
    </row>
    <row r="342">
      <c r="A342" s="30"/>
      <c r="C342" s="32"/>
      <c r="D342" s="32"/>
    </row>
    <row r="343">
      <c r="A343" s="30"/>
      <c r="C343" s="32"/>
      <c r="D343" s="32"/>
    </row>
    <row r="344">
      <c r="A344" s="30"/>
      <c r="C344" s="32"/>
      <c r="D344" s="32"/>
    </row>
    <row r="345">
      <c r="A345" s="30"/>
      <c r="C345" s="32"/>
      <c r="D345" s="32"/>
    </row>
    <row r="346">
      <c r="A346" s="30"/>
      <c r="C346" s="32"/>
      <c r="D346" s="32"/>
    </row>
    <row r="347">
      <c r="A347" s="30"/>
      <c r="C347" s="32"/>
      <c r="D347" s="32"/>
    </row>
    <row r="348">
      <c r="A348" s="30"/>
      <c r="C348" s="32"/>
      <c r="D348" s="32"/>
    </row>
    <row r="349">
      <c r="A349" s="30"/>
      <c r="C349" s="32"/>
      <c r="D349" s="32"/>
    </row>
    <row r="350">
      <c r="A350" s="30"/>
      <c r="C350" s="32"/>
      <c r="D350" s="32"/>
    </row>
    <row r="351">
      <c r="A351" s="30"/>
      <c r="C351" s="32"/>
      <c r="D351" s="32"/>
    </row>
    <row r="352">
      <c r="A352" s="30"/>
      <c r="C352" s="32"/>
      <c r="D352" s="32"/>
    </row>
    <row r="353">
      <c r="A353" s="30"/>
      <c r="C353" s="32"/>
      <c r="D353" s="32"/>
    </row>
    <row r="354">
      <c r="A354" s="30"/>
      <c r="C354" s="32"/>
      <c r="D354" s="32"/>
    </row>
    <row r="355">
      <c r="A355" s="30"/>
      <c r="C355" s="32"/>
      <c r="D355" s="32"/>
    </row>
    <row r="356">
      <c r="A356" s="30"/>
      <c r="C356" s="32"/>
      <c r="D356" s="32"/>
    </row>
    <row r="357">
      <c r="A357" s="30"/>
      <c r="C357" s="32"/>
      <c r="D357" s="32"/>
    </row>
    <row r="358">
      <c r="A358" s="30"/>
      <c r="C358" s="32"/>
      <c r="D358" s="32"/>
    </row>
    <row r="359">
      <c r="A359" s="30"/>
      <c r="C359" s="32"/>
      <c r="D359" s="32"/>
    </row>
    <row r="360">
      <c r="A360" s="30"/>
      <c r="C360" s="32"/>
      <c r="D360" s="32"/>
    </row>
    <row r="361">
      <c r="A361" s="30"/>
      <c r="C361" s="32"/>
      <c r="D361" s="32"/>
    </row>
    <row r="362">
      <c r="A362" s="30"/>
      <c r="C362" s="32"/>
      <c r="D362" s="32"/>
    </row>
    <row r="363">
      <c r="A363" s="30"/>
      <c r="C363" s="32"/>
      <c r="D363" s="32"/>
    </row>
    <row r="364">
      <c r="A364" s="30"/>
      <c r="C364" s="32"/>
      <c r="D364" s="32"/>
    </row>
    <row r="365">
      <c r="A365" s="30"/>
      <c r="C365" s="32"/>
      <c r="D365" s="32"/>
    </row>
    <row r="366">
      <c r="A366" s="30"/>
      <c r="C366" s="32"/>
      <c r="D366" s="32"/>
    </row>
    <row r="367">
      <c r="A367" s="30"/>
      <c r="C367" s="32"/>
      <c r="D367" s="32"/>
    </row>
    <row r="368">
      <c r="A368" s="30"/>
      <c r="C368" s="32"/>
      <c r="D368" s="32"/>
    </row>
    <row r="369">
      <c r="A369" s="30"/>
      <c r="C369" s="32"/>
      <c r="D369" s="32"/>
    </row>
    <row r="370">
      <c r="A370" s="30"/>
      <c r="C370" s="32"/>
      <c r="D370" s="32"/>
    </row>
    <row r="371">
      <c r="A371" s="30"/>
      <c r="C371" s="32"/>
      <c r="D371" s="32"/>
    </row>
    <row r="372">
      <c r="A372" s="30"/>
      <c r="C372" s="32"/>
      <c r="D372" s="32"/>
    </row>
    <row r="373">
      <c r="A373" s="30"/>
      <c r="C373" s="32"/>
      <c r="D373" s="32"/>
    </row>
    <row r="374">
      <c r="A374" s="30"/>
      <c r="C374" s="32"/>
      <c r="D374" s="32"/>
    </row>
    <row r="375">
      <c r="A375" s="30"/>
      <c r="C375" s="32"/>
      <c r="D375" s="32"/>
    </row>
    <row r="376">
      <c r="A376" s="30"/>
      <c r="C376" s="32"/>
      <c r="D376" s="32"/>
    </row>
    <row r="377">
      <c r="A377" s="30"/>
      <c r="C377" s="32"/>
      <c r="D377" s="32"/>
    </row>
    <row r="378">
      <c r="A378" s="30"/>
      <c r="C378" s="32"/>
      <c r="D378" s="32"/>
    </row>
    <row r="379">
      <c r="A379" s="30"/>
      <c r="C379" s="32"/>
      <c r="D379" s="32"/>
    </row>
    <row r="380">
      <c r="A380" s="30"/>
      <c r="C380" s="32"/>
      <c r="D380" s="32"/>
    </row>
    <row r="381">
      <c r="A381" s="30"/>
      <c r="C381" s="32"/>
      <c r="D381" s="32"/>
    </row>
    <row r="382">
      <c r="A382" s="30"/>
      <c r="C382" s="32"/>
      <c r="D382" s="32"/>
    </row>
    <row r="383">
      <c r="A383" s="30"/>
      <c r="C383" s="32"/>
      <c r="D383" s="32"/>
    </row>
    <row r="384">
      <c r="A384" s="30"/>
      <c r="C384" s="32"/>
      <c r="D384" s="32"/>
    </row>
    <row r="385">
      <c r="A385" s="30"/>
      <c r="C385" s="32"/>
      <c r="D385" s="32"/>
    </row>
    <row r="386">
      <c r="A386" s="30"/>
      <c r="C386" s="32"/>
      <c r="D386" s="32"/>
    </row>
    <row r="387">
      <c r="A387" s="30"/>
      <c r="C387" s="32"/>
      <c r="D387" s="32"/>
    </row>
    <row r="388">
      <c r="A388" s="30"/>
      <c r="C388" s="32"/>
      <c r="D388" s="32"/>
    </row>
    <row r="389">
      <c r="A389" s="30"/>
      <c r="C389" s="32"/>
      <c r="D389" s="32"/>
    </row>
    <row r="390">
      <c r="A390" s="30"/>
      <c r="C390" s="32"/>
      <c r="D390" s="32"/>
    </row>
    <row r="391">
      <c r="A391" s="30"/>
      <c r="C391" s="32"/>
      <c r="D391" s="32"/>
    </row>
    <row r="392">
      <c r="A392" s="30"/>
      <c r="C392" s="32"/>
      <c r="D392" s="32"/>
    </row>
    <row r="393">
      <c r="A393" s="30"/>
      <c r="C393" s="32"/>
      <c r="D393" s="32"/>
    </row>
    <row r="394">
      <c r="A394" s="30"/>
      <c r="C394" s="32"/>
      <c r="D394" s="32"/>
    </row>
    <row r="395">
      <c r="A395" s="30"/>
      <c r="C395" s="32"/>
      <c r="D395" s="32"/>
    </row>
    <row r="396">
      <c r="A396" s="30"/>
      <c r="C396" s="32"/>
      <c r="D396" s="32"/>
    </row>
    <row r="397">
      <c r="A397" s="30"/>
      <c r="C397" s="32"/>
      <c r="D397" s="32"/>
    </row>
    <row r="398">
      <c r="A398" s="30"/>
      <c r="C398" s="32"/>
      <c r="D398" s="32"/>
    </row>
    <row r="399">
      <c r="A399" s="30"/>
      <c r="C399" s="32"/>
      <c r="D399" s="32"/>
    </row>
    <row r="400">
      <c r="A400" s="30"/>
      <c r="C400" s="32"/>
      <c r="D400" s="32"/>
    </row>
    <row r="401">
      <c r="A401" s="30"/>
      <c r="C401" s="32"/>
      <c r="D401" s="32"/>
    </row>
    <row r="402">
      <c r="A402" s="30"/>
      <c r="C402" s="32"/>
      <c r="D402" s="32"/>
    </row>
    <row r="403">
      <c r="A403" s="30"/>
      <c r="C403" s="32"/>
      <c r="D403" s="32"/>
    </row>
    <row r="404">
      <c r="A404" s="30"/>
      <c r="C404" s="32"/>
      <c r="D404" s="32"/>
    </row>
    <row r="405">
      <c r="A405" s="30"/>
      <c r="C405" s="32"/>
      <c r="D405" s="32"/>
    </row>
    <row r="406">
      <c r="A406" s="30"/>
      <c r="C406" s="32"/>
      <c r="D406" s="32"/>
    </row>
    <row r="407">
      <c r="A407" s="30"/>
      <c r="C407" s="32"/>
      <c r="D407" s="32"/>
    </row>
    <row r="408">
      <c r="A408" s="30"/>
      <c r="C408" s="32"/>
      <c r="D408" s="32"/>
    </row>
    <row r="409">
      <c r="A409" s="30"/>
      <c r="C409" s="32"/>
      <c r="D409" s="32"/>
    </row>
    <row r="410">
      <c r="A410" s="30"/>
      <c r="C410" s="32"/>
      <c r="D410" s="32"/>
    </row>
    <row r="411">
      <c r="A411" s="30"/>
      <c r="C411" s="32"/>
      <c r="D411" s="32"/>
    </row>
    <row r="412">
      <c r="A412" s="30"/>
      <c r="C412" s="32"/>
      <c r="D412" s="32"/>
    </row>
    <row r="413">
      <c r="A413" s="30"/>
      <c r="C413" s="32"/>
      <c r="D413" s="32"/>
    </row>
    <row r="414">
      <c r="A414" s="30"/>
      <c r="C414" s="32"/>
      <c r="D414" s="32"/>
    </row>
    <row r="415">
      <c r="A415" s="30"/>
      <c r="C415" s="32"/>
      <c r="D415" s="32"/>
    </row>
    <row r="416">
      <c r="A416" s="30"/>
      <c r="C416" s="32"/>
      <c r="D416" s="32"/>
    </row>
    <row r="417">
      <c r="A417" s="30"/>
      <c r="C417" s="32"/>
      <c r="D417" s="32"/>
    </row>
    <row r="418">
      <c r="A418" s="30"/>
      <c r="C418" s="32"/>
      <c r="D418" s="32"/>
    </row>
    <row r="419">
      <c r="A419" s="30"/>
      <c r="C419" s="32"/>
      <c r="D419" s="32"/>
    </row>
    <row r="420">
      <c r="A420" s="30"/>
      <c r="C420" s="32"/>
      <c r="D420" s="32"/>
    </row>
    <row r="421">
      <c r="A421" s="30"/>
      <c r="C421" s="32"/>
      <c r="D421" s="32"/>
    </row>
    <row r="422">
      <c r="A422" s="30"/>
      <c r="C422" s="32"/>
      <c r="D422" s="32"/>
    </row>
    <row r="423">
      <c r="A423" s="30"/>
      <c r="C423" s="32"/>
      <c r="D423" s="32"/>
    </row>
    <row r="424">
      <c r="A424" s="30"/>
      <c r="C424" s="32"/>
      <c r="D424" s="32"/>
    </row>
    <row r="425">
      <c r="A425" s="30"/>
      <c r="C425" s="32"/>
      <c r="D425" s="32"/>
    </row>
    <row r="426">
      <c r="A426" s="30"/>
      <c r="C426" s="32"/>
      <c r="D426" s="32"/>
    </row>
    <row r="427">
      <c r="A427" s="30"/>
      <c r="C427" s="32"/>
      <c r="D427" s="32"/>
    </row>
    <row r="428">
      <c r="A428" s="30"/>
      <c r="C428" s="32"/>
      <c r="D428" s="32"/>
    </row>
    <row r="429">
      <c r="A429" s="30"/>
      <c r="C429" s="32"/>
      <c r="D429" s="32"/>
    </row>
    <row r="430">
      <c r="A430" s="30"/>
      <c r="C430" s="32"/>
      <c r="D430" s="32"/>
    </row>
    <row r="431">
      <c r="A431" s="30"/>
      <c r="C431" s="32"/>
      <c r="D431" s="32"/>
    </row>
    <row r="432">
      <c r="A432" s="30"/>
      <c r="C432" s="32"/>
      <c r="D432" s="32"/>
    </row>
    <row r="433">
      <c r="A433" s="30"/>
      <c r="C433" s="32"/>
      <c r="D433" s="32"/>
    </row>
    <row r="434">
      <c r="A434" s="30"/>
      <c r="C434" s="32"/>
      <c r="D434" s="32"/>
    </row>
    <row r="435">
      <c r="A435" s="30"/>
      <c r="C435" s="32"/>
      <c r="D435" s="32"/>
    </row>
    <row r="436">
      <c r="A436" s="30"/>
      <c r="C436" s="32"/>
      <c r="D436" s="32"/>
    </row>
    <row r="437">
      <c r="A437" s="30"/>
      <c r="C437" s="32"/>
      <c r="D437" s="32"/>
    </row>
    <row r="438">
      <c r="A438" s="30"/>
      <c r="C438" s="32"/>
      <c r="D438" s="32"/>
    </row>
    <row r="439">
      <c r="A439" s="30"/>
      <c r="C439" s="32"/>
      <c r="D439" s="32"/>
    </row>
    <row r="440">
      <c r="A440" s="30"/>
      <c r="C440" s="32"/>
      <c r="D440" s="32"/>
    </row>
    <row r="441">
      <c r="A441" s="30"/>
      <c r="C441" s="32"/>
      <c r="D441" s="32"/>
    </row>
    <row r="442">
      <c r="A442" s="30"/>
      <c r="C442" s="32"/>
      <c r="D442" s="32"/>
    </row>
    <row r="443">
      <c r="A443" s="30"/>
      <c r="C443" s="32"/>
      <c r="D443" s="32"/>
    </row>
    <row r="444">
      <c r="A444" s="30"/>
      <c r="C444" s="32"/>
      <c r="D444" s="32"/>
    </row>
    <row r="445">
      <c r="A445" s="30"/>
      <c r="C445" s="32"/>
      <c r="D445" s="32"/>
    </row>
    <row r="446">
      <c r="A446" s="30"/>
      <c r="C446" s="32"/>
      <c r="D446" s="32"/>
    </row>
    <row r="447">
      <c r="A447" s="30"/>
      <c r="C447" s="32"/>
      <c r="D447" s="32"/>
    </row>
    <row r="448">
      <c r="A448" s="30"/>
      <c r="C448" s="32"/>
      <c r="D448" s="32"/>
    </row>
    <row r="449">
      <c r="A449" s="30"/>
      <c r="C449" s="32"/>
      <c r="D449" s="32"/>
    </row>
    <row r="450">
      <c r="A450" s="30"/>
      <c r="C450" s="32"/>
      <c r="D450" s="32"/>
    </row>
    <row r="451">
      <c r="A451" s="30"/>
      <c r="C451" s="32"/>
      <c r="D451" s="32"/>
    </row>
    <row r="452">
      <c r="A452" s="30"/>
      <c r="C452" s="32"/>
      <c r="D452" s="32"/>
    </row>
    <row r="453">
      <c r="A453" s="30"/>
      <c r="C453" s="32"/>
      <c r="D453" s="32"/>
    </row>
    <row r="454">
      <c r="A454" s="30"/>
      <c r="C454" s="32"/>
      <c r="D454" s="32"/>
    </row>
    <row r="455">
      <c r="A455" s="30"/>
      <c r="C455" s="32"/>
      <c r="D455" s="32"/>
    </row>
    <row r="456">
      <c r="A456" s="30"/>
      <c r="C456" s="32"/>
      <c r="D456" s="32"/>
    </row>
    <row r="457">
      <c r="A457" s="30"/>
      <c r="C457" s="32"/>
      <c r="D457" s="32"/>
    </row>
    <row r="458">
      <c r="A458" s="30"/>
      <c r="C458" s="32"/>
      <c r="D458" s="32"/>
    </row>
    <row r="459">
      <c r="A459" s="30"/>
      <c r="C459" s="32"/>
      <c r="D459" s="32"/>
    </row>
    <row r="460">
      <c r="A460" s="30"/>
      <c r="C460" s="32"/>
      <c r="D460" s="32"/>
    </row>
    <row r="461">
      <c r="A461" s="30"/>
      <c r="C461" s="32"/>
      <c r="D461" s="32"/>
    </row>
    <row r="462">
      <c r="A462" s="30"/>
      <c r="C462" s="32"/>
      <c r="D462" s="32"/>
    </row>
    <row r="463">
      <c r="A463" s="30"/>
      <c r="C463" s="32"/>
      <c r="D463" s="32"/>
    </row>
    <row r="464">
      <c r="A464" s="30"/>
      <c r="C464" s="32"/>
      <c r="D464" s="32"/>
    </row>
    <row r="465">
      <c r="A465" s="30"/>
      <c r="C465" s="32"/>
      <c r="D465" s="32"/>
    </row>
    <row r="466">
      <c r="A466" s="30"/>
      <c r="C466" s="32"/>
      <c r="D466" s="32"/>
    </row>
    <row r="467">
      <c r="A467" s="30"/>
      <c r="C467" s="32"/>
      <c r="D467" s="32"/>
    </row>
    <row r="468">
      <c r="A468" s="30"/>
      <c r="C468" s="32"/>
      <c r="D468" s="32"/>
    </row>
    <row r="469">
      <c r="A469" s="30"/>
      <c r="C469" s="32"/>
      <c r="D469" s="32"/>
    </row>
    <row r="470">
      <c r="A470" s="30"/>
      <c r="C470" s="32"/>
      <c r="D470" s="32"/>
    </row>
    <row r="471">
      <c r="A471" s="30"/>
      <c r="C471" s="32"/>
      <c r="D471" s="32"/>
    </row>
    <row r="472">
      <c r="A472" s="30"/>
      <c r="C472" s="32"/>
      <c r="D472" s="32"/>
    </row>
    <row r="473">
      <c r="A473" s="30"/>
      <c r="C473" s="32"/>
      <c r="D473" s="32"/>
    </row>
    <row r="474">
      <c r="A474" s="30"/>
      <c r="C474" s="32"/>
      <c r="D474" s="32"/>
    </row>
    <row r="475">
      <c r="A475" s="30"/>
      <c r="C475" s="32"/>
      <c r="D475" s="32"/>
    </row>
    <row r="476">
      <c r="A476" s="30"/>
      <c r="C476" s="32"/>
      <c r="D476" s="32"/>
    </row>
    <row r="477">
      <c r="A477" s="30"/>
      <c r="C477" s="32"/>
      <c r="D477" s="32"/>
    </row>
    <row r="478">
      <c r="A478" s="30"/>
      <c r="C478" s="32"/>
      <c r="D478" s="32"/>
    </row>
    <row r="479">
      <c r="A479" s="30"/>
      <c r="C479" s="32"/>
      <c r="D479" s="32"/>
    </row>
    <row r="480">
      <c r="A480" s="30"/>
      <c r="C480" s="32"/>
      <c r="D480" s="32"/>
    </row>
    <row r="481">
      <c r="A481" s="30"/>
      <c r="C481" s="32"/>
      <c r="D481" s="32"/>
    </row>
    <row r="482">
      <c r="A482" s="30"/>
      <c r="C482" s="32"/>
      <c r="D482" s="32"/>
    </row>
    <row r="483">
      <c r="A483" s="30"/>
      <c r="C483" s="32"/>
      <c r="D483" s="32"/>
    </row>
    <row r="484">
      <c r="A484" s="30"/>
      <c r="C484" s="32"/>
      <c r="D484" s="32"/>
    </row>
    <row r="485">
      <c r="A485" s="30"/>
      <c r="C485" s="32"/>
      <c r="D485" s="32"/>
    </row>
    <row r="486">
      <c r="A486" s="30"/>
      <c r="C486" s="32"/>
      <c r="D486" s="32"/>
    </row>
    <row r="487">
      <c r="A487" s="30"/>
      <c r="C487" s="32"/>
      <c r="D487" s="32"/>
    </row>
    <row r="488">
      <c r="A488" s="30"/>
      <c r="C488" s="32"/>
      <c r="D488" s="32"/>
    </row>
    <row r="489">
      <c r="A489" s="30"/>
      <c r="C489" s="32"/>
      <c r="D489" s="32"/>
    </row>
    <row r="490">
      <c r="A490" s="30"/>
      <c r="C490" s="32"/>
      <c r="D490" s="32"/>
    </row>
    <row r="491">
      <c r="A491" s="30"/>
      <c r="C491" s="32"/>
      <c r="D491" s="32"/>
    </row>
    <row r="492">
      <c r="A492" s="30"/>
      <c r="C492" s="32"/>
      <c r="D492" s="32"/>
    </row>
    <row r="493">
      <c r="A493" s="30"/>
      <c r="C493" s="32"/>
      <c r="D493" s="32"/>
    </row>
    <row r="494">
      <c r="A494" s="30"/>
      <c r="C494" s="32"/>
      <c r="D494" s="32"/>
    </row>
    <row r="495">
      <c r="A495" s="30"/>
      <c r="C495" s="32"/>
      <c r="D495" s="32"/>
    </row>
    <row r="496">
      <c r="A496" s="30"/>
      <c r="C496" s="32"/>
      <c r="D496" s="32"/>
    </row>
    <row r="497">
      <c r="A497" s="30"/>
      <c r="C497" s="32"/>
      <c r="D497" s="32"/>
    </row>
    <row r="498">
      <c r="A498" s="30"/>
      <c r="C498" s="32"/>
      <c r="D498" s="32"/>
    </row>
    <row r="499">
      <c r="A499" s="30"/>
      <c r="C499" s="32"/>
      <c r="D499" s="32"/>
    </row>
    <row r="500">
      <c r="A500" s="30"/>
      <c r="C500" s="32"/>
      <c r="D500" s="32"/>
    </row>
    <row r="501">
      <c r="A501" s="30"/>
      <c r="C501" s="32"/>
      <c r="D501" s="32"/>
    </row>
    <row r="502">
      <c r="A502" s="30"/>
      <c r="C502" s="32"/>
      <c r="D502" s="32"/>
    </row>
    <row r="503">
      <c r="A503" s="30"/>
      <c r="C503" s="32"/>
      <c r="D503" s="32"/>
    </row>
    <row r="504">
      <c r="A504" s="30"/>
      <c r="C504" s="32"/>
      <c r="D504" s="32"/>
    </row>
    <row r="505">
      <c r="A505" s="30"/>
      <c r="C505" s="32"/>
      <c r="D505" s="32"/>
    </row>
    <row r="506">
      <c r="A506" s="30"/>
      <c r="C506" s="32"/>
      <c r="D506" s="32"/>
    </row>
    <row r="507">
      <c r="A507" s="30"/>
      <c r="C507" s="32"/>
      <c r="D507" s="32"/>
    </row>
    <row r="508">
      <c r="A508" s="30"/>
      <c r="C508" s="32"/>
      <c r="D508" s="32"/>
    </row>
    <row r="509">
      <c r="A509" s="30"/>
      <c r="C509" s="32"/>
      <c r="D509" s="32"/>
    </row>
    <row r="510">
      <c r="A510" s="30"/>
      <c r="C510" s="32"/>
      <c r="D510" s="32"/>
    </row>
    <row r="511">
      <c r="A511" s="30"/>
      <c r="C511" s="32"/>
      <c r="D511" s="32"/>
    </row>
    <row r="512">
      <c r="A512" s="30"/>
      <c r="C512" s="32"/>
      <c r="D512" s="32"/>
    </row>
    <row r="513">
      <c r="A513" s="30"/>
      <c r="C513" s="32"/>
      <c r="D513" s="32"/>
    </row>
    <row r="514">
      <c r="A514" s="30"/>
      <c r="C514" s="32"/>
      <c r="D514" s="32"/>
    </row>
    <row r="515">
      <c r="A515" s="30"/>
      <c r="C515" s="32"/>
      <c r="D515" s="32"/>
    </row>
    <row r="516">
      <c r="A516" s="30"/>
      <c r="C516" s="32"/>
      <c r="D516" s="32"/>
    </row>
    <row r="517">
      <c r="A517" s="30"/>
      <c r="C517" s="32"/>
      <c r="D517" s="32"/>
    </row>
    <row r="518">
      <c r="A518" s="30"/>
      <c r="C518" s="32"/>
      <c r="D518" s="32"/>
    </row>
    <row r="519">
      <c r="A519" s="30"/>
      <c r="C519" s="32"/>
      <c r="D519" s="32"/>
    </row>
    <row r="520">
      <c r="A520" s="30"/>
      <c r="C520" s="32"/>
      <c r="D520" s="32"/>
    </row>
    <row r="521">
      <c r="A521" s="30"/>
      <c r="C521" s="32"/>
      <c r="D521" s="32"/>
    </row>
    <row r="522">
      <c r="A522" s="30"/>
      <c r="C522" s="32"/>
      <c r="D522" s="32"/>
    </row>
    <row r="523">
      <c r="A523" s="30"/>
      <c r="C523" s="32"/>
      <c r="D523" s="32"/>
    </row>
    <row r="524">
      <c r="A524" s="30"/>
      <c r="C524" s="32"/>
      <c r="D524" s="32"/>
    </row>
    <row r="525">
      <c r="A525" s="30"/>
      <c r="C525" s="32"/>
      <c r="D525" s="32"/>
    </row>
    <row r="526">
      <c r="A526" s="30"/>
      <c r="C526" s="32"/>
      <c r="D526" s="32"/>
    </row>
    <row r="527">
      <c r="A527" s="30"/>
      <c r="C527" s="32"/>
      <c r="D527" s="32"/>
    </row>
    <row r="528">
      <c r="A528" s="30"/>
      <c r="C528" s="32"/>
      <c r="D528" s="32"/>
    </row>
    <row r="529">
      <c r="A529" s="30"/>
      <c r="C529" s="32"/>
      <c r="D529" s="32"/>
    </row>
    <row r="530">
      <c r="A530" s="30"/>
      <c r="C530" s="32"/>
      <c r="D530" s="32"/>
    </row>
    <row r="531">
      <c r="A531" s="30"/>
      <c r="C531" s="32"/>
      <c r="D531" s="32"/>
    </row>
    <row r="532">
      <c r="A532" s="30"/>
      <c r="C532" s="32"/>
      <c r="D532" s="32"/>
    </row>
    <row r="533">
      <c r="A533" s="30"/>
      <c r="C533" s="32"/>
      <c r="D533" s="32"/>
    </row>
    <row r="534">
      <c r="A534" s="30"/>
      <c r="C534" s="32"/>
      <c r="D534" s="32"/>
    </row>
    <row r="535">
      <c r="A535" s="30"/>
      <c r="C535" s="32"/>
      <c r="D535" s="32"/>
    </row>
    <row r="536">
      <c r="A536" s="30"/>
      <c r="C536" s="32"/>
      <c r="D536" s="32"/>
    </row>
    <row r="537">
      <c r="A537" s="30"/>
      <c r="C537" s="32"/>
      <c r="D537" s="32"/>
    </row>
    <row r="538">
      <c r="A538" s="30"/>
      <c r="C538" s="32"/>
      <c r="D538" s="32"/>
    </row>
    <row r="539">
      <c r="A539" s="30"/>
      <c r="C539" s="32"/>
      <c r="D539" s="32"/>
    </row>
    <row r="540">
      <c r="A540" s="30"/>
      <c r="C540" s="32"/>
      <c r="D540" s="32"/>
    </row>
    <row r="541">
      <c r="A541" s="30"/>
      <c r="C541" s="32"/>
      <c r="D541" s="32"/>
    </row>
    <row r="542">
      <c r="A542" s="30"/>
      <c r="C542" s="32"/>
      <c r="D542" s="32"/>
    </row>
    <row r="543">
      <c r="A543" s="30"/>
      <c r="C543" s="32"/>
      <c r="D543" s="32"/>
    </row>
    <row r="544">
      <c r="A544" s="30"/>
      <c r="C544" s="32"/>
      <c r="D544" s="32"/>
    </row>
    <row r="545">
      <c r="A545" s="30"/>
      <c r="C545" s="32"/>
      <c r="D545" s="32"/>
    </row>
    <row r="546">
      <c r="A546" s="30"/>
      <c r="C546" s="32"/>
      <c r="D546" s="32"/>
    </row>
    <row r="547">
      <c r="A547" s="30"/>
      <c r="C547" s="32"/>
      <c r="D547" s="32"/>
    </row>
    <row r="548">
      <c r="A548" s="30"/>
      <c r="C548" s="32"/>
      <c r="D548" s="32"/>
    </row>
    <row r="549">
      <c r="A549" s="30"/>
      <c r="C549" s="32"/>
      <c r="D549" s="32"/>
    </row>
    <row r="550">
      <c r="A550" s="30"/>
      <c r="C550" s="32"/>
      <c r="D550" s="32"/>
    </row>
    <row r="551">
      <c r="A551" s="30"/>
      <c r="C551" s="32"/>
      <c r="D551" s="32"/>
    </row>
    <row r="552">
      <c r="A552" s="30"/>
      <c r="C552" s="32"/>
      <c r="D552" s="32"/>
    </row>
    <row r="553">
      <c r="A553" s="30"/>
      <c r="C553" s="32"/>
      <c r="D553" s="32"/>
    </row>
    <row r="554">
      <c r="A554" s="30"/>
      <c r="C554" s="32"/>
      <c r="D554" s="32"/>
    </row>
    <row r="555">
      <c r="A555" s="30"/>
      <c r="C555" s="32"/>
      <c r="D555" s="32"/>
    </row>
    <row r="556">
      <c r="A556" s="30"/>
      <c r="C556" s="32"/>
      <c r="D556" s="32"/>
    </row>
    <row r="557">
      <c r="A557" s="30"/>
      <c r="C557" s="32"/>
      <c r="D557" s="32"/>
    </row>
    <row r="558">
      <c r="A558" s="30"/>
      <c r="C558" s="32"/>
      <c r="D558" s="32"/>
    </row>
    <row r="559">
      <c r="A559" s="30"/>
      <c r="C559" s="32"/>
      <c r="D559" s="32"/>
    </row>
    <row r="560">
      <c r="A560" s="30"/>
      <c r="C560" s="32"/>
      <c r="D560" s="32"/>
    </row>
    <row r="561">
      <c r="A561" s="30"/>
      <c r="C561" s="32"/>
      <c r="D561" s="32"/>
    </row>
    <row r="562">
      <c r="A562" s="30"/>
      <c r="C562" s="32"/>
      <c r="D562" s="32"/>
    </row>
    <row r="563">
      <c r="A563" s="30"/>
      <c r="C563" s="32"/>
      <c r="D563" s="32"/>
    </row>
    <row r="564">
      <c r="A564" s="30"/>
      <c r="C564" s="32"/>
      <c r="D564" s="32"/>
    </row>
    <row r="565">
      <c r="A565" s="30"/>
      <c r="C565" s="32"/>
      <c r="D565" s="32"/>
    </row>
    <row r="566">
      <c r="A566" s="30"/>
      <c r="C566" s="32"/>
      <c r="D566" s="32"/>
    </row>
    <row r="567">
      <c r="A567" s="30"/>
      <c r="C567" s="32"/>
      <c r="D567" s="32"/>
    </row>
    <row r="568">
      <c r="A568" s="30"/>
      <c r="C568" s="32"/>
      <c r="D568" s="32"/>
    </row>
    <row r="569">
      <c r="A569" s="30"/>
      <c r="C569" s="32"/>
      <c r="D569" s="32"/>
    </row>
    <row r="570">
      <c r="A570" s="30"/>
      <c r="C570" s="32"/>
      <c r="D570" s="32"/>
    </row>
    <row r="571">
      <c r="A571" s="30"/>
      <c r="C571" s="32"/>
      <c r="D571" s="32"/>
    </row>
    <row r="572">
      <c r="A572" s="30"/>
      <c r="C572" s="32"/>
      <c r="D572" s="32"/>
    </row>
    <row r="573">
      <c r="A573" s="30"/>
      <c r="C573" s="32"/>
      <c r="D573" s="32"/>
    </row>
    <row r="574">
      <c r="A574" s="30"/>
      <c r="C574" s="32"/>
      <c r="D574" s="32"/>
    </row>
    <row r="575">
      <c r="A575" s="30"/>
      <c r="C575" s="32"/>
      <c r="D575" s="32"/>
    </row>
    <row r="576">
      <c r="A576" s="30"/>
      <c r="C576" s="32"/>
      <c r="D576" s="32"/>
    </row>
    <row r="577">
      <c r="A577" s="30"/>
      <c r="C577" s="32"/>
      <c r="D577" s="32"/>
    </row>
    <row r="578">
      <c r="A578" s="30"/>
      <c r="C578" s="32"/>
      <c r="D578" s="32"/>
    </row>
    <row r="579">
      <c r="A579" s="30"/>
      <c r="C579" s="32"/>
      <c r="D579" s="32"/>
    </row>
    <row r="580">
      <c r="A580" s="30"/>
      <c r="C580" s="32"/>
      <c r="D580" s="32"/>
    </row>
    <row r="581">
      <c r="A581" s="30"/>
      <c r="C581" s="32"/>
      <c r="D581" s="32"/>
    </row>
    <row r="582">
      <c r="A582" s="30"/>
      <c r="C582" s="32"/>
      <c r="D582" s="32"/>
    </row>
    <row r="583">
      <c r="A583" s="30"/>
      <c r="C583" s="32"/>
      <c r="D583" s="32"/>
    </row>
    <row r="584">
      <c r="A584" s="30"/>
      <c r="C584" s="32"/>
      <c r="D584" s="32"/>
    </row>
    <row r="585">
      <c r="A585" s="30"/>
      <c r="C585" s="32"/>
      <c r="D585" s="32"/>
    </row>
    <row r="586">
      <c r="A586" s="30"/>
      <c r="C586" s="32"/>
      <c r="D586" s="32"/>
    </row>
    <row r="587">
      <c r="A587" s="30"/>
      <c r="C587" s="32"/>
      <c r="D587" s="32"/>
    </row>
    <row r="588">
      <c r="A588" s="30"/>
      <c r="C588" s="32"/>
      <c r="D588" s="32"/>
    </row>
    <row r="589">
      <c r="A589" s="30"/>
      <c r="C589" s="32"/>
      <c r="D589" s="32"/>
    </row>
    <row r="590">
      <c r="A590" s="30"/>
      <c r="C590" s="32"/>
      <c r="D590" s="32"/>
    </row>
    <row r="591">
      <c r="A591" s="30"/>
      <c r="C591" s="32"/>
      <c r="D591" s="32"/>
    </row>
    <row r="592">
      <c r="A592" s="30"/>
      <c r="C592" s="32"/>
      <c r="D592" s="32"/>
    </row>
    <row r="593">
      <c r="A593" s="30"/>
      <c r="C593" s="32"/>
      <c r="D593" s="32"/>
    </row>
    <row r="594">
      <c r="A594" s="30"/>
      <c r="C594" s="32"/>
      <c r="D594" s="32"/>
    </row>
    <row r="595">
      <c r="A595" s="30"/>
      <c r="C595" s="32"/>
      <c r="D595" s="32"/>
    </row>
    <row r="596">
      <c r="A596" s="30"/>
      <c r="C596" s="32"/>
      <c r="D596" s="32"/>
    </row>
    <row r="597">
      <c r="A597" s="30"/>
      <c r="C597" s="32"/>
      <c r="D597" s="32"/>
    </row>
    <row r="598">
      <c r="A598" s="30"/>
      <c r="C598" s="32"/>
      <c r="D598" s="32"/>
    </row>
    <row r="599">
      <c r="A599" s="30"/>
      <c r="C599" s="32"/>
      <c r="D599" s="32"/>
    </row>
    <row r="600">
      <c r="A600" s="30"/>
      <c r="C600" s="32"/>
      <c r="D600" s="32"/>
    </row>
    <row r="601">
      <c r="A601" s="30"/>
      <c r="C601" s="32"/>
      <c r="D601" s="32"/>
    </row>
    <row r="602">
      <c r="A602" s="30"/>
      <c r="C602" s="32"/>
      <c r="D602" s="32"/>
    </row>
    <row r="603">
      <c r="A603" s="30"/>
      <c r="C603" s="32"/>
      <c r="D603" s="32"/>
    </row>
    <row r="604">
      <c r="A604" s="30"/>
      <c r="C604" s="32"/>
      <c r="D604" s="32"/>
    </row>
    <row r="605">
      <c r="A605" s="30"/>
      <c r="C605" s="32"/>
      <c r="D605" s="32"/>
    </row>
    <row r="606">
      <c r="A606" s="30"/>
      <c r="C606" s="32"/>
      <c r="D606" s="32"/>
    </row>
    <row r="607">
      <c r="A607" s="30"/>
      <c r="C607" s="32"/>
      <c r="D607" s="32"/>
    </row>
    <row r="608">
      <c r="A608" s="30"/>
      <c r="C608" s="32"/>
      <c r="D608" s="32"/>
    </row>
    <row r="609">
      <c r="A609" s="30"/>
      <c r="C609" s="32"/>
      <c r="D609" s="32"/>
    </row>
    <row r="610">
      <c r="A610" s="30"/>
      <c r="C610" s="32"/>
      <c r="D610" s="32"/>
    </row>
    <row r="611">
      <c r="A611" s="30"/>
      <c r="C611" s="32"/>
      <c r="D611" s="32"/>
    </row>
    <row r="612">
      <c r="A612" s="30"/>
      <c r="C612" s="32"/>
      <c r="D612" s="32"/>
    </row>
    <row r="613">
      <c r="A613" s="30"/>
      <c r="C613" s="32"/>
      <c r="D613" s="32"/>
    </row>
    <row r="614">
      <c r="A614" s="30"/>
      <c r="C614" s="32"/>
      <c r="D614" s="32"/>
    </row>
    <row r="615">
      <c r="A615" s="30"/>
      <c r="C615" s="32"/>
      <c r="D615" s="32"/>
    </row>
    <row r="616">
      <c r="A616" s="30"/>
      <c r="C616" s="32"/>
      <c r="D616" s="32"/>
    </row>
    <row r="617">
      <c r="A617" s="30"/>
      <c r="C617" s="32"/>
      <c r="D617" s="32"/>
    </row>
    <row r="618">
      <c r="A618" s="30"/>
      <c r="C618" s="32"/>
      <c r="D618" s="32"/>
    </row>
    <row r="619">
      <c r="A619" s="30"/>
      <c r="C619" s="32"/>
      <c r="D619" s="32"/>
    </row>
    <row r="620">
      <c r="A620" s="30"/>
      <c r="C620" s="32"/>
      <c r="D620" s="32"/>
    </row>
    <row r="621">
      <c r="A621" s="30"/>
      <c r="C621" s="32"/>
      <c r="D621" s="32"/>
    </row>
    <row r="622">
      <c r="A622" s="30"/>
      <c r="C622" s="32"/>
      <c r="D622" s="32"/>
    </row>
    <row r="623">
      <c r="A623" s="30"/>
      <c r="C623" s="32"/>
      <c r="D623" s="32"/>
    </row>
    <row r="624">
      <c r="A624" s="30"/>
      <c r="C624" s="32"/>
      <c r="D624" s="32"/>
    </row>
    <row r="625">
      <c r="A625" s="30"/>
      <c r="C625" s="32"/>
      <c r="D625" s="32"/>
    </row>
    <row r="626">
      <c r="A626" s="30"/>
      <c r="C626" s="32"/>
      <c r="D626" s="32"/>
    </row>
    <row r="627">
      <c r="A627" s="30"/>
      <c r="C627" s="32"/>
      <c r="D627" s="32"/>
    </row>
    <row r="628">
      <c r="A628" s="30"/>
      <c r="C628" s="32"/>
      <c r="D628" s="32"/>
    </row>
    <row r="629">
      <c r="A629" s="30"/>
      <c r="C629" s="32"/>
      <c r="D629" s="32"/>
    </row>
    <row r="630">
      <c r="A630" s="30"/>
      <c r="C630" s="32"/>
      <c r="D630" s="32"/>
    </row>
    <row r="631">
      <c r="A631" s="30"/>
      <c r="C631" s="32"/>
      <c r="D631" s="32"/>
    </row>
    <row r="632">
      <c r="A632" s="30"/>
      <c r="C632" s="32"/>
      <c r="D632" s="32"/>
    </row>
    <row r="633">
      <c r="A633" s="30"/>
      <c r="C633" s="32"/>
      <c r="D633" s="32"/>
    </row>
    <row r="634">
      <c r="A634" s="30"/>
      <c r="C634" s="32"/>
      <c r="D634" s="32"/>
    </row>
    <row r="635">
      <c r="A635" s="30"/>
      <c r="C635" s="32"/>
      <c r="D635" s="32"/>
    </row>
    <row r="636">
      <c r="A636" s="30"/>
      <c r="C636" s="32"/>
      <c r="D636" s="32"/>
    </row>
    <row r="637">
      <c r="A637" s="30"/>
      <c r="C637" s="32"/>
      <c r="D637" s="32"/>
    </row>
    <row r="638">
      <c r="A638" s="30"/>
      <c r="C638" s="32"/>
      <c r="D638" s="32"/>
    </row>
    <row r="639">
      <c r="A639" s="30"/>
      <c r="C639" s="32"/>
      <c r="D639" s="32"/>
    </row>
    <row r="640">
      <c r="A640" s="30"/>
      <c r="C640" s="32"/>
      <c r="D640" s="32"/>
    </row>
    <row r="641">
      <c r="A641" s="30"/>
      <c r="C641" s="32"/>
      <c r="D641" s="32"/>
    </row>
    <row r="642">
      <c r="A642" s="30"/>
      <c r="C642" s="32"/>
      <c r="D642" s="32"/>
    </row>
    <row r="643">
      <c r="A643" s="30"/>
      <c r="C643" s="32"/>
      <c r="D643" s="32"/>
    </row>
    <row r="644">
      <c r="A644" s="30"/>
      <c r="C644" s="32"/>
      <c r="D644" s="32"/>
    </row>
    <row r="645">
      <c r="A645" s="30"/>
      <c r="C645" s="32"/>
      <c r="D645" s="32"/>
    </row>
    <row r="646">
      <c r="A646" s="30"/>
      <c r="C646" s="32"/>
      <c r="D646" s="32"/>
    </row>
    <row r="647">
      <c r="A647" s="30"/>
      <c r="C647" s="32"/>
      <c r="D647" s="32"/>
    </row>
    <row r="648">
      <c r="A648" s="30"/>
      <c r="C648" s="32"/>
      <c r="D648" s="32"/>
    </row>
    <row r="649">
      <c r="A649" s="30"/>
      <c r="C649" s="32"/>
      <c r="D649" s="32"/>
    </row>
    <row r="650">
      <c r="A650" s="30"/>
      <c r="C650" s="32"/>
      <c r="D650" s="32"/>
    </row>
    <row r="651">
      <c r="A651" s="30"/>
      <c r="C651" s="32"/>
      <c r="D651" s="32"/>
    </row>
    <row r="652">
      <c r="A652" s="30"/>
      <c r="C652" s="32"/>
      <c r="D652" s="32"/>
    </row>
    <row r="653">
      <c r="A653" s="30"/>
      <c r="C653" s="32"/>
      <c r="D653" s="32"/>
    </row>
    <row r="654">
      <c r="A654" s="30"/>
      <c r="C654" s="32"/>
      <c r="D654" s="32"/>
    </row>
    <row r="655">
      <c r="A655" s="30"/>
      <c r="C655" s="32"/>
      <c r="D655" s="32"/>
    </row>
    <row r="656">
      <c r="A656" s="30"/>
      <c r="C656" s="32"/>
      <c r="D656" s="32"/>
    </row>
    <row r="657">
      <c r="A657" s="30"/>
      <c r="C657" s="32"/>
      <c r="D657" s="32"/>
    </row>
    <row r="658">
      <c r="A658" s="30"/>
      <c r="C658" s="32"/>
      <c r="D658" s="32"/>
    </row>
    <row r="659">
      <c r="A659" s="30"/>
      <c r="C659" s="32"/>
      <c r="D659" s="32"/>
    </row>
    <row r="660">
      <c r="A660" s="30"/>
      <c r="C660" s="32"/>
      <c r="D660" s="32"/>
    </row>
    <row r="661">
      <c r="A661" s="30"/>
      <c r="C661" s="32"/>
      <c r="D661" s="32"/>
    </row>
    <row r="662">
      <c r="A662" s="30"/>
      <c r="C662" s="32"/>
      <c r="D662" s="32"/>
    </row>
    <row r="663">
      <c r="A663" s="30"/>
      <c r="C663" s="32"/>
      <c r="D663" s="32"/>
    </row>
    <row r="664">
      <c r="A664" s="30"/>
      <c r="C664" s="32"/>
      <c r="D664" s="32"/>
    </row>
    <row r="665">
      <c r="A665" s="30"/>
      <c r="C665" s="32"/>
      <c r="D665" s="32"/>
    </row>
    <row r="666">
      <c r="A666" s="30"/>
      <c r="C666" s="32"/>
      <c r="D666" s="32"/>
    </row>
    <row r="667">
      <c r="A667" s="30"/>
      <c r="C667" s="32"/>
      <c r="D667" s="32"/>
    </row>
    <row r="668">
      <c r="A668" s="30"/>
      <c r="C668" s="32"/>
      <c r="D668" s="32"/>
    </row>
    <row r="669">
      <c r="A669" s="30"/>
      <c r="C669" s="32"/>
      <c r="D669" s="32"/>
    </row>
    <row r="670">
      <c r="A670" s="30"/>
      <c r="C670" s="32"/>
      <c r="D670" s="32"/>
    </row>
    <row r="671">
      <c r="A671" s="30"/>
      <c r="C671" s="32"/>
      <c r="D671" s="32"/>
    </row>
    <row r="672">
      <c r="A672" s="30"/>
      <c r="C672" s="32"/>
      <c r="D672" s="32"/>
    </row>
    <row r="673">
      <c r="A673" s="30"/>
      <c r="C673" s="32"/>
      <c r="D673" s="32"/>
    </row>
    <row r="674">
      <c r="A674" s="30"/>
      <c r="C674" s="32"/>
      <c r="D674" s="32"/>
    </row>
    <row r="675">
      <c r="A675" s="30"/>
      <c r="C675" s="32"/>
      <c r="D675" s="32"/>
    </row>
    <row r="676">
      <c r="A676" s="30"/>
      <c r="C676" s="32"/>
      <c r="D676" s="32"/>
    </row>
    <row r="677">
      <c r="A677" s="30"/>
      <c r="C677" s="32"/>
      <c r="D677" s="32"/>
    </row>
    <row r="678">
      <c r="A678" s="30"/>
      <c r="C678" s="32"/>
      <c r="D678" s="32"/>
    </row>
    <row r="679">
      <c r="A679" s="30"/>
      <c r="C679" s="32"/>
      <c r="D679" s="32"/>
    </row>
    <row r="680">
      <c r="A680" s="30"/>
      <c r="C680" s="32"/>
      <c r="D680" s="32"/>
    </row>
    <row r="681">
      <c r="A681" s="30"/>
      <c r="C681" s="32"/>
      <c r="D681" s="32"/>
    </row>
    <row r="682">
      <c r="A682" s="30"/>
      <c r="C682" s="32"/>
      <c r="D682" s="32"/>
    </row>
    <row r="683">
      <c r="A683" s="30"/>
      <c r="C683" s="32"/>
      <c r="D683" s="32"/>
    </row>
    <row r="684">
      <c r="A684" s="30"/>
      <c r="C684" s="32"/>
      <c r="D684" s="32"/>
    </row>
    <row r="685">
      <c r="A685" s="30"/>
      <c r="C685" s="32"/>
      <c r="D685" s="32"/>
    </row>
    <row r="686">
      <c r="A686" s="30"/>
      <c r="C686" s="32"/>
      <c r="D686" s="32"/>
    </row>
    <row r="687">
      <c r="A687" s="30"/>
      <c r="C687" s="32"/>
      <c r="D687" s="32"/>
    </row>
    <row r="688">
      <c r="A688" s="30"/>
      <c r="C688" s="32"/>
      <c r="D688" s="32"/>
    </row>
    <row r="689">
      <c r="A689" s="30"/>
      <c r="C689" s="32"/>
      <c r="D689" s="32"/>
    </row>
    <row r="690">
      <c r="A690" s="30"/>
      <c r="C690" s="32"/>
      <c r="D690" s="32"/>
    </row>
    <row r="691">
      <c r="A691" s="30"/>
      <c r="C691" s="32"/>
      <c r="D691" s="32"/>
    </row>
    <row r="692">
      <c r="A692" s="30"/>
      <c r="C692" s="32"/>
      <c r="D692" s="32"/>
    </row>
    <row r="693">
      <c r="A693" s="30"/>
      <c r="C693" s="32"/>
      <c r="D693" s="32"/>
    </row>
    <row r="694">
      <c r="A694" s="30"/>
      <c r="C694" s="32"/>
      <c r="D694" s="32"/>
    </row>
    <row r="695">
      <c r="A695" s="30"/>
      <c r="C695" s="32"/>
      <c r="D695" s="32"/>
    </row>
    <row r="696">
      <c r="A696" s="30"/>
      <c r="C696" s="32"/>
      <c r="D696" s="32"/>
    </row>
    <row r="697">
      <c r="A697" s="30"/>
      <c r="C697" s="32"/>
      <c r="D697" s="32"/>
    </row>
    <row r="698">
      <c r="A698" s="30"/>
      <c r="C698" s="32"/>
      <c r="D698" s="32"/>
    </row>
    <row r="699">
      <c r="A699" s="30"/>
      <c r="C699" s="32"/>
      <c r="D699" s="32"/>
    </row>
    <row r="700">
      <c r="A700" s="30"/>
      <c r="C700" s="32"/>
      <c r="D700" s="32"/>
    </row>
    <row r="701">
      <c r="A701" s="30"/>
      <c r="C701" s="32"/>
      <c r="D701" s="32"/>
    </row>
    <row r="702">
      <c r="A702" s="30"/>
      <c r="C702" s="32"/>
      <c r="D702" s="32"/>
    </row>
    <row r="703">
      <c r="A703" s="30"/>
      <c r="C703" s="32"/>
      <c r="D703" s="32"/>
    </row>
    <row r="704">
      <c r="A704" s="30"/>
      <c r="C704" s="32"/>
      <c r="D704" s="32"/>
    </row>
    <row r="705">
      <c r="A705" s="30"/>
      <c r="C705" s="32"/>
      <c r="D705" s="32"/>
    </row>
    <row r="706">
      <c r="A706" s="30"/>
      <c r="C706" s="32"/>
      <c r="D706" s="32"/>
    </row>
    <row r="707">
      <c r="A707" s="30"/>
      <c r="C707" s="32"/>
      <c r="D707" s="32"/>
    </row>
    <row r="708">
      <c r="A708" s="30"/>
      <c r="C708" s="32"/>
      <c r="D708" s="32"/>
    </row>
    <row r="709">
      <c r="A709" s="30"/>
      <c r="C709" s="32"/>
      <c r="D709" s="32"/>
    </row>
    <row r="710">
      <c r="A710" s="30"/>
      <c r="C710" s="32"/>
      <c r="D710" s="32"/>
    </row>
    <row r="711">
      <c r="A711" s="30"/>
      <c r="C711" s="32"/>
      <c r="D711" s="32"/>
    </row>
    <row r="712">
      <c r="A712" s="30"/>
      <c r="C712" s="32"/>
      <c r="D712" s="32"/>
    </row>
    <row r="713">
      <c r="A713" s="30"/>
      <c r="C713" s="32"/>
      <c r="D713" s="32"/>
    </row>
    <row r="714">
      <c r="A714" s="30"/>
      <c r="C714" s="32"/>
      <c r="D714" s="32"/>
    </row>
    <row r="715">
      <c r="A715" s="30"/>
      <c r="C715" s="32"/>
      <c r="D715" s="32"/>
    </row>
    <row r="716">
      <c r="A716" s="30"/>
      <c r="C716" s="32"/>
      <c r="D716" s="32"/>
    </row>
    <row r="717">
      <c r="A717" s="30"/>
      <c r="C717" s="32"/>
      <c r="D717" s="32"/>
    </row>
    <row r="718">
      <c r="A718" s="30"/>
      <c r="C718" s="32"/>
      <c r="D718" s="32"/>
    </row>
    <row r="719">
      <c r="A719" s="30"/>
      <c r="C719" s="32"/>
      <c r="D719" s="32"/>
    </row>
    <row r="720">
      <c r="A720" s="30"/>
      <c r="C720" s="32"/>
      <c r="D720" s="32"/>
    </row>
    <row r="721">
      <c r="A721" s="30"/>
      <c r="C721" s="32"/>
      <c r="D721" s="32"/>
    </row>
    <row r="722">
      <c r="A722" s="30"/>
      <c r="C722" s="32"/>
      <c r="D722" s="32"/>
    </row>
    <row r="723">
      <c r="A723" s="30"/>
      <c r="C723" s="32"/>
      <c r="D723" s="32"/>
    </row>
    <row r="724">
      <c r="A724" s="30"/>
      <c r="C724" s="32"/>
      <c r="D724" s="32"/>
    </row>
    <row r="725">
      <c r="A725" s="30"/>
      <c r="C725" s="32"/>
      <c r="D725" s="32"/>
    </row>
    <row r="726">
      <c r="A726" s="30"/>
      <c r="C726" s="32"/>
      <c r="D726" s="32"/>
    </row>
    <row r="727">
      <c r="A727" s="30"/>
      <c r="C727" s="32"/>
      <c r="D727" s="32"/>
    </row>
    <row r="728">
      <c r="A728" s="30"/>
      <c r="C728" s="32"/>
      <c r="D728" s="32"/>
    </row>
    <row r="729">
      <c r="A729" s="30"/>
      <c r="C729" s="32"/>
      <c r="D729" s="32"/>
    </row>
    <row r="730">
      <c r="A730" s="30"/>
      <c r="C730" s="32"/>
      <c r="D730" s="32"/>
    </row>
    <row r="731">
      <c r="A731" s="30"/>
      <c r="C731" s="32"/>
      <c r="D731" s="32"/>
    </row>
    <row r="732">
      <c r="A732" s="30"/>
      <c r="C732" s="32"/>
      <c r="D732" s="32"/>
    </row>
    <row r="733">
      <c r="A733" s="30"/>
      <c r="C733" s="32"/>
      <c r="D733" s="32"/>
    </row>
    <row r="734">
      <c r="A734" s="30"/>
      <c r="C734" s="32"/>
      <c r="D734" s="32"/>
    </row>
    <row r="735">
      <c r="A735" s="30"/>
      <c r="C735" s="32"/>
      <c r="D735" s="32"/>
    </row>
    <row r="736">
      <c r="A736" s="30"/>
      <c r="C736" s="32"/>
      <c r="D736" s="32"/>
    </row>
    <row r="737">
      <c r="A737" s="30"/>
      <c r="C737" s="32"/>
      <c r="D737" s="32"/>
    </row>
    <row r="738">
      <c r="A738" s="30"/>
      <c r="C738" s="32"/>
      <c r="D738" s="32"/>
    </row>
    <row r="739">
      <c r="A739" s="30"/>
      <c r="C739" s="32"/>
      <c r="D739" s="32"/>
    </row>
    <row r="740">
      <c r="A740" s="30"/>
      <c r="C740" s="32"/>
      <c r="D740" s="32"/>
    </row>
    <row r="741">
      <c r="A741" s="30"/>
      <c r="C741" s="32"/>
      <c r="D741" s="32"/>
    </row>
    <row r="742">
      <c r="A742" s="30"/>
      <c r="C742" s="32"/>
      <c r="D742" s="32"/>
    </row>
    <row r="743">
      <c r="A743" s="30"/>
      <c r="C743" s="32"/>
      <c r="D743" s="32"/>
    </row>
    <row r="744">
      <c r="A744" s="30"/>
      <c r="C744" s="32"/>
      <c r="D744" s="32"/>
    </row>
    <row r="745">
      <c r="A745" s="30"/>
      <c r="C745" s="32"/>
      <c r="D745" s="32"/>
    </row>
    <row r="746">
      <c r="A746" s="30"/>
      <c r="C746" s="32"/>
      <c r="D746" s="32"/>
    </row>
    <row r="747">
      <c r="A747" s="30"/>
      <c r="C747" s="32"/>
      <c r="D747" s="32"/>
    </row>
    <row r="748">
      <c r="A748" s="30"/>
      <c r="C748" s="32"/>
      <c r="D748" s="32"/>
    </row>
    <row r="749">
      <c r="A749" s="30"/>
      <c r="C749" s="32"/>
      <c r="D749" s="32"/>
    </row>
    <row r="750">
      <c r="A750" s="30"/>
      <c r="C750" s="32"/>
      <c r="D750" s="32"/>
    </row>
    <row r="751">
      <c r="A751" s="30"/>
      <c r="C751" s="32"/>
      <c r="D751" s="32"/>
    </row>
    <row r="752">
      <c r="A752" s="30"/>
      <c r="C752" s="32"/>
      <c r="D752" s="32"/>
    </row>
    <row r="753">
      <c r="A753" s="30"/>
      <c r="C753" s="32"/>
      <c r="D753" s="32"/>
    </row>
    <row r="754">
      <c r="A754" s="30"/>
      <c r="C754" s="32"/>
      <c r="D754" s="32"/>
    </row>
    <row r="755">
      <c r="A755" s="30"/>
      <c r="C755" s="32"/>
      <c r="D755" s="32"/>
    </row>
    <row r="756">
      <c r="A756" s="30"/>
      <c r="C756" s="32"/>
      <c r="D756" s="32"/>
    </row>
    <row r="757">
      <c r="A757" s="30"/>
      <c r="C757" s="32"/>
      <c r="D757" s="32"/>
    </row>
    <row r="758">
      <c r="A758" s="30"/>
      <c r="C758" s="32"/>
      <c r="D758" s="32"/>
    </row>
    <row r="759">
      <c r="A759" s="30"/>
      <c r="C759" s="32"/>
      <c r="D759" s="32"/>
    </row>
    <row r="760">
      <c r="A760" s="30"/>
      <c r="C760" s="32"/>
      <c r="D760" s="32"/>
    </row>
    <row r="761">
      <c r="A761" s="30"/>
      <c r="C761" s="32"/>
      <c r="D761" s="32"/>
    </row>
    <row r="762">
      <c r="A762" s="30"/>
      <c r="C762" s="32"/>
      <c r="D762" s="32"/>
    </row>
    <row r="763">
      <c r="A763" s="30"/>
      <c r="C763" s="32"/>
      <c r="D763" s="32"/>
    </row>
    <row r="764">
      <c r="A764" s="30"/>
      <c r="C764" s="32"/>
      <c r="D764" s="32"/>
    </row>
    <row r="765">
      <c r="A765" s="30"/>
      <c r="C765" s="32"/>
      <c r="D765" s="32"/>
    </row>
    <row r="766">
      <c r="A766" s="30"/>
      <c r="C766" s="32"/>
      <c r="D766" s="32"/>
    </row>
    <row r="767">
      <c r="A767" s="30"/>
      <c r="C767" s="32"/>
      <c r="D767" s="32"/>
    </row>
    <row r="768">
      <c r="A768" s="30"/>
      <c r="C768" s="32"/>
      <c r="D768" s="32"/>
    </row>
    <row r="769">
      <c r="A769" s="30"/>
      <c r="C769" s="32"/>
      <c r="D769" s="32"/>
    </row>
    <row r="770">
      <c r="A770" s="30"/>
      <c r="C770" s="32"/>
      <c r="D770" s="32"/>
    </row>
    <row r="771">
      <c r="A771" s="30"/>
      <c r="C771" s="32"/>
      <c r="D771" s="32"/>
    </row>
    <row r="772">
      <c r="A772" s="30"/>
      <c r="C772" s="32"/>
      <c r="D772" s="32"/>
    </row>
    <row r="773">
      <c r="A773" s="30"/>
      <c r="C773" s="32"/>
      <c r="D773" s="32"/>
    </row>
    <row r="774">
      <c r="A774" s="30"/>
      <c r="C774" s="32"/>
      <c r="D774" s="32"/>
    </row>
    <row r="775">
      <c r="A775" s="30"/>
      <c r="C775" s="32"/>
      <c r="D775" s="32"/>
    </row>
    <row r="776">
      <c r="A776" s="30"/>
      <c r="C776" s="32"/>
      <c r="D776" s="32"/>
    </row>
    <row r="777">
      <c r="A777" s="30"/>
      <c r="C777" s="32"/>
      <c r="D777" s="32"/>
    </row>
    <row r="778">
      <c r="A778" s="30"/>
      <c r="C778" s="32"/>
      <c r="D778" s="32"/>
    </row>
    <row r="779">
      <c r="A779" s="30"/>
      <c r="C779" s="32"/>
      <c r="D779" s="32"/>
    </row>
    <row r="780">
      <c r="A780" s="30"/>
      <c r="C780" s="32"/>
      <c r="D780" s="32"/>
    </row>
    <row r="781">
      <c r="A781" s="30"/>
      <c r="C781" s="32"/>
      <c r="D781" s="32"/>
    </row>
    <row r="782">
      <c r="A782" s="30"/>
      <c r="C782" s="32"/>
      <c r="D782" s="32"/>
    </row>
    <row r="783">
      <c r="A783" s="30"/>
      <c r="C783" s="32"/>
      <c r="D783" s="32"/>
    </row>
    <row r="784">
      <c r="A784" s="30"/>
      <c r="C784" s="32"/>
      <c r="D784" s="32"/>
    </row>
    <row r="785">
      <c r="A785" s="30"/>
      <c r="C785" s="32"/>
      <c r="D785" s="32"/>
    </row>
    <row r="786">
      <c r="A786" s="30"/>
      <c r="C786" s="32"/>
      <c r="D786" s="32"/>
    </row>
    <row r="787">
      <c r="A787" s="30"/>
      <c r="C787" s="32"/>
      <c r="D787" s="32"/>
    </row>
    <row r="788">
      <c r="A788" s="30"/>
      <c r="C788" s="32"/>
      <c r="D788" s="32"/>
    </row>
    <row r="789">
      <c r="A789" s="30"/>
      <c r="C789" s="32"/>
      <c r="D789" s="32"/>
    </row>
    <row r="790">
      <c r="A790" s="30"/>
      <c r="C790" s="32"/>
      <c r="D790" s="32"/>
    </row>
    <row r="791">
      <c r="A791" s="30"/>
      <c r="C791" s="32"/>
      <c r="D791" s="32"/>
    </row>
    <row r="792">
      <c r="A792" s="30"/>
      <c r="C792" s="32"/>
      <c r="D792" s="32"/>
    </row>
    <row r="793">
      <c r="A793" s="30"/>
      <c r="C793" s="32"/>
      <c r="D793" s="32"/>
    </row>
    <row r="794">
      <c r="A794" s="30"/>
      <c r="C794" s="32"/>
      <c r="D794" s="32"/>
    </row>
    <row r="795">
      <c r="A795" s="30"/>
      <c r="C795" s="32"/>
      <c r="D795" s="32"/>
    </row>
    <row r="796">
      <c r="A796" s="30"/>
      <c r="C796" s="32"/>
      <c r="D796" s="32"/>
    </row>
    <row r="797">
      <c r="A797" s="30"/>
      <c r="C797" s="32"/>
      <c r="D797" s="32"/>
    </row>
    <row r="798">
      <c r="A798" s="30"/>
      <c r="C798" s="32"/>
      <c r="D798" s="32"/>
    </row>
    <row r="799">
      <c r="A799" s="30"/>
      <c r="C799" s="32"/>
      <c r="D799" s="32"/>
    </row>
    <row r="800">
      <c r="A800" s="30"/>
      <c r="C800" s="32"/>
      <c r="D800" s="32"/>
    </row>
    <row r="801">
      <c r="A801" s="30"/>
      <c r="C801" s="32"/>
      <c r="D801" s="32"/>
    </row>
    <row r="802">
      <c r="A802" s="30"/>
      <c r="C802" s="32"/>
      <c r="D802" s="32"/>
    </row>
    <row r="803">
      <c r="A803" s="30"/>
      <c r="C803" s="32"/>
      <c r="D803" s="32"/>
    </row>
    <row r="804">
      <c r="A804" s="30"/>
      <c r="C804" s="32"/>
      <c r="D804" s="32"/>
    </row>
    <row r="805">
      <c r="A805" s="30"/>
      <c r="C805" s="32"/>
      <c r="D805" s="32"/>
    </row>
    <row r="806">
      <c r="A806" s="30"/>
      <c r="C806" s="32"/>
      <c r="D806" s="32"/>
    </row>
    <row r="807">
      <c r="A807" s="30"/>
      <c r="C807" s="32"/>
      <c r="D807" s="32"/>
    </row>
    <row r="808">
      <c r="A808" s="30"/>
      <c r="C808" s="32"/>
      <c r="D808" s="32"/>
    </row>
    <row r="809">
      <c r="A809" s="30"/>
      <c r="C809" s="32"/>
      <c r="D809" s="32"/>
    </row>
    <row r="810">
      <c r="A810" s="30"/>
      <c r="C810" s="32"/>
      <c r="D810" s="32"/>
    </row>
    <row r="811">
      <c r="A811" s="30"/>
      <c r="C811" s="32"/>
      <c r="D811" s="32"/>
    </row>
    <row r="812">
      <c r="A812" s="30"/>
      <c r="C812" s="32"/>
      <c r="D812" s="32"/>
    </row>
    <row r="813">
      <c r="A813" s="30"/>
      <c r="C813" s="32"/>
      <c r="D813" s="32"/>
    </row>
    <row r="814">
      <c r="A814" s="30"/>
      <c r="C814" s="32"/>
      <c r="D814" s="32"/>
    </row>
    <row r="815">
      <c r="A815" s="30"/>
      <c r="C815" s="32"/>
      <c r="D815" s="32"/>
    </row>
    <row r="816">
      <c r="A816" s="30"/>
      <c r="C816" s="32"/>
      <c r="D816" s="32"/>
    </row>
    <row r="817">
      <c r="A817" s="30"/>
      <c r="C817" s="32"/>
      <c r="D817" s="32"/>
    </row>
    <row r="818">
      <c r="A818" s="30"/>
      <c r="C818" s="32"/>
      <c r="D818" s="32"/>
    </row>
    <row r="819">
      <c r="A819" s="30"/>
      <c r="C819" s="32"/>
      <c r="D819" s="32"/>
    </row>
    <row r="820">
      <c r="A820" s="30"/>
      <c r="C820" s="32"/>
      <c r="D820" s="32"/>
    </row>
    <row r="821">
      <c r="A821" s="30"/>
      <c r="C821" s="32"/>
      <c r="D821" s="32"/>
    </row>
    <row r="822">
      <c r="A822" s="30"/>
      <c r="C822" s="32"/>
      <c r="D822" s="32"/>
    </row>
    <row r="823">
      <c r="A823" s="30"/>
      <c r="C823" s="32"/>
      <c r="D823" s="32"/>
    </row>
    <row r="824">
      <c r="A824" s="30"/>
      <c r="C824" s="32"/>
      <c r="D824" s="32"/>
    </row>
    <row r="825">
      <c r="A825" s="30"/>
      <c r="C825" s="32"/>
      <c r="D825" s="32"/>
    </row>
    <row r="826">
      <c r="A826" s="30"/>
      <c r="C826" s="32"/>
      <c r="D826" s="32"/>
    </row>
    <row r="827">
      <c r="A827" s="30"/>
      <c r="C827" s="32"/>
      <c r="D827" s="32"/>
    </row>
    <row r="828">
      <c r="A828" s="30"/>
      <c r="C828" s="32"/>
      <c r="D828" s="32"/>
    </row>
    <row r="829">
      <c r="A829" s="30"/>
      <c r="C829" s="32"/>
      <c r="D829" s="32"/>
    </row>
    <row r="830">
      <c r="A830" s="30"/>
      <c r="C830" s="32"/>
      <c r="D830" s="32"/>
    </row>
    <row r="831">
      <c r="A831" s="30"/>
      <c r="C831" s="32"/>
      <c r="D831" s="32"/>
    </row>
    <row r="832">
      <c r="A832" s="30"/>
      <c r="C832" s="32"/>
      <c r="D832" s="32"/>
    </row>
    <row r="833">
      <c r="A833" s="30"/>
      <c r="C833" s="32"/>
      <c r="D833" s="32"/>
    </row>
    <row r="834">
      <c r="A834" s="30"/>
      <c r="C834" s="32"/>
      <c r="D834" s="32"/>
    </row>
    <row r="835">
      <c r="A835" s="30"/>
      <c r="C835" s="32"/>
      <c r="D835" s="32"/>
    </row>
    <row r="836">
      <c r="A836" s="30"/>
      <c r="C836" s="32"/>
      <c r="D836" s="32"/>
    </row>
    <row r="837">
      <c r="A837" s="30"/>
      <c r="C837" s="32"/>
      <c r="D837" s="32"/>
    </row>
    <row r="838">
      <c r="A838" s="30"/>
      <c r="C838" s="32"/>
      <c r="D838" s="32"/>
    </row>
    <row r="839">
      <c r="A839" s="30"/>
      <c r="C839" s="32"/>
      <c r="D839" s="32"/>
    </row>
    <row r="840">
      <c r="A840" s="30"/>
      <c r="C840" s="32"/>
      <c r="D840" s="32"/>
    </row>
    <row r="841">
      <c r="A841" s="30"/>
      <c r="C841" s="32"/>
      <c r="D841" s="32"/>
    </row>
    <row r="842">
      <c r="A842" s="30"/>
      <c r="C842" s="32"/>
      <c r="D842" s="32"/>
    </row>
    <row r="843">
      <c r="A843" s="30"/>
      <c r="C843" s="32"/>
      <c r="D843" s="32"/>
    </row>
    <row r="844">
      <c r="A844" s="30"/>
      <c r="C844" s="32"/>
      <c r="D844" s="32"/>
    </row>
    <row r="845">
      <c r="A845" s="30"/>
      <c r="C845" s="32"/>
      <c r="D845" s="32"/>
    </row>
    <row r="846">
      <c r="A846" s="30"/>
      <c r="C846" s="32"/>
      <c r="D846" s="32"/>
    </row>
    <row r="847">
      <c r="A847" s="30"/>
      <c r="C847" s="32"/>
      <c r="D847" s="32"/>
    </row>
    <row r="848">
      <c r="A848" s="30"/>
      <c r="C848" s="32"/>
      <c r="D848" s="32"/>
    </row>
    <row r="849">
      <c r="A849" s="30"/>
      <c r="C849" s="32"/>
      <c r="D849" s="32"/>
    </row>
    <row r="850">
      <c r="A850" s="30"/>
      <c r="C850" s="32"/>
      <c r="D850" s="32"/>
    </row>
    <row r="851">
      <c r="A851" s="30"/>
      <c r="C851" s="32"/>
      <c r="D851" s="32"/>
    </row>
    <row r="852">
      <c r="A852" s="30"/>
      <c r="C852" s="32"/>
      <c r="D852" s="32"/>
    </row>
    <row r="853">
      <c r="A853" s="30"/>
      <c r="C853" s="32"/>
      <c r="D853" s="32"/>
    </row>
    <row r="854">
      <c r="A854" s="30"/>
      <c r="C854" s="32"/>
      <c r="D854" s="32"/>
    </row>
    <row r="855">
      <c r="A855" s="30"/>
      <c r="C855" s="32"/>
      <c r="D855" s="32"/>
    </row>
    <row r="856">
      <c r="A856" s="30"/>
      <c r="C856" s="32"/>
      <c r="D856" s="32"/>
    </row>
    <row r="857">
      <c r="A857" s="30"/>
      <c r="C857" s="32"/>
      <c r="D857" s="32"/>
    </row>
    <row r="858">
      <c r="A858" s="30"/>
      <c r="C858" s="32"/>
      <c r="D858" s="32"/>
    </row>
    <row r="859">
      <c r="A859" s="30"/>
      <c r="C859" s="32"/>
      <c r="D859" s="32"/>
    </row>
    <row r="860">
      <c r="A860" s="30"/>
      <c r="C860" s="32"/>
      <c r="D860" s="32"/>
    </row>
    <row r="861">
      <c r="A861" s="30"/>
      <c r="C861" s="32"/>
      <c r="D861" s="32"/>
    </row>
    <row r="862">
      <c r="A862" s="30"/>
      <c r="C862" s="32"/>
      <c r="D862" s="32"/>
    </row>
    <row r="863">
      <c r="A863" s="30"/>
      <c r="C863" s="32"/>
      <c r="D863" s="32"/>
    </row>
    <row r="864">
      <c r="A864" s="30"/>
      <c r="C864" s="32"/>
      <c r="D864" s="32"/>
    </row>
    <row r="865">
      <c r="A865" s="30"/>
      <c r="C865" s="32"/>
      <c r="D865" s="32"/>
    </row>
    <row r="866">
      <c r="A866" s="30"/>
      <c r="C866" s="32"/>
      <c r="D866" s="32"/>
    </row>
    <row r="867">
      <c r="A867" s="30"/>
      <c r="C867" s="32"/>
      <c r="D867" s="32"/>
    </row>
    <row r="868">
      <c r="A868" s="30"/>
      <c r="C868" s="32"/>
      <c r="D868" s="32"/>
    </row>
    <row r="869">
      <c r="A869" s="30"/>
      <c r="C869" s="32"/>
      <c r="D869" s="32"/>
    </row>
    <row r="870">
      <c r="A870" s="30"/>
      <c r="C870" s="32"/>
      <c r="D870" s="32"/>
    </row>
    <row r="871">
      <c r="A871" s="30"/>
      <c r="C871" s="32"/>
      <c r="D871" s="32"/>
    </row>
    <row r="872">
      <c r="A872" s="30"/>
      <c r="C872" s="32"/>
      <c r="D872" s="32"/>
    </row>
    <row r="873">
      <c r="A873" s="30"/>
      <c r="C873" s="32"/>
      <c r="D873" s="32"/>
    </row>
    <row r="874">
      <c r="A874" s="30"/>
      <c r="C874" s="32"/>
      <c r="D874" s="32"/>
    </row>
    <row r="875">
      <c r="A875" s="30"/>
      <c r="C875" s="32"/>
      <c r="D875" s="32"/>
    </row>
    <row r="876">
      <c r="A876" s="30"/>
      <c r="C876" s="32"/>
      <c r="D876" s="32"/>
    </row>
    <row r="877">
      <c r="A877" s="30"/>
      <c r="C877" s="32"/>
      <c r="D877" s="32"/>
    </row>
    <row r="878">
      <c r="A878" s="30"/>
      <c r="C878" s="32"/>
      <c r="D878" s="32"/>
    </row>
    <row r="879">
      <c r="A879" s="30"/>
      <c r="C879" s="32"/>
      <c r="D879" s="32"/>
    </row>
    <row r="880">
      <c r="A880" s="30"/>
      <c r="C880" s="32"/>
      <c r="D880" s="32"/>
    </row>
    <row r="881">
      <c r="A881" s="30"/>
      <c r="C881" s="32"/>
      <c r="D881" s="32"/>
    </row>
    <row r="882">
      <c r="A882" s="30"/>
      <c r="C882" s="32"/>
      <c r="D882" s="32"/>
    </row>
    <row r="883">
      <c r="A883" s="30"/>
      <c r="C883" s="32"/>
      <c r="D883" s="32"/>
    </row>
    <row r="884">
      <c r="A884" s="30"/>
      <c r="C884" s="32"/>
      <c r="D884" s="32"/>
    </row>
    <row r="885">
      <c r="A885" s="30"/>
      <c r="C885" s="32"/>
      <c r="D885" s="32"/>
    </row>
    <row r="886">
      <c r="A886" s="30"/>
      <c r="C886" s="32"/>
      <c r="D886" s="32"/>
    </row>
    <row r="887">
      <c r="A887" s="30"/>
      <c r="C887" s="32"/>
      <c r="D887" s="32"/>
    </row>
    <row r="888">
      <c r="A888" s="30"/>
      <c r="C888" s="32"/>
      <c r="D888" s="32"/>
    </row>
    <row r="889">
      <c r="A889" s="30"/>
      <c r="C889" s="32"/>
      <c r="D889" s="32"/>
    </row>
    <row r="890">
      <c r="A890" s="30"/>
      <c r="C890" s="32"/>
      <c r="D890" s="32"/>
    </row>
    <row r="891">
      <c r="A891" s="30"/>
      <c r="C891" s="32"/>
      <c r="D891" s="32"/>
    </row>
    <row r="892">
      <c r="A892" s="30"/>
      <c r="C892" s="32"/>
      <c r="D892" s="32"/>
    </row>
    <row r="893">
      <c r="A893" s="30"/>
      <c r="C893" s="32"/>
      <c r="D893" s="32"/>
    </row>
    <row r="894">
      <c r="A894" s="30"/>
      <c r="C894" s="32"/>
      <c r="D894" s="32"/>
    </row>
    <row r="895">
      <c r="A895" s="30"/>
      <c r="C895" s="32"/>
      <c r="D895" s="32"/>
    </row>
    <row r="896">
      <c r="A896" s="30"/>
      <c r="C896" s="32"/>
      <c r="D896" s="32"/>
    </row>
    <row r="897">
      <c r="A897" s="30"/>
      <c r="C897" s="32"/>
      <c r="D897" s="32"/>
    </row>
    <row r="898">
      <c r="A898" s="30"/>
      <c r="C898" s="32"/>
      <c r="D898" s="32"/>
    </row>
    <row r="899">
      <c r="A899" s="30"/>
      <c r="C899" s="32"/>
      <c r="D899" s="32"/>
    </row>
    <row r="900">
      <c r="A900" s="30"/>
      <c r="C900" s="32"/>
      <c r="D900" s="32"/>
    </row>
    <row r="901">
      <c r="A901" s="30"/>
      <c r="C901" s="32"/>
      <c r="D901" s="32"/>
    </row>
    <row r="902">
      <c r="A902" s="30"/>
      <c r="C902" s="32"/>
      <c r="D902" s="32"/>
    </row>
    <row r="903">
      <c r="A903" s="30"/>
      <c r="C903" s="32"/>
      <c r="D903" s="32"/>
    </row>
    <row r="904">
      <c r="A904" s="30"/>
      <c r="C904" s="32"/>
      <c r="D904" s="32"/>
    </row>
    <row r="905">
      <c r="A905" s="30"/>
      <c r="C905" s="32"/>
      <c r="D905" s="32"/>
    </row>
    <row r="906">
      <c r="A906" s="30"/>
      <c r="C906" s="32"/>
      <c r="D906" s="32"/>
    </row>
    <row r="907">
      <c r="A907" s="30"/>
      <c r="C907" s="32"/>
      <c r="D907" s="32"/>
    </row>
    <row r="908">
      <c r="A908" s="30"/>
      <c r="C908" s="32"/>
      <c r="D908" s="32"/>
    </row>
    <row r="909">
      <c r="A909" s="30"/>
      <c r="C909" s="32"/>
      <c r="D909" s="32"/>
    </row>
    <row r="910">
      <c r="A910" s="30"/>
      <c r="C910" s="32"/>
      <c r="D910" s="32"/>
    </row>
    <row r="911">
      <c r="A911" s="30"/>
      <c r="C911" s="32"/>
      <c r="D911" s="32"/>
    </row>
    <row r="912">
      <c r="A912" s="30"/>
      <c r="C912" s="32"/>
      <c r="D912" s="32"/>
    </row>
    <row r="913">
      <c r="A913" s="30"/>
      <c r="C913" s="32"/>
      <c r="D913" s="32"/>
    </row>
    <row r="914">
      <c r="A914" s="30"/>
      <c r="C914" s="32"/>
      <c r="D914" s="32"/>
    </row>
    <row r="915">
      <c r="A915" s="30"/>
      <c r="C915" s="32"/>
      <c r="D915" s="32"/>
    </row>
    <row r="916">
      <c r="A916" s="30"/>
      <c r="C916" s="32"/>
      <c r="D916" s="32"/>
    </row>
    <row r="917">
      <c r="A917" s="30"/>
      <c r="C917" s="32"/>
      <c r="D917" s="32"/>
    </row>
    <row r="918">
      <c r="A918" s="30"/>
      <c r="C918" s="32"/>
      <c r="D918" s="32"/>
    </row>
    <row r="919">
      <c r="A919" s="30"/>
      <c r="C919" s="32"/>
      <c r="D919" s="32"/>
    </row>
    <row r="920">
      <c r="A920" s="30"/>
      <c r="C920" s="32"/>
      <c r="D920" s="32"/>
    </row>
    <row r="921">
      <c r="A921" s="30"/>
      <c r="C921" s="32"/>
      <c r="D921" s="32"/>
    </row>
    <row r="922">
      <c r="A922" s="30"/>
      <c r="C922" s="32"/>
      <c r="D922" s="32"/>
    </row>
    <row r="923">
      <c r="A923" s="30"/>
      <c r="C923" s="32"/>
      <c r="D923" s="32"/>
    </row>
    <row r="924">
      <c r="A924" s="30"/>
      <c r="C924" s="32"/>
      <c r="D924" s="32"/>
    </row>
    <row r="925">
      <c r="A925" s="30"/>
      <c r="C925" s="32"/>
      <c r="D925" s="32"/>
    </row>
    <row r="926">
      <c r="A926" s="30"/>
      <c r="C926" s="32"/>
      <c r="D926" s="32"/>
    </row>
    <row r="927">
      <c r="A927" s="30"/>
      <c r="C927" s="32"/>
      <c r="D927" s="32"/>
    </row>
    <row r="928">
      <c r="A928" s="30"/>
      <c r="C928" s="32"/>
      <c r="D928" s="32"/>
    </row>
    <row r="929">
      <c r="A929" s="30"/>
      <c r="C929" s="32"/>
      <c r="D929" s="32"/>
    </row>
    <row r="930">
      <c r="A930" s="30"/>
      <c r="C930" s="32"/>
      <c r="D930" s="32"/>
    </row>
    <row r="931">
      <c r="A931" s="30"/>
      <c r="C931" s="32"/>
      <c r="D931" s="32"/>
    </row>
    <row r="932">
      <c r="A932" s="30"/>
      <c r="C932" s="32"/>
      <c r="D932" s="32"/>
    </row>
    <row r="933">
      <c r="A933" s="30"/>
      <c r="C933" s="32"/>
      <c r="D933" s="32"/>
    </row>
    <row r="934">
      <c r="A934" s="30"/>
      <c r="C934" s="32"/>
      <c r="D934" s="32"/>
    </row>
    <row r="935">
      <c r="A935" s="30"/>
      <c r="C935" s="32"/>
      <c r="D935" s="32"/>
    </row>
    <row r="936">
      <c r="A936" s="30"/>
      <c r="C936" s="32"/>
      <c r="D936" s="32"/>
    </row>
    <row r="937">
      <c r="A937" s="30"/>
      <c r="C937" s="32"/>
      <c r="D937" s="32"/>
    </row>
    <row r="938">
      <c r="A938" s="30"/>
      <c r="C938" s="32"/>
      <c r="D938" s="32"/>
    </row>
    <row r="939">
      <c r="A939" s="30"/>
      <c r="C939" s="32"/>
      <c r="D939" s="32"/>
    </row>
    <row r="940">
      <c r="A940" s="30"/>
      <c r="C940" s="32"/>
      <c r="D940" s="32"/>
    </row>
    <row r="941">
      <c r="A941" s="30"/>
      <c r="C941" s="32"/>
      <c r="D941" s="32"/>
    </row>
    <row r="942">
      <c r="A942" s="30"/>
      <c r="C942" s="32"/>
      <c r="D942" s="32"/>
    </row>
    <row r="943">
      <c r="A943" s="30"/>
      <c r="C943" s="32"/>
      <c r="D943" s="32"/>
    </row>
    <row r="944">
      <c r="A944" s="30"/>
      <c r="C944" s="32"/>
      <c r="D944" s="32"/>
    </row>
    <row r="945">
      <c r="A945" s="30"/>
      <c r="C945" s="32"/>
      <c r="D945" s="32"/>
    </row>
    <row r="946">
      <c r="A946" s="30"/>
      <c r="C946" s="32"/>
      <c r="D946" s="32"/>
    </row>
    <row r="947">
      <c r="A947" s="30"/>
      <c r="C947" s="32"/>
      <c r="D947" s="32"/>
    </row>
    <row r="948">
      <c r="A948" s="30"/>
      <c r="C948" s="32"/>
      <c r="D948" s="32"/>
    </row>
    <row r="949">
      <c r="A949" s="30"/>
      <c r="C949" s="32"/>
      <c r="D949" s="32"/>
    </row>
    <row r="950">
      <c r="A950" s="30"/>
      <c r="C950" s="32"/>
      <c r="D950" s="32"/>
    </row>
    <row r="951">
      <c r="A951" s="30"/>
      <c r="C951" s="32"/>
      <c r="D951" s="32"/>
    </row>
    <row r="952">
      <c r="A952" s="30"/>
      <c r="C952" s="32"/>
      <c r="D952" s="32"/>
    </row>
    <row r="953">
      <c r="A953" s="30"/>
      <c r="C953" s="32"/>
      <c r="D953" s="32"/>
    </row>
    <row r="954">
      <c r="A954" s="30"/>
      <c r="C954" s="32"/>
      <c r="D954" s="32"/>
    </row>
    <row r="955">
      <c r="A955" s="30"/>
      <c r="C955" s="32"/>
      <c r="D955" s="32"/>
    </row>
    <row r="956">
      <c r="A956" s="30"/>
      <c r="C956" s="32"/>
      <c r="D956" s="32"/>
    </row>
    <row r="957">
      <c r="A957" s="30"/>
      <c r="C957" s="32"/>
      <c r="D957" s="32"/>
    </row>
    <row r="958">
      <c r="A958" s="30"/>
      <c r="C958" s="32"/>
      <c r="D958" s="32"/>
    </row>
    <row r="959">
      <c r="A959" s="30"/>
      <c r="C959" s="32"/>
      <c r="D959" s="32"/>
    </row>
    <row r="960">
      <c r="A960" s="30"/>
      <c r="C960" s="32"/>
      <c r="D960" s="32"/>
    </row>
    <row r="961">
      <c r="A961" s="30"/>
      <c r="C961" s="32"/>
      <c r="D961" s="32"/>
    </row>
    <row r="962">
      <c r="A962" s="30"/>
      <c r="C962" s="32"/>
      <c r="D962" s="32"/>
    </row>
    <row r="963">
      <c r="A963" s="30"/>
      <c r="C963" s="32"/>
      <c r="D963" s="32"/>
    </row>
    <row r="964">
      <c r="A964" s="30"/>
      <c r="C964" s="32"/>
      <c r="D964" s="32"/>
    </row>
    <row r="965">
      <c r="A965" s="30"/>
      <c r="C965" s="32"/>
      <c r="D965" s="32"/>
    </row>
    <row r="966">
      <c r="A966" s="30"/>
      <c r="C966" s="32"/>
      <c r="D966" s="32"/>
    </row>
    <row r="967">
      <c r="A967" s="30"/>
      <c r="C967" s="32"/>
      <c r="D967" s="32"/>
    </row>
    <row r="968">
      <c r="A968" s="30"/>
      <c r="C968" s="32"/>
      <c r="D968" s="32"/>
    </row>
    <row r="969">
      <c r="A969" s="30"/>
      <c r="C969" s="32"/>
      <c r="D969" s="32"/>
    </row>
    <row r="970">
      <c r="A970" s="30"/>
      <c r="C970" s="32"/>
      <c r="D970" s="32"/>
    </row>
    <row r="971">
      <c r="A971" s="30"/>
      <c r="C971" s="32"/>
      <c r="D971" s="32"/>
    </row>
    <row r="972">
      <c r="A972" s="30"/>
      <c r="C972" s="32"/>
      <c r="D972" s="32"/>
    </row>
    <row r="973">
      <c r="A973" s="30"/>
      <c r="C973" s="32"/>
      <c r="D973" s="32"/>
    </row>
    <row r="974">
      <c r="A974" s="30"/>
      <c r="C974" s="32"/>
      <c r="D974" s="32"/>
    </row>
    <row r="975">
      <c r="A975" s="30"/>
      <c r="C975" s="32"/>
      <c r="D975" s="32"/>
    </row>
    <row r="976">
      <c r="A976" s="30"/>
      <c r="C976" s="32"/>
      <c r="D976" s="32"/>
    </row>
    <row r="977">
      <c r="A977" s="30"/>
      <c r="C977" s="32"/>
      <c r="D977" s="32"/>
    </row>
    <row r="978">
      <c r="A978" s="30"/>
      <c r="C978" s="32"/>
      <c r="D978" s="32"/>
    </row>
    <row r="979">
      <c r="A979" s="30"/>
      <c r="C979" s="32"/>
      <c r="D979" s="32"/>
    </row>
    <row r="980">
      <c r="A980" s="30"/>
      <c r="C980" s="32"/>
      <c r="D980" s="32"/>
    </row>
    <row r="981">
      <c r="A981" s="30"/>
      <c r="C981" s="32"/>
      <c r="D981" s="32"/>
    </row>
    <row r="982">
      <c r="A982" s="30"/>
      <c r="C982" s="32"/>
      <c r="D982" s="32"/>
    </row>
    <row r="983">
      <c r="A983" s="30"/>
      <c r="C983" s="32"/>
      <c r="D983" s="32"/>
    </row>
    <row r="984">
      <c r="A984" s="30"/>
      <c r="C984" s="32"/>
      <c r="D984" s="32"/>
    </row>
    <row r="985">
      <c r="A985" s="30"/>
      <c r="C985" s="32"/>
      <c r="D985" s="32"/>
    </row>
    <row r="986">
      <c r="A986" s="30"/>
      <c r="C986" s="32"/>
      <c r="D986" s="32"/>
    </row>
    <row r="987">
      <c r="A987" s="30"/>
      <c r="C987" s="32"/>
      <c r="D987" s="32"/>
    </row>
    <row r="988">
      <c r="A988" s="30"/>
      <c r="C988" s="32"/>
      <c r="D988" s="32"/>
    </row>
    <row r="989">
      <c r="A989" s="30"/>
      <c r="C989" s="32"/>
      <c r="D989" s="32"/>
    </row>
    <row r="990">
      <c r="A990" s="30"/>
      <c r="C990" s="32"/>
      <c r="D990" s="32"/>
    </row>
    <row r="991">
      <c r="A991" s="30"/>
      <c r="C991" s="32"/>
      <c r="D991" s="32"/>
    </row>
    <row r="992">
      <c r="A992" s="30"/>
      <c r="C992" s="32"/>
      <c r="D992" s="32"/>
    </row>
    <row r="993">
      <c r="A993" s="30"/>
      <c r="C993" s="32"/>
      <c r="D993" s="32"/>
    </row>
    <row r="994">
      <c r="A994" s="30"/>
      <c r="C994" s="32"/>
      <c r="D994" s="32"/>
    </row>
    <row r="995">
      <c r="A995" s="30"/>
      <c r="C995" s="32"/>
      <c r="D995" s="32"/>
    </row>
    <row r="996">
      <c r="A996" s="30"/>
      <c r="C996" s="32"/>
      <c r="D996" s="32"/>
    </row>
    <row r="997">
      <c r="A997" s="30"/>
      <c r="C997" s="32"/>
      <c r="D997" s="32"/>
    </row>
    <row r="998">
      <c r="A998" s="30"/>
      <c r="C998" s="32"/>
      <c r="D998" s="32"/>
    </row>
    <row r="999">
      <c r="A999" s="30"/>
      <c r="C999" s="32"/>
      <c r="D999" s="32"/>
    </row>
    <row r="1000">
      <c r="A1000" s="30"/>
      <c r="C1000" s="32"/>
      <c r="D1000" s="32"/>
    </row>
  </sheetData>
  <drawing r:id="rId2"/>
</worksheet>
</file>