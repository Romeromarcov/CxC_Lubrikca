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tiguedad" sheetId="1" r:id="rId5"/>
    <sheet state="visible" name="Cuentas x Cobrar" sheetId="2" r:id="rId6"/>
    <sheet state="visible" name="Cuentas x Cobrar x Mes" sheetId="3" r:id="rId7"/>
    <sheet state="visible" name="Cuentas x Dias Vencimiento" sheetId="4" r:id="rId8"/>
    <sheet state="visible" name="Cuentas x Vendedor" sheetId="5" r:id="rId9"/>
    <sheet state="visible" name="Resumen Ventas x Mes" sheetId="6" r:id="rId10"/>
    <sheet state="visible" name="Ventas" sheetId="7" r:id="rId11"/>
    <sheet state="visible" name="Limites de Descuento" sheetId="8" r:id="rId12"/>
    <sheet state="visible" name="Listado Clientes" sheetId="9" r:id="rId13"/>
    <sheet state="visible" name="Listado Vendedores" sheetId="10" r:id="rId14"/>
    <sheet state="visible" name="Aux_Datos" sheetId="11" r:id="rId15"/>
    <sheet state="visible" name="Montos Odoo" sheetId="12" r:id="rId16"/>
    <sheet state="visible" name="Reporte Discrepancias" sheetId="13" r:id="rId17"/>
  </sheets>
  <definedNames>
    <definedName name="Limite_descuento">#REF!</definedName>
    <definedName hidden="1" localSheetId="6" name="_xlnm._FilterDatabase">Ventas!$A$1:$AF$595</definedName>
    <definedName hidden="1" localSheetId="10" name="_xlnm._FilterDatabase">Aux_Datos!$A$1:$K$1556</definedName>
  </definedNames>
  <calcPr/>
  <pivotCaches>
    <pivotCache cacheId="0" r:id="rId18"/>
    <pivotCache cacheId="1" r:id="rId19"/>
    <pivotCache cacheId="2" r:id="rId20"/>
    <pivotCache cacheId="3" r:id="rId21"/>
  </pivotCaches>
</workbook>
</file>

<file path=xl/sharedStrings.xml><?xml version="1.0" encoding="utf-8"?>
<sst xmlns="http://schemas.openxmlformats.org/spreadsheetml/2006/main" count="4518" uniqueCount="908">
  <si>
    <t>Estado Vencimiento</t>
  </si>
  <si>
    <t>Cliente</t>
  </si>
  <si>
    <t>Referencia de la orden</t>
  </si>
  <si>
    <t>SUM de Dias Vencido</t>
  </si>
  <si>
    <t>VENCIDA</t>
  </si>
  <si>
    <t>EMPRENDIMIENTO IRMA RODRIGUEZ 6</t>
  </si>
  <si>
    <t>S00182</t>
  </si>
  <si>
    <t>S00184</t>
  </si>
  <si>
    <t>S00303</t>
  </si>
  <si>
    <t>S00314</t>
  </si>
  <si>
    <t>S00344</t>
  </si>
  <si>
    <t>S00419</t>
  </si>
  <si>
    <t>S00451</t>
  </si>
  <si>
    <t>S00518</t>
  </si>
  <si>
    <t>Katiuska Alejandra Curvelo</t>
  </si>
  <si>
    <t>S00069</t>
  </si>
  <si>
    <t>S00263</t>
  </si>
  <si>
    <t>S00425</t>
  </si>
  <si>
    <t>S00574</t>
  </si>
  <si>
    <t>CONSTRUCTORA GRANO AGREGADO, C.A</t>
  </si>
  <si>
    <t>S00296</t>
  </si>
  <si>
    <t>S00294</t>
  </si>
  <si>
    <t>S00214</t>
  </si>
  <si>
    <t>S00427</t>
  </si>
  <si>
    <t>Mini Market Las Mercedes,c.a.</t>
  </si>
  <si>
    <t>S00098</t>
  </si>
  <si>
    <t>S00161</t>
  </si>
  <si>
    <t>S00368</t>
  </si>
  <si>
    <t>HIDRAULICAS CAICEDO C.A.</t>
  </si>
  <si>
    <t>S00144</t>
  </si>
  <si>
    <t>S00408</t>
  </si>
  <si>
    <t>S00512</t>
  </si>
  <si>
    <t>Emprendimiento Tomas Paz</t>
  </si>
  <si>
    <t>S00122</t>
  </si>
  <si>
    <t>S00353</t>
  </si>
  <si>
    <t>La cámara perfecta</t>
  </si>
  <si>
    <t>S00145</t>
  </si>
  <si>
    <t>S00339</t>
  </si>
  <si>
    <t>INVERSIONES JOSCAR XXI, S.A.</t>
  </si>
  <si>
    <t>S00101</t>
  </si>
  <si>
    <t>S00433</t>
  </si>
  <si>
    <t>INVERSIONES IRETE SUKA, C.A</t>
  </si>
  <si>
    <t>S00045</t>
  </si>
  <si>
    <t>S00488</t>
  </si>
  <si>
    <t>ACCESORIOS Y REPUESTOS MOTO CAR 20-11-C.A</t>
  </si>
  <si>
    <t>S00221</t>
  </si>
  <si>
    <t>S00317</t>
  </si>
  <si>
    <t>Paola M. Aguilera Z.</t>
  </si>
  <si>
    <t>S00206</t>
  </si>
  <si>
    <t>S00397</t>
  </si>
  <si>
    <t>MULTISERVICIOS RECAM13, C.A.</t>
  </si>
  <si>
    <t>S00078</t>
  </si>
  <si>
    <t>Edgar salas</t>
  </si>
  <si>
    <t>S00313</t>
  </si>
  <si>
    <t>S00404</t>
  </si>
  <si>
    <t>S00466</t>
  </si>
  <si>
    <t>Dimas Ortíz</t>
  </si>
  <si>
    <t>S00158</t>
  </si>
  <si>
    <t>S00430</t>
  </si>
  <si>
    <t>Grupo 3030, C.A</t>
  </si>
  <si>
    <t>S00236</t>
  </si>
  <si>
    <t>S00235</t>
  </si>
  <si>
    <t>Anthony Jose Quijada Diaz.</t>
  </si>
  <si>
    <t>S00190</t>
  </si>
  <si>
    <t>S00405</t>
  </si>
  <si>
    <t>WILLY MOTOR CAR REPUESTOS Y SERVICIOS, C.A.</t>
  </si>
  <si>
    <t>S00040</t>
  </si>
  <si>
    <t>SERVICIOS Y MANTENIMIENTO SPACARS, C.A, Henry Blanco</t>
  </si>
  <si>
    <t>S00015</t>
  </si>
  <si>
    <t>FREDI MARQUEZ</t>
  </si>
  <si>
    <t>S00323</t>
  </si>
  <si>
    <t>S00407</t>
  </si>
  <si>
    <t>S00440</t>
  </si>
  <si>
    <t>EMPRENDIMIENTO TOMAS MARCANO 5</t>
  </si>
  <si>
    <t>S00020</t>
  </si>
  <si>
    <t>COMERCIAL REPUESTOS MUNDIALES RMS 2022 C.A.</t>
  </si>
  <si>
    <t>S00031</t>
  </si>
  <si>
    <t>Inversiones maxgad &amp; ef</t>
  </si>
  <si>
    <t>S00084</t>
  </si>
  <si>
    <t>Inversiones Air Brakes, C.A</t>
  </si>
  <si>
    <t>S00285</t>
  </si>
  <si>
    <t>S00352</t>
  </si>
  <si>
    <t>ALIPLUS TRASPORTE Y EQUIPOS, CA</t>
  </si>
  <si>
    <t>S00088</t>
  </si>
  <si>
    <t>TALLER TNMCAR, C.A</t>
  </si>
  <si>
    <t>S00304</t>
  </si>
  <si>
    <t>S00315</t>
  </si>
  <si>
    <t>Moises Alejandro Mares</t>
  </si>
  <si>
    <t>S00027</t>
  </si>
  <si>
    <t>Megacar2020.c.a</t>
  </si>
  <si>
    <t>S00125</t>
  </si>
  <si>
    <t>S00529</t>
  </si>
  <si>
    <t>Joel Duque</t>
  </si>
  <si>
    <t>S00026</t>
  </si>
  <si>
    <t>inversiones El Gran Charles C.A</t>
  </si>
  <si>
    <t>S00036</t>
  </si>
  <si>
    <t>Repuestos y Accesorios chaustre 2024</t>
  </si>
  <si>
    <t>S00058</t>
  </si>
  <si>
    <t>MARTIN RAMON DIAZ BOLIVAR</t>
  </si>
  <si>
    <t>S00120</t>
  </si>
  <si>
    <t>Marlene Herrera</t>
  </si>
  <si>
    <t>S00049</t>
  </si>
  <si>
    <t>SERVICIOS Y MANTENIMIENTO SPACARS, C.A</t>
  </si>
  <si>
    <t>S00154</t>
  </si>
  <si>
    <t>Corporación Lubricantes 7ma Av.C.A</t>
  </si>
  <si>
    <t>S00054</t>
  </si>
  <si>
    <t>Remodelaciones Ivanro, C.A</t>
  </si>
  <si>
    <t>S00073</t>
  </si>
  <si>
    <t>Inversiones Famasa, C.A</t>
  </si>
  <si>
    <t>S00083</t>
  </si>
  <si>
    <t>EMPRENDIMIENTO HECTOR LLAMOZA</t>
  </si>
  <si>
    <t>S00165</t>
  </si>
  <si>
    <t>Alexander Quiroz</t>
  </si>
  <si>
    <t>S00146</t>
  </si>
  <si>
    <t>S00542</t>
  </si>
  <si>
    <t>Rhino Toyo Parts, C.A.</t>
  </si>
  <si>
    <t>S00059</t>
  </si>
  <si>
    <t>Felipe Granja</t>
  </si>
  <si>
    <t>S00097</t>
  </si>
  <si>
    <t>DISTRIBUIDORA E.P.L.C 2017, c.a.</t>
  </si>
  <si>
    <t>S00174</t>
  </si>
  <si>
    <t>Inversiones Marfran 2025, C. A.</t>
  </si>
  <si>
    <t>S00205</t>
  </si>
  <si>
    <t>S00520</t>
  </si>
  <si>
    <t>Victor Ordaz</t>
  </si>
  <si>
    <t>S00126</t>
  </si>
  <si>
    <t>Multiservicios Gre-orio2022 c.a</t>
  </si>
  <si>
    <t>S00128</t>
  </si>
  <si>
    <t>Motolavado Yahir</t>
  </si>
  <si>
    <t>S00204</t>
  </si>
  <si>
    <t>S00530</t>
  </si>
  <si>
    <t>M.L.P Repuestos y Otros, C.A</t>
  </si>
  <si>
    <t>S00124</t>
  </si>
  <si>
    <t>Grupo Biker Way mm, C.A</t>
  </si>
  <si>
    <t>S00166</t>
  </si>
  <si>
    <t>Frenos Elite, C.A</t>
  </si>
  <si>
    <t>S00167</t>
  </si>
  <si>
    <t>Emprendimiento José Sánchez 203 c.a</t>
  </si>
  <si>
    <t>S00127</t>
  </si>
  <si>
    <t>Angel ARMAS</t>
  </si>
  <si>
    <t>S00213</t>
  </si>
  <si>
    <t>S00528</t>
  </si>
  <si>
    <t>Emprendimiento Jordy Valencia</t>
  </si>
  <si>
    <t>S00129</t>
  </si>
  <si>
    <t>Asociación Cooperativa la Esquina del Lubricante 9999 R.L</t>
  </si>
  <si>
    <t>S00336</t>
  </si>
  <si>
    <t>S00356</t>
  </si>
  <si>
    <t>PROYECTO MAQUIVEIRO 21 C.A.</t>
  </si>
  <si>
    <t>S00199</t>
  </si>
  <si>
    <t>S00467</t>
  </si>
  <si>
    <t>Benefit c.a</t>
  </si>
  <si>
    <t>S00138</t>
  </si>
  <si>
    <t>Distribuidora Drako 2024 c.a</t>
  </si>
  <si>
    <t>S00151</t>
  </si>
  <si>
    <t>Auto Repuestos Acal C.A</t>
  </si>
  <si>
    <t>S00197</t>
  </si>
  <si>
    <t>Motorepuestos HD 94, C.A</t>
  </si>
  <si>
    <t>S00202</t>
  </si>
  <si>
    <t>Autorepuestos Pitstop,c.a.</t>
  </si>
  <si>
    <t>S00198</t>
  </si>
  <si>
    <t>Inversiones Mirelkys C.A</t>
  </si>
  <si>
    <t>S00209</t>
  </si>
  <si>
    <t>Inversiones DSM 2706, c.a.</t>
  </si>
  <si>
    <t>S00212</t>
  </si>
  <si>
    <t>Inversiones AreaElectric 2021,c.a.</t>
  </si>
  <si>
    <t>S00210</t>
  </si>
  <si>
    <t>Ingrit Martinez</t>
  </si>
  <si>
    <t>S00207</t>
  </si>
  <si>
    <t>AREA58 2022, C.A.</t>
  </si>
  <si>
    <t>S00183</t>
  </si>
  <si>
    <t>Wili Mervin León Romero</t>
  </si>
  <si>
    <t>S00335</t>
  </si>
  <si>
    <t>S00421</t>
  </si>
  <si>
    <t>Montura de Cauchos Biondo,c.a.</t>
  </si>
  <si>
    <t>S00219</t>
  </si>
  <si>
    <t>Alejandro Zorrilla</t>
  </si>
  <si>
    <t>S00215</t>
  </si>
  <si>
    <t>Jhon Morales</t>
  </si>
  <si>
    <t>S00177</t>
  </si>
  <si>
    <t>Distribuidora Nesmari 2050 c.a</t>
  </si>
  <si>
    <t>S00178</t>
  </si>
  <si>
    <t>Lubripartes Vzla, c.a.</t>
  </si>
  <si>
    <t>S00160</t>
  </si>
  <si>
    <t>Jefferson rosales</t>
  </si>
  <si>
    <t>S00292</t>
  </si>
  <si>
    <t>S00501</t>
  </si>
  <si>
    <t>Inversiones Vercris 17 C.A</t>
  </si>
  <si>
    <t>S00179</t>
  </si>
  <si>
    <t>Alexis Rodríguez Fernández</t>
  </si>
  <si>
    <t>S00103</t>
  </si>
  <si>
    <t>Autoasesorio maxi motor</t>
  </si>
  <si>
    <t>S00114</t>
  </si>
  <si>
    <t>SJMG 2012 C.A</t>
  </si>
  <si>
    <t>S00061</t>
  </si>
  <si>
    <t>S00573</t>
  </si>
  <si>
    <t>S00571</t>
  </si>
  <si>
    <t>INVERSIONES ARCOSOL 21, C.A.</t>
  </si>
  <si>
    <t>S00300</t>
  </si>
  <si>
    <t>S00499</t>
  </si>
  <si>
    <t>Jose Becerra</t>
  </si>
  <si>
    <t>S00293</t>
  </si>
  <si>
    <t>S00508</t>
  </si>
  <si>
    <t>Cauchos y Suministros Camacho C.A</t>
  </si>
  <si>
    <t>S00186</t>
  </si>
  <si>
    <t>HP Repuestos 2007 C.A</t>
  </si>
  <si>
    <t>S00187</t>
  </si>
  <si>
    <t>EMPRENDIMIENTO MANUEL GÓMEZ 6</t>
  </si>
  <si>
    <t>S00250</t>
  </si>
  <si>
    <t>Marco Romero</t>
  </si>
  <si>
    <t>S00384</t>
  </si>
  <si>
    <t>S00436</t>
  </si>
  <si>
    <t>Josefina Guevera</t>
  </si>
  <si>
    <t>S00226</t>
  </si>
  <si>
    <t>Global Ferre 888 C.A</t>
  </si>
  <si>
    <t>S00192</t>
  </si>
  <si>
    <t>Kervin baez</t>
  </si>
  <si>
    <t>S00327</t>
  </si>
  <si>
    <t>S00482</t>
  </si>
  <si>
    <t>Lubricantes BK C.A</t>
  </si>
  <si>
    <t>S00244</t>
  </si>
  <si>
    <t>Cauchera William 2018, C.A</t>
  </si>
  <si>
    <t>S00243</t>
  </si>
  <si>
    <t>Multiservicios Arizona, C.A.</t>
  </si>
  <si>
    <t>S00247</t>
  </si>
  <si>
    <t>Comercializadora Dimon c.a</t>
  </si>
  <si>
    <t>S00249</t>
  </si>
  <si>
    <t>Barrios Rodríguez Marlon Enrique</t>
  </si>
  <si>
    <t>S00245</t>
  </si>
  <si>
    <t>Multiservicio Tocome, C.A</t>
  </si>
  <si>
    <t>S00259</t>
  </si>
  <si>
    <t>Distribuidora El Frenazo</t>
  </si>
  <si>
    <t>S00258</t>
  </si>
  <si>
    <t>Cooperativa Dios mi Amparo, R.L.</t>
  </si>
  <si>
    <t>S00218</t>
  </si>
  <si>
    <t>AUTOREPUESTOS SION C.A.</t>
  </si>
  <si>
    <t>S00257</t>
  </si>
  <si>
    <t>Repuestos y accesorios motochiva23 c.a</t>
  </si>
  <si>
    <t>S00282</t>
  </si>
  <si>
    <t>Repuestos Guia Dios Nuestro Camino,c.a.</t>
  </si>
  <si>
    <t>S00265</t>
  </si>
  <si>
    <t>LA CASA DE LAS BATERIAS</t>
  </si>
  <si>
    <t>S00283</t>
  </si>
  <si>
    <t>Jose Alzolay</t>
  </si>
  <si>
    <t>S00308</t>
  </si>
  <si>
    <t>Braulio R. Cedeño Gonzalez.</t>
  </si>
  <si>
    <t>S00222</t>
  </si>
  <si>
    <t>Autorepuestos el Florin,c.a.</t>
  </si>
  <si>
    <t>S00223</t>
  </si>
  <si>
    <t>Javier gregorio Espinoza</t>
  </si>
  <si>
    <t>S00287</t>
  </si>
  <si>
    <t>Inversiones tydelmarojg</t>
  </si>
  <si>
    <t>S00286</t>
  </si>
  <si>
    <t>Constructora Campo Urbano,c.a.</t>
  </si>
  <si>
    <t>S00231</t>
  </si>
  <si>
    <t>Inversiones Brayan CT C.A</t>
  </si>
  <si>
    <t>S00298</t>
  </si>
  <si>
    <t>Emprendimiento ilaris cancelo</t>
  </si>
  <si>
    <t>S00149</t>
  </si>
  <si>
    <t>S00566</t>
  </si>
  <si>
    <t>ALI ALEXANDER MORENO FIGUEREDO</t>
  </si>
  <si>
    <t>S00331</t>
  </si>
  <si>
    <t>S00557</t>
  </si>
  <si>
    <t>Multiservicio SOS Cars, C.A</t>
  </si>
  <si>
    <t>S00310</t>
  </si>
  <si>
    <t>JOSE RUBIO ESPINEL</t>
  </si>
  <si>
    <t>S00337</t>
  </si>
  <si>
    <t>Autopartes Munich PH 168 C.A.</t>
  </si>
  <si>
    <t>S00261</t>
  </si>
  <si>
    <t>S00534</t>
  </si>
  <si>
    <t>Inversiones La Bendición del Nazareno, C.A</t>
  </si>
  <si>
    <t>S00133</t>
  </si>
  <si>
    <t>NAUDY MARTINEZ</t>
  </si>
  <si>
    <t>S00454</t>
  </si>
  <si>
    <t>S00452</t>
  </si>
  <si>
    <t>Angi Edimar Carvajal Peñaranda</t>
  </si>
  <si>
    <t>S00319</t>
  </si>
  <si>
    <t>ANGEL LEON GALARRAGA</t>
  </si>
  <si>
    <t>S00321</t>
  </si>
  <si>
    <t>Nemer Bourji</t>
  </si>
  <si>
    <t>S00324</t>
  </si>
  <si>
    <t>CENTRO MOTRIZ GUADALUPE, C.A.</t>
  </si>
  <si>
    <t>S00301</t>
  </si>
  <si>
    <t>TorniRepuesto BA 2015, C.A</t>
  </si>
  <si>
    <t>S00338</t>
  </si>
  <si>
    <t>Moto repuestos jj</t>
  </si>
  <si>
    <t>S00398</t>
  </si>
  <si>
    <t>S00549</t>
  </si>
  <si>
    <t>Moto repuestos el casco 2050 c.a</t>
  </si>
  <si>
    <t>S00343</t>
  </si>
  <si>
    <t>AUTOPERIQUITO EL PEQUEÑO CHAMOY, C.A.</t>
  </si>
  <si>
    <t>S00346</t>
  </si>
  <si>
    <t>Auto Servicios HN 6972, C.A</t>
  </si>
  <si>
    <t>S00347</t>
  </si>
  <si>
    <t>REPRESENTACIONES LAGUS MEL, C. A</t>
  </si>
  <si>
    <t>S00354</t>
  </si>
  <si>
    <t>INVERSIONES R&amp;C 1817, c.a.</t>
  </si>
  <si>
    <t>S00422</t>
  </si>
  <si>
    <t>S00536</t>
  </si>
  <si>
    <t>GASOLVEN DISTRIBUIDORA, C.A</t>
  </si>
  <si>
    <t>S00444</t>
  </si>
  <si>
    <t>S00496</t>
  </si>
  <si>
    <t>DIADOMHAN AUTOMOTRIZ, C.A.</t>
  </si>
  <si>
    <t>S00355</t>
  </si>
  <si>
    <t>AUTOSERVICIOS SPACARS, C.A.</t>
  </si>
  <si>
    <t>S00362</t>
  </si>
  <si>
    <t>MARIA CAROLINA CARDENAS GUEVARA</t>
  </si>
  <si>
    <t>S00363</t>
  </si>
  <si>
    <t>Moto Repuestos Sanz 11. C.A.</t>
  </si>
  <si>
    <t>S00381</t>
  </si>
  <si>
    <t>INVERSIONES DA &amp; JE,</t>
  </si>
  <si>
    <t>S00373</t>
  </si>
  <si>
    <t>Deyanira Carpio De Sequera</t>
  </si>
  <si>
    <t>S00375</t>
  </si>
  <si>
    <t>SEBASTIAN RICON MOLINA</t>
  </si>
  <si>
    <t>S00386</t>
  </si>
  <si>
    <t>Ricardo A. Fernandez.</t>
  </si>
  <si>
    <t>S00388</t>
  </si>
  <si>
    <t>Greicy Moncada</t>
  </si>
  <si>
    <t>S00389</t>
  </si>
  <si>
    <t>FRANCISCO MONCADA</t>
  </si>
  <si>
    <t>S00387</t>
  </si>
  <si>
    <t>Francesco orlando Espro bolaños</t>
  </si>
  <si>
    <t>S00393</t>
  </si>
  <si>
    <t>CASERES GONZALEZ RONALD OSWALDO</t>
  </si>
  <si>
    <t>S00392</t>
  </si>
  <si>
    <t>Abraham almenar</t>
  </si>
  <si>
    <t>S00248</t>
  </si>
  <si>
    <t>Wuilliams bastidas</t>
  </si>
  <si>
    <t>S00399</t>
  </si>
  <si>
    <t>TALLER Y REPUESTOS CHOPPERS, C.A.</t>
  </si>
  <si>
    <t>S00400</t>
  </si>
  <si>
    <t>AUTOPERIQUITOS LA CAMPIÑA C.A.</t>
  </si>
  <si>
    <t>S00469</t>
  </si>
  <si>
    <t>S00478</t>
  </si>
  <si>
    <t>Inversiones García GL C.A</t>
  </si>
  <si>
    <t>S00332</t>
  </si>
  <si>
    <t>S00494</t>
  </si>
  <si>
    <t>Pedro Castro</t>
  </si>
  <si>
    <t>S00411</t>
  </si>
  <si>
    <t>Javier Cardenas Prato.</t>
  </si>
  <si>
    <t>S00414</t>
  </si>
  <si>
    <t>ERICH GILBERTO CASERES MELENDEZ</t>
  </si>
  <si>
    <t>S00413</t>
  </si>
  <si>
    <t>OLIVEIRA &amp; SANTOS, C.A.(SERVICENTRO EL CUÑO, C.A.)</t>
  </si>
  <si>
    <t>S00423</t>
  </si>
  <si>
    <t>Franklin J. Mijares S.</t>
  </si>
  <si>
    <t>S00417</t>
  </si>
  <si>
    <t>DISTRIBUIDORA R. LAYA MORA,C.A.</t>
  </si>
  <si>
    <t>S00420</t>
  </si>
  <si>
    <t>Multiservicios y Distribuidora Todo Carro Bedyf, C.A</t>
  </si>
  <si>
    <t>S00378</t>
  </si>
  <si>
    <t>INVERSIONES SM 2191, C.A.</t>
  </si>
  <si>
    <t>S00429</t>
  </si>
  <si>
    <t>GRIMAN DIAZ HECTOR EDUARDO</t>
  </si>
  <si>
    <t>S00502</t>
  </si>
  <si>
    <t>S00509</t>
  </si>
  <si>
    <t>Automecanica Marilu 2014, C.A</t>
  </si>
  <si>
    <t>S00341</t>
  </si>
  <si>
    <t>Almacenadora X7, C.A</t>
  </si>
  <si>
    <t>S00415</t>
  </si>
  <si>
    <t>Industrias Arasia, c.a.</t>
  </si>
  <si>
    <t>S00485</t>
  </si>
  <si>
    <t>S00517</t>
  </si>
  <si>
    <t>EMPRENDIMIENTO FRANCISCO VEGAS 3</t>
  </si>
  <si>
    <t>S00434</t>
  </si>
  <si>
    <t>COMERCIAL EKAFREN,C.A.</t>
  </si>
  <si>
    <t>S00432</t>
  </si>
  <si>
    <t>Emprendimiento Eduardo Pérez 6</t>
  </si>
  <si>
    <t>S00395</t>
  </si>
  <si>
    <t>S00475</t>
  </si>
  <si>
    <t>MOTOREPUESTOS EL GUANÁBANO YRM C.A.</t>
  </si>
  <si>
    <t>S00439</t>
  </si>
  <si>
    <t>JOSE RAFAEL MARTÍNEZ</t>
  </si>
  <si>
    <t>S00446</t>
  </si>
  <si>
    <t>Inversiones Pronautica, C.A.</t>
  </si>
  <si>
    <t>S00447</t>
  </si>
  <si>
    <t>ERICK JOSE MAIGUA GUILLEN</t>
  </si>
  <si>
    <t>S00456</t>
  </si>
  <si>
    <t>MULTIPARTES Y SERVICIOS HONDANIS,C.A.</t>
  </si>
  <si>
    <t>S00426</t>
  </si>
  <si>
    <t>S00544</t>
  </si>
  <si>
    <t>AGROPECUARIA EL TORO DORADO, C.A</t>
  </si>
  <si>
    <t>S00450</t>
  </si>
  <si>
    <t>Repuestos González peña 31 c.a</t>
  </si>
  <si>
    <t>S00464</t>
  </si>
  <si>
    <t>Mazare Motors, C.A</t>
  </si>
  <si>
    <t>S00437</t>
  </si>
  <si>
    <t>S00531</t>
  </si>
  <si>
    <t>Jhoe Zamora</t>
  </si>
  <si>
    <t>S00442</t>
  </si>
  <si>
    <t>Edward Belén</t>
  </si>
  <si>
    <t>S00462</t>
  </si>
  <si>
    <t>Multiservicios gochi express 2024, c.a</t>
  </si>
  <si>
    <t>S00465</t>
  </si>
  <si>
    <t>José Gregorio Hernández</t>
  </si>
  <si>
    <t>S00471</t>
  </si>
  <si>
    <t>ELISA ALEJANDRA JIMÉNEZ SUÁREZ</t>
  </si>
  <si>
    <t>S00468</t>
  </si>
  <si>
    <t>Inversiones Todo marca Oeste C.A</t>
  </si>
  <si>
    <t>S00479</t>
  </si>
  <si>
    <t>María Elena Hernández Rangel</t>
  </si>
  <si>
    <t>S00491</t>
  </si>
  <si>
    <t>Luis Zambrano</t>
  </si>
  <si>
    <t>S00470</t>
  </si>
  <si>
    <t>Luis Eduardo Piñero Calcurian</t>
  </si>
  <si>
    <t>S00492</t>
  </si>
  <si>
    <t>Lubristation, C.A.</t>
  </si>
  <si>
    <t>S00493</t>
  </si>
  <si>
    <t>En ascenso 2011,c.a.</t>
  </si>
  <si>
    <t>S00535</t>
  </si>
  <si>
    <t>Servimecanica Brandao</t>
  </si>
  <si>
    <t>S00505</t>
  </si>
  <si>
    <t>Gabriel Martinez</t>
  </si>
  <si>
    <t>S00500</t>
  </si>
  <si>
    <t>ELECTROMECÁNICA DANPE C.A.</t>
  </si>
  <si>
    <t>S00497</t>
  </si>
  <si>
    <t>Automotriz Danale C.A</t>
  </si>
  <si>
    <t>S00486</t>
  </si>
  <si>
    <t>S00495</t>
  </si>
  <si>
    <t>Ruta 8 Autopartes,c.a.</t>
  </si>
  <si>
    <t>S00514</t>
  </si>
  <si>
    <t>Multiservicios Diacedeg,c.a.</t>
  </si>
  <si>
    <t>S00511</t>
  </si>
  <si>
    <t>MOTO REPUESTOS LA FLECHA, C.A.</t>
  </si>
  <si>
    <t>S00516</t>
  </si>
  <si>
    <t>Daniela Sanobria</t>
  </si>
  <si>
    <t>S00510</t>
  </si>
  <si>
    <t>Carlos Bravo</t>
  </si>
  <si>
    <t>S00558</t>
  </si>
  <si>
    <t>Agustin Pedro Rodriguez Carro</t>
  </si>
  <si>
    <t>S00522</t>
  </si>
  <si>
    <t>Servi Motores 3A, C.A</t>
  </si>
  <si>
    <t>S00477</t>
  </si>
  <si>
    <t>Miguel Antonio Chacon</t>
  </si>
  <si>
    <t>S00523</t>
  </si>
  <si>
    <t>Juan antonio salaverria herrera</t>
  </si>
  <si>
    <t>S00525</t>
  </si>
  <si>
    <t>Hidromaticos La Colina, C.A</t>
  </si>
  <si>
    <t>S00474</t>
  </si>
  <si>
    <t>Comercializadora Garabote</t>
  </si>
  <si>
    <t>S00519</t>
  </si>
  <si>
    <t>Auto repuestos Fontalvo</t>
  </si>
  <si>
    <t>S00526</t>
  </si>
  <si>
    <t>Power Sport Servicios El Hatillo, C.A</t>
  </si>
  <si>
    <t>S00483</t>
  </si>
  <si>
    <t>LUBRIREPUESTOS PANORAMA, C.A.</t>
  </si>
  <si>
    <t>S00537</t>
  </si>
  <si>
    <t>Jose Lopez Espinoza</t>
  </si>
  <si>
    <t>S00533</t>
  </si>
  <si>
    <t>INVERSIONES SMALUM 21, C.A.</t>
  </si>
  <si>
    <t>S00538</t>
  </si>
  <si>
    <t>Hipermercado Petare,c.a.</t>
  </si>
  <si>
    <t>S00532</t>
  </si>
  <si>
    <t>DISTRIBUIDORA PINOS 181297 C.A</t>
  </si>
  <si>
    <t>S00545</t>
  </si>
  <si>
    <t>Diana Carolina Torres</t>
  </si>
  <si>
    <t>S00539</t>
  </si>
  <si>
    <t>Bicicletas Repuestos Carioca C.A</t>
  </si>
  <si>
    <t>S00541</t>
  </si>
  <si>
    <t>WDH Automotriz 0706, c.a.</t>
  </si>
  <si>
    <t>S00490</t>
  </si>
  <si>
    <t>ROBERT GUILLEN</t>
  </si>
  <si>
    <t>S00547</t>
  </si>
  <si>
    <t>Repuestos Chevecars Gran Caracas, C.A</t>
  </si>
  <si>
    <t>S00552</t>
  </si>
  <si>
    <t>Monkey moto Services C.A</t>
  </si>
  <si>
    <t>S00551</t>
  </si>
  <si>
    <t>Inversiones Los compadres 7686, c.a.</t>
  </si>
  <si>
    <t>S00554</t>
  </si>
  <si>
    <t>Ideal car</t>
  </si>
  <si>
    <t>S00320</t>
  </si>
  <si>
    <t>Autolavado Artico</t>
  </si>
  <si>
    <t>S00553</t>
  </si>
  <si>
    <t>ADS SERVICE C.A</t>
  </si>
  <si>
    <t>S00550</t>
  </si>
  <si>
    <t>Comercial Rio Paraguas C.A</t>
  </si>
  <si>
    <t>S00559</t>
  </si>
  <si>
    <t>Carlos Ruiz</t>
  </si>
  <si>
    <t>S00563</t>
  </si>
  <si>
    <t>Auto partes Maideirense, C.A</t>
  </si>
  <si>
    <t>S00562</t>
  </si>
  <si>
    <t>Luis Francisco hernandez falcon</t>
  </si>
  <si>
    <t>S00564</t>
  </si>
  <si>
    <t>Yulendri Carolina Pineda Blanco</t>
  </si>
  <si>
    <t>S00567</t>
  </si>
  <si>
    <t>Yeifri Alexander Marquez Zerpa</t>
  </si>
  <si>
    <t>S00473</t>
  </si>
  <si>
    <t>Melany Madrid</t>
  </si>
  <si>
    <t>S00350</t>
  </si>
  <si>
    <t>Larry Herrera</t>
  </si>
  <si>
    <t>S00565</t>
  </si>
  <si>
    <t>Jefferson Navone</t>
  </si>
  <si>
    <t>S00568</t>
  </si>
  <si>
    <t>Fluidtack Soluciones, c.a.</t>
  </si>
  <si>
    <t>S00527</t>
  </si>
  <si>
    <t>COMERCIALIZADORA J.A.N. 65, C.A</t>
  </si>
  <si>
    <t>S00476</t>
  </si>
  <si>
    <t>MAXIAIRE ELECTROMOTRIZ, C.A</t>
  </si>
  <si>
    <t>S00484</t>
  </si>
  <si>
    <t>AUTO REPUESTOS EL DUO 2013, C.A.</t>
  </si>
  <si>
    <t>S00572</t>
  </si>
  <si>
    <t>Jose Gregorio Lopez</t>
  </si>
  <si>
    <t>S00577</t>
  </si>
  <si>
    <t>INVERSIONES F-250, C.A</t>
  </si>
  <si>
    <t>S00576</t>
  </si>
  <si>
    <t>Grupo KACAOIL,C.A.</t>
  </si>
  <si>
    <t>S00575</t>
  </si>
  <si>
    <t>Inversiones Repuestos Flash 3141, C.A</t>
  </si>
  <si>
    <t>S00581</t>
  </si>
  <si>
    <t>Total EN TIEMPO</t>
  </si>
  <si>
    <t>SUM de Saldo Orden</t>
  </si>
  <si>
    <t>SUM de Dias desde el ultimo Pago</t>
  </si>
  <si>
    <t>Total VENCIDA</t>
  </si>
  <si>
    <t>Fecha de la orden - Mes</t>
  </si>
  <si>
    <t>SUM de Total C/Dcto</t>
  </si>
  <si>
    <t>SUM de Cobrado</t>
  </si>
  <si>
    <t>Total feb</t>
  </si>
  <si>
    <t>Total mar</t>
  </si>
  <si>
    <t>Total abr</t>
  </si>
  <si>
    <t>Total may</t>
  </si>
  <si>
    <t>Total jun</t>
  </si>
  <si>
    <t xml:space="preserve">Total </t>
  </si>
  <si>
    <t>Suma total</t>
  </si>
  <si>
    <t>Agrupado: Dias Vencido</t>
  </si>
  <si>
    <t>COUNT de Numero de Orden</t>
  </si>
  <si>
    <t>1 - 30</t>
  </si>
  <si>
    <t>&gt; 30</t>
  </si>
  <si>
    <t>Vendedor</t>
  </si>
  <si>
    <t>Dias Vencido</t>
  </si>
  <si>
    <t>BETANCOURT ROBRIGUEZ LUIS ENRRIQUE</t>
  </si>
  <si>
    <t>Total BETANCOURT ROBRIGUEZ LUIS ENRRIQUE</t>
  </si>
  <si>
    <t>Total CASERES GONZALEZ RONALD OSWALDO</t>
  </si>
  <si>
    <t>Frank Vasquez</t>
  </si>
  <si>
    <t>Total Frank Vasquez</t>
  </si>
  <si>
    <t>Total GRIMAN DIAZ HECTOR EDUARDO</t>
  </si>
  <si>
    <t>LOPEZ ANTUNEZ ANDERSON JOSE</t>
  </si>
  <si>
    <t>Total LOPEZ ANTUNEZ ANDERSON JOSE</t>
  </si>
  <si>
    <t>Total Marco Romero</t>
  </si>
  <si>
    <t>MARTINEZ MONTES JEFFREY ENRIQUE</t>
  </si>
  <si>
    <t>Total MARTINEZ MONTES JEFFREY ENRIQUE</t>
  </si>
  <si>
    <t>OCANTO ZABALA ROSALVY DEL CARMEN</t>
  </si>
  <si>
    <t>Total OCANTO ZABALA ROSALVY DEL CARMEN</t>
  </si>
  <si>
    <t>PACHECO RODRIGUEZ FRANCISCO JAVIER</t>
  </si>
  <si>
    <t>Total PACHECO RODRIGUEZ FRANCISCO JAVIER</t>
  </si>
  <si>
    <t>PEREZ DIAZ ANGEL DE DIOS</t>
  </si>
  <si>
    <t>Total PEREZ DIAZ ANGEL DE DIOS</t>
  </si>
  <si>
    <t>QUEVEDO BASTIDAS NEYKEL DAVID</t>
  </si>
  <si>
    <t>Total QUEVEDO BASTIDAS NEYKEL DAVID</t>
  </si>
  <si>
    <t>Raúl David</t>
  </si>
  <si>
    <t>Total Raúl David</t>
  </si>
  <si>
    <t>REVERON DE CONTRERAS MELANI AUSMAR</t>
  </si>
  <si>
    <t>Total REVERON DE CONTRERAS MELANI AUSMAR</t>
  </si>
  <si>
    <t>TORO ARDILES DAVID JOSE</t>
  </si>
  <si>
    <t>Total TORO ARDILES DAVID JOSE</t>
  </si>
  <si>
    <t>VELASCO RODRIGUEZ MARCOS LEONCIO</t>
  </si>
  <si>
    <t>Total VELASCO RODRIGUEZ MARCOS LEONCIO</t>
  </si>
  <si>
    <t>VILLABONA CORREA ALBA ESTEFANIA</t>
  </si>
  <si>
    <t>Total VILLABONA CORREA ALBA ESTEFANIA</t>
  </si>
  <si>
    <t>SUM de Total</t>
  </si>
  <si>
    <t>feb</t>
  </si>
  <si>
    <t>mar</t>
  </si>
  <si>
    <t>abr</t>
  </si>
  <si>
    <t>may</t>
  </si>
  <si>
    <t>jun</t>
  </si>
  <si>
    <t>Fecha de la orden</t>
  </si>
  <si>
    <t>Total</t>
  </si>
  <si>
    <t>Terminos de pago</t>
  </si>
  <si>
    <t>Descuento x Diferencial %</t>
  </si>
  <si>
    <t>Dcto Pronto Pago %</t>
  </si>
  <si>
    <t>Numero de Orden</t>
  </si>
  <si>
    <t>Fecha</t>
  </si>
  <si>
    <t>Dias de credito</t>
  </si>
  <si>
    <t>Vencimiento</t>
  </si>
  <si>
    <t>Total C/Dcto</t>
  </si>
  <si>
    <t>Monto Pagado USD</t>
  </si>
  <si>
    <t>Moneda de pago</t>
  </si>
  <si>
    <t>Saldo Orden</t>
  </si>
  <si>
    <t>Ultimo Pago</t>
  </si>
  <si>
    <t>Status de Pago</t>
  </si>
  <si>
    <t>Prioridad de Cobro</t>
  </si>
  <si>
    <t>Dias desde el ultimo Pago</t>
  </si>
  <si>
    <t>Validacion Descuento Diferencial</t>
  </si>
  <si>
    <t>Validacion Descuento Pronto Pago</t>
  </si>
  <si>
    <t>Cobrado</t>
  </si>
  <si>
    <t>Validación por Diferencial</t>
  </si>
  <si>
    <t>Columna 27</t>
  </si>
  <si>
    <t>Columna 28</t>
  </si>
  <si>
    <t>Columna 29</t>
  </si>
  <si>
    <t>Columna 30</t>
  </si>
  <si>
    <t>Columna 31</t>
  </si>
  <si>
    <t>Columna 32</t>
  </si>
  <si>
    <t>S00004</t>
  </si>
  <si>
    <t>GARAJE Y TALLERES FRIDELBA, C.A</t>
  </si>
  <si>
    <t>Pago inmediato</t>
  </si>
  <si>
    <t>S00007</t>
  </si>
  <si>
    <t>CALDERON TERAN ARGIMIRO ANTONIO</t>
  </si>
  <si>
    <t>CUMPLE</t>
  </si>
  <si>
    <t>S00008</t>
  </si>
  <si>
    <t>ZIP MARKET, CA</t>
  </si>
  <si>
    <t>S00009</t>
  </si>
  <si>
    <t>E&amp;M CAR SHOP C.A</t>
  </si>
  <si>
    <t>S00010</t>
  </si>
  <si>
    <t>TERA INGENIERIA Y SERVICIOS INDUSTRIALES, C.A</t>
  </si>
  <si>
    <t>21 días</t>
  </si>
  <si>
    <t>S00011</t>
  </si>
  <si>
    <t>MOTO MARCE 21, CA</t>
  </si>
  <si>
    <t>S00014</t>
  </si>
  <si>
    <t>SPEED RACING, CA</t>
  </si>
  <si>
    <t>7 días</t>
  </si>
  <si>
    <t>NO CUMPLE</t>
  </si>
  <si>
    <t>S00017</t>
  </si>
  <si>
    <t>S00018</t>
  </si>
  <si>
    <t>AUTO ACCESORIOS VZLA, C.A.</t>
  </si>
  <si>
    <t>S00019</t>
  </si>
  <si>
    <t>S00021</t>
  </si>
  <si>
    <t>S00022</t>
  </si>
  <si>
    <t>Autorepuestos las 24 horas</t>
  </si>
  <si>
    <t>S00023</t>
  </si>
  <si>
    <t>Multiservicios Sanahuja 36 C.A</t>
  </si>
  <si>
    <t>15 días</t>
  </si>
  <si>
    <t>S00024</t>
  </si>
  <si>
    <t>Encamotors Catia C.A</t>
  </si>
  <si>
    <t>S00028</t>
  </si>
  <si>
    <t>S00029</t>
  </si>
  <si>
    <t>S00030</t>
  </si>
  <si>
    <t>S00032</t>
  </si>
  <si>
    <t>Ferretería JJ Martins c.a</t>
  </si>
  <si>
    <t>S00033</t>
  </si>
  <si>
    <t>S00034</t>
  </si>
  <si>
    <t>S00037</t>
  </si>
  <si>
    <t>Junior Marco Antonio Vivas Navas</t>
  </si>
  <si>
    <t>S00038</t>
  </si>
  <si>
    <t>S00039</t>
  </si>
  <si>
    <t>Moto Bestia, C.A</t>
  </si>
  <si>
    <t>S00041</t>
  </si>
  <si>
    <t>Inversiones Trip K, c.a.</t>
  </si>
  <si>
    <t>S00042</t>
  </si>
  <si>
    <t>S00043</t>
  </si>
  <si>
    <t>Vianney García</t>
  </si>
  <si>
    <t>S00044</t>
  </si>
  <si>
    <t>45 días</t>
  </si>
  <si>
    <t>SIN MONEDA VÁLIDA</t>
  </si>
  <si>
    <t>S00046</t>
  </si>
  <si>
    <t>S00047</t>
  </si>
  <si>
    <t>Rawy Xavier Melendez Caripa</t>
  </si>
  <si>
    <t>S00048</t>
  </si>
  <si>
    <t>Autoelectronica Oranel, C.A.</t>
  </si>
  <si>
    <t>S00050</t>
  </si>
  <si>
    <t>S00051</t>
  </si>
  <si>
    <t>S00052</t>
  </si>
  <si>
    <t>S00053</t>
  </si>
  <si>
    <t>INVERSIONES MI LINDA YEMAIRE 2019, C.A</t>
  </si>
  <si>
    <t>S00055</t>
  </si>
  <si>
    <t>S00056</t>
  </si>
  <si>
    <t>S00057</t>
  </si>
  <si>
    <t>S00060</t>
  </si>
  <si>
    <t>S00062</t>
  </si>
  <si>
    <t>S00063</t>
  </si>
  <si>
    <t>S00064</t>
  </si>
  <si>
    <t>VAL VAL 16 C.A</t>
  </si>
  <si>
    <t>S00065</t>
  </si>
  <si>
    <t>S00066</t>
  </si>
  <si>
    <t>S00067</t>
  </si>
  <si>
    <t>Jesus luciani Russiani.</t>
  </si>
  <si>
    <t>S00072</t>
  </si>
  <si>
    <t>S00074</t>
  </si>
  <si>
    <t>Servicios Nicolazzo 97, C.A</t>
  </si>
  <si>
    <t>S00077</t>
  </si>
  <si>
    <t>Ruben Dario Fernandez</t>
  </si>
  <si>
    <t>S00079</t>
  </si>
  <si>
    <t>S00081</t>
  </si>
  <si>
    <t>Coffee Party, C.A.</t>
  </si>
  <si>
    <t>S00082</t>
  </si>
  <si>
    <t>S00086</t>
  </si>
  <si>
    <t>S00087</t>
  </si>
  <si>
    <t>S00089</t>
  </si>
  <si>
    <t>S00090</t>
  </si>
  <si>
    <t>S00092</t>
  </si>
  <si>
    <t>S00093</t>
  </si>
  <si>
    <t>Emprendimiento YSKRA</t>
  </si>
  <si>
    <t>30 días</t>
  </si>
  <si>
    <t>S00094</t>
  </si>
  <si>
    <t>S00095</t>
  </si>
  <si>
    <t>S00096</t>
  </si>
  <si>
    <t>Video Electrónica Fermat, C.A</t>
  </si>
  <si>
    <t>S00099</t>
  </si>
  <si>
    <t>S00100</t>
  </si>
  <si>
    <t>S00104</t>
  </si>
  <si>
    <t>S00105</t>
  </si>
  <si>
    <t>S00106</t>
  </si>
  <si>
    <t>S00108</t>
  </si>
  <si>
    <t>S00113</t>
  </si>
  <si>
    <t>S00116</t>
  </si>
  <si>
    <t>S00117</t>
  </si>
  <si>
    <t>S00118</t>
  </si>
  <si>
    <t>ELIVAN2025, C.A</t>
  </si>
  <si>
    <t>S00119</t>
  </si>
  <si>
    <t>S00121</t>
  </si>
  <si>
    <t>S00123</t>
  </si>
  <si>
    <t>Ramon Alvarez Mota</t>
  </si>
  <si>
    <t>S00130</t>
  </si>
  <si>
    <t>USD</t>
  </si>
  <si>
    <t>S00131</t>
  </si>
  <si>
    <t>Neykel Quevedo</t>
  </si>
  <si>
    <t>S00132</t>
  </si>
  <si>
    <t>S00136</t>
  </si>
  <si>
    <t>S00137</t>
  </si>
  <si>
    <t>S00139</t>
  </si>
  <si>
    <t>S00140</t>
  </si>
  <si>
    <t>JOSE STURCHIO CAPPELLANIA</t>
  </si>
  <si>
    <t>S00141</t>
  </si>
  <si>
    <t>S00142</t>
  </si>
  <si>
    <t>LOGISTICA Y CONSULTORIA VINCARS, C.A.</t>
  </si>
  <si>
    <t>S00143</t>
  </si>
  <si>
    <t>S00148</t>
  </si>
  <si>
    <t>S00150</t>
  </si>
  <si>
    <t>Inversiones Dekamalbaz, C.A</t>
  </si>
  <si>
    <t>S00152</t>
  </si>
  <si>
    <t>ESTACIONAMIENTO CIACORE 2000 c.a</t>
  </si>
  <si>
    <t>S00153</t>
  </si>
  <si>
    <t>Emprendimiento Yeizon Villaroel</t>
  </si>
  <si>
    <t>S00156</t>
  </si>
  <si>
    <t>EMPRENDIMIENTO MARTIN BASTIDAS 2</t>
  </si>
  <si>
    <t>S00157</t>
  </si>
  <si>
    <t>Turismo Apureño Turapca, C.A</t>
  </si>
  <si>
    <t>S00159</t>
  </si>
  <si>
    <t>S00163</t>
  </si>
  <si>
    <t>DISTRIBUIDORA MULTIAHORRO C.A.</t>
  </si>
  <si>
    <t>S00164</t>
  </si>
  <si>
    <t>S00168</t>
  </si>
  <si>
    <t>S00169</t>
  </si>
  <si>
    <t>S00170</t>
  </si>
  <si>
    <t>S00171</t>
  </si>
  <si>
    <t>S00175</t>
  </si>
  <si>
    <t>S00176</t>
  </si>
  <si>
    <t>Jose Angel Gutierrez Rodriguez</t>
  </si>
  <si>
    <t>S00181</t>
  </si>
  <si>
    <t>S00185</t>
  </si>
  <si>
    <t>Pidelo Y Punto,c.a.</t>
  </si>
  <si>
    <t>S00188</t>
  </si>
  <si>
    <t>S00189</t>
  </si>
  <si>
    <t>Manuel Emilio Reyes</t>
  </si>
  <si>
    <t>S00195</t>
  </si>
  <si>
    <t>S00196</t>
  </si>
  <si>
    <t>Comercial los de faria,c.a.</t>
  </si>
  <si>
    <t>S00201</t>
  </si>
  <si>
    <t>S00203</t>
  </si>
  <si>
    <t>S00208</t>
  </si>
  <si>
    <t>S00211</t>
  </si>
  <si>
    <t>S00220</t>
  </si>
  <si>
    <t>S00225</t>
  </si>
  <si>
    <t>S00227</t>
  </si>
  <si>
    <t>EN LA VIA 2023 C.A</t>
  </si>
  <si>
    <t>S00228</t>
  </si>
  <si>
    <t>CAUCHOS Y ACCESORIOS LA CAMPIÑA, C.A.</t>
  </si>
  <si>
    <t>S00229</t>
  </si>
  <si>
    <t>Devenalsa Deshidratadora Venezolana de Alimentos, S.A.</t>
  </si>
  <si>
    <t>S00230</t>
  </si>
  <si>
    <t>S00233</t>
  </si>
  <si>
    <t>Auto Partes Y Repuestos Encava Express,c.a.</t>
  </si>
  <si>
    <t>S00234</t>
  </si>
  <si>
    <t>Cauchos California, C.A</t>
  </si>
  <si>
    <t>S00237</t>
  </si>
  <si>
    <t>S00238</t>
  </si>
  <si>
    <t>José Brea</t>
  </si>
  <si>
    <t>S00239</t>
  </si>
  <si>
    <t>JONNY DAVID BOLIVAR</t>
  </si>
  <si>
    <t>S00240</t>
  </si>
  <si>
    <t>S00241</t>
  </si>
  <si>
    <t>S00242</t>
  </si>
  <si>
    <t>Servicios de Gruas Torgil 300, c.a.</t>
  </si>
  <si>
    <t>S00246</t>
  </si>
  <si>
    <t>S00260</t>
  </si>
  <si>
    <t>S00262</t>
  </si>
  <si>
    <t>Desarrollo Agrario Integral DAI Los Pucheros 13, C. A.</t>
  </si>
  <si>
    <t>S00264</t>
  </si>
  <si>
    <t>S00274</t>
  </si>
  <si>
    <t>S00279</t>
  </si>
  <si>
    <t>S00280</t>
  </si>
  <si>
    <t>S00284</t>
  </si>
  <si>
    <t>SUPLIPARTES PARAISO, C.A</t>
  </si>
  <si>
    <t>S00289</t>
  </si>
  <si>
    <t>S00291</t>
  </si>
  <si>
    <t>S00295</t>
  </si>
  <si>
    <t>MOTOS Y REPUESTOS DOS RUEDAS, C.A.</t>
  </si>
  <si>
    <t>S00302</t>
  </si>
  <si>
    <t>Sergio Ibrain Rumbo Mundaray</t>
  </si>
  <si>
    <t>S00305</t>
  </si>
  <si>
    <t>S00306</t>
  </si>
  <si>
    <t>S00309</t>
  </si>
  <si>
    <t>S00311</t>
  </si>
  <si>
    <t>S00316</t>
  </si>
  <si>
    <t>MOTO REPUESTO GARCIA 2023, C.A.</t>
  </si>
  <si>
    <t>S00318</t>
  </si>
  <si>
    <t>S00322</t>
  </si>
  <si>
    <t>S00325</t>
  </si>
  <si>
    <t>Comercializadora El Fénix de Catia</t>
  </si>
  <si>
    <t>S00326</t>
  </si>
  <si>
    <t>S00328</t>
  </si>
  <si>
    <t>AGROPECUARIA LECHE Y MIEL, C.A</t>
  </si>
  <si>
    <t>S00330</t>
  </si>
  <si>
    <t>S00334</t>
  </si>
  <si>
    <t>S00340</t>
  </si>
  <si>
    <t>S00348</t>
  </si>
  <si>
    <t>S00349</t>
  </si>
  <si>
    <t>CLUDE CARVALHO DE ACOSTA</t>
  </si>
  <si>
    <t>S00351</t>
  </si>
  <si>
    <t>INVERSIONES BECLA PARTS C.A.</t>
  </si>
  <si>
    <t>S00357</t>
  </si>
  <si>
    <t>S00358</t>
  </si>
  <si>
    <t>S00359</t>
  </si>
  <si>
    <t>S00361</t>
  </si>
  <si>
    <t>Comercializadora Estoril 25,c.a.</t>
  </si>
  <si>
    <t>S00364</t>
  </si>
  <si>
    <t>CAUCHOS NUÑEZ, C.A.</t>
  </si>
  <si>
    <t>S00365</t>
  </si>
  <si>
    <t>Kiosco Willianny 1013, C.A</t>
  </si>
  <si>
    <t>S00366</t>
  </si>
  <si>
    <t>S00369</t>
  </si>
  <si>
    <t>ELENA MEJIAS</t>
  </si>
  <si>
    <t>S00372</t>
  </si>
  <si>
    <t>S00374</t>
  </si>
  <si>
    <t>SIN TOTAL</t>
  </si>
  <si>
    <t>S00376</t>
  </si>
  <si>
    <t>S00379</t>
  </si>
  <si>
    <t>S00380</t>
  </si>
  <si>
    <t>S00382</t>
  </si>
  <si>
    <t>S00394</t>
  </si>
  <si>
    <t>Sandra Katherine Quintero Crespo</t>
  </si>
  <si>
    <t>S00396</t>
  </si>
  <si>
    <t>S00401</t>
  </si>
  <si>
    <t>Jorge Luis camacaro</t>
  </si>
  <si>
    <t>S00402</t>
  </si>
  <si>
    <t>S00410</t>
  </si>
  <si>
    <t>S00412</t>
  </si>
  <si>
    <t>S00416</t>
  </si>
  <si>
    <t>S00418</t>
  </si>
  <si>
    <t>S00424</t>
  </si>
  <si>
    <t>Antonio Terán</t>
  </si>
  <si>
    <t>S00428</t>
  </si>
  <si>
    <t>S00431</t>
  </si>
  <si>
    <t>Carlos Eduardo Ascension Matos</t>
  </si>
  <si>
    <t>S00435</t>
  </si>
  <si>
    <t>PROYECTOS Y DESARROLLO TOMTOM,C.A.</t>
  </si>
  <si>
    <t>S00441</t>
  </si>
  <si>
    <t>S00443</t>
  </si>
  <si>
    <t>S00449</t>
  </si>
  <si>
    <t>S00457</t>
  </si>
  <si>
    <t>S00458</t>
  </si>
  <si>
    <t>Comercializadora 1108,c.a.</t>
  </si>
  <si>
    <t>S00472</t>
  </si>
  <si>
    <t>S00489</t>
  </si>
  <si>
    <t>Cauchera El Gordo 0410,c.a.</t>
  </si>
  <si>
    <t>S00498</t>
  </si>
  <si>
    <t>S00503</t>
  </si>
  <si>
    <t>S00506</t>
  </si>
  <si>
    <t>S00507</t>
  </si>
  <si>
    <t>S00513</t>
  </si>
  <si>
    <t>S00515</t>
  </si>
  <si>
    <t>Emprendimiento Emily Blanco 10</t>
  </si>
  <si>
    <t>S00540</t>
  </si>
  <si>
    <t>S00543</t>
  </si>
  <si>
    <t>Jose de Andrade</t>
  </si>
  <si>
    <t>S00546</t>
  </si>
  <si>
    <t>S00555</t>
  </si>
  <si>
    <t>S00556</t>
  </si>
  <si>
    <t>S00560</t>
  </si>
  <si>
    <t>Auto Lavado Norte Sur CS, C.A</t>
  </si>
  <si>
    <t>S00561</t>
  </si>
  <si>
    <t>Repuestos El Portu26 C.A</t>
  </si>
  <si>
    <t>S00570</t>
  </si>
  <si>
    <t>S00578</t>
  </si>
  <si>
    <t>AUTOLAVADO ANDRES BELLO C.A</t>
  </si>
  <si>
    <t>S00579</t>
  </si>
  <si>
    <t>S00580</t>
  </si>
  <si>
    <t>S00582</t>
  </si>
  <si>
    <t>York Dick Mujica Andarcia</t>
  </si>
  <si>
    <t>S00583</t>
  </si>
  <si>
    <t>UBAG Services,c.a.</t>
  </si>
  <si>
    <t>S00584</t>
  </si>
  <si>
    <t>S00585</t>
  </si>
  <si>
    <t>S00586</t>
  </si>
  <si>
    <t>July villasana</t>
  </si>
  <si>
    <t>S00587</t>
  </si>
  <si>
    <t>S00588</t>
  </si>
  <si>
    <t>S00589</t>
  </si>
  <si>
    <t>SUKAY MOTORS V.I.P C.A</t>
  </si>
  <si>
    <t>S00590</t>
  </si>
  <si>
    <t>S00591</t>
  </si>
  <si>
    <t>Chaquiro Arteaga</t>
  </si>
  <si>
    <t>S00592</t>
  </si>
  <si>
    <t>Kevin Monsalve</t>
  </si>
  <si>
    <t/>
  </si>
  <si>
    <t>Moneda</t>
  </si>
  <si>
    <t>Descuento Diferencial MAX</t>
  </si>
  <si>
    <t>Peso del pago en Factura</t>
  </si>
  <si>
    <t>VES</t>
  </si>
  <si>
    <t>MIXTO</t>
  </si>
  <si>
    <t>NOMBRE</t>
  </si>
  <si>
    <t>Órdenes con Discrepancia de Monto</t>
  </si>
  <si>
    <t>Faltantes en Ventas</t>
  </si>
  <si>
    <t>Faltantes en Odoo</t>
  </si>
  <si>
    <t>Orden</t>
  </si>
  <si>
    <t>Monto Odoo</t>
  </si>
  <si>
    <t>Total (Ventas E)</t>
  </si>
  <si>
    <t>Total C/Dcto (Ventas M)</t>
  </si>
  <si>
    <t>Diferencia</t>
  </si>
  <si>
    <t>Monto Ventas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</si>
</sst>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 hh:mm:ss"/>
    <numFmt numFmtId="165" formatCode="d/M/yyyy"/>
    <numFmt numFmtId="166" formatCode="yyyy\-mm\-dd\ hh:mm:ss"/>
    <numFmt numFmtId="167" formatCode="m/d/yyyy h:mm:ss"/>
    <numFmt numFmtId="168" formatCode="0.0000%"/>
    <numFmt numFmtId="169" formatCode="#,##0.0000"/>
  </numFmts>
  <fonts count="10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rgb="FF434343"/>
      <name val="Roboto"/>
    </font>
    <font>
      <b/>
      <color theme="1"/>
      <name val="Calibri"/>
      <scheme val="minor"/>
    </font>
    <font>
      <b/>
      <sz val="12.0"/>
      <color rgb="FFFFFFFF"/>
      <name val="Montserrat"/>
    </font>
    <font>
      <sz val="10.0"/>
      <color rgb="FF181C1F"/>
      <name val="Roboto"/>
    </font>
    <font>
      <b/>
      <sz val="10.0"/>
      <color rgb="FF181C1F"/>
      <name val="Montserrat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A3B2CC"/>
        <bgColor rgb="FFA3B2CC"/>
      </patternFill>
    </fill>
    <fill>
      <patternFill patternType="solid">
        <fgColor rgb="FFF2F5F7"/>
        <bgColor rgb="FFF2F5F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AAAAAA"/>
        <bgColor rgb="FFAAAAAA"/>
      </patternFill>
    </fill>
    <fill>
      <patternFill patternType="solid">
        <fgColor rgb="FF35608E"/>
        <bgColor rgb="FF35608E"/>
      </patternFill>
    </fill>
    <fill>
      <patternFill patternType="solid">
        <fgColor rgb="FFE6E8ED"/>
        <bgColor rgb="FFE6E8ED"/>
      </patternFill>
    </fill>
  </fills>
  <borders count="5">
    <border/>
    <border>
      <left style="thin">
        <color rgb="FFFFFFFF"/>
      </lef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2" fontId="1" numFmtId="0" xfId="0" applyFill="1" applyFont="1"/>
    <xf borderId="0" fillId="0" fontId="1" numFmtId="4" xfId="0" applyFont="1" applyNumberFormat="1"/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0" fillId="0" fontId="2" numFmtId="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3" fontId="1" numFmtId="0" xfId="0" applyFill="1" applyFont="1"/>
    <xf borderId="0" fillId="0" fontId="1" numFmtId="166" xfId="0" applyFont="1" applyNumberFormat="1"/>
    <xf borderId="1" fillId="4" fontId="2" numFmtId="0" xfId="0" applyAlignment="1" applyBorder="1" applyFill="1" applyFont="1">
      <alignment vertical="bottom"/>
    </xf>
    <xf borderId="2" fillId="4" fontId="2" numFmtId="0" xfId="0" applyAlignment="1" applyBorder="1" applyFont="1">
      <alignment vertical="bottom"/>
    </xf>
    <xf borderId="0" fillId="5" fontId="2" numFmtId="4" xfId="0" applyAlignment="1" applyFill="1" applyFont="1" applyNumberFormat="1">
      <alignment horizontal="right" vertical="bottom"/>
    </xf>
    <xf borderId="0" fillId="0" fontId="1" numFmtId="167" xfId="0" applyFont="1" applyNumberFormat="1"/>
    <xf borderId="0" fillId="0" fontId="3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4" xfId="0" applyAlignment="1" applyFont="1" applyNumberFormat="1">
      <alignment horizontal="right" readingOrder="0" shrinkToFit="0" vertical="bottom" wrapText="0"/>
    </xf>
    <xf borderId="0" fillId="0" fontId="2" numFmtId="10" xfId="0" applyAlignment="1" applyFont="1" applyNumberFormat="1">
      <alignment readingOrder="0" shrinkToFit="0" vertical="center" wrapText="1"/>
    </xf>
    <xf borderId="0" fillId="0" fontId="2" numFmtId="10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5" xfId="0" applyAlignment="1" applyFont="1" applyNumberFormat="1">
      <alignment shrinkToFit="0" vertical="center" wrapText="1"/>
    </xf>
    <xf borderId="0" fillId="0" fontId="2" numFmtId="4" xfId="0" applyAlignment="1" applyFont="1" applyNumberFormat="1">
      <alignment shrinkToFit="0" vertical="center" wrapText="1"/>
    </xf>
    <xf borderId="0" fillId="0" fontId="2" numFmtId="165" xfId="0" applyAlignment="1" applyFont="1" applyNumberFormat="1">
      <alignment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2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2" numFmtId="2" xfId="0" applyAlignment="1" applyFont="1" applyNumberFormat="1">
      <alignment readingOrder="0" shrinkToFit="0" vertical="center" wrapText="1"/>
    </xf>
    <xf borderId="0" fillId="0" fontId="2" numFmtId="4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4" numFmtId="165" xfId="0" applyAlignment="1" applyFont="1" applyNumberFormat="1">
      <alignment readingOrder="0" shrinkToFit="0" vertical="bottom" wrapText="0"/>
    </xf>
    <xf borderId="0" fillId="0" fontId="4" numFmtId="166" xfId="0" applyAlignment="1" applyFont="1" applyNumberFormat="1">
      <alignment horizontal="right" readingOrder="0" shrinkToFit="0" vertical="bottom" wrapText="0"/>
    </xf>
    <xf borderId="0" fillId="0" fontId="2" numFmtId="10" xfId="0" applyAlignment="1" applyFont="1" applyNumberFormat="1">
      <alignment readingOrder="0" shrinkToFit="0" vertical="center" wrapText="1"/>
    </xf>
    <xf borderId="0" fillId="0" fontId="1" numFmtId="168" xfId="0" applyAlignment="1" applyFont="1" applyNumberForma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3" fillId="5" fontId="2" numFmtId="10" xfId="0" applyAlignment="1" applyBorder="1" applyFont="1" applyNumberFormat="1">
      <alignment shrinkToFit="0" vertical="center" wrapText="0"/>
    </xf>
    <xf borderId="3" fillId="5" fontId="2" numFmtId="0" xfId="0" applyAlignment="1" applyBorder="1" applyFont="1">
      <alignment horizontal="right" shrinkToFit="0" vertical="center" wrapText="1"/>
    </xf>
    <xf borderId="3" fillId="5" fontId="2" numFmtId="165" xfId="0" applyAlignment="1" applyBorder="1" applyFont="1" applyNumberFormat="1">
      <alignment horizontal="right" shrinkToFit="0" vertical="center" wrapText="1"/>
    </xf>
    <xf borderId="3" fillId="5" fontId="2" numFmtId="4" xfId="0" applyAlignment="1" applyBorder="1" applyFont="1" applyNumberFormat="1">
      <alignment horizontal="right" shrinkToFit="0" vertical="center" wrapText="1"/>
    </xf>
    <xf borderId="3" fillId="5" fontId="2" numFmtId="0" xfId="0" applyAlignment="1" applyBorder="1" applyFont="1">
      <alignment horizontal="right" shrinkToFit="0" vertical="center" wrapText="0"/>
    </xf>
    <xf borderId="3" fillId="5" fontId="5" numFmtId="0" xfId="0" applyAlignment="1" applyBorder="1" applyFont="1">
      <alignment shrinkToFit="0" vertical="center" wrapText="0"/>
    </xf>
    <xf borderId="3" fillId="5" fontId="2" numFmtId="2" xfId="0" applyAlignment="1" applyBorder="1" applyFont="1" applyNumberFormat="1">
      <alignment horizontal="right" shrinkToFit="0" vertical="center" wrapText="1"/>
    </xf>
    <xf borderId="3" fillId="5" fontId="2" numFmtId="4" xfId="0" applyAlignment="1" applyBorder="1" applyFont="1" applyNumberFormat="1">
      <alignment shrinkToFit="0" vertical="center" wrapText="1"/>
    </xf>
    <xf borderId="3" fillId="5" fontId="2" numFmtId="165" xfId="0" applyAlignment="1" applyBorder="1" applyFont="1" applyNumberFormat="1">
      <alignment shrinkToFit="0" vertical="center" wrapText="1"/>
    </xf>
    <xf borderId="3" fillId="5" fontId="2" numFmtId="0" xfId="0" applyAlignment="1" applyBorder="1" applyFont="1">
      <alignment shrinkToFit="0" vertical="center" wrapText="1"/>
    </xf>
    <xf borderId="3" fillId="5" fontId="2" numFmtId="0" xfId="0" applyAlignment="1" applyBorder="1" applyFont="1">
      <alignment shrinkToFit="0" vertical="center" wrapText="0"/>
    </xf>
    <xf borderId="4" fillId="5" fontId="2" numFmtId="0" xfId="0" applyAlignment="1" applyBorder="1" applyFont="1">
      <alignment shrinkToFit="0" vertical="center" wrapText="0"/>
    </xf>
    <xf borderId="0" fillId="5" fontId="2" numFmtId="0" xfId="0" applyAlignment="1" applyFont="1">
      <alignment shrinkToFit="0" vertical="center" wrapText="0"/>
    </xf>
    <xf borderId="3" fillId="6" fontId="5" numFmtId="0" xfId="0" applyAlignment="1" applyBorder="1" applyFill="1" applyFont="1">
      <alignment horizontal="right" shrinkToFit="0" vertical="center" wrapText="0"/>
    </xf>
    <xf borderId="4" fillId="6" fontId="5" numFmtId="0" xfId="0" applyAlignment="1" applyBorder="1" applyFont="1">
      <alignment shrinkToFit="0" vertical="center" wrapText="0"/>
    </xf>
    <xf borderId="0" fillId="6" fontId="5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0" xfId="0" applyAlignment="1" applyFont="1" applyNumberFormat="1">
      <alignment readingOrder="0"/>
    </xf>
    <xf borderId="0" fillId="0" fontId="1" numFmtId="10" xfId="0" applyFont="1" applyNumberFormat="1"/>
    <xf borderId="0" fillId="0" fontId="6" numFmtId="0" xfId="0" applyFont="1"/>
    <xf borderId="0" fillId="0" fontId="1" numFmtId="165" xfId="0" applyFont="1" applyNumberFormat="1"/>
    <xf borderId="0" fillId="0" fontId="1" numFmtId="3" xfId="0" applyFont="1" applyNumberFormat="1"/>
    <xf borderId="0" fillId="0" fontId="1" numFmtId="49" xfId="0" applyFont="1" applyNumberFormat="1"/>
    <xf borderId="0" fillId="0" fontId="1" numFmtId="0" xfId="0" applyFont="1"/>
    <xf borderId="0" fillId="0" fontId="1" numFmtId="169" xfId="0" applyFont="1" applyNumberFormat="1"/>
    <xf borderId="0" fillId="0" fontId="1" numFmtId="2" xfId="0" applyFont="1" applyNumberFormat="1"/>
    <xf borderId="0" fillId="7" fontId="4" numFmtId="0" xfId="0" applyAlignment="1" applyFill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8" fontId="7" numFmtId="0" xfId="0" applyAlignment="1" applyFill="1" applyFont="1">
      <alignment horizontal="center" readingOrder="0"/>
    </xf>
    <xf borderId="0" fillId="5" fontId="7" numFmtId="0" xfId="0" applyAlignment="1" applyFont="1">
      <alignment horizontal="center"/>
    </xf>
    <xf borderId="0" fillId="5" fontId="8" numFmtId="0" xfId="0" applyFont="1"/>
    <xf borderId="0" fillId="9" fontId="9" numFmtId="0" xfId="0" applyAlignment="1" applyFill="1" applyFont="1">
      <alignment horizontal="center" readingOrder="0" shrinkToFit="0" wrapText="1"/>
    </xf>
    <xf borderId="0" fillId="5" fontId="9" numFmtId="0" xfId="0" applyAlignment="1" applyFont="1">
      <alignment horizontal="center" shrinkToFit="0" wrapText="1"/>
    </xf>
    <xf borderId="0" fillId="5" fontId="8" numFmtId="0" xfId="0" applyAlignment="1" applyFont="1">
      <alignment shrinkToFit="0" wrapText="1"/>
    </xf>
    <xf borderId="0" fillId="5" fontId="8" numFmtId="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Vent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3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pivotCacheDefinition" Target="pivotCache/pivotCacheDefinition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2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1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F595" sheet="Ventas"/>
  </cacheSource>
  <cacheFields>
    <cacheField name="Referencia de la orden" numFmtId="0">
      <sharedItems containsBlank="1">
        <s v="S00004"/>
        <s v="S00007"/>
        <s v="S00008"/>
        <s v="S00009"/>
        <s v="S00010"/>
        <s v="S00011"/>
        <s v="S00014"/>
        <s v="S00015"/>
        <s v="S00017"/>
        <s v="S00018"/>
        <s v="S00019"/>
        <s v="S00020"/>
        <s v="S00021"/>
        <s v="S00022"/>
        <s v="S00023"/>
        <s v="S00024"/>
        <s v="S00026"/>
        <s v="S00027"/>
        <s v="S00028"/>
        <s v="S00029"/>
        <s v="S00030"/>
        <s v="S00031"/>
        <s v="S00032"/>
        <s v="S00033"/>
        <s v="S00034"/>
        <s v="S00036"/>
        <s v="S00037"/>
        <s v="S00038"/>
        <s v="S00039"/>
        <s v="S00040"/>
        <s v="S00041"/>
        <s v="S00042"/>
        <s v="S00043"/>
        <s v="S00044"/>
        <s v="S00045"/>
        <s v="S00046"/>
        <s v="S00047"/>
        <s v="S00048"/>
        <s v="S00049"/>
        <s v="S00050"/>
        <s v="S00051"/>
        <s v="S00052"/>
        <s v="S00053"/>
        <s v="S00054"/>
        <s v="S00055"/>
        <s v="S00056"/>
        <s v="S00057"/>
        <s v="S00058"/>
        <s v="S00059"/>
        <s v="S00060"/>
        <s v="S00061"/>
        <s v="S00062"/>
        <s v="S00063"/>
        <s v="S00064"/>
        <s v="S00065"/>
        <s v="S00066"/>
        <s v="S00067"/>
        <s v="S00069"/>
        <s v="S00072"/>
        <s v="S00073"/>
        <s v="S00074"/>
        <s v="S00077"/>
        <s v="S00078"/>
        <s v="S00079"/>
        <s v="S00081"/>
        <s v="S00082"/>
        <s v="S00083"/>
        <s v="S00084"/>
        <s v="S00086"/>
        <s v="S00087"/>
        <s v="S00088"/>
        <s v="S00089"/>
        <s v="S00090"/>
        <s v="S00092"/>
        <s v="S00093"/>
        <s v="S00094"/>
        <s v="S00095"/>
        <s v="S00096"/>
        <s v="S00097"/>
        <s v="S00098"/>
        <s v="S00099"/>
        <s v="S00100"/>
        <s v="S00101"/>
        <s v="S00103"/>
        <s v="S00104"/>
        <s v="S00105"/>
        <s v="S00106"/>
        <s v="S00108"/>
        <s v="S00113"/>
        <s v="S00114"/>
        <s v="S00116"/>
        <s v="S00117"/>
        <s v="S00118"/>
        <s v="S00119"/>
        <s v="S00120"/>
        <s v="S00121"/>
        <s v="S00122"/>
        <s v="S00123"/>
        <s v="S00124"/>
        <s v="S00125"/>
        <s v="S00126"/>
        <s v="S00127"/>
        <s v="S00128"/>
        <s v="S00129"/>
        <s v="S00130"/>
        <s v="S00131"/>
        <s v="S00132"/>
        <s v="S00133"/>
        <s v="S00136"/>
        <s v="S00137"/>
        <s v="S00138"/>
        <s v="S00139"/>
        <s v="S00140"/>
        <s v="S00141"/>
        <s v="S00142"/>
        <s v="S00143"/>
        <s v="S00144"/>
        <s v="S00145"/>
        <s v="S00146"/>
        <s v="S00148"/>
        <s v="S00149"/>
        <s v="S00150"/>
        <s v="S00151"/>
        <s v="S00152"/>
        <s v="S00153"/>
        <s v="S00154"/>
        <s v="S00156"/>
        <s v="S00157"/>
        <s v="S00158"/>
        <s v="S00159"/>
        <s v="S00160"/>
        <s v="S00161"/>
        <s v="S00163"/>
        <s v="S00164"/>
        <s v="S00165"/>
        <s v="S00166"/>
        <s v="S00167"/>
        <s v="S00168"/>
        <s v="S00169"/>
        <s v="S00170"/>
        <s v="S00171"/>
        <s v="S00174"/>
        <s v="S00175"/>
        <s v="S00176"/>
        <s v="S00177"/>
        <s v="S00178"/>
        <s v="S00179"/>
        <s v="S00181"/>
        <s v="S00182"/>
        <s v="S00183"/>
        <s v="S00184"/>
        <s v="S00185"/>
        <s v="S00186"/>
        <s v="S00187"/>
        <s v="S00188"/>
        <s v="S00189"/>
        <s v="S00190"/>
        <s v="S00192"/>
        <s v="S00195"/>
        <s v="S00196"/>
        <s v="S00197"/>
        <s v="S00198"/>
        <s v="S00199"/>
        <s v="S00201"/>
        <s v="S00202"/>
        <s v="S00203"/>
        <s v="S00204"/>
        <s v="S00205"/>
        <s v="S00206"/>
        <s v="S00207"/>
        <s v="S00208"/>
        <s v="S00209"/>
        <s v="S00210"/>
        <s v="S00211"/>
        <s v="S00212"/>
        <s v="S00213"/>
        <s v="S00214"/>
        <s v="S00215"/>
        <s v="S00218"/>
        <s v="S00219"/>
        <s v="S00220"/>
        <s v="S00221"/>
        <s v="S00222"/>
        <s v="S00223"/>
        <s v="S00225"/>
        <s v="S00226"/>
        <s v="S00227"/>
        <s v="S00228"/>
        <s v="S00229"/>
        <s v="S00230"/>
        <s v="S00231"/>
        <s v="S00233"/>
        <s v="S00234"/>
        <s v="S00235"/>
        <s v="S00236"/>
        <s v="S00237"/>
        <s v="S00238"/>
        <s v="S00239"/>
        <s v="S00240"/>
        <s v="S00241"/>
        <s v="S00242"/>
        <s v="S00243"/>
        <s v="S00244"/>
        <s v="S00245"/>
        <s v="S00246"/>
        <s v="S00247"/>
        <s v="S00248"/>
        <s v="S00249"/>
        <s v="S00250"/>
        <s v="S00257"/>
        <s v="S00258"/>
        <s v="S00259"/>
        <s v="S00260"/>
        <s v="S00261"/>
        <s v="S00262"/>
        <s v="S00263"/>
        <s v="S00264"/>
        <s v="S00265"/>
        <s v="S00274"/>
        <s v="S00279"/>
        <s v="S00280"/>
        <s v="S00282"/>
        <s v="S00283"/>
        <s v="S00284"/>
        <s v="S00285"/>
        <s v="S00286"/>
        <s v="S00287"/>
        <s v="S00289"/>
        <s v="S00291"/>
        <s v="S00292"/>
        <s v="S00293"/>
        <s v="S00294"/>
        <s v="S00295"/>
        <s v="S00296"/>
        <s v="S00298"/>
        <s v="S00300"/>
        <s v="S00301"/>
        <s v="S00302"/>
        <s v="S00303"/>
        <s v="S00304"/>
        <s v="S00305"/>
        <s v="S00306"/>
        <s v="S00308"/>
        <s v="S00309"/>
        <s v="S00310"/>
        <s v="S00311"/>
        <s v="S00313"/>
        <s v="S00314"/>
        <s v="S00315"/>
        <s v="S00316"/>
        <s v="S00317"/>
        <s v="S00318"/>
        <s v="S00319"/>
        <s v="S00320"/>
        <s v="S00321"/>
        <s v="S00322"/>
        <s v="S00323"/>
        <s v="S00324"/>
        <s v="S00325"/>
        <s v="S00326"/>
        <s v="S00327"/>
        <s v="S00328"/>
        <s v="S00330"/>
        <s v="S00331"/>
        <s v="S00332"/>
        <s v="S00334"/>
        <s v="S00335"/>
        <s v="S00336"/>
        <s v="S00337"/>
        <s v="S00338"/>
        <s v="S00339"/>
        <s v="S00340"/>
        <s v="S00341"/>
        <s v="S00343"/>
        <s v="S00344"/>
        <s v="S00346"/>
        <s v="S00347"/>
        <s v="S00348"/>
        <s v="S00349"/>
        <s v="S00350"/>
        <s v="S00351"/>
        <s v="S00352"/>
        <s v="S00353"/>
        <s v="S00354"/>
        <s v="S00355"/>
        <s v="S00356"/>
        <s v="S00357"/>
        <s v="S00358"/>
        <s v="S00359"/>
        <s v="S00361"/>
        <s v="S00362"/>
        <s v="S00363"/>
        <s v="S00364"/>
        <s v="S00365"/>
        <s v="S00366"/>
        <s v="S00368"/>
        <s v="S00369"/>
        <s v="S00372"/>
        <s v="S00373"/>
        <s v="S00374"/>
        <s v="S00375"/>
        <s v="S00376"/>
        <s v="S00378"/>
        <s v="S00379"/>
        <s v="S00380"/>
        <s v="S00381"/>
        <s v="S00382"/>
        <s v="S00384"/>
        <s v="S00386"/>
        <s v="S00387"/>
        <s v="S00388"/>
        <s v="S00389"/>
        <s v="S00392"/>
        <s v="S00393"/>
        <s v="S00394"/>
        <s v="S00395"/>
        <s v="S00396"/>
        <s v="S00397"/>
        <s v="S00398"/>
        <s v="S00399"/>
        <s v="S00400"/>
        <s v="S00401"/>
        <s v="S00402"/>
        <s v="S00404"/>
        <s v="S00405"/>
        <s v="S00407"/>
        <s v="S00408"/>
        <s v="S00410"/>
        <s v="S00411"/>
        <s v="S00412"/>
        <s v="S00413"/>
        <s v="S00414"/>
        <s v="S00415"/>
        <s v="S00416"/>
        <s v="S00417"/>
        <s v="S00418"/>
        <s v="S00419"/>
        <s v="S00420"/>
        <s v="S00421"/>
        <s v="S00422"/>
        <s v="S00423"/>
        <s v="S00424"/>
        <s v="S00425"/>
        <s v="S00426"/>
        <s v="S00427"/>
        <s v="S00428"/>
        <s v="S00429"/>
        <s v="S00430"/>
        <s v="S00431"/>
        <s v="S00432"/>
        <s v="S00433"/>
        <s v="S00434"/>
        <s v="S00435"/>
        <s v="S00436"/>
        <s v="S00437"/>
        <s v="S00439"/>
        <s v="S00440"/>
        <s v="S00441"/>
        <s v="S00442"/>
        <s v="S00443"/>
        <s v="S00444"/>
        <s v="S00446"/>
        <s v="S00447"/>
        <s v="S00449"/>
        <s v="S00450"/>
        <s v="S00451"/>
        <s v="S00452"/>
        <s v="S00454"/>
        <s v="S00456"/>
        <s v="S00457"/>
        <s v="S00458"/>
        <s v="S00462"/>
        <s v="S00464"/>
        <s v="S00465"/>
        <s v="S00466"/>
        <s v="S00467"/>
        <s v="S00468"/>
        <s v="S00469"/>
        <s v="S00470"/>
        <s v="S00471"/>
        <s v="S00472"/>
        <s v="S00473"/>
        <s v="S00474"/>
        <s v="S00475"/>
        <s v="S00476"/>
        <s v="S00477"/>
        <s v="S00478"/>
        <s v="S00479"/>
        <s v="S00482"/>
        <s v="S00483"/>
        <s v="S00484"/>
        <s v="S00485"/>
        <s v="S00486"/>
        <s v="S00488"/>
        <s v="S00489"/>
        <s v="S00490"/>
        <s v="S00491"/>
        <s v="S00492"/>
        <s v="S00493"/>
        <s v="S00494"/>
        <s v="S00495"/>
        <s v="S00496"/>
        <s v="S00497"/>
        <s v="S00498"/>
        <s v="S00499"/>
        <s v="S00500"/>
        <s v="S00501"/>
        <s v="S00502"/>
        <s v="S00503"/>
        <s v="S00505"/>
        <s v="S00506"/>
        <s v="S00507"/>
        <s v="S00508"/>
        <s v="S00509"/>
        <s v="S00510"/>
        <s v="S00511"/>
        <s v="S00512"/>
        <s v="S00513"/>
        <s v="S00514"/>
        <s v="S00515"/>
        <s v="S00516"/>
        <s v="S00517"/>
        <s v="S00518"/>
        <s v="S00519"/>
        <s v="S00520"/>
        <s v="S00522"/>
        <s v="S00523"/>
        <s v="S00525"/>
        <s v="S00526"/>
        <s v="S00527"/>
        <s v="S00528"/>
        <s v="S00529"/>
        <s v="S00530"/>
        <s v="S00531"/>
        <s v="S00532"/>
        <s v="S00533"/>
        <s v="S00534"/>
        <s v="S00535"/>
        <s v="S00536"/>
        <s v="S00537"/>
        <s v="S00538"/>
        <s v="S00539"/>
        <s v="S00540"/>
        <s v="S00541"/>
        <s v="S00542"/>
        <s v="S00543"/>
        <s v="S00544"/>
        <s v="S00545"/>
        <s v="S00546"/>
        <s v="S00547"/>
        <s v="S00549"/>
        <s v="S00550"/>
        <s v="S00551"/>
        <s v="S00552"/>
        <s v="S00553"/>
        <s v="S00554"/>
        <s v="S00555"/>
        <s v="S00556"/>
        <s v="S00557"/>
        <s v="S00558"/>
        <s v="S00559"/>
        <s v="S00560"/>
        <s v="S00561"/>
        <s v="S00562"/>
        <s v="S00563"/>
        <s v="S00564"/>
        <s v="S00565"/>
        <s v="S00566"/>
        <s v="S00567"/>
        <s v="S00568"/>
        <s v="S00570"/>
        <s v="S00571"/>
        <s v="S00572"/>
        <s v="S00573"/>
        <s v="S00574"/>
        <s v="S00575"/>
        <s v="S00576"/>
        <s v="S00577"/>
        <s v="S00578"/>
        <s v="S00579"/>
        <s v="S00580"/>
        <s v="S00581"/>
        <s v="S00582"/>
        <s v="S00583"/>
        <s v="S00584"/>
        <s v="S00585"/>
        <s v="S00586"/>
        <s v="S00587"/>
        <s v="S00588"/>
        <s v="S00589"/>
        <s v="S00590"/>
        <s v="S00591"/>
        <s v="S00592"/>
        <m/>
      </sharedItems>
    </cacheField>
    <cacheField name="Fecha de la orden" numFmtId="164">
      <sharedItems containsDate="1" containsString="0" containsBlank="1">
        <d v="2026-03-09T05:46:05Z"/>
        <d v="2026-02-26T11:03:34Z"/>
        <d v="2026-02-26T12:04:03Z"/>
        <d v="2026-02-26T12:12:16Z"/>
        <d v="2026-03-16T08:30:19Z"/>
        <d v="2026-03-13T17:23:50Z"/>
        <d v="2026-03-09T05:47:20Z"/>
        <d v="2026-03-09T05:47:34Z"/>
        <d v="2026-03-09T05:47:50Z"/>
        <d v="2026-03-09T05:47:58Z"/>
        <d v="2026-03-03T15:32:17Z"/>
        <d v="2026-03-09T05:48:52Z"/>
        <d v="2026-03-09T05:49:02Z"/>
        <d v="2026-03-09T05:49:11Z"/>
        <d v="2026-03-09T05:49:23Z"/>
        <d v="2026-03-09T05:49:34Z"/>
        <d v="2026-03-09T05:49:52Z"/>
        <d v="2026-03-09T05:51:09Z"/>
        <d v="2026-03-04T14:06:27Z"/>
        <d v="2026-03-09T05:50:11Z"/>
        <d v="2026-03-09T05:51:16Z"/>
        <d v="2026-03-09T05:50:21Z"/>
        <d v="2026-03-09T05:50:28Z"/>
        <d v="2026-03-05T08:44:27Z"/>
        <d v="2026-03-09T05:50:40Z"/>
        <d v="2026-03-09T05:50:49Z"/>
        <d v="2026-03-09T06:07:31Z"/>
        <d v="2026-03-09T06:07:38Z"/>
        <d v="2026-03-09T06:07:40Z"/>
        <d v="2026-03-09T06:07:43Z"/>
        <d v="2026-03-09T06:07:48Z"/>
        <d v="2026-03-06T14:04:22Z"/>
        <d v="2026-03-06T16:17:37Z"/>
        <d v="2026-03-06T16:23:53Z"/>
        <d v="2026-03-09T05:45:51Z"/>
        <d v="2026-03-10T10:36:19Z"/>
        <d v="2026-03-09T13:14:07Z"/>
        <d v="2026-03-09T15:44:40Z"/>
        <d v="2026-03-10T11:02:53Z"/>
        <d v="2026-03-09T16:10:07Z"/>
        <d v="2026-03-10T11:02:28Z"/>
        <d v="2026-03-10T07:52:48Z"/>
        <d v="2026-03-10T11:02:06Z"/>
        <d v="2026-03-11T08:57:54Z"/>
        <d v="2026-03-10T11:37:13Z"/>
        <d v="2026-03-10T15:57:31Z"/>
        <d v="2026-03-10T16:41:51Z"/>
        <d v="2026-03-10T16:41:27Z"/>
        <d v="2026-03-10T16:42:16Z"/>
        <d v="2026-03-10T16:41:13Z"/>
        <d v="2026-03-11T16:48:08Z"/>
        <d v="2026-03-11T16:00:08Z"/>
        <d v="2026-03-11T08:57:24Z"/>
        <d v="2026-03-11T08:25:15Z"/>
        <d v="2026-03-11T08:53:18Z"/>
        <d v="2026-03-11T15:59:02Z"/>
        <d v="2026-03-11T11:52:43Z"/>
        <d v="2026-03-11T15:56:38Z"/>
        <d v="2026-03-11T16:47:51Z"/>
        <d v="2026-03-12T08:57:51Z"/>
        <d v="2026-03-12T08:57:33Z"/>
        <d v="2026-03-12T09:53:55Z"/>
        <d v="2026-03-12T12:33:25Z"/>
        <d v="2026-03-12T15:23:56Z"/>
        <d v="2026-03-12T17:06:14Z"/>
        <d v="2026-03-12T15:53:58Z"/>
        <d v="2026-03-12T17:30:57Z"/>
        <d v="2026-03-12T17:52:53Z"/>
        <d v="2026-03-12T17:52:10Z"/>
        <d v="2026-03-12T17:48:07Z"/>
        <d v="2026-03-13T14:20:18Z"/>
        <d v="2026-03-13T13:44:41Z"/>
        <d v="2026-03-13T13:44:32Z"/>
        <d v="2026-03-13T15:05:37Z"/>
        <d v="2026-03-13T15:06:03Z"/>
        <d v="2026-03-13T15:30:47Z"/>
        <d v="2026-03-16T10:59:09Z"/>
        <d v="2026-03-16T10:58:20Z"/>
        <d v="2026-03-16T10:58:41Z"/>
        <d v="2026-03-16T09:48:58Z"/>
        <d v="2026-03-16T11:42:28Z"/>
        <d v="2026-03-17T15:46:36Z"/>
        <d v="2026-03-17T15:46:45Z"/>
        <d v="2026-03-17T15:47:27Z"/>
        <d v="2026-03-17T15:47:47Z"/>
        <d v="2026-03-17T15:48:10Z"/>
        <d v="2026-03-17T13:29:12Z"/>
        <d v="2026-03-17T15:48:29Z"/>
        <d v="2026-03-17T16:14:43Z"/>
        <d v="2026-03-18T17:47:57Z"/>
        <d v="2026-03-18T08:50:51Z"/>
        <d v="2026-03-18T17:48:16Z"/>
        <d v="2026-03-18T17:48:39Z"/>
        <d v="2026-03-18T17:48:50Z"/>
        <d v="2026-03-18T17:49:03Z"/>
        <d v="2026-03-19T13:42:21Z"/>
        <d v="2026-03-19T13:42:43Z"/>
        <d v="2026-03-19T13:43:05Z"/>
        <d v="2026-03-19T14:00:35Z"/>
        <d v="2026-03-19T18:16:03Z"/>
        <d v="2026-03-19T16:49:05Z"/>
        <d v="2026-03-19T17:00:12Z"/>
        <d v="2026-03-19T17:05:57Z"/>
        <d v="2026-03-20T12:26:28Z"/>
        <d v="2026-03-20T15:49:51Z"/>
        <d v="2026-03-20T17:05:18Z"/>
        <d v="2026-03-20T16:53:36Z"/>
        <d v="2026-03-24T15:22:46Z"/>
        <d v="2026-03-23T14:43:57Z"/>
        <d v="2026-03-23T14:44:27Z"/>
        <d v="2026-03-23T14:44:16Z"/>
        <d v="2026-03-23T15:27:34Z"/>
        <d v="2026-03-23T15:59:36Z"/>
        <d v="2026-03-24T16:03:00Z"/>
        <d v="2026-03-24T16:07:08Z"/>
        <d v="2026-03-24T16:06:40Z"/>
        <d v="2026-03-24T16:04:10Z"/>
        <d v="2026-03-24T14:55:17Z"/>
        <d v="2026-03-24T16:35:21Z"/>
        <d v="2026-03-25T10:10:16Z"/>
        <d v="2026-03-25T16:20:53Z"/>
        <d v="2026-03-25T16:27:33Z"/>
        <d v="2026-03-25T16:30:23Z"/>
        <d v="2026-03-26T09:27:17Z"/>
        <d v="2026-03-26T09:26:58Z"/>
        <d v="2026-03-26T09:36:49Z"/>
        <d v="2026-03-26T15:47:40Z"/>
        <d v="2026-03-26T15:37:53Z"/>
        <d v="2026-03-26T16:26:05Z"/>
        <d v="2026-03-26T17:00:41Z"/>
        <d v="2026-03-26T17:31:20Z"/>
        <d v="2026-03-26T17:40:57Z"/>
        <d v="2026-03-27T09:11:54Z"/>
        <d v="2026-03-27T13:30:42Z"/>
        <d v="2026-03-27T14:26:25Z"/>
        <d v="2026-03-27T15:50:29Z"/>
        <d v="2026-03-27T15:50:38Z"/>
        <d v="2026-03-27T15:51:03Z"/>
        <d v="2026-03-27T17:26:14Z"/>
        <d v="2026-03-30T09:33:49Z"/>
        <d v="2026-03-30T09:33:57Z"/>
        <d v="2026-03-31T11:14:17Z"/>
        <d v="2026-03-31T12:57:42Z"/>
        <d v="2026-03-31T17:28:06Z"/>
        <d v="2026-03-31T15:30:59Z"/>
        <d v="2026-03-31T17:10:45Z"/>
        <d v="2026-04-01T12:12:53Z"/>
        <d v="2026-04-01T12:45:55Z"/>
        <d v="2026-04-01T16:50:50Z"/>
        <d v="2026-04-06T08:54:40Z"/>
        <d v="2026-04-06T08:33:22Z"/>
        <d v="2026-04-07T08:32:41Z"/>
        <d v="2026-04-06T16:30:54Z"/>
        <d v="2026-04-07T17:40:44Z"/>
        <d v="2026-04-07T17:40:55Z"/>
        <d v="2026-04-08T14:13:41Z"/>
        <d v="2026-04-09T09:51:49Z"/>
        <d v="2026-04-09T18:49:37Z"/>
        <d v="2026-04-09T16:39:13Z"/>
        <d v="2026-04-09T18:05:53Z"/>
        <d v="2026-04-09T18:49:20Z"/>
        <d v="2026-04-10T08:20:57Z"/>
        <d v="2026-04-10T11:39:06Z"/>
        <d v="2026-04-10T11:38:23Z"/>
        <d v="2026-04-10T15:45:46Z"/>
        <d v="2026-04-13T08:55:00Z"/>
        <d v="2026-04-13T08:53:56Z"/>
        <d v="2026-04-13T08:53:39Z"/>
        <d v="2026-04-11T09:45:39Z"/>
        <d v="2026-04-13T16:59:04Z"/>
        <d v="2026-04-13T15:53:55Z"/>
        <d v="2026-04-13T15:53:44Z"/>
        <d v="2026-04-13T16:02:05Z"/>
        <d v="2026-04-13T16:58:23Z"/>
        <d v="2026-04-13T16:58:31Z"/>
        <d v="2026-04-13T17:20:00Z"/>
        <d v="2026-05-12T16:04:13Z"/>
        <d v="2026-04-14T12:49:48Z"/>
        <d v="2026-04-14T17:53:34Z"/>
        <d v="2026-04-14T18:06:47Z"/>
        <d v="2026-04-15T13:43:18Z"/>
        <d v="2026-04-15T13:00:53Z"/>
        <d v="2026-04-15T12:04:44Z"/>
        <d v="2026-04-15T12:44:15Z"/>
        <d v="2026-04-15T16:14:55Z"/>
        <d v="2026-04-16T09:56:40Z"/>
        <d v="2026-04-16T11:53:59Z"/>
        <d v="2026-04-16T11:54:15Z"/>
        <d v="2026-04-16T12:09:39Z"/>
        <d v="2026-04-16T15:27:55Z"/>
        <d v="2026-04-16T15:28:13Z"/>
        <d v="2026-04-16T16:36:50Z"/>
        <d v="2026-04-16T18:36:25Z"/>
        <d v="2026-04-17T10:45:21Z"/>
        <d v="2026-04-17T10:45:05Z"/>
        <d v="2026-04-17T10:45:38Z"/>
        <d v="2026-04-17T13:52:06Z"/>
        <d v="2026-04-17T14:46:02Z"/>
        <d v="2026-04-20T10:14:37Z"/>
        <d v="2026-04-20T11:53:38Z"/>
        <d v="2026-04-20T11:58:50Z"/>
        <d v="2026-04-20T11:58:38Z"/>
        <d v="2026-04-20T16:05:36Z"/>
        <d v="2026-04-21T08:51:58Z"/>
        <d v="2026-04-24T12:51:34Z"/>
        <d v="2026-04-21T15:38:23Z"/>
        <d v="2026-04-21T15:38:37Z"/>
        <d v="2026-04-21T17:38:08Z"/>
        <d v="2026-04-22T13:10:07Z"/>
        <d v="2026-04-22T17:04:39Z"/>
        <d v="2026-04-22T17:04:27Z"/>
        <d v="2026-04-22T17:04:17Z"/>
        <d v="2026-04-22T17:04:06Z"/>
        <d v="2026-04-23T10:03:39Z"/>
        <d v="2026-04-28T14:07:47Z"/>
        <d v="2026-04-23T12:27:53Z"/>
        <d v="2026-04-23T12:14:14Z"/>
        <d v="2026-04-23T13:10:24Z"/>
        <d v="2026-04-23T14:43:14Z"/>
        <d v="2026-04-23T15:01:55Z"/>
        <d v="2026-04-23T15:54:22Z"/>
        <d v="2026-04-23T17:08:02Z"/>
        <d v="2026-04-23T17:08:13Z"/>
        <d v="2026-04-24T13:50:52Z"/>
        <d v="2026-04-24T13:51:54Z"/>
        <d v="2026-04-24T13:51:33Z"/>
        <d v="2026-04-24T13:51:12Z"/>
        <d v="2026-04-24T15:34:52Z"/>
        <d v="2026-05-18T12:01:07Z"/>
        <d v="2026-04-24T16:36:41Z"/>
        <d v="2026-04-27T08:56:38Z"/>
        <d v="2026-04-27T11:58:11Z"/>
        <d v="2026-04-27T11:33:40Z"/>
        <d v="2026-04-27T13:41:04Z"/>
        <d v="2026-04-27T16:04:32Z"/>
        <d v="2026-04-27T18:19:49Z"/>
        <d v="2026-04-28T12:41:07Z"/>
        <d v="2026-04-29T09:21:13Z"/>
        <d v="2026-04-29T09:21:32Z"/>
        <d v="2026-04-29T13:14:39Z"/>
        <d v="2026-04-29T15:59:08Z"/>
        <d v="2026-04-29T15:59:45Z"/>
        <d v="2026-04-30T09:41:54Z"/>
        <d v="2026-04-30T11:39:32Z"/>
        <d v="2026-04-30T11:39:54Z"/>
        <d v="2026-04-30T12:20:54Z"/>
        <d v="2026-04-30T16:58:16Z"/>
        <d v="2026-05-04T08:26:58Z"/>
        <d v="2026-05-04T12:01:17Z"/>
        <d v="2026-05-04T12:01:37Z"/>
        <d v="2026-05-04T15:31:46Z"/>
        <d v="2026-05-04T15:32:03Z"/>
        <d v="2026-05-04T16:06:20Z"/>
        <d v="2026-05-04T16:06:33Z"/>
        <d v="2026-05-04T16:36:20Z"/>
        <d v="2026-05-04T17:52:46Z"/>
        <d v="2026-05-05T08:15:31Z"/>
        <d v="2026-05-05T08:15:44Z"/>
        <d v="2026-05-05T12:02:27Z"/>
        <d v="2026-05-05T12:02:12Z"/>
        <d v="2026-05-05T17:39:52Z"/>
        <d v="2026-05-13T16:49:58Z"/>
        <d v="2026-05-06T16:44:07Z"/>
        <d v="2026-05-06T16:43:59Z"/>
        <d v="2026-05-06T16:43:47Z"/>
        <d v="2026-05-06T16:55:30Z"/>
        <d v="2026-05-07T11:50:46Z"/>
        <d v="2026-05-07T11:51:00Z"/>
        <d v="2026-05-07T14:51:41Z"/>
        <d v="2026-05-07T15:55:59Z"/>
        <d v="2026-05-07T15:55:47Z"/>
        <d v="2026-05-07T16:43:09Z"/>
        <d v="2026-05-07T16:43:25Z"/>
        <d v="2026-05-07T16:53:03Z"/>
        <d v="2026-05-07T16:53:17Z"/>
        <d v="2026-05-08T10:58:27Z"/>
        <d v="2026-05-08T15:24:00Z"/>
        <d v="2026-05-08T15:22:55Z"/>
        <d v="2026-05-08T17:07:11Z"/>
        <d v="2026-05-08T17:07:25Z"/>
        <d v="2026-05-08T17:25:12Z"/>
        <d v="2026-05-08T17:40:28Z"/>
        <d v="2026-05-08T17:40:41Z"/>
        <d v="2026-05-11T08:10:44Z"/>
        <d v="2026-05-11T08:26:04Z"/>
        <d v="2026-05-11T08:28:04Z"/>
        <d v="2026-05-13T16:50:09Z"/>
        <d v="2026-05-11T13:33:34Z"/>
        <d v="2026-05-11T13:33:47Z"/>
        <d v="2026-05-11T17:16:44Z"/>
        <d v="2026-05-11T17:17:37Z"/>
        <d v="2026-05-12T12:32:16Z"/>
        <d v="2026-05-12T12:32:01Z"/>
        <d v="2026-05-12T16:08:37Z"/>
        <d v="2026-05-12T16:07:50Z"/>
        <d v="2026-05-12T17:30:52Z"/>
        <d v="2026-05-12T17:55:53Z"/>
        <d v="2026-05-13T14:13:21Z"/>
        <d v="2026-05-13T15:06:05Z"/>
        <d v="2026-05-13T15:05:55Z"/>
        <d v="2026-05-13T15:05:47Z"/>
        <d v="2026-05-13T15:08:35Z"/>
        <d v="2026-05-13T16:03:30Z"/>
        <d v="2026-05-13T16:11:24Z"/>
        <d v="2026-05-13T16:48:11Z"/>
        <d v="2026-05-13T16:46:41Z"/>
        <d v="2026-05-13T16:45:58Z"/>
        <d v="2026-05-14T10:03:04Z"/>
        <d v="2026-05-14T14:50:37Z"/>
        <d v="2026-05-14T14:57:07Z"/>
        <d v="2026-05-14T16:03:07Z"/>
        <d v="2026-05-14T15:48:14Z"/>
        <d v="2026-05-14T16:48:37Z"/>
        <d v="2026-05-14T18:06:30Z"/>
        <d v="2026-05-14T18:06:22Z"/>
        <d v="2026-05-14T18:06:15Z"/>
        <d v="2026-05-15T16:43:13Z"/>
        <d v="2026-05-15T13:39:48Z"/>
        <d v="2026-05-15T16:17:24Z"/>
        <d v="2026-05-15T16:17:14Z"/>
        <d v="2026-05-15T16:17:07Z"/>
        <d v="2026-05-15T16:30:38Z"/>
        <d v="2026-05-15T16:29:25Z"/>
        <d v="2026-05-15T17:05:45Z"/>
        <d v="2026-05-18T08:33:54Z"/>
        <d v="2026-05-18T09:01:18Z"/>
        <d v="2026-05-18T09:25:44Z"/>
        <d v="2026-05-18T13:10:36Z"/>
        <d v="2026-05-19T08:55:15Z"/>
        <d v="2026-05-19T10:50:15Z"/>
        <d v="2026-05-19T10:52:22Z"/>
        <d v="2026-05-19T16:22:18Z"/>
        <d v="2026-05-21T14:28:09Z"/>
        <d v="2026-05-20T09:11:05Z"/>
        <d v="2026-05-20T09:37:50Z"/>
        <d v="2026-05-20T10:20:50Z"/>
        <d v="2026-05-20T10:58:19Z"/>
        <d v="2026-05-20T11:02:44Z"/>
        <d v="2026-05-20T15:43:48Z"/>
        <d v="2026-05-20T15:44:28Z"/>
        <d v="2026-05-20T15:44:11Z"/>
        <d v="2026-05-20T17:13:02Z"/>
        <d v="2026-05-20T17:43:07Z"/>
        <d v="2026-05-20T17:45:19Z"/>
        <d v="2026-05-26T10:04:53Z"/>
        <d v="2026-05-21T10:21:07Z"/>
        <d v="2026-05-21T13:04:20Z"/>
        <d v="2026-05-21T13:17:30Z"/>
        <d v="2026-05-21T17:16:43Z"/>
        <d v="2026-05-22T08:30:05Z"/>
        <d v="2026-05-22T08:34:54Z"/>
        <d v="2026-05-22T08:34:36Z"/>
        <d v="2026-05-22T11:31:19Z"/>
        <d v="2026-05-22T15:32:57Z"/>
        <d v="2026-05-22T17:00:33Z"/>
        <d v="2026-05-25T08:16:58Z"/>
        <d v="2026-05-25T08:57:43Z"/>
        <d v="2026-05-25T13:39:00Z"/>
        <d v="2026-05-28T15:34:06Z"/>
        <d v="2026-05-25T18:00:24Z"/>
        <d v="2026-05-26T10:20:24Z"/>
        <d v="2026-05-26T15:13:22Z"/>
        <d v="2026-05-26T16:51:42Z"/>
        <d v="2026-05-26T13:25:36Z"/>
        <d v="2026-05-27T09:33:31Z"/>
        <d v="2026-05-26T16:42:12Z"/>
        <d v="2026-05-26T16:41:53Z"/>
        <d v="2026-05-26T16:54:33Z"/>
        <d v="2026-05-26T17:48:31Z"/>
        <d v="2026-05-28T08:13:25Z"/>
        <d v="2026-05-29T10:28:28Z"/>
        <d v="2026-05-28T16:27:21Z"/>
        <d v="2026-05-28T17:35:04Z"/>
        <d v="2026-05-29T19:38:15Z"/>
        <d v="2026-05-29T19:39:14Z"/>
        <d v="2026-06-01T09:03:21Z"/>
        <d v="2026-06-01T09:02:51Z"/>
        <d v="2026-06-01T08:56:06Z"/>
        <d v="2026-06-03T10:51:47Z"/>
        <d v="2026-06-01T16:11:28Z"/>
        <d v="2026-06-01T16:10:54Z"/>
        <d v="2026-06-01T16:49:34Z"/>
        <d v="2026-06-01T16:49:25Z"/>
        <d v="2026-06-01T16:49:16Z"/>
        <d v="2026-06-01T17:23:57Z"/>
        <d v="2026-06-01T17:24:30Z"/>
        <d v="2026-06-02T08:32:47Z"/>
        <d v="2026-06-02T17:29:41Z"/>
        <d v="2026-06-02T17:30:48Z"/>
        <d v="2026-06-02T17:44:20Z"/>
        <d v="2026-06-02T17:43:57Z"/>
        <d v="2026-06-02T17:58:49Z"/>
        <d v="2026-06-03T11:32:03Z"/>
        <d v="2026-06-03T15:26:58Z"/>
        <d v="2026-06-03T15:27:30Z"/>
        <d v="2026-06-03T16:00:17Z"/>
        <d v="2026-06-03T15:39:09Z"/>
        <d v="2026-06-03T16:20:27Z"/>
        <d v="2026-06-03T17:38:42Z"/>
        <d v="2026-06-03T17:38:56Z"/>
        <d v="2026-06-04T08:51:03Z"/>
        <d v="2026-06-04T12:14:49Z"/>
        <d v="2026-06-04T14:16:44Z"/>
        <d v="2026-06-04T14:16:24Z"/>
        <d v="2026-06-04T14:16:02Z"/>
        <d v="2026-06-04T13:00:23Z"/>
        <d v="2026-06-04T15:41:41Z"/>
        <d v="2026-06-04T15:41:04Z"/>
        <d v="2026-06-04T15:41:20Z"/>
        <d v="2026-06-04T19:02:44Z"/>
        <d v="2026-06-05T08:35:16Z"/>
        <d v="2026-06-04T19:02:33Z"/>
        <d v="2026-06-05T08:26:30Z"/>
        <d v="2026-06-05T09:09:36Z"/>
        <d v="2026-06-05T09:10:30Z"/>
        <d v="2026-06-05T11:51:51Z"/>
        <d v="2026-06-05T13:35:12Z"/>
        <d v="2026-06-05T15:23:46Z"/>
        <d v="2026-06-05T16:03:57Z"/>
        <d v="2026-06-05T16:04:20Z"/>
        <d v="2026-06-05T18:00:11Z"/>
        <d v="2026-06-08T16:44:04Z"/>
        <d v="2026-06-08T08:55:00Z"/>
        <d v="2026-06-09T13:04:29Z"/>
        <d v="2026-06-08T16:44:23Z"/>
        <d v="2026-06-08T17:14:45Z"/>
        <d v="2026-06-09T09:26:44Z"/>
        <d v="2026-06-09T08:49:07Z"/>
        <d v="2026-06-09T09:27:13Z"/>
        <d v="2026-06-15T16:46:57Z"/>
        <d v="2026-06-09T12:33:07Z"/>
        <d v="2026-06-09T15:37:30Z"/>
        <d v="2026-06-09T15:38:35Z"/>
        <d v="2026-06-09T16:03:39Z"/>
        <d v="2026-06-10T12:24:00Z"/>
        <d v="2026-06-10T09:05:30Z"/>
        <d v="2026-06-10T11:52:02Z"/>
        <d v="2026-06-10T14:02:25Z"/>
        <d v="2026-06-10T13:07:01Z"/>
        <d v="2026-06-10T13:06:52Z"/>
        <d v="2026-06-10T14:20:12Z"/>
        <d v="2026-06-10T14:20:03Z"/>
        <d v="2026-06-10T14:19:54Z"/>
        <d v="2026-06-10T15:17:48Z"/>
        <d v="2026-06-10T16:01:43Z"/>
        <d v="2026-06-10T16:25:03Z"/>
        <d v="2026-06-10T16:29:50Z"/>
        <d v="2026-06-10T18:12:59Z"/>
        <d v="2026-06-11T14:58:06Z"/>
        <d v="2026-06-11T14:59:37Z"/>
        <d v="2026-06-11T15:15:16Z"/>
        <d v="2026-06-11T15:24:38Z"/>
        <d v="2026-06-11T16:06:06Z"/>
        <d v="2026-06-11T17:02:17Z"/>
        <d v="2026-06-11T17:02:04Z"/>
        <d v="2026-06-11T17:05:06Z"/>
        <d v="2026-06-19T13:54:05Z"/>
        <d v="2026-06-12T09:19:16Z"/>
        <d v="2026-06-12T15:13:25Z"/>
        <d v="2026-06-12T13:11:15Z"/>
        <d v="2026-06-12T15:48:00Z"/>
        <d v="2026-06-12T15:48:16Z"/>
        <d v="2026-06-12T16:18:57Z"/>
        <d v="2026-06-12T16:19:12Z"/>
        <d v="2026-06-12T16:50:44Z"/>
        <d v="2026-06-13T14:21:44Z"/>
        <d v="2026-06-15T14:29:48Z"/>
        <d v="2026-06-15T16:35:24Z"/>
        <d v="2026-06-15T16:35:12Z"/>
        <d v="2026-06-15T17:20:12Z"/>
        <d v="2026-06-16T10:07:50Z"/>
        <d v="2026-06-16T16:49:39Z"/>
        <d v="2026-06-16T16:49:57Z"/>
        <d v="2026-06-16T16:50:34Z"/>
        <d v="2026-06-16T16:50:14Z"/>
        <d v="2026-06-17T09:33:03Z"/>
        <d v="2026-06-17T17:09:53Z"/>
        <d v="2026-06-17T14:48:42Z"/>
        <d v="2026-06-17T17:09:24Z"/>
        <d v="2026-06-18T12:59:01Z"/>
        <d v="2026-06-18T17:34:11Z"/>
        <d v="2026-06-18T17:34:28Z"/>
        <d v="2026-06-19T09:16:42Z"/>
        <d v="2026-06-19T09:39:25Z"/>
        <d v="2026-06-19T15:12:04Z"/>
        <d v="2026-06-19T10:42:49Z"/>
        <d v="2026-06-19T17:18:43Z"/>
        <d v="2026-06-19T17:18:33Z"/>
        <d v="2026-06-19T17:18:24Z"/>
        <d v="2026-06-22T08:05:20Z"/>
        <d v="2026-06-22T11:12:02Z"/>
        <d v="2026-06-22T11:47:17Z"/>
        <d v="2026-06-22T17:00:26Z"/>
        <m/>
      </sharedItems>
    </cacheField>
    <cacheField name="Cliente" numFmtId="0">
      <sharedItems containsBlank="1">
        <s v="GARAJE Y TALLERES FRIDELBA, C.A"/>
        <s v="EMPRENDIMIENTO IRMA RODRIGUEZ 6"/>
        <s v="ZIP MARKET, CA"/>
        <s v="E&amp;M CAR SHOP C.A"/>
        <s v="TERA INGENIERIA Y SERVICIOS INDUSTRIALES, C.A"/>
        <s v="MOTO MARCE 21, CA"/>
        <s v="SPEED RACING, CA"/>
        <s v="SERVICIOS Y MANTENIMIENTO SPACARS, C.A, Henry Blanco"/>
        <s v="MOTO REPUESTOS LA FLECHA, C.A."/>
        <s v="AUTO ACCESORIOS VZLA, C.A."/>
        <s v="Ruta 8 Autopartes,c.a."/>
        <s v="EMPRENDIMIENTO TOMAS MARCANO 5"/>
        <s v="INVERSIONES SMALUM 21, C.A."/>
        <s v="Autorepuestos las 24 horas"/>
        <s v="Multiservicios Sanahuja 36 C.A"/>
        <s v="Encamotors Catia C.A"/>
        <s v="Joel Duque"/>
        <s v="Moises Alejandro Mares"/>
        <s v="Ricardo A. Fernandez."/>
        <s v="AUTOREPUESTOS SION C.A."/>
        <s v="HIDRAULICAS CAICEDO C.A."/>
        <s v="COMERCIAL REPUESTOS MUNDIALES RMS 2022 C.A."/>
        <s v="Ferretería JJ Martins c.a"/>
        <s v="Angel ARMAS"/>
        <s v="Miguel Antonio Chacon"/>
        <s v="inversiones El Gran Charles C.A"/>
        <s v="Junior Marco Antonio Vivas Navas"/>
        <s v="Auto repuestos Fontalvo"/>
        <s v="Moto Bestia, C.A"/>
        <s v="WILLY MOTOR CAR REPUESTOS Y SERVICIOS, C.A."/>
        <s v="Inversiones Trip K, c.a."/>
        <s v="ALIPLUS TRASPORTE Y EQUIPOS, CA"/>
        <s v="Vianney García"/>
        <s v="Comercializadora Garabote"/>
        <s v="INVERSIONES IRETE SUKA, C.A"/>
        <s v="Rawy Xavier Melendez Caripa"/>
        <s v="Autoelectronica Oranel, C.A."/>
        <s v="Marlene Herrera"/>
        <s v="FREDI MARQUEZ"/>
        <s v="Auto Repuestos Acal C.A"/>
        <s v="INVERSIONES MI LINDA YEMAIRE 2019, C.A"/>
        <s v="Corporación Lubricantes 7ma Av.C.A"/>
        <s v="Barrios Rodríguez Marlon Enrique"/>
        <s v="Motolavado Yahir"/>
        <s v="Comercial Rio Paraguas C.A"/>
        <s v="Repuestos y Accesorios chaustre 2024"/>
        <s v="Rhino Toyo Parts, C.A."/>
        <s v="INVERSIONES R&amp;C 1817, c.a."/>
        <s v="SJMG 2012 C.A"/>
        <s v="TorniRepuesto BA 2015, C.A"/>
        <s v="VAL VAL 16 C.A"/>
        <s v="Auto Servicios HN 6972, C.A"/>
        <s v="Jesus luciani Russiani."/>
        <s v="Katiuska Alejandra Curvelo"/>
        <s v="DISTRIBUIDORA PINOS 181297 C.A"/>
        <s v="Remodelaciones Ivanro, C.A"/>
        <s v="Servicios Nicolazzo 97, C.A"/>
        <s v="Ruben Dario Fernandez"/>
        <s v="MULTISERVICIOS RECAM13, C.A."/>
        <s v="Coffee Party, C.A."/>
        <s v="Pedro Castro"/>
        <s v="Inversiones Famasa, C.A"/>
        <s v="Inversiones maxgad &amp; ef"/>
        <s v="Wuilliams bastidas"/>
        <s v="Javier Cardenas Prato."/>
        <s v="Moto Repuestos Sanz 11. C.A."/>
        <s v="ACCESORIOS Y REPUESTOS MOTO CAR 20-11-C.A"/>
        <s v="Emprendimiento YSKRA"/>
        <s v="Moto repuestos jj"/>
        <s v="Multiservicios Arizona, C.A."/>
        <s v="Video Electrónica Fermat, C.A"/>
        <s v="Felipe Granja"/>
        <s v="Mini Market Las Mercedes,c.a."/>
        <s v="Diana Carolina Torres"/>
        <s v="INVERSIONES JOSCAR XXI, S.A."/>
        <s v="Alexis Rodríguez Fernández"/>
        <s v="Inversiones Brayan CT C.A"/>
        <s v="Franklin J. Mijares S."/>
        <s v="Autoasesorio maxi motor"/>
        <s v="AGROPECUARIA EL TORO DORADO, C.A"/>
        <s v="Jose Becerra"/>
        <s v="ELIVAN2025, C.A"/>
        <s v="MARTIN RAMON DIAZ BOLIVAR"/>
        <s v="Jose Lopez Espinoza"/>
        <s v="Emprendimiento Tomas Paz"/>
        <s v="Ramon Alvarez Mota"/>
        <s v="M.L.P Repuestos y Otros, C.A"/>
        <s v="Megacar2020.c.a"/>
        <s v="Victor Ordaz"/>
        <s v="Emprendimiento José Sánchez 203 c.a"/>
        <s v="Multiservicios Gre-orio2022 c.a"/>
        <s v="Emprendimiento Jordy Valencia"/>
        <s v="TALLER TNMCAR, C.A"/>
        <s v="Neykel Quevedo"/>
        <s v="Distribuidora Nesmari 2050 c.a"/>
        <s v="Inversiones La Bendición del Nazareno, C.A"/>
        <s v="Benefit c.a"/>
        <s v="JOSE STURCHIO CAPPELLANIA"/>
        <s v="Yulendri Carolina Pineda Blanco"/>
        <s v="LOGISTICA Y CONSULTORIA VINCARS, C.A."/>
        <s v="MOTOREPUESTOS EL GUANÁBANO YRM C.A."/>
        <s v="La cámara perfecta"/>
        <s v="Alexander Quiroz"/>
        <s v="Emprendimiento ilaris cancelo"/>
        <s v="Inversiones Dekamalbaz, C.A"/>
        <s v="Distribuidora Drako 2024 c.a"/>
        <s v="ESTACIONAMIENTO CIACORE 2000 c.a"/>
        <s v="Emprendimiento Yeizon Villaroel"/>
        <s v="SERVICIOS Y MANTENIMIENTO SPACARS, C.A"/>
        <s v="EMPRENDIMIENTO MARTIN BASTIDAS 2"/>
        <s v="Turismo Apureño Turapca, C.A"/>
        <s v="Dimas Ortíz"/>
        <s v="Grupo 3030, C.A"/>
        <s v="Lubripartes Vzla, c.a."/>
        <s v="DISTRIBUIDORA MULTIAHORRO C.A."/>
        <s v="EMPRENDIMIENTO HECTOR LLAMOZA"/>
        <s v="Grupo Biker Way mm, C.A"/>
        <s v="Frenos Elite, C.A"/>
        <s v="ADS SERVICE C.A"/>
        <s v="ALI ALEXANDER MORENO FIGUEREDO"/>
        <s v="DISTRIBUIDORA E.P.L.C 2017, c.a."/>
        <s v="Jose Angel Gutierrez Rodriguez"/>
        <s v="Jhon Morales"/>
        <s v="Inversiones Vercris 17 C.A"/>
        <s v="AREA58 2022, C.A."/>
        <s v="Pidelo Y Punto,c.a."/>
        <s v="Cauchos y Suministros Camacho C.A"/>
        <s v="HP Repuestos 2007 C.A"/>
        <s v="Manuel Emilio Reyes"/>
        <s v="Anthony Jose Quijada Diaz."/>
        <s v="Global Ferre 888 C.A"/>
        <s v="Paola M. Aguilera Z."/>
        <s v="Comercial los de faria,c.a."/>
        <s v="Autorepuestos Pitstop,c.a."/>
        <s v="PROYECTO MAQUIVEIRO 21 C.A."/>
        <s v="Motorepuestos HD 94, C.A"/>
        <s v="Inversiones Marfran 2025, C. A."/>
        <s v="Ingrit Martinez"/>
        <s v="Inversiones Mirelkys C.A"/>
        <s v="Inversiones AreaElectric 2021,c.a."/>
        <s v="Inversiones DSM 2706, c.a."/>
        <s v="CONSTRUCTORA GRANO AGREGADO, C.A"/>
        <s v="Alejandro Zorrilla"/>
        <s v="Cooperativa Dios mi Amparo, R.L."/>
        <s v="Montura de Cauchos Biondo,c.a."/>
        <s v="Braulio R. Cedeño Gonzalez."/>
        <s v="Autorepuestos el Florin,c.a."/>
        <s v="Josefina Guevera"/>
        <s v="EN LA VIA 2023 C.A"/>
        <s v="CAUCHOS Y ACCESORIOS LA CAMPIÑA, C.A."/>
        <s v="Devenalsa Deshidratadora Venezolana de Alimentos, S.A."/>
        <s v="Constructora Campo Urbano,c.a."/>
        <s v="Auto Partes Y Repuestos Encava Express,c.a."/>
        <s v="Cauchos California, C.A"/>
        <s v="José Brea"/>
        <s v="JONNY DAVID BOLIVAR"/>
        <s v="Servicios de Gruas Torgil 300, c.a."/>
        <s v="Cauchera William 2018, C.A"/>
        <s v="Lubricantes BK C.A"/>
        <s v="Luis Zambrano"/>
        <s v="Abraham almenar"/>
        <s v="Comercializadora Dimon c.a"/>
        <s v="EMPRENDIMIENTO MANUEL GÓMEZ 6"/>
        <s v="Distribuidora El Frenazo"/>
        <s v="Multiservicio Tocome, C.A"/>
        <s v="Autopartes Munich PH 168 C.A."/>
        <s v="Desarrollo Agrario Integral DAI Los Pucheros 13, C. A."/>
        <s v="Inversiones Los compadres 7686, c.a."/>
        <s v="Repuestos Guia Dios Nuestro Camino,c.a."/>
        <s v="Lubristation, C.A."/>
        <s v="Repuestos y accesorios motochiva23 c.a"/>
        <s v="LA CASA DE LAS BATERIAS"/>
        <s v="SUPLIPARTES PARAISO, C.A"/>
        <s v="Inversiones Air Brakes, C.A"/>
        <s v="Inversiones tydelmarojg"/>
        <s v="Javier gregorio Espinoza"/>
        <s v="Jefferson rosales"/>
        <s v="MOTOS Y REPUESTOS DOS RUEDAS, C.A."/>
        <s v="INVERSIONES ARCOSOL 21, C.A."/>
        <s v="CENTRO MOTRIZ GUADALUPE, C.A."/>
        <s v="Sergio Ibrain Rumbo Mundaray"/>
        <s v="INVERSIONES F-250, C.A"/>
        <s v="LUBRIREPUESTOS PANORAMA, C.A."/>
        <s v="Jose Alzolay"/>
        <s v="Multiservicio SOS Cars, C.A"/>
        <s v="Carlos Bravo"/>
        <s v="Edgar salas"/>
        <s v="MOTO REPUESTO GARCIA 2023, C.A."/>
        <s v="JOSE RAFAEL MARTÍNEZ"/>
        <s v="Angi Edimar Carvajal Peñaranda"/>
        <s v="Ideal car"/>
        <s v="ANGEL LEON GALARRAGA"/>
        <s v="Nemer Bourji"/>
        <s v="Comercializadora El Fénix de Catia"/>
        <s v="Kervin baez"/>
        <s v="AGROPECUARIA LECHE Y MIEL, C.A"/>
        <s v="Inversiones García GL C.A"/>
        <s v="Wili Mervin León Romero"/>
        <s v="Asociación Cooperativa la Esquina del Lubricante 9999 R.L"/>
        <s v="JOSE RUBIO ESPINEL"/>
        <s v="Yeifri Alexander Marquez Zerpa"/>
        <s v="Automecanica Marilu 2014, C.A"/>
        <s v="Moto repuestos el casco 2050 c.a"/>
        <s v="AUTOPERIQUITO EL PEQUEÑO CHAMOY, C.A."/>
        <s v="CLUDE CARVALHO DE ACOSTA"/>
        <s v="Melany Madrid"/>
        <s v="INVERSIONES BECLA PARTS C.A."/>
        <s v="REPRESENTACIONES LAGUS MEL, C. A"/>
        <s v="DIADOMHAN AUTOMOTRIZ, C.A."/>
        <s v="Comercializadora Estoril 25,c.a."/>
        <s v="AUTOSERVICIOS SPACARS, C.A."/>
        <s v="MARIA CAROLINA CARDENAS GUEVARA"/>
        <s v="CAUCHOS NUÑEZ, C.A."/>
        <s v="Kiosco Willianny 1013, C.A"/>
        <s v="ELENA MEJIAS"/>
        <s v="En ascenso 2011,c.a."/>
        <s v="INVERSIONES DA &amp; JE,"/>
        <s v="Deyanira Carpio De Sequera"/>
        <s v="Multiservicios y Distribuidora Todo Carro Bedyf, C.A"/>
        <s v="Marco Romero"/>
        <s v="SEBASTIAN RICON MOLINA"/>
        <s v="FRANCISCO MONCADA"/>
        <s v="Greicy Moncada"/>
        <s v="CASERES GONZALEZ RONALD OSWALDO"/>
        <s v="Francesco orlando Espro bolaños"/>
        <s v="Sandra Katherine Quintero Crespo"/>
        <s v="Emprendimiento Eduardo Pérez 6"/>
        <s v="TALLER Y REPUESTOS CHOPPERS, C.A."/>
        <s v="Jorge Luis camacaro"/>
        <s v="Multiservicios gochi express 2024, c.a"/>
        <s v="ERICH GILBERTO CASERES MELENDEZ"/>
        <s v="Almacenadora X7, C.A"/>
        <s v="COMERCIAL EKAFREN,C.A."/>
        <s v="DISTRIBUIDORA R. LAYA MORA,C.A."/>
        <s v="OLIVEIRA &amp; SANTOS, C.A.(SERVICENTRO EL CUÑO, C.A.)"/>
        <s v="Antonio Terán"/>
        <s v="MULTIPARTES Y SERVICIOS HONDANIS,C.A."/>
        <s v="INVERSIONES SM 2191, C.A."/>
        <s v="Carlos Eduardo Ascension Matos"/>
        <s v="EMPRENDIMIENTO FRANCISCO VEGAS 3"/>
        <s v="PROYECTOS Y DESARROLLO TOMTOM,C.A."/>
        <s v="Mazare Motors, C.A"/>
        <s v="GASOLVEN DISTRIBUIDORA, C.A"/>
        <s v="Jhoe Zamora"/>
        <s v="Inversiones Pronautica, C.A."/>
        <s v="NAUDY MARTINEZ"/>
        <s v="ERICK JOSE MAIGUA GUILLEN"/>
        <s v="Comercializadora 1108,c.a."/>
        <s v="Edward Belén"/>
        <s v="Repuestos González peña 31 c.a"/>
        <s v="ELISA ALEJANDRA JIMÉNEZ SUÁREZ"/>
        <s v="AUTOPERIQUITOS LA CAMPIÑA C.A."/>
        <s v="José Gregorio Hernández"/>
        <s v="Hidromaticos La Colina, C.A"/>
        <s v="COMERCIALIZADORA J.A.N. 65, C.A"/>
        <s v="Servi Motores 3A, C.A"/>
        <s v="Inversiones Todo marca Oeste C.A"/>
        <s v="Power Sport Servicios El Hatillo, C.A"/>
        <s v="MAXIAIRE ELECTROMOTRIZ, C.A"/>
        <s v="Industrias Arasia, c.a."/>
        <s v="Automotriz Danale C.A"/>
        <s v="Cauchera El Gordo 0410,c.a."/>
        <s v="WDH Automotriz 0706, c.a."/>
        <s v="María Elena Hernández Rangel"/>
        <s v="Luis Eduardo Piñero Calcurian"/>
        <s v="ELECTROMECÁNICA DANPE C.A."/>
        <s v="Gabriel Martinez"/>
        <s v="GRIMAN DIAZ HECTOR EDUARDO"/>
        <s v="Servimecanica Brandao"/>
        <s v="Daniela Sanobria"/>
        <s v="Multiservicios Diacedeg,c.a."/>
        <s v="Emprendimiento Emily Blanco 10"/>
        <s v="Agustin Pedro Rodriguez Carro"/>
        <s v="Juan antonio salaverria herrera"/>
        <s v="Fluidtack Soluciones, c.a."/>
        <s v="Hipermercado Petare,c.a."/>
        <s v="Bicicletas Repuestos Carioca C.A"/>
        <s v="Jose de Andrade"/>
        <s v="ROBERT GUILLEN"/>
        <s v="Monkey moto Services C.A"/>
        <s v="Repuestos Chevecars Gran Caracas, C.A"/>
        <s v="Autolavado Artico"/>
        <s v="Auto Lavado Norte Sur CS, C.A"/>
        <s v="Repuestos El Portu26 C.A"/>
        <s v="Auto partes Maideirense, C.A"/>
        <s v="Carlos Ruiz"/>
        <s v="Luis Francisco hernandez falcon"/>
        <s v="Larry Herrera"/>
        <s v="Jefferson Navone"/>
        <s v="AUTO REPUESTOS EL DUO 2013, C.A."/>
        <s v="Grupo KACAOIL,C.A."/>
        <s v="Jose Gregorio Lopez"/>
        <s v="AUTOLAVADO ANDRES BELLO C.A"/>
        <s v="Inversiones Repuestos Flash 3141, C.A"/>
        <s v="York Dick Mujica Andarcia"/>
        <s v="UBAG Services,c.a."/>
        <s v="July villasana"/>
        <s v="SUKAY MOTORS V.I.P C.A"/>
        <s v="Chaquiro Arteaga"/>
        <s v="Kevin Monsalve"/>
        <m/>
      </sharedItems>
    </cacheField>
    <cacheField name="Vendedor" numFmtId="0">
      <sharedItems containsBlank="1">
        <s v="VILLABONA CORREA ALBA ESTEFANIA"/>
        <s v="CALDERON TERAN ARGIMIRO ANTONIO"/>
        <s v="Marco Romero"/>
        <s v="OCANTO ZABALA ROSALVY DEL CARMEN"/>
        <s v="TORO ARDILES DAVID JOSE"/>
        <s v="MARTINEZ MONTES JEFFREY ENRIQUE"/>
        <s v="GRIMAN DIAZ HECTOR EDUARDO"/>
        <s v="CASERES GONZALEZ RONALD OSWALDO"/>
        <s v="REVERON DE CONTRERAS MELANI AUSMAR"/>
        <s v="BETANCOURT ROBRIGUEZ LUIS ENRRIQUE"/>
        <s v="PEREZ DIAZ ANGEL DE DIOS"/>
        <s v="QUEVEDO BASTIDAS NEYKEL DAVID"/>
        <s v="PACHECO RODRIGUEZ FRANCISCO JAVIER"/>
        <s v="Raúl David"/>
        <s v="LOPEZ ANTUNEZ ANDERSON JOSE"/>
        <s v="Frank Vasquez"/>
        <s v="VELASCO RODRIGUEZ MARCOS LEONCIO"/>
        <m/>
      </sharedItems>
    </cacheField>
    <cacheField name="Total" numFmtId="4">
      <sharedItems containsString="0" containsBlank="1" containsNumber="1">
        <n v="232.98"/>
        <n v="246.0"/>
        <n v="35.33"/>
        <n v="335.98"/>
        <n v="27781.08"/>
        <n v="63.77"/>
        <n v="82.24"/>
        <n v="954.79"/>
        <n v="104.36"/>
        <n v="96.0"/>
        <n v="78.25"/>
        <n v="472.53"/>
        <n v="212.72"/>
        <n v="90.44"/>
        <n v="72.48"/>
        <n v="510.0"/>
        <n v="69.28"/>
        <n v="261.98"/>
        <n v="146.08"/>
        <n v="289.16"/>
        <n v="101.0"/>
        <n v="243.01"/>
        <n v="185.04"/>
        <n v="434.83"/>
        <n v="75.0"/>
        <n v="90.02"/>
        <n v="28.88"/>
        <n v="1080.62"/>
        <n v="160.98"/>
        <n v="151.96"/>
        <n v="362.52"/>
        <n v="2421.89"/>
        <n v="55.34"/>
        <n v="129.99"/>
        <n v="1893.12"/>
        <n v="53.79"/>
        <n v="1033.52"/>
        <n v="64.99"/>
        <n v="120.02"/>
        <n v="259.99"/>
        <n v="792.33"/>
        <n v="582.77"/>
        <n v="72.0"/>
        <n v="133.99"/>
        <n v="84.29"/>
        <n v="241.81"/>
        <n v="2036.91"/>
        <n v="209.87"/>
        <n v="10739.61"/>
        <n v="3393.87"/>
        <n v="170.36"/>
        <n v="375.35"/>
        <n v="132.47"/>
        <n v="160.5"/>
        <n v="560.84"/>
        <n v="78.62"/>
        <n v="415.08"/>
        <n v="183.49"/>
        <n v="35.99"/>
        <n v="300.86"/>
        <n v="533.34"/>
        <n v="71.99"/>
        <n v="1633.07"/>
        <n v="970.07"/>
        <n v="67.37"/>
        <n v="173.65"/>
        <n v="392.65"/>
        <n v="286.51"/>
        <n v="89.99"/>
        <n v="171.0"/>
        <n v="126.0"/>
        <n v="191.1"/>
        <n v="368.51"/>
        <n v="434.94"/>
        <n v="530.98"/>
        <n v="1623.82"/>
        <n v="93.0"/>
        <n v="197.55"/>
        <n v="184.1"/>
        <n v="711.13"/>
        <n v="297.02"/>
        <n v="280.5"/>
        <n v="991.22"/>
        <n v="110.01"/>
        <n v="108.0"/>
        <n v="296.98"/>
        <n v="99.01"/>
        <n v="207.05"/>
        <n v="50.65"/>
        <n v="289.79"/>
        <n v="179.99"/>
        <n v="390.77"/>
        <n v="106.49"/>
        <n v="4655.88"/>
        <n v="199.49"/>
        <n v="2259.37"/>
        <n v="952.5"/>
        <n v="1947.24"/>
        <n v="850.5"/>
        <n v="51.01"/>
        <n v="94.01"/>
        <n v="20275.64"/>
        <n v="129.92"/>
        <n v="360.0"/>
        <n v="972.01"/>
        <n v="53.65"/>
        <n v="301.5"/>
        <n v="192.05"/>
        <n v="309.0"/>
        <n v="1105.53"/>
        <n v="1996.24"/>
        <n v="36.08"/>
        <n v="2625.01"/>
        <n v="249.0"/>
        <n v="288.0"/>
        <n v="152.99"/>
        <n v="1183.21"/>
        <n v="55.58"/>
        <n v="123.99"/>
        <n v="1092.0"/>
        <n v="2119.46"/>
        <n v="1881.84"/>
        <n v="712.48"/>
        <n v="345.1"/>
        <n v="354.77"/>
        <n v="721.47"/>
        <n v="201.0"/>
        <n v="164.98"/>
        <n v="373.5"/>
        <n v="24.0"/>
        <n v="247.88"/>
        <n v="259.98"/>
        <n v="543.01"/>
        <n v="162.0"/>
        <n v="159.99"/>
        <n v="372.0"/>
        <n v="941.99"/>
        <n v="1783.22"/>
        <n v="140.99"/>
        <n v="180.0"/>
        <n v="1177.4"/>
        <n v="107.96"/>
        <n v="157.76"/>
        <n v="164.72"/>
        <n v="180.96"/>
        <n v="143.52"/>
        <n v="140.02"/>
        <n v="533.46"/>
        <n v="112.3"/>
        <n v="680.77"/>
        <n v="214.6"/>
        <n v="258.01"/>
        <n v="315.52"/>
        <n v="580.0"/>
        <n v="199.52"/>
        <n v="183.0"/>
        <n v="104.4"/>
        <n v="721.52"/>
        <n v="429.2"/>
        <n v="361.92"/>
        <n v="756.32"/>
        <n v="227.03"/>
        <n v="539.4"/>
        <n v="183.28"/>
        <n v="98.6"/>
        <n v="371.2"/>
        <n v="431.52"/>
        <n v="10077.45"/>
        <n v="116.0"/>
        <n v="444.28"/>
        <n v="343.0"/>
        <n v="125.28"/>
        <n v="215.33"/>
        <n v="498.8"/>
        <n v="3991.56"/>
        <n v="406.14"/>
        <n v="676.28"/>
        <n v="295.8"/>
        <n v="514.93"/>
        <n v="1409.4"/>
        <n v="1057.92"/>
        <n v="251.99"/>
        <n v="5968.02"/>
        <n v="4875.25"/>
        <n v="445.44"/>
        <n v="74.99"/>
        <n v="161.0"/>
        <n v="1090.4"/>
        <n v="394.4"/>
        <n v="464.0"/>
        <n v="111.36"/>
        <n v="3853.52"/>
        <n v="453.59"/>
        <n v="777.2"/>
        <n v="163.56"/>
        <n v="329.44"/>
        <n v="313.2"/>
        <n v="231.72"/>
        <n v="5151.59"/>
        <n v="394.54"/>
        <n v="222.72"/>
        <n v="272.6"/>
        <n v="273.98"/>
        <n v="177.48"/>
        <n v="250.56"/>
        <n v="211.12"/>
        <n v="59.16"/>
        <n v="172.84"/>
        <n v="1073.0"/>
        <n v="120.59"/>
        <n v="599.72"/>
        <n v="64.96"/>
        <n v="306.24"/>
        <n v="3312.78"/>
        <n v="436.16"/>
        <n v="284.61"/>
        <n v="164.0"/>
        <n v="80.0"/>
        <n v="296.37"/>
        <n v="1211.07"/>
        <n v="80.04"/>
        <n v="98.41"/>
        <n v="197.2"/>
        <n v="100.92"/>
        <n v="362.42"/>
        <n v="807.96"/>
        <n v="83.52"/>
        <n v="357.28"/>
        <n v="81.2"/>
        <n v="499.96"/>
        <n v="774.88"/>
        <n v="146.16"/>
        <n v="215.54"/>
        <n v="241.04"/>
        <n v="79.96"/>
        <n v="74.24"/>
        <n v="954.71"/>
        <n v="6802.37"/>
        <n v="280.72"/>
        <n v="106.72"/>
        <n v="176.32"/>
        <n v="299.28"/>
        <n v="447.76"/>
        <n v="312.04"/>
        <n v="87.0"/>
        <n v="1223.8"/>
        <n v="225.04"/>
        <n v="382.8"/>
        <n v="148.48"/>
        <n v="1051.51"/>
        <n v="348.0"/>
        <n v="487.2"/>
        <n v="2308.4"/>
        <n v="162.4"/>
        <n v="406.0"/>
        <n v="334.08"/>
        <n v="646.49"/>
        <n v="115.86"/>
        <n v="3457.96"/>
        <n v="1077.51"/>
        <n v="324.41"/>
        <n v="318.61"/>
        <n v="770.48"/>
        <n v="1071.71"/>
        <n v="162.2"/>
        <n v="112.38"/>
        <n v="2128.45"/>
        <n v="76.0"/>
        <n v="644.13"/>
        <n v="472.01"/>
        <n v="0.0"/>
        <n v="249.66"/>
        <n v="102.6"/>
        <n v="476.55"/>
        <n v="134.52"/>
        <n v="220.13"/>
        <n v="52.22"/>
        <n v="100.0"/>
        <n v="425.0"/>
        <n v="266.16"/>
        <n v="255.0"/>
        <n v="116.93"/>
        <n v="306.16"/>
        <n v="341.55"/>
        <n v="81.54"/>
        <n v="163.08"/>
        <n v="130.77"/>
        <n v="244.61"/>
        <n v="252.31"/>
        <n v="215.39"/>
        <n v="53.85"/>
        <n v="104.62"/>
        <n v="68.44"/>
        <n v="110.77"/>
        <n v="224.62"/>
        <n v="192.31"/>
        <n v="406.16"/>
        <n v="1906.54"/>
        <n v="109.98"/>
        <n v="229.23"/>
        <n v="258.46"/>
        <n v="500.02"/>
        <n v="336.93"/>
        <n v="333.86"/>
        <n v="1073.85"/>
        <n v="193.85"/>
        <n v="721.55"/>
        <n v="1304.58"/>
        <n v="321.55"/>
        <n v="233.86"/>
        <n v="8147.67"/>
        <n v="216.93"/>
        <n v="395.38"/>
        <n v="1669.27"/>
        <n v="304.63"/>
        <n v="496.99"/>
        <n v="2858.47"/>
        <n v="58.46"/>
        <n v="1850.74"/>
        <n v="260.01"/>
        <n v="84.61"/>
        <n v="144.62"/>
        <n v="2020.77"/>
        <n v="224.56"/>
        <n v="495.39"/>
        <n v="497.48"/>
        <n v="40.0"/>
        <n v="273.85"/>
        <n v="1361.52"/>
        <n v="21143.12"/>
        <n v="263.09"/>
        <n v="315.12"/>
        <n v="283.08"/>
        <n v="576.93"/>
        <n v="1107.71"/>
        <n v="993.84"/>
        <n v="261.53"/>
        <n v="1630.73"/>
        <n v="75.39"/>
        <n v="260.0"/>
        <n v="227.7"/>
        <n v="1543.12"/>
        <n v="350.78"/>
        <n v="298.47"/>
        <n v="444.63"/>
        <n v="729.26"/>
        <n v="112.31"/>
        <n v="109.23"/>
        <n v="369.24"/>
        <n v="163.07"/>
        <n v="390.0"/>
        <n v="121.53"/>
        <n v="158.47"/>
        <n v="73.0"/>
        <n v="88.58"/>
        <n v="2684.62"/>
        <n v="69.92"/>
        <n v="119.99"/>
        <n v="444.61"/>
        <n v="221.55"/>
        <n v="3496.92"/>
        <n v="152.22"/>
        <n v="1429.24"/>
        <n v="421.34"/>
        <n v="99.23"/>
        <n v="116.02"/>
        <n v="143.5"/>
        <n v="55.0"/>
        <n v="103.81"/>
        <n v="757.17"/>
        <n v="1632.58"/>
        <n v="160.4"/>
        <n v="230.02"/>
        <n v="335.96"/>
        <n v="205.81"/>
        <n v="345.01"/>
        <n v="220.95"/>
        <n v="298.11"/>
        <n v="349.57"/>
        <n v="2049.11"/>
        <n v="80.2"/>
        <n v="441.86"/>
        <n v="118.02"/>
        <n v="399.14"/>
        <n v="114.04"/>
        <n v="363.13"/>
        <n v="519.17"/>
        <n v="424.63"/>
        <n v="373.62"/>
        <n v="349.62"/>
        <n v="117.05"/>
        <n v="21577.54"/>
        <n v="428.32"/>
        <n v="199.3"/>
        <n v="136.0"/>
        <n v="115.99"/>
        <n v="226.07"/>
        <n v="1023.22"/>
        <n v="1017.34"/>
        <n v="353.95"/>
        <n v="2841.41"/>
        <n v="359.98"/>
        <n v="346.7"/>
        <n v="36.66"/>
        <n v="20547.78"/>
        <n v="447.53"/>
        <n v="1860.43"/>
        <n v="222.32"/>
        <n v="94.39"/>
        <n v="148.11"/>
        <n v="173.68"/>
        <n v="387.73"/>
        <n v="109.35"/>
        <n v="614.35"/>
        <n v="338.12"/>
        <n v="54.22"/>
        <n v="325.29"/>
        <n v="21970.0"/>
        <n v="600.64"/>
        <n v="226.85"/>
        <n v="38.52"/>
        <n v="497.93"/>
        <n v="900.28"/>
        <n v="178.29"/>
        <n v="107.54"/>
        <n v="91.98"/>
        <m/>
      </sharedItems>
    </cacheField>
    <cacheField name="Terminos de pago" numFmtId="0">
      <sharedItems containsBlank="1">
        <s v="Pago inmediato"/>
        <s v="21 días"/>
        <s v="7 días"/>
        <s v="15 días"/>
        <s v="45 días"/>
        <s v="30 días"/>
        <m/>
      </sharedItems>
    </cacheField>
    <cacheField name="Descuento x Diferencial %" numFmtId="10">
      <sharedItems containsString="0" containsBlank="1" containsNumber="1">
        <n v="0.24886256331015533"/>
        <n v="0.0"/>
        <n v="0.005312316031665376"/>
        <n v="0.2442171158103672"/>
        <n v="5.476451259585069E-4"/>
        <n v="0.14156227374077768"/>
        <n v="0.19756388625982468"/>
        <n v="0.22666666666666668"/>
        <n v="0.2001777382803821"/>
        <n v="0.13793103906315762"/>
        <n v="0.11350226476016656"/>
        <n v="7.692899453815016E-5"/>
        <n v="0.004499250124979093"/>
        <n v="8.509119858723935E-7"/>
        <n v="0.09467765759756042"/>
        <n v="0.26573498690285724"/>
        <n v="0.013147168509631157"/>
        <n v="0.0031266394364918293"/>
        <n v="0.09067485632946704"/>
        <n v="0.13838151326513992"/>
        <n v="0.2345704715658239"/>
        <n v="0.15191646504520562"/>
        <n v="0.11382113821138207"/>
        <n v="0.137949764949031"/>
        <n v="7.55008310728722E-4"/>
        <n v="0.018374083241647243"/>
        <n v="0.33337822368864045"/>
        <n v="0.33333333333333337"/>
        <n v="0.323834822506641"/>
        <n v="0.32872655478775914"/>
        <n v="0.3201973843127782"/>
        <n v="0.050003812484141874"/>
        <n v="0.2863179641280871"/>
        <n v="0.33568489124044676"/>
        <n v="0.33346402666143893"/>
        <n v="1.063716625890887E-4"/>
        <n v="0.33665008291873966"/>
        <n v="0.2762301483988545"/>
        <n v="0.34627831715210355"/>
        <n v="0.027507641011392137"/>
        <n v="0.2983087441525728"/>
        <n v="0.32388438564540023"/>
        <n v="0.34511735728774273"/>
        <n v="0.18256898835865487"/>
        <n v="0.33065595716198126"/>
        <n v="8.819053413988698E-6"/>
        <n v="0.0019893063662671517"/>
        <n v="0.0036231884057971175"/>
        <n v="1.4283673760895343E-4"/>
        <n v="0.34843624699278275"/>
        <n v="0.33929436638329735"/>
        <n v="0.11398467432950188"/>
        <n v="0.10344909743428743"/>
        <n v="0.0060725111080197625"/>
        <n v="0.06246366189067476"/>
        <n v="0.0019349473360799063"/>
        <n v="0.13324118506630744"/>
        <n v="0.3448275862068966"/>
        <n v="0.1344311943636891"/>
        <n v="1.3494155992443968E-4"/>
        <n v="6.385825026019587E-4"/>
        <n v="0.002006398459725167"/>
        <n v="0.10452928163641884"/>
        <n v="0.12498663769691853"/>
        <n v="0.3283025126461564"/>
        <n v="0.3486590038314177"/>
        <n v="8.859487955481526E-6"/>
        <n v="0.005563549979734295"/>
        <n v="0.34729064039408875"/>
        <n v="0.006754032535118415"/>
        <n v="0.3496748374187093"/>
        <n v="0.339978448275862"/>
        <n v="0.08102583213477454"/>
        <n v="0.34843624699278264"/>
        <n v="0.1493706827021356"/>
        <n v="0.029461677329008173"/>
        <n v="0.10378716067372273"/>
        <n v="0.10345706717786651"/>
        <n v="0.346485819975339"/>
        <n v="0.09502876700265772"/>
        <n v="0.3440359054030727"/>
        <n v="0.1379205952113357"/>
        <n v="0.3469785575048733"/>
        <n v="0.14093687736116778"/>
        <n v="0.2640499553969671"/>
        <n v="0.0800572723542402"/>
        <n v="0.00635926618525795"/>
        <n v="0.0089107110383706"/>
        <n v="0.043414275202354746"/>
        <n v="0.10077797408627875"/>
        <n v="0.13793042831340674"/>
        <n v="0.34998973383619525"/>
        <n v="0.008606007948168237"/>
        <n v="0.3299583822008443"/>
        <n v="0.34999118632117043"/>
        <n v="4.0268424228440125E-6"/>
        <n v="0.13554168417122736"/>
        <n v="0.013157894736842146"/>
        <n v="0.11000523636774695"/>
        <n v="0.08000402783945593"/>
        <m/>
      </sharedItems>
    </cacheField>
    <cacheField name="Dcto Pronto Pago %" numFmtId="0">
      <sharedItems containsString="0" containsBlank="1" containsNumber="1">
        <m/>
        <n v="0.0509"/>
        <n v="0.08"/>
        <n v="0.02"/>
        <n v="0.05"/>
        <n v="0.06"/>
      </sharedItems>
    </cacheField>
    <cacheField name="Numero de Orden" numFmtId="0">
      <sharedItems containsSemiMixedTypes="0" containsString="0" containsNumber="1" containsInteger="1">
        <n v="4.0"/>
        <n v="7.0"/>
        <n v="8.0"/>
        <n v="9.0"/>
        <n v="10.0"/>
        <n v="11.0"/>
        <n v="14.0"/>
        <n v="15.0"/>
        <n v="17.0"/>
        <n v="18.0"/>
        <n v="19.0"/>
        <n v="20.0"/>
        <n v="21.0"/>
        <n v="22.0"/>
        <n v="23.0"/>
        <n v="24.0"/>
        <n v="26.0"/>
        <n v="27.0"/>
        <n v="28.0"/>
        <n v="29.0"/>
        <n v="30.0"/>
        <n v="31.0"/>
        <n v="32.0"/>
        <n v="33.0"/>
        <n v="34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9.0"/>
        <n v="72.0"/>
        <n v="73.0"/>
        <n v="74.0"/>
        <n v="77.0"/>
        <n v="78.0"/>
        <n v="79.0"/>
        <n v="81.0"/>
        <n v="82.0"/>
        <n v="83.0"/>
        <n v="84.0"/>
        <n v="86.0"/>
        <n v="87.0"/>
        <n v="88.0"/>
        <n v="89.0"/>
        <n v="90.0"/>
        <n v="92.0"/>
        <n v="93.0"/>
        <n v="94.0"/>
        <n v="95.0"/>
        <n v="96.0"/>
        <n v="97.0"/>
        <n v="98.0"/>
        <n v="99.0"/>
        <n v="100.0"/>
        <n v="101.0"/>
        <n v="103.0"/>
        <n v="104.0"/>
        <n v="105.0"/>
        <n v="106.0"/>
        <n v="108.0"/>
        <n v="113.0"/>
        <n v="114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6.0"/>
        <n v="137.0"/>
        <n v="138.0"/>
        <n v="139.0"/>
        <n v="140.0"/>
        <n v="141.0"/>
        <n v="142.0"/>
        <n v="143.0"/>
        <n v="144.0"/>
        <n v="145.0"/>
        <n v="146.0"/>
        <n v="148.0"/>
        <n v="149.0"/>
        <n v="150.0"/>
        <n v="151.0"/>
        <n v="152.0"/>
        <n v="153.0"/>
        <n v="154.0"/>
        <n v="156.0"/>
        <n v="157.0"/>
        <n v="158.0"/>
        <n v="159.0"/>
        <n v="160.0"/>
        <n v="161.0"/>
        <n v="163.0"/>
        <n v="164.0"/>
        <n v="165.0"/>
        <n v="166.0"/>
        <n v="167.0"/>
        <n v="168.0"/>
        <n v="169.0"/>
        <n v="170.0"/>
        <n v="171.0"/>
        <n v="174.0"/>
        <n v="175.0"/>
        <n v="176.0"/>
        <n v="177.0"/>
        <n v="178.0"/>
        <n v="179.0"/>
        <n v="181.0"/>
        <n v="182.0"/>
        <n v="183.0"/>
        <n v="184.0"/>
        <n v="185.0"/>
        <n v="186.0"/>
        <n v="187.0"/>
        <n v="188.0"/>
        <n v="189.0"/>
        <n v="190.0"/>
        <n v="192.0"/>
        <n v="195.0"/>
        <n v="196.0"/>
        <n v="197.0"/>
        <n v="198.0"/>
        <n v="199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8.0"/>
        <n v="219.0"/>
        <n v="220.0"/>
        <n v="221.0"/>
        <n v="222.0"/>
        <n v="223.0"/>
        <n v="225.0"/>
        <n v="226.0"/>
        <n v="227.0"/>
        <n v="228.0"/>
        <n v="229.0"/>
        <n v="230.0"/>
        <n v="231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7.0"/>
        <n v="258.0"/>
        <n v="259.0"/>
        <n v="260.0"/>
        <n v="261.0"/>
        <n v="262.0"/>
        <n v="263.0"/>
        <n v="264.0"/>
        <n v="265.0"/>
        <n v="274.0"/>
        <n v="279.0"/>
        <n v="280.0"/>
        <n v="282.0"/>
        <n v="283.0"/>
        <n v="284.0"/>
        <n v="285.0"/>
        <n v="286.0"/>
        <n v="287.0"/>
        <n v="289.0"/>
        <n v="291.0"/>
        <n v="292.0"/>
        <n v="293.0"/>
        <n v="294.0"/>
        <n v="295.0"/>
        <n v="296.0"/>
        <n v="298.0"/>
        <n v="300.0"/>
        <n v="301.0"/>
        <n v="302.0"/>
        <n v="303.0"/>
        <n v="304.0"/>
        <n v="305.0"/>
        <n v="306.0"/>
        <n v="308.0"/>
        <n v="309.0"/>
        <n v="310.0"/>
        <n v="311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30.0"/>
        <n v="331.0"/>
        <n v="332.0"/>
        <n v="334.0"/>
        <n v="335.0"/>
        <n v="336.0"/>
        <n v="337.0"/>
        <n v="338.0"/>
        <n v="339.0"/>
        <n v="340.0"/>
        <n v="341.0"/>
        <n v="343.0"/>
        <n v="344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1.0"/>
        <n v="362.0"/>
        <n v="363.0"/>
        <n v="364.0"/>
        <n v="365.0"/>
        <n v="366.0"/>
        <n v="368.0"/>
        <n v="369.0"/>
        <n v="372.0"/>
        <n v="373.0"/>
        <n v="374.0"/>
        <n v="375.0"/>
        <n v="376.0"/>
        <n v="378.0"/>
        <n v="379.0"/>
        <n v="380.0"/>
        <n v="381.0"/>
        <n v="382.0"/>
        <n v="384.0"/>
        <n v="386.0"/>
        <n v="387.0"/>
        <n v="388.0"/>
        <n v="389.0"/>
        <n v="392.0"/>
        <n v="393.0"/>
        <n v="394.0"/>
        <n v="395.0"/>
        <n v="396.0"/>
        <n v="397.0"/>
        <n v="398.0"/>
        <n v="399.0"/>
        <n v="400.0"/>
        <n v="401.0"/>
        <n v="402.0"/>
        <n v="404.0"/>
        <n v="405.0"/>
        <n v="407.0"/>
        <n v="408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9.0"/>
        <n v="440.0"/>
        <n v="441.0"/>
        <n v="442.0"/>
        <n v="443.0"/>
        <n v="444.0"/>
        <n v="446.0"/>
        <n v="447.0"/>
        <n v="449.0"/>
        <n v="450.0"/>
        <n v="451.0"/>
        <n v="452.0"/>
        <n v="454.0"/>
        <n v="456.0"/>
        <n v="457.0"/>
        <n v="458.0"/>
        <n v="462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2.0"/>
        <n v="483.0"/>
        <n v="484.0"/>
        <n v="485.0"/>
        <n v="486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2.0"/>
        <n v="523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0.0"/>
      </sharedItems>
    </cacheField>
    <cacheField name="Fecha" numFmtId="165">
      <sharedItems containsSemiMixedTypes="0" containsDate="1" containsString="0">
        <d v="2026-03-09T00:00:00Z"/>
        <d v="2026-02-26T00:00:00Z"/>
        <d v="2026-03-16T00:00:00Z"/>
        <d v="2026-03-13T00:00:00Z"/>
        <d v="2026-03-03T00:00:00Z"/>
        <d v="2026-03-04T00:00:00Z"/>
        <d v="2026-03-05T00:00:00Z"/>
        <d v="2026-03-06T00:00:00Z"/>
        <d v="2026-03-10T00:00:00Z"/>
        <d v="2026-03-11T00:00:00Z"/>
        <d v="2026-03-12T00:00:00Z"/>
        <d v="2026-03-17T00:00:00Z"/>
        <d v="2026-03-18T00:00:00Z"/>
        <d v="2026-03-19T00:00:00Z"/>
        <d v="2026-03-20T00:00:00Z"/>
        <d v="2026-03-24T00:00:00Z"/>
        <d v="2026-03-23T00:00:00Z"/>
        <d v="2026-03-25T00:00:00Z"/>
        <d v="2026-03-26T00:00:00Z"/>
        <d v="2026-03-27T00:00:00Z"/>
        <d v="2026-03-30T00:00:00Z"/>
        <d v="2026-03-31T00:00:00Z"/>
        <d v="2026-04-01T00:00:00Z"/>
        <d v="2026-04-06T00:00:00Z"/>
        <d v="2026-04-07T00:00:00Z"/>
        <d v="2026-04-08T00:00:00Z"/>
        <d v="2026-04-09T00:00:00Z"/>
        <d v="2026-04-10T00:00:00Z"/>
        <d v="2026-04-13T00:00:00Z"/>
        <d v="2026-04-11T00:00:00Z"/>
        <d v="2026-05-12T00:00:00Z"/>
        <d v="2026-04-14T00:00:00Z"/>
        <d v="2026-04-15T00:00:00Z"/>
        <d v="2026-04-16T00:00:00Z"/>
        <d v="2026-04-17T00:00:00Z"/>
        <d v="2026-04-20T00:00:00Z"/>
        <d v="2026-04-21T00:00:00Z"/>
        <d v="2026-04-24T00:00:00Z"/>
        <d v="2026-04-22T00:00:00Z"/>
        <d v="2026-04-23T00:00:00Z"/>
        <d v="2026-04-28T00:00:00Z"/>
        <d v="2026-05-18T00:00:00Z"/>
        <d v="2026-04-27T00:00:00Z"/>
        <d v="2026-04-29T00:00:00Z"/>
        <d v="2026-04-30T00:00:00Z"/>
        <d v="2026-05-04T00:00:00Z"/>
        <d v="2026-05-05T00:00:00Z"/>
        <d v="2026-05-13T00:00:00Z"/>
        <d v="2026-05-06T00:00:00Z"/>
        <d v="2026-05-07T00:00:00Z"/>
        <d v="2026-05-08T00:00:00Z"/>
        <d v="2026-05-11T00:00:00Z"/>
        <d v="2026-05-14T00:00:00Z"/>
        <d v="2026-05-15T00:00:00Z"/>
        <d v="2026-05-19T00:00:00Z"/>
        <d v="2026-05-21T00:00:00Z"/>
        <d v="2026-05-20T00:00:00Z"/>
        <d v="2026-05-26T00:00:00Z"/>
        <d v="2026-05-22T00:00:00Z"/>
        <d v="2026-05-25T00:00:00Z"/>
        <d v="2026-05-28T00:00:00Z"/>
        <d v="2026-05-27T00:00:00Z"/>
        <d v="2026-05-29T00:00:00Z"/>
        <d v="2026-06-01T00:00:00Z"/>
        <d v="2026-06-03T00:00:00Z"/>
        <d v="2026-06-02T00:00:00Z"/>
        <d v="2026-06-04T00:00:00Z"/>
        <d v="2026-06-05T00:00:00Z"/>
        <d v="2026-06-08T00:00:00Z"/>
        <d v="2026-06-09T00:00:00Z"/>
        <d v="2026-06-15T00:00:00Z"/>
        <d v="2026-06-10T00:00:00Z"/>
        <d v="2026-06-11T00:00:00Z"/>
        <d v="2026-06-19T00:00:00Z"/>
        <d v="2026-06-12T00:00:00Z"/>
        <d v="2026-06-13T00:00:00Z"/>
        <d v="2026-06-16T00:00:00Z"/>
        <d v="2026-06-17T00:00:00Z"/>
        <d v="2026-06-18T00:00:00Z"/>
        <d v="2026-06-22T00:00:00Z"/>
        <d v="1899-12-30T00:00:00Z"/>
      </sharedItems>
    </cacheField>
    <cacheField name="Dias de credito">
      <sharedItems containsMixedTypes="1" containsNumber="1" containsInteger="1">
        <n v="0.0"/>
        <n v="21.0"/>
        <n v="7.0"/>
        <n v="15.0"/>
        <n v="45.0"/>
        <n v="30.0"/>
        <s v=""/>
      </sharedItems>
    </cacheField>
    <cacheField name="Vencimiento" numFmtId="165">
      <sharedItems containsSemiMixedTypes="0" containsDate="1" containsString="0">
        <d v="2026-03-10T00:00:00Z"/>
        <d v="2026-02-27T00:00:00Z"/>
        <d v="2026-04-07T00:00:00Z"/>
        <d v="2026-03-14T00:00:00Z"/>
        <d v="2026-03-17T00:00:00Z"/>
        <d v="2026-03-11T00:00:00Z"/>
        <d v="2026-03-25T00:00:00Z"/>
        <d v="2026-03-20T00:00:00Z"/>
        <d v="2026-03-06T00:00:00Z"/>
        <d v="2026-03-22T00:00:00Z"/>
        <d v="2026-04-21T00:00:00Z"/>
        <d v="2026-03-26T00:00:00Z"/>
        <d v="2026-03-18T00:00:00Z"/>
        <d v="2026-03-27T00:00:00Z"/>
        <d v="2026-04-01T00:00:00Z"/>
        <d v="2026-04-26T00:00:00Z"/>
        <d v="2026-03-12T00:00:00Z"/>
        <d v="2026-03-19T00:00:00Z"/>
        <d v="2026-03-28T00:00:00Z"/>
        <d v="2026-03-13T00:00:00Z"/>
        <d v="2026-03-21T00:00:00Z"/>
        <d v="2026-04-13T00:00:00Z"/>
        <d v="2026-04-16T00:00:00Z"/>
        <d v="2026-04-17T00:00:00Z"/>
        <d v="2026-04-02T00:00:00Z"/>
        <d v="2026-04-18T00:00:00Z"/>
        <d v="2026-04-04T00:00:00Z"/>
        <d v="2026-04-05T00:00:00Z"/>
        <d v="2026-04-11T00:00:00Z"/>
        <d v="2026-05-09T00:00:00Z"/>
        <d v="2026-04-08T00:00:00Z"/>
        <d v="2026-03-24T00:00:00Z"/>
        <d v="2026-04-09T00:00:00Z"/>
        <d v="2026-05-10T00:00:00Z"/>
        <d v="2026-04-10T00:00:00Z"/>
        <d v="2026-05-11T00:00:00Z"/>
        <d v="2026-04-12T00:00:00Z"/>
        <d v="2026-03-31T00:00:00Z"/>
        <d v="2026-04-15T00:00:00Z"/>
        <d v="2026-04-14T00:00:00Z"/>
        <d v="2026-04-22T00:00:00Z"/>
        <d v="2026-04-23T00:00:00Z"/>
        <d v="2026-04-25T00:00:00Z"/>
        <d v="2026-05-20T00:00:00Z"/>
        <d v="2026-04-30T00:00:00Z"/>
        <d v="2026-05-01T00:00:00Z"/>
        <d v="2026-04-24T00:00:00Z"/>
        <d v="2026-05-02T00:00:00Z"/>
        <d v="2026-05-18T00:00:00Z"/>
        <d v="2026-04-28T00:00:00Z"/>
        <d v="2026-05-06T00:00:00Z"/>
        <d v="2026-04-29T00:00:00Z"/>
        <d v="2026-05-22T00:00:00Z"/>
        <d v="2026-05-29T00:00:00Z"/>
        <d v="2026-05-24T00:00:00Z"/>
        <d v="2026-05-26T00:00:00Z"/>
        <d v="2026-05-05T00:00:00Z"/>
        <d v="2026-05-14T00:00:00Z"/>
        <d v="2026-05-07T00:00:00Z"/>
        <d v="2026-05-08T00:00:00Z"/>
        <d v="2026-05-12T00:00:00Z"/>
        <d v="2026-06-19T00:00:00Z"/>
        <d v="2026-05-13T00:00:00Z"/>
        <d v="2026-05-28T00:00:00Z"/>
        <d v="2026-06-06T00:00:00Z"/>
        <d v="2026-05-15T00:00:00Z"/>
        <d v="2026-05-16T00:00:00Z"/>
        <d v="2026-06-23T00:00:00Z"/>
        <d v="2026-05-19T00:00:00Z"/>
        <d v="2026-06-12T00:00:00Z"/>
        <d v="2026-05-21T00:00:00Z"/>
        <d v="2026-06-05T00:00:00Z"/>
        <d v="2026-05-23T00:00:00Z"/>
        <d v="2026-06-30T00:00:00Z"/>
        <d v="2026-05-27T00:00:00Z"/>
        <d v="2026-07-05T00:00:00Z"/>
        <d v="2026-06-03T00:00:00Z"/>
        <d v="2026-05-30T00:00:00Z"/>
        <d v="2026-06-07T00:00:00Z"/>
        <d v="2026-06-02T00:00:00Z"/>
        <d v="2026-06-04T00:00:00Z"/>
        <d v="2026-06-29T00:00:00Z"/>
        <d v="2026-06-09T00:00:00Z"/>
        <d v="2026-06-11T00:00:00Z"/>
        <d v="2026-07-02T00:00:00Z"/>
        <d v="2026-06-17T00:00:00Z"/>
        <d v="2026-06-10T00:00:00Z"/>
        <d v="2026-06-18T00:00:00Z"/>
        <d v="2026-06-24T00:00:00Z"/>
        <d v="2026-06-25T00:00:00Z"/>
        <d v="2026-06-20T00:00:00Z"/>
        <d v="2026-06-13T00:00:00Z"/>
        <d v="2026-06-26T00:00:00Z"/>
        <d v="2026-06-27T00:00:00Z"/>
        <d v="2026-06-16T00:00:00Z"/>
        <d v="2026-07-11T00:00:00Z"/>
        <d v="2026-06-28T00:00:00Z"/>
        <d v="2026-07-13T00:00:00Z"/>
        <d v="2026-06-21T00:00:00Z"/>
        <d v="2026-07-03T00:00:00Z"/>
        <d v="2026-07-04T00:00:00Z"/>
        <d v="2026-07-10T00:00:00Z"/>
        <d v="2026-07-20T00:00:00Z"/>
        <d v="1899-12-31T00:00:00Z"/>
      </sharedItems>
    </cacheField>
    <cacheField name="Total C/Dcto" numFmtId="4">
      <sharedItems containsSemiMixedTypes="0" containsString="0" containsNumber="1">
        <n v="175.0"/>
        <n v="246.0"/>
        <n v="35.33"/>
        <n v="335.98"/>
        <n v="27781.08"/>
        <n v="63.77"/>
        <n v="82.24"/>
        <n v="954.79"/>
        <n v="104.36"/>
        <n v="96.0"/>
        <n v="78.25"/>
        <n v="472.53"/>
        <n v="212.72"/>
        <n v="90.44"/>
        <n v="72.48"/>
        <n v="510.0"/>
        <n v="68.91196274532622"/>
        <n v="198.0"/>
        <n v="146.0"/>
        <n v="289.16"/>
        <n v="86.70221035218145"/>
        <n v="195.0"/>
        <n v="185.04"/>
        <n v="434.83"/>
        <n v="58.0"/>
        <n v="72.0"/>
        <n v="28.88"/>
        <n v="1080.62"/>
        <n v="160.98"/>
        <n v="130.99999930396257"/>
        <n v="362.52"/>
        <n v="2147.0"/>
        <n v="55.34"/>
        <n v="129.98"/>
        <n v="1796.760192"/>
        <n v="53.79"/>
        <n v="1033.52"/>
        <n v="64.99"/>
        <n v="119.48"/>
        <n v="259.99"/>
        <n v="792.33"/>
        <n v="582.77"/>
        <n v="133.99"/>
        <n v="84.28992827662871"/>
        <n v="241.81"/>
        <n v="2036.91"/>
        <n v="190.0"/>
        <n v="10739.61"/>
        <n v="2492.0"/>
        <n v="154.49144837269924"/>
        <n v="375.35"/>
        <n v="132.47"/>
        <n v="159.99817437044305"/>
        <n v="560.84"/>
        <n v="78.62"/>
        <n v="415.08"/>
        <n v="166.8520706121061"/>
        <n v="35.99"/>
        <n v="300.86"/>
        <n v="459.5356037151703"/>
        <n v="71.99"/>
        <n v="1250.0"/>
        <n v="970.07"/>
        <n v="67.37"/>
        <n v="173.65"/>
        <n v="333.0"/>
        <n v="286.51"/>
        <n v="89.99"/>
        <n v="171.0"/>
        <n v="126.0"/>
        <n v="218.0"/>
        <n v="191.1"/>
        <n v="317.6741321186326"/>
        <n v="434.94"/>
        <n v="530.98"/>
        <n v="1623.82"/>
        <n v="92.92978422710223"/>
        <n v="193.9201998556126"/>
        <n v="184.1"/>
        <n v="711.13"/>
        <n v="280.5"/>
        <n v="991.22"/>
        <n v="110.01"/>
        <n v="296.98"/>
        <n v="99.01"/>
        <n v="140.0"/>
        <n v="34.0"/>
        <n v="197.0"/>
        <n v="179.99"/>
        <n v="371.2300101955719"/>
        <n v="76.0"/>
        <n v="4655.88"/>
        <n v="199.49"/>
        <n v="2259.37"/>
        <n v="952.5"/>
        <n v="1947.24"/>
        <n v="565.0"/>
        <n v="32.9798"/>
        <n v="94.0"/>
        <n v="20275.64"/>
        <n v="93.0"/>
        <n v="129.92"/>
        <n v="360.0"/>
        <n v="972.01"/>
        <n v="53.65"/>
        <n v="200.0"/>
        <n v="139.0"/>
        <n v="202.0"/>
        <n v="108.0"/>
        <n v="1105.53"/>
        <n v="1996.24"/>
        <n v="36.08"/>
        <n v="2625.01"/>
        <n v="249.0"/>
        <n v="288.0"/>
        <n v="35.0"/>
        <n v="152.99"/>
        <n v="1183.21"/>
        <n v="39.0"/>
        <n v="123.99"/>
        <n v="1092.0"/>
        <n v="1433.0"/>
        <n v="1881.84"/>
        <n v="712.48"/>
        <n v="226.0"/>
        <n v="290.0"/>
        <n v="721.47"/>
        <n v="201.0"/>
        <n v="164.98"/>
        <n v="250.0"/>
        <n v="24.0"/>
        <n v="247.88"/>
        <n v="259.98"/>
        <n v="543.01"/>
        <n v="159.99"/>
        <n v="372.0"/>
        <n v="941.99"/>
        <n v="1783.22"/>
        <n v="140.99"/>
        <n v="180.0"/>
        <n v="1177.3896164465104"/>
        <n v="107.96"/>
        <n v="157.44616702765768"/>
        <n v="164.72"/>
        <n v="180.96"/>
        <n v="143.0"/>
        <n v="533.46"/>
        <n v="112.3"/>
        <n v="680.77"/>
        <n v="214.6"/>
        <n v="258.01"/>
        <n v="315.52"/>
        <n v="580.0"/>
        <n v="130.0"/>
        <n v="183.0"/>
        <n v="104.4"/>
        <n v="721.52"/>
        <n v="429.2"/>
        <n v="361.92"/>
        <n v="756.32"/>
        <n v="150.0"/>
        <n v="539.4"/>
        <n v="183.28"/>
        <n v="98.6"/>
        <n v="371.2"/>
        <n v="431.52"/>
        <n v="10077.45"/>
        <n v="116.0"/>
        <n v="444.28"/>
        <n v="343.0"/>
        <n v="111.0"/>
        <n v="215.33"/>
        <n v="498.8"/>
        <n v="3991.56"/>
        <n v="406.14"/>
        <n v="606.31944438714"/>
        <n v="294.00375121424776"/>
        <n v="514.93"/>
        <n v="1321.363714931283"/>
        <n v="1057.92"/>
        <n v="164.4012754748009"/>
        <n v="239.3905"/>
        <n v="5968.02"/>
        <n v="4875.25"/>
        <n v="386.08904652406403"/>
        <n v="74.99"/>
        <n v="161.0"/>
        <n v="943.8162256658335"/>
        <n v="394.4"/>
        <n v="464.0"/>
        <n v="111.36"/>
        <n v="3853.0"/>
        <n v="453.59"/>
        <n v="777.2"/>
        <n v="163.56"/>
        <n v="329.44"/>
        <n v="312.99999596018506"/>
        <n v="231.72"/>
        <n v="5141.253857758865"/>
        <n v="394.54"/>
        <n v="222.72"/>
        <n v="272.6"/>
        <n v="273.98"/>
        <n v="158.92814309516837"/>
        <n v="250.56"/>
        <n v="211.12"/>
        <n v="51.7657905138503"/>
        <n v="172.84"/>
        <n v="1073.0"/>
        <n v="81.0"/>
        <n v="599.72"/>
        <n v="64.96"/>
        <n v="306.24"/>
        <n v="3312.78"/>
        <n v="436.16"/>
        <n v="284.61"/>
        <n v="164.0"/>
        <n v="80.0"/>
        <n v="68.0"/>
        <n v="296.37"/>
        <n v="1211.07"/>
        <n v="115.99897229939717"/>
        <n v="80.04"/>
        <n v="98.41"/>
        <n v="197.2"/>
        <n v="100.92"/>
        <n v="362.42"/>
        <n v="807.96"/>
        <n v="83.05533230569259"/>
        <n v="357.28"/>
        <n v="53.0"/>
        <n v="499.96"/>
        <n v="774.88"/>
        <n v="146.16"/>
        <n v="97.93405239203732"/>
        <n v="215.54"/>
        <n v="241.04"/>
        <n v="52.0"/>
        <n v="49.0"/>
        <n v="954.71"/>
        <n v="6802.37"/>
        <n v="257.9744284031261"/>
        <n v="106.72"/>
        <n v="176.32"/>
        <n v="447.76"/>
        <n v="312.04"/>
        <n v="87.0"/>
        <n v="1223.8"/>
        <n v="191.4256215647114"/>
        <n v="382.8"/>
        <n v="148.48"/>
        <n v="1051.51"/>
        <n v="348.0"/>
        <n v="472.8462708053072"/>
        <n v="74.24"/>
        <n v="2308.4"/>
        <n v="162.4"/>
        <n v="406.0"/>
        <n v="334.08"/>
        <n v="646.49"/>
        <n v="115.86"/>
        <n v="3457.96"/>
        <n v="965.678296502457"/>
        <n v="290.84749283682834"/>
        <n v="318.61"/>
        <n v="770.48"/>
        <n v="1071.71"/>
        <n v="106.0"/>
        <n v="101.70066716424132"/>
        <n v="2128.45"/>
        <n v="555.2912070065223"/>
        <n v="472.01"/>
        <n v="0.0"/>
        <n v="249.66"/>
        <n v="67.0"/>
        <n v="476.55"/>
        <n v="146.8997939712403"/>
        <n v="99.0"/>
        <n v="102.6"/>
        <n v="202.5069926366611"/>
        <n v="52.22"/>
        <n v="100.0"/>
        <n v="425.0"/>
        <n v="266.16"/>
        <n v="255.0"/>
        <n v="116.93"/>
        <n v="306.16"/>
        <n v="339.37799263442514"/>
        <n v="81.54"/>
        <n v="163.08"/>
        <n v="130.77"/>
        <n v="244.61"/>
        <n v="252.31"/>
        <n v="215.39"/>
        <n v="53.85"/>
        <n v="104.62"/>
        <n v="68.44"/>
        <n v="110.77"/>
        <n v="224.62"/>
        <n v="192.31"/>
        <n v="406.16"/>
        <n v="1906.54"/>
        <n v="109.0"/>
        <n v="229.23"/>
        <n v="258.46"/>
        <n v="500.02"/>
        <n v="78.0"/>
        <n v="336.93"/>
        <n v="333.86"/>
        <n v="1073.85"/>
        <n v="193.85"/>
        <n v="721.55"/>
        <n v="1304.58"/>
        <n v="321.55"/>
        <n v="233.86"/>
        <n v="8147.67"/>
        <n v="216.93"/>
        <n v="395.38"/>
        <n v="1669.27"/>
        <n v="273.9300057540969"/>
        <n v="496.99"/>
        <n v="2464.200008578976"/>
        <n v="58.46"/>
        <n v="1203.0"/>
        <n v="257.77235187339676"/>
        <n v="84.61"/>
        <n v="144.62"/>
        <n v="1354.0"/>
        <n v="224.56"/>
        <n v="495.39"/>
        <n v="487.53040000000004"/>
        <n v="37.6"/>
        <n v="273.85"/>
        <n v="885.0"/>
        <n v="21143.12"/>
        <n v="263.09"/>
        <n v="315.12"/>
        <n v="283.08"/>
        <n v="576.93"/>
        <n v="1107.71"/>
        <n v="993.84"/>
        <n v="261.53"/>
        <n v="1630.73"/>
        <n v="75.39"/>
        <n v="260.0"/>
        <n v="227.7"/>
        <n v="1543.12"/>
        <n v="350.78"/>
        <n v="298.47"/>
        <n v="444.62820954505355"/>
        <n v="729.26"/>
        <n v="112.31"/>
        <n v="40.0"/>
        <n v="109.23"/>
        <n v="369.24"/>
        <n v="163.07"/>
        <n v="390.0"/>
        <n v="121.53"/>
        <n v="101.08111086985839"/>
        <n v="75.0"/>
        <n v="141.03747019280314"/>
        <n v="73.0"/>
        <n v="88.58"/>
        <n v="2684.62"/>
        <n v="69.92"/>
        <n v="119.99"/>
        <n v="444.61"/>
        <n v="221.55"/>
        <n v="3496.92"/>
        <n v="152.22"/>
        <n v="1429.24"/>
        <n v="421.34"/>
        <n v="99.23"/>
        <n v="116.02"/>
        <n v="143.5"/>
        <n v="55.0"/>
        <n v="103.81"/>
        <n v="757.17"/>
        <n v="1632.58"/>
        <n v="160.4"/>
        <n v="230.02"/>
        <n v="335.96"/>
        <n v="205.81"/>
        <n v="345.01"/>
        <n v="220.95"/>
        <n v="274.2599992607798"/>
        <n v="349.57"/>
        <n v="2049.11"/>
        <n v="80.2"/>
        <n v="441.86"/>
        <n v="118.02"/>
        <n v="399.14"/>
        <n v="114.04"/>
        <n v="363.13"/>
        <n v="519.17"/>
        <n v="424.63"/>
        <n v="373.62"/>
        <n v="349.62"/>
        <n v="117.05"/>
        <n v="21577.54"/>
        <n v="428.32"/>
        <n v="199.3"/>
        <n v="136.0"/>
        <n v="115.99"/>
        <n v="226.07"/>
        <n v="1023.22"/>
        <n v="1017.34"/>
        <n v="353.95"/>
        <n v="2841.41"/>
        <n v="359.98"/>
        <n v="346.7"/>
        <n v="36.66"/>
        <n v="20547.78"/>
        <n v="447.53"/>
        <n v="1860.43"/>
        <n v="222.32"/>
        <n v="94.39"/>
        <n v="148.11"/>
        <n v="173.68"/>
        <n v="387.73"/>
        <n v="109.35"/>
        <n v="614.35"/>
        <n v="338.12"/>
        <n v="54.22"/>
        <n v="325.29"/>
        <n v="21970.0"/>
        <n v="600.64"/>
        <n v="226.85"/>
        <n v="38.52"/>
        <n v="497.93"/>
        <n v="900.28"/>
        <n v="178.29"/>
        <n v="107.54"/>
        <n v="91.98"/>
      </sharedItems>
    </cacheField>
    <cacheField name="Dias Vencido" numFmtId="0">
      <sharedItems containsSemiMixedTypes="0" containsString="0" containsNumber="1" containsInteger="1">
        <n v="0.0"/>
        <n v="102.0"/>
        <n v="94.0"/>
        <n v="93.0"/>
        <n v="92.0"/>
        <n v="87.0"/>
        <n v="62.0"/>
        <n v="91.0"/>
        <n v="106.0"/>
        <n v="99.0"/>
        <n v="98.0"/>
        <n v="72.0"/>
        <n v="71.0"/>
        <n v="70.0"/>
        <n v="84.0"/>
        <n v="83.0"/>
        <n v="49.0"/>
        <n v="80.0"/>
        <n v="79.0"/>
        <n v="48.0"/>
        <n v="78.0"/>
        <n v="77.0"/>
        <n v="86.0"/>
        <n v="74.0"/>
        <n v="81.0"/>
        <n v="66.0"/>
        <n v="65.0"/>
        <n v="63.0"/>
        <n v="76.0"/>
        <n v="38.0"/>
        <n v="73.0"/>
        <n v="58.0"/>
        <n v="57.0"/>
        <n v="64.0"/>
        <n v="56.0"/>
        <n v="40.0"/>
        <n v="60.0"/>
        <n v="59.0"/>
        <n v="36.0"/>
        <n v="53.0"/>
        <n v="44.0"/>
        <n v="51.0"/>
        <n v="50.0"/>
        <n v="46.0"/>
        <n v="8.0"/>
        <n v="45.0"/>
        <n v="30.0"/>
        <n v="43.0"/>
        <n v="29.0"/>
        <n v="42.0"/>
        <n v="4.0"/>
        <n v="39.0"/>
        <n v="15.0"/>
        <n v="37.0"/>
        <n v="22.0"/>
        <n v="35.0"/>
        <n v="32.0"/>
        <n v="31.0"/>
        <n v="24.0"/>
        <n v="28.0"/>
        <n v="20.0"/>
        <n v="25.0"/>
        <n v="23.0"/>
        <n v="21.0"/>
        <n v="18.0"/>
        <n v="16.0"/>
        <n v="10.0"/>
        <n v="17.0"/>
        <n v="9.0"/>
        <n v="3.0"/>
        <n v="2.0"/>
        <n v="7.0"/>
        <n v="14.0"/>
        <n v="11.0"/>
        <n v="1.0"/>
        <n v="6.0"/>
      </sharedItems>
    </cacheField>
    <cacheField name="Estado Vencimiento" numFmtId="0">
      <sharedItems>
        <s v="PAGADA"/>
        <s v="VENCIDA"/>
        <s v="EN TIEMPO"/>
      </sharedItems>
    </cacheField>
    <cacheField name="Monto Pagado USD" numFmtId="2">
      <sharedItems containsSemiMixedTypes="0" containsString="0" containsNumber="1">
        <n v="175.0"/>
        <n v="246.0"/>
        <n v="85.33"/>
        <n v="396.47317906993857"/>
        <n v="27781.08"/>
        <n v="74.96008846460224"/>
        <n v="86.57827478329567"/>
        <n v="713.0517045098114"/>
        <n v="1847.0"/>
        <n v="96.0"/>
        <n v="91.89855023431099"/>
        <n v="166.2406347195711"/>
        <n v="238.64989571606637"/>
        <n v="101.23959178648737"/>
        <n v="30.0"/>
        <n v="150.0"/>
        <n v="68.91196274532622"/>
        <n v="198.0"/>
        <n v="146.0"/>
        <n v="49.99999999999999"/>
        <n v="86.70221035218145"/>
        <n v="195.0"/>
        <n v="204.98768474833676"/>
        <n v="208.01027020652973"/>
        <n v="58.0"/>
        <n v="72.0"/>
        <n v="29.15730285384934"/>
        <n v="120.0"/>
        <n v="161.00050004287857"/>
        <n v="151.96000661699588"/>
        <n v="426.50749968791314"/>
        <n v="2147.0"/>
        <n v="0.0"/>
        <n v="129.98"/>
        <n v="1893.1200111550663"/>
        <n v="61.94126451808485"/>
        <n v="430.0"/>
        <n v="65.0"/>
        <n v="119.48"/>
        <n v="260.0"/>
        <n v="930.7020201949153"/>
        <n v="218.00235178206609"/>
        <n v="134.0"/>
        <n v="84.28992827662871"/>
        <n v="200.0"/>
        <n v="190.0"/>
        <n v="3498.0"/>
        <n v="2492.0"/>
        <n v="72.00074587599022"/>
        <n v="168.12024837269925"/>
        <n v="699.8626482778354"/>
        <n v="132.48"/>
        <n v="159.99817437044305"/>
        <n v="104.0"/>
        <n v="78.62019474738442"/>
        <n v="166.8520706121061"/>
        <n v="36.0"/>
        <n v="179.6674934264389"/>
        <n v="459.5356037151703"/>
        <n v="1250.0"/>
        <n v="470.4594610117201"/>
        <n v="49.48284845279499"/>
        <n v="226.93084447331103"/>
        <n v="333.0"/>
        <n v="278.1546575091378"/>
        <n v="90.0"/>
        <n v="171.0"/>
        <n v="126.0"/>
        <n v="218.0"/>
        <n v="204.9527236491361"/>
        <n v="317.6741321186326"/>
        <n v="553.8995151408834"/>
        <n v="129.27358900772364"/>
        <n v="92.92978422710223"/>
        <n v="193.9201998556126"/>
        <n v="115.0"/>
        <n v="100.0"/>
        <n v="280.9058335076449"/>
        <n v="1004.9404832091172"/>
        <n v="110.03"/>
        <n v="99.01"/>
        <n v="140.0"/>
        <n v="34.0"/>
        <n v="197.0"/>
        <n v="49.99952260466893"/>
        <n v="371.2300101955719"/>
        <n v="40.0"/>
        <n v="76.0"/>
        <n v="760.0"/>
        <n v="1060.0"/>
        <n v="66.0"/>
        <n v="340.0"/>
        <n v="565.0"/>
        <n v="94.0"/>
        <n v="2250.0"/>
        <n v="93.13711428276046"/>
        <n v="129.92"/>
        <n v="160.0"/>
        <n v="972.03"/>
        <n v="53.65001902310711"/>
        <n v="139.0"/>
        <n v="202.0"/>
        <n v="68.0"/>
        <n v="873.2251532449004"/>
        <n v="1220.0"/>
        <n v="36.08"/>
        <n v="1750.0"/>
        <n v="350.0"/>
        <n v="35.0"/>
        <n v="154.0"/>
        <n v="39.0"/>
        <n v="124.0"/>
        <n v="680.0"/>
        <n v="1433.0"/>
        <n v="226.0"/>
        <n v="290.0"/>
        <n v="299.99998955244996"/>
        <n v="49.99995874080229"/>
        <n v="250.0"/>
        <n v="24.0"/>
        <n v="247.88"/>
        <n v="181.45946467803017"/>
        <n v="108.0"/>
        <n v="490.8439698346676"/>
        <n v="141.0"/>
        <n v="115.92"/>
        <n v="64.8"/>
        <n v="157.44616702765768"/>
        <n v="117.0"/>
        <n v="143.0"/>
        <n v="345.6025942062502"/>
        <n v="70.0"/>
        <n v="681.0"/>
        <n v="217.99999793332705"/>
        <n v="167.0"/>
        <n v="201.0"/>
        <n v="430.1467444416737"/>
        <n v="130.0"/>
        <n v="107.0"/>
        <n v="460.0"/>
        <n v="278.0"/>
        <n v="400.0"/>
        <n v="301.0"/>
        <n v="119.0"/>
        <n v="99.00002319356113"/>
        <n v="78.98181390985013"/>
        <n v="75.0"/>
        <n v="282.0"/>
        <n v="170.0"/>
        <n v="111.0"/>
        <n v="133.0"/>
        <n v="240.0"/>
        <n v="275.0"/>
        <n v="3991.560009369363"/>
        <n v="88.0"/>
        <n v="606.31944438714"/>
        <n v="294.00375121424776"/>
        <n v="514.93"/>
        <n v="1321.363714931283"/>
        <n v="674.0"/>
        <n v="164.4012754748009"/>
        <n v="252.0"/>
        <n v="386.08904652406403"/>
        <n v="161.0"/>
        <n v="943.8162256658335"/>
        <n v="227.84392824309774"/>
        <n v="3853.0"/>
        <n v="67.0"/>
        <n v="300.0"/>
        <n v="125.63075283420564"/>
        <n v="312.99999596018506"/>
        <n v="5141.253857758865"/>
        <n v="255.0"/>
        <n v="274.0"/>
        <n v="85.0"/>
        <n v="309.86250181116026"/>
        <n v="158.92814309516837"/>
        <n v="92.99984324821058"/>
        <n v="51.7657905138503"/>
        <n v="81.0"/>
        <n v="600.0"/>
        <n v="42.99963604939886"/>
        <n v="436.16"/>
        <n v="180.0"/>
        <n v="127.23867747154877"/>
        <n v="51.0"/>
        <n v="188.0"/>
        <n v="115.99897229939717"/>
        <n v="80.10613240736942"/>
        <n v="199.29037442675545"/>
        <n v="83.05533230569259"/>
        <n v="53.0"/>
        <n v="97.93405239203732"/>
        <n v="135.0"/>
        <n v="52.0"/>
        <n v="49.0"/>
        <n v="602.0"/>
        <n v="6802.37"/>
        <n v="257.9744284031261"/>
        <n v="64.0"/>
        <n v="110.0"/>
        <n v="60.0"/>
        <n v="191.4256215647114"/>
        <n v="73.5"/>
        <n v="91.0"/>
        <n v="472.8462708053072"/>
        <n v="112.40046278050664"/>
        <n v="162.4"/>
        <n v="3457.96"/>
        <n v="965.678296502457"/>
        <n v="290.84749283682834"/>
        <n v="318.611889330559"/>
        <n v="106.0"/>
        <n v="101.70066716424132"/>
        <n v="555.2912070065223"/>
        <n v="146.8997939712403"/>
        <n v="99.0"/>
        <n v="202.5069926366611"/>
        <n v="339.37799263442514"/>
        <n v="51.94"/>
        <n v="273.60935701220956"/>
        <n v="141.38997861716132"/>
        <n v="29.76782104372371"/>
        <n v="32.0"/>
        <n v="50.0"/>
        <n v="3.0"/>
        <n v="43.0"/>
        <n v="105.0"/>
        <n v="406.16042037848337"/>
        <n v="109.0"/>
        <n v="23.0"/>
        <n v="130.0816348849812"/>
        <n v="78.0"/>
        <n v="213.0"/>
        <n v="743.3868313515263"/>
        <n v="191.0"/>
        <n v="2715.890000542556"/>
        <n v="358.0"/>
        <n v="155.0"/>
        <n v="273.9300057540969"/>
        <n v="2464.200008578976"/>
        <n v="1203.0"/>
        <n v="257.77235187339676"/>
        <n v="1354.0"/>
        <n v="249.0"/>
        <n v="320.0"/>
        <n v="24.10919014773099"/>
        <n v="885.0"/>
        <n v="200.23138708409584"/>
        <n v="879.6731765489762"/>
        <n v="28.060000000000002"/>
        <n v="444.62820954505355"/>
        <n v="73.0"/>
        <n v="101.08111086985839"/>
        <n v="141.03747019280314"/>
        <n v="103.0"/>
        <n v="56.0"/>
        <n v="274.26"/>
        <n v="274.2599992607798"/>
        <n v="700.0"/>
        <n v="21577.54"/>
        <n v="229.9733587271232"/>
        <n v="37.0"/>
        <n v="390.0"/>
      </sharedItems>
    </cacheField>
    <cacheField name="Moneda de pago">
      <sharedItems containsMixedTypes="1" containsNumber="1" containsInteger="1">
        <s v="USD"/>
        <s v="VES"/>
        <s v="Sin Pago"/>
        <s v="MIXTO"/>
        <n v="6.0"/>
      </sharedItems>
    </cacheField>
    <cacheField name="Saldo Orden" numFmtId="4">
      <sharedItems containsSemiMixedTypes="0" containsString="0" containsNumber="1">
        <n v="0.0"/>
        <n v="-50.0"/>
        <n v="-60.49317906993855"/>
        <n v="-11.190088464602233"/>
        <n v="-4.338274783295674"/>
        <n v="241.73829549018853"/>
        <n v="-13.648550234310989"/>
        <n v="306.2893652804289"/>
        <n v="-25.92989571606637"/>
        <n v="-10.799591786487369"/>
        <n v="42.480000000000004"/>
        <n v="360.0"/>
        <n v="239.16000000000003"/>
        <n v="-19.94768474833677"/>
        <n v="226.81972979347026"/>
        <n v="-0.27730285384934206"/>
        <n v="960.6199999999999"/>
        <n v="-0.02050004287858087"/>
        <n v="-20.960007313033316"/>
        <n v="-63.98749968791316"/>
        <n v="55.34"/>
        <n v="-96.35981915506636"/>
        <n v="-8.15126451808485"/>
        <n v="603.52"/>
        <n v="-0.010000000000005116"/>
        <n v="-0.009999999999990905"/>
        <n v="-138.3720201949153"/>
        <n v="364.7676482179339"/>
        <n v="241.81"/>
        <n v="1836.91"/>
        <n v="7241.610000000001"/>
        <n v="-7.458759902192469E-4"/>
        <n v="-13.628800000000012"/>
        <n v="-324.5126482778354"/>
        <n v="456.84000000000003"/>
        <n v="-1.9474738441260797E-4"/>
        <n v="415.08"/>
        <n v="-0.00999999999999801"/>
        <n v="121.1925065735611"/>
        <n v="499.6105389882799"/>
        <n v="17.887151547205015"/>
        <n v="-53.28084447331102"/>
        <n v="8.3553424908622"/>
        <n v="-13.852723649136095"/>
        <n v="-118.95951514088341"/>
        <n v="401.70641099227635"/>
        <n v="1623.82"/>
        <n v="69.1"/>
        <n v="611.13"/>
        <n v="-0.4058335076448998"/>
        <n v="-13.72048320911722"/>
        <n v="-0.01999999999999602"/>
        <n v="146.98000000000002"/>
        <n v="129.99047739533108"/>
        <n v="32.0"/>
        <n v="3895.88"/>
        <n v="134.49"/>
        <n v="1199.37"/>
        <n v="802.5"/>
        <n v="230.98000000000002"/>
        <n v="1607.24"/>
        <n v="-1.0202000000000027"/>
        <n v="18025.64"/>
        <n v="-0.13711428276046433"/>
        <n v="200.0"/>
        <n v="-0.01999999999998181"/>
        <n v="-1.9023107114435334E-5"/>
        <n v="40.0"/>
        <n v="232.30484675509956"/>
        <n v="776.24"/>
        <n v="875.0100000000002"/>
        <n v="-101.0"/>
        <n v="288.0"/>
        <n v="-1.009999999999991"/>
        <n v="1183.21"/>
        <n v="412.0"/>
        <n v="1881.84"/>
        <n v="712.48"/>
        <n v="421.47001044755007"/>
        <n v="201.0"/>
        <n v="114.98004125919769"/>
        <n v="361.55053532196985"/>
        <n v="272.0"/>
        <n v="451.14603016533243"/>
        <n v="1443.22"/>
        <n v="64.08"/>
        <n v="1112.5896164465105"/>
        <n v="43.16"/>
        <n v="68.72"/>
        <n v="63.96000000000001"/>
        <n v="187.85740579374982"/>
        <n v="42.3"/>
        <n v="-0.2300000000000182"/>
        <n v="-3.3999979333270574"/>
        <n v="91.00999999999999"/>
        <n v="114.51999999999998"/>
        <n v="149.85325555832628"/>
        <n v="76.0"/>
        <n v="-113.6"/>
        <n v="261.52"/>
        <n v="151.2"/>
        <n v="164.92000000000002"/>
        <n v="356.32000000000005"/>
        <n v="238.39999999999998"/>
        <n v="64.28"/>
        <n v="-0.4000231935611396"/>
        <n v="292.21818609014986"/>
        <n v="356.52"/>
        <n v="9795.45"/>
        <n v="116.0"/>
        <n v="274.28"/>
        <n v="143.0"/>
        <n v="82.33000000000001"/>
        <n v="258.8"/>
        <n v="156.51999999999998"/>
        <n v="-9.369362942379666E-6"/>
        <n v="318.14"/>
        <n v="383.9200000000001"/>
        <n v="-12.609499999999997"/>
        <n v="5968.02"/>
        <n v="4875.25"/>
        <n v="166.55607175690224"/>
        <n v="264.0"/>
        <n v="39.36"/>
        <n v="453.59"/>
        <n v="37.400000000000006"/>
        <n v="477.20000000000005"/>
        <n v="64.4"/>
        <n v="215.51999999999998"/>
        <n v="37.929247165794365"/>
        <n v="289.44"/>
        <n v="81.72"/>
        <n v="139.54000000000002"/>
        <n v="-51.28"/>
        <n v="187.60000000000002"/>
        <n v="-35.88250181116024"/>
        <n v="250.56"/>
        <n v="118.12015675178942"/>
        <n v="41.0"/>
        <n v="142.84"/>
        <n v="953.0"/>
        <n v="-0.2799999999999727"/>
        <n v="21.960363950601135"/>
        <n v="108.24000000000001"/>
        <n v="2876.6200000000003"/>
        <n v="436.16"/>
        <n v="104.61000000000001"/>
        <n v="36.76132252845123"/>
        <n v="29.0"/>
        <n v="108.37"/>
        <n v="1211.07"/>
        <n v="-0.06613240736940895"/>
        <n v="98.41"/>
        <n v="-2.09037442675546"/>
        <n v="65.92"/>
        <n v="-28.599999999999994"/>
        <n v="35.92"/>
        <n v="136.42000000000002"/>
        <n v="807.96"/>
        <n v="257.28"/>
        <n v="499.96"/>
        <n v="774.88"/>
        <n v="146.16"/>
        <n v="80.53999999999999"/>
        <n v="117.03999999999999"/>
        <n v="352.71000000000004"/>
        <n v="42.72"/>
        <n v="66.32"/>
        <n v="307.76"/>
        <n v="252.04000000000002"/>
        <n v="87.0"/>
        <n v="38.400000000000006"/>
        <n v="873.8"/>
        <n v="42.5"/>
        <n v="382.8"/>
        <n v="57.47999999999999"/>
        <n v="811.51"/>
        <n v="348.0"/>
        <n v="-38.16046278050665"/>
        <n v="2108.4"/>
        <n v="406.0"/>
        <n v="122.4"/>
        <n v="234.07999999999998"/>
        <n v="526.49"/>
        <n v="40.86"/>
        <n v="-0.001889330558981328"/>
        <n v="770.48"/>
        <n v="1071.71"/>
        <n v="2128.45"/>
        <n v="372.01"/>
        <n v="249.66"/>
        <n v="476.55"/>
        <n v="102.6"/>
        <n v="52.22"/>
        <n v="100.0"/>
        <n v="425.0"/>
        <n v="266.16"/>
        <n v="255.0"/>
        <n v="116.93"/>
        <n v="306.16"/>
        <n v="29.60000000000001"/>
        <n v="-110.52935701220954"/>
        <n v="45.77000000000001"/>
        <n v="103.2200213828387"/>
        <n v="252.31"/>
        <n v="185.6221789562763"/>
        <n v="21.85"/>
        <n v="54.620000000000005"/>
        <n v="65.44"/>
        <n v="42.769999999999996"/>
        <n v="181.62"/>
        <n v="87.31"/>
        <n v="-4.2037848334075534E-4"/>
        <n v="1756.54"/>
        <n v="58.540000000000006"/>
        <n v="99.14836511501878"/>
        <n v="258.46"/>
        <n v="123.93"/>
        <n v="333.86"/>
        <n v="1073.85"/>
        <n v="67.85"/>
        <n v="721.55"/>
        <n v="561.1931686484736"/>
        <n v="130.55"/>
        <n v="233.86"/>
        <n v="5431.779999457443"/>
        <n v="-141.07"/>
        <n v="240.38"/>
        <n v="1669.27"/>
        <n v="496.99"/>
        <n v="133.86"/>
        <n v="36.620000000000005"/>
        <n v="58.46"/>
        <n v="64.62"/>
        <n v="89.62"/>
        <n v="84.61"/>
        <n v="110.77"/>
        <n v="144.62"/>
        <n v="224.56"/>
        <n v="246.39"/>
        <n v="167.53040000000004"/>
        <n v="13.490809852269013"/>
        <n v="273.85"/>
        <n v="21143.12"/>
        <n v="263.09"/>
        <n v="315.12"/>
        <n v="283.08"/>
        <n v="51.540000000000006"/>
        <n v="426.92999999999995"/>
        <n v="1107.71"/>
        <n v="216.93"/>
        <n v="993.84"/>
        <n v="61.29861291590413"/>
        <n v="751.0568234510238"/>
        <n v="224.62"/>
        <n v="75.39"/>
        <n v="53.480000000000004"/>
        <n v="260.0"/>
        <n v="227.7"/>
        <n v="1543.12"/>
        <n v="350.78"/>
        <n v="298.47"/>
        <n v="729.26"/>
        <n v="39.31"/>
        <n v="179.99"/>
        <n v="109.23"/>
        <n v="369.24"/>
        <n v="163.07"/>
        <n v="390.0"/>
        <n v="121.53"/>
        <n v="46.93000000000001"/>
        <n v="73.0"/>
        <n v="88.58"/>
        <n v="2684.62"/>
        <n v="-0.0799999999999983"/>
        <n v="119.99"/>
        <n v="444.61"/>
        <n v="221.55"/>
        <n v="60.06999999999999"/>
        <n v="3496.92"/>
        <n v="152.22"/>
        <n v="1429.24"/>
        <n v="421.34"/>
        <n v="43.230000000000004"/>
        <n v="116.02"/>
        <n v="143.5"/>
        <n v="55.0"/>
        <n v="103.81"/>
        <n v="757.17"/>
        <n v="1632.58"/>
        <n v="160.4"/>
        <n v="230.02"/>
        <n v="335.96"/>
        <n v="205.81"/>
        <n v="70.75"/>
        <n v="220.95"/>
        <n v="349.57"/>
        <n v="1349.1100000000001"/>
        <n v="80.2"/>
        <n v="441.86"/>
        <n v="118.02"/>
        <n v="399.14"/>
        <n v="114.04"/>
        <n v="363.13"/>
        <n v="519.17"/>
        <n v="424.63"/>
        <n v="373.62"/>
        <n v="349.62"/>
        <n v="117.05"/>
        <n v="199.3"/>
        <n v="136.0"/>
        <n v="115.99"/>
        <n v="226.07"/>
        <n v="1023.22"/>
        <n v="787.3666412728768"/>
        <n v="353.95"/>
        <n v="2841.41"/>
        <n v="359.98"/>
        <n v="346.7"/>
        <n v="20547.78"/>
        <n v="447.53"/>
        <n v="1860.43"/>
        <n v="82.32"/>
        <n v="94.39"/>
        <n v="148.11"/>
        <n v="173.68"/>
        <n v="387.73"/>
        <n v="109.35"/>
        <n v="614.35"/>
        <n v="338.12"/>
        <n v="54.22"/>
        <n v="325.29"/>
        <n v="21970.0"/>
        <n v="210.64"/>
        <n v="226.85"/>
        <n v="38.52"/>
        <n v="497.93"/>
        <n v="900.28"/>
        <n v="178.29"/>
        <n v="107.54"/>
        <n v="91.98"/>
      </sharedItems>
    </cacheField>
    <cacheField name="Ultimo Pago">
      <sharedItems containsDate="1" containsMixedTypes="1">
        <d v="2026-03-19T00:00:00Z"/>
        <d v="2026-03-03T00:00:00Z"/>
        <d v="2026-06-01T00:00:00Z"/>
        <d v="2026-03-02T00:00:00Z"/>
        <d v="2026-06-08T00:00:00Z"/>
        <d v="2026-05-29T00:00:00Z"/>
        <d v="2026-05-14T00:00:00Z"/>
        <d v="2026-04-17T00:00:00Z"/>
        <d v="2026-04-21T00:00:00Z"/>
        <d v="2026-04-14T00:00:00Z"/>
        <d v="2026-04-28T00:00:00Z"/>
        <d v="2026-06-04T00:00:00Z"/>
        <d v="2026-05-11T00:00:00Z"/>
        <d v="2026-03-30T00:00:00Z"/>
        <d v="2026-03-17T00:00:00Z"/>
        <d v="2026-06-02T00:00:00Z"/>
        <d v="2026-06-19T00:00:00Z"/>
        <d v="2026-03-05T00:00:00Z"/>
        <d v="2026-04-22T00:00:00Z"/>
        <d v="2026-06-10T00:00:00Z"/>
        <d v="2026-06-23T00:00:00Z"/>
        <d v="2026-04-09T00:00:00Z"/>
        <d v="2026-03-06T00:00:00Z"/>
        <d v="2026-05-08T00:00:00Z"/>
        <s v="Sin Pago"/>
        <d v="2026-03-13T00:00:00Z"/>
        <d v="2026-03-09T00:00:00Z"/>
        <d v="2026-03-23T00:00:00Z"/>
        <d v="2026-03-27T00:00:00Z"/>
        <d v="2026-04-20T00:00:00Z"/>
        <d v="2026-04-10T00:00:00Z"/>
        <d v="2026-06-09T00:00:00Z"/>
        <d v="2026-05-05T00:00:00Z"/>
        <d v="2026-06-16T00:00:00Z"/>
        <d v="2026-05-04T00:00:00Z"/>
        <d v="2026-04-15T00:00:00Z"/>
        <d v="2026-03-11T00:00:00Z"/>
        <d v="2026-05-21T00:00:00Z"/>
        <d v="2026-04-13T00:00:00Z"/>
        <d v="2026-05-27T00:00:00Z"/>
        <d v="2026-03-12T00:00:00Z"/>
        <d v="2026-03-26T00:00:00Z"/>
        <d v="2026-05-18T00:00:00Z"/>
        <d v="2026-05-19T00:00:00Z"/>
        <d v="2026-06-17T00:00:00Z"/>
        <d v="2026-06-11T00:00:00Z"/>
        <d v="2026-05-26T00:00:00Z"/>
        <d v="2026-05-15T00:00:00Z"/>
        <d v="2026-04-24T00:00:00Z"/>
        <d v="2026-04-30T00:00:00Z"/>
        <d v="2026-05-12T00:00:00Z"/>
        <d v="2026-03-25T00:00:00Z"/>
        <d v="2026-06-03T00:00:00Z"/>
        <d v="2026-05-07T00:00:00Z"/>
        <d v="2026-04-29T00:00:00Z"/>
        <d v="2026-05-31T00:00:00Z"/>
        <d v="2026-03-31T00:00:00Z"/>
        <d v="2026-03-24T00:00:00Z"/>
        <d v="2026-05-22T00:00:00Z"/>
        <d v="2026-06-15T00:00:00Z"/>
        <d v="2026-06-05T00:00:00Z"/>
        <d v="2026-04-27T00:00:00Z"/>
        <d v="2026-04-23T00:00:00Z"/>
        <d v="2026-04-01T00:00:00Z"/>
        <d v="2026-06-13T00:00:00Z"/>
        <d v="2026-06-22T00:00:00Z"/>
        <d v="2026-04-07T00:00:00Z"/>
        <d v="2026-04-08T00:00:00Z"/>
        <d v="2026-05-28T00:00:00Z"/>
        <d v="2026-05-13T00:00:00Z"/>
        <d v="2026-06-12T00:00:00Z"/>
        <d v="2026-06-18T00:00:00Z"/>
        <d v="2026-05-25T00:00:00Z"/>
        <d v="2026-05-06T00:00:00Z"/>
        <d v="2026-05-20T00:00:00Z"/>
        <d v="1899-12-30T00:00:00Z"/>
      </sharedItems>
    </cacheField>
    <cacheField name="Status de Pago" numFmtId="0">
      <sharedItems>
        <s v="PAGADA"/>
        <s v="PAGO PARCIAL"/>
        <s v="PENDIENTE"/>
      </sharedItems>
    </cacheField>
    <cacheField name="Prioridad de Cobro" numFmtId="0">
      <sharedItems>
        <s v="SOLVENTE"/>
        <s v="CRÍTICO: VENCIDA"/>
        <s v="EN TIEMPO"/>
      </sharedItems>
    </cacheField>
    <cacheField name="Dias desde el ultimo Pago" numFmtId="0">
      <sharedItems containsSemiMixedTypes="0" containsString="0" containsNumber="1" containsInteger="1">
        <n v="0.0"/>
        <n v="71.0"/>
        <n v="23.0"/>
        <n v="25.0"/>
        <n v="8.0"/>
        <n v="17.0"/>
        <n v="4.0"/>
        <n v="44.0"/>
        <n v="18.0"/>
        <n v="11.0"/>
        <n v="37.0"/>
        <n v="75.0"/>
        <n v="106.0"/>
        <n v="32.0"/>
        <n v="58.0"/>
        <n v="46.0"/>
        <n v="54.0"/>
        <n v="19.0"/>
        <n v="24.0"/>
        <n v="51.0"/>
        <n v="73.0"/>
        <n v="50.0"/>
        <n v="12.0"/>
        <n v="61.0"/>
        <n v="14.0"/>
        <n v="5.0"/>
        <n v="81.0"/>
        <n v="78.0"/>
        <n v="39.0"/>
        <n v="79.0"/>
        <n v="26.0"/>
        <n v="40.0"/>
        <n v="30.0"/>
        <n v="64.0"/>
        <n v="22.0"/>
        <n v="15.0"/>
        <n v="16.0"/>
        <n v="10.0"/>
        <n v="31.0"/>
        <n v="9.0"/>
        <n v="60.0"/>
        <n v="36.0"/>
        <n v="53.0"/>
        <n v="47.0"/>
        <n v="43.0"/>
        <n v="38.0"/>
        <n v="46200.0"/>
      </sharedItems>
    </cacheField>
    <cacheField name="Validacion Descuento Diferencial" numFmtId="0">
      <sharedItems>
        <s v="OK"/>
        <s v="Sin Pago"/>
      </sharedItems>
    </cacheField>
    <cacheField name="Validacion Descuento Pronto Pago" numFmtId="0">
      <sharedItems>
        <s v=""/>
        <s v="OK"/>
        <s v="⚠️ REVISAR DESCUENTO"/>
      </sharedItems>
    </cacheField>
    <cacheField name="Cobrado" numFmtId="0">
      <sharedItems containsSemiMixedTypes="0" containsString="0" containsNumber="1">
        <n v="175.0"/>
        <n v="246.0"/>
        <n v="85.33"/>
        <n v="396.47317906993857"/>
        <n v="27781.08"/>
        <n v="74.96008846460224"/>
        <n v="86.57827478329567"/>
        <n v="713.0517045098114"/>
        <n v="116.81780880130722"/>
        <n v="96.0"/>
        <n v="91.89855023431099"/>
        <n v="166.2406347195711"/>
        <n v="238.64989571606637"/>
        <n v="101.23959178648737"/>
        <n v="30.0"/>
        <n v="150.0"/>
        <n v="68.91196274532622"/>
        <n v="198.0"/>
        <n v="146.0"/>
        <n v="49.99999999999999"/>
        <n v="86.70221035218145"/>
        <n v="195.0"/>
        <n v="204.98768474833676"/>
        <n v="208.01027020652973"/>
        <n v="58.0"/>
        <n v="72.0"/>
        <n v="29.15730285384934"/>
        <n v="120.0"/>
        <n v="161.00050004287857"/>
        <n v="130.99999930396257"/>
        <n v="426.50749968791314"/>
        <n v="2147.0"/>
        <n v="0.0"/>
        <n v="129.98"/>
        <n v="1893.1200111550663"/>
        <n v="61.94126451808485"/>
        <n v="430.0"/>
        <n v="65.0"/>
        <n v="119.48"/>
        <n v="260.0"/>
        <n v="930.7020201949153"/>
        <n v="218.00235178206609"/>
        <n v="134.0"/>
        <n v="84.28992827662871"/>
        <n v="200.0"/>
        <n v="190.0"/>
        <n v="3498.0"/>
        <n v="2492.0"/>
        <n v="72.00074587599022"/>
        <n v="168.12024837269925"/>
        <n v="699.8626482778354"/>
        <n v="132.48"/>
        <n v="159.99817437044305"/>
        <n v="104.0"/>
        <n v="78.62019474738442"/>
        <n v="166.8520706121061"/>
        <n v="36.0"/>
        <n v="179.6674934264389"/>
        <n v="459.5356037151703"/>
        <n v="1250.0"/>
        <n v="470.4594610117201"/>
        <n v="49.48284845279499"/>
        <n v="226.93084447331103"/>
        <n v="333.0"/>
        <n v="240.16602494209363"/>
        <n v="90.0"/>
        <n v="171.0"/>
        <n v="126.0"/>
        <n v="218.0"/>
        <n v="204.9527236491361"/>
        <n v="317.6741321186326"/>
        <n v="553.8995151408834"/>
        <n v="129.27358900772364"/>
        <n v="92.92978422710223"/>
        <n v="193.9201998556126"/>
        <n v="115.0"/>
        <n v="100.0"/>
        <n v="280.9058335076449"/>
        <n v="1004.9404832091172"/>
        <n v="110.03"/>
        <n v="99.01"/>
        <n v="140.0"/>
        <n v="34.0"/>
        <n v="197.0"/>
        <n v="49.99952260466893"/>
        <n v="371.2300101955719"/>
        <n v="40.0"/>
        <n v="76.0"/>
        <n v="760.0"/>
        <n v="1060.0"/>
        <n v="50.0"/>
        <n v="340.0"/>
        <n v="565.0"/>
        <n v="94.0"/>
        <n v="2250.0"/>
        <n v="93.13711428276046"/>
        <n v="129.92"/>
        <n v="160.0"/>
        <n v="972.03"/>
        <n v="53.65001902310711"/>
        <n v="139.0"/>
        <n v="202.0"/>
        <n v="68.0"/>
        <n v="873.2251532449004"/>
        <n v="1220.0"/>
        <n v="36.08"/>
        <n v="1861.852921624856"/>
        <n v="350.0"/>
        <n v="35.0"/>
        <n v="154.0"/>
        <n v="39.0"/>
        <n v="124.0"/>
        <n v="680.0"/>
        <n v="1433.0"/>
        <n v="226.0"/>
        <n v="290.0"/>
        <n v="299.99998955244996"/>
        <n v="49.99995874080229"/>
        <n v="250.0"/>
        <n v="24.0"/>
        <n v="247.88"/>
        <n v="181.45946467803017"/>
        <n v="108.0"/>
        <n v="490.8439698346676"/>
        <n v="141.0"/>
        <n v="115.92"/>
        <n v="1177.3896164465104"/>
        <n v="64.8"/>
        <n v="157.44616702765768"/>
        <n v="117.0"/>
        <n v="143.0"/>
        <n v="345.6025942062502"/>
        <n v="70.0"/>
        <n v="681.0"/>
        <n v="217.99999793332705"/>
        <n v="167.0"/>
        <n v="201.0"/>
        <n v="430.1467444416737"/>
        <n v="130.0"/>
        <n v="107.0"/>
        <n v="460.0"/>
        <n v="278.0"/>
        <n v="400.0"/>
        <n v="301.0"/>
        <n v="119.0"/>
        <n v="99.00002319356113"/>
        <n v="78.98181390985013"/>
        <n v="75.0"/>
        <n v="6561.31493769991"/>
        <n v="170.0"/>
        <n v="111.0"/>
        <n v="133.0"/>
        <n v="240.0"/>
        <n v="275.0"/>
        <n v="3991.560009369363"/>
        <n v="88.0"/>
        <n v="606.31944438714"/>
        <n v="294.00375121424776"/>
        <n v="514.93"/>
        <n v="1321.363714931283"/>
        <n v="674.0"/>
        <n v="164.4012754748009"/>
        <n v="252.0"/>
        <n v="386.08904652406403"/>
        <n v="161.0"/>
        <n v="943.8162256658335"/>
        <n v="227.84392824309774"/>
        <n v="3853.0"/>
        <n v="67.0"/>
        <n v="300.0"/>
        <n v="125.63075283420564"/>
        <n v="312.99999596018506"/>
        <n v="5141.253857758865"/>
        <n v="255.0"/>
        <n v="131.0"/>
        <n v="85.0"/>
        <n v="309.86250181116026"/>
        <n v="158.92814309516837"/>
        <n v="92.99984324821058"/>
        <n v="51.7657905138503"/>
        <n v="81.0"/>
        <n v="600.0"/>
        <n v="42.99963604939886"/>
        <n v="3312.786007365469"/>
        <n v="180.0"/>
        <n v="127.23867747154877"/>
        <n v="51.0"/>
        <n v="188.0"/>
        <n v="115.99897229939717"/>
        <n v="80.10613240736942"/>
        <n v="199.29037442675545"/>
        <n v="83.05533230569259"/>
        <n v="53.0"/>
        <n v="97.93405239203732"/>
        <n v="135.0"/>
        <n v="52.0"/>
        <n v="49.0"/>
        <n v="602.0"/>
        <n v="6802.37"/>
        <n v="257.9744284031261"/>
        <n v="64.0"/>
        <n v="110.0"/>
        <n v="60.0"/>
        <n v="66.0"/>
        <n v="191.4256215647114"/>
        <n v="73.5"/>
        <n v="91.0"/>
        <n v="472.8462708053072"/>
        <n v="112.40046278050664"/>
        <n v="99.99970875815205"/>
        <n v="3457.96"/>
        <n v="965.678296502457"/>
        <n v="290.84749283682834"/>
        <n v="318.611889330559"/>
        <n v="106.0"/>
        <n v="101.70066716424132"/>
        <n v="555.2912070065223"/>
        <n v="146.8997939712403"/>
        <n v="99.0"/>
        <n v="202.5069926366611"/>
        <n v="339.37799263442514"/>
        <n v="51.94"/>
        <n v="273.60935701220956"/>
        <n v="141.38997861716132"/>
        <n v="29.76782104372371"/>
        <n v="32.0"/>
        <n v="3.0"/>
        <n v="105.0"/>
        <n v="406.16042037848337"/>
        <n v="109.0"/>
        <n v="23.0"/>
        <n v="130.0816348849812"/>
        <n v="78.0"/>
        <n v="213.0"/>
        <n v="743.3868313515263"/>
        <n v="191.0"/>
        <n v="2715.890000542556"/>
        <n v="358.0"/>
        <n v="155.0"/>
        <n v="273.9300057540969"/>
        <n v="2464.200008578976"/>
        <n v="1203.0"/>
        <n v="257.77235187339676"/>
        <n v="1354.0"/>
        <n v="249.0"/>
        <n v="320.0"/>
        <n v="24.10919014773099"/>
        <n v="885.0"/>
        <n v="200.23138708409584"/>
        <n v="879.6731765489762"/>
        <n v="28.060000000000002"/>
        <n v="444.62820954505355"/>
        <n v="73.0"/>
        <n v="101.08111086985839"/>
        <n v="141.03747019280314"/>
        <n v="103.0"/>
        <n v="56.0"/>
        <n v="274.2599992607798"/>
        <n v="700.0"/>
        <n v="21577.54"/>
        <n v="229.9733587271232"/>
        <n v="390.0"/>
      </sharedItems>
    </cacheField>
    <cacheField name="Validación por Diferencial" numFmtId="0">
      <sharedItems>
        <s v="CUMPLE"/>
        <s v="NO CUMPLE"/>
        <s v="SIN MONEDA VÁLIDA"/>
        <s v="SIN TOTAL"/>
        <s v=""/>
      </sharedItems>
    </cacheField>
    <cacheField name="Columna 27" numFmtId="0">
      <sharedItems containsString="0" containsBlank="1">
        <m/>
      </sharedItems>
    </cacheField>
    <cacheField name="Columna 28" numFmtId="0">
      <sharedItems containsString="0" containsBlank="1">
        <m/>
      </sharedItems>
    </cacheField>
    <cacheField name="Columna 29" numFmtId="0">
      <sharedItems containsString="0" containsBlank="1">
        <m/>
      </sharedItems>
    </cacheField>
    <cacheField name="Columna 30" numFmtId="0">
      <sharedItems containsString="0" containsBlank="1">
        <m/>
      </sharedItems>
    </cacheField>
    <cacheField name="Columna 31" numFmtId="0">
      <sharedItems containsString="0" containsBlank="1">
        <m/>
      </sharedItems>
    </cacheField>
    <cacheField name="Columna 32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F595" sheet="Ventas"/>
  </cacheSource>
  <cacheFields>
    <cacheField name="Referencia de la orden" numFmtId="0">
      <sharedItems containsBlank="1">
        <s v="S00004"/>
        <s v="S00007"/>
        <s v="S00008"/>
        <s v="S00009"/>
        <s v="S00010"/>
        <s v="S00011"/>
        <s v="S00014"/>
        <s v="S00015"/>
        <s v="S00017"/>
        <s v="S00018"/>
        <s v="S00019"/>
        <s v="S00020"/>
        <s v="S00021"/>
        <s v="S00022"/>
        <s v="S00023"/>
        <s v="S00024"/>
        <s v="S00026"/>
        <s v="S00027"/>
        <s v="S00028"/>
        <s v="S00029"/>
        <s v="S00030"/>
        <s v="S00031"/>
        <s v="S00032"/>
        <s v="S00033"/>
        <s v="S00034"/>
        <s v="S00036"/>
        <s v="S00037"/>
        <s v="S00038"/>
        <s v="S00039"/>
        <s v="S00040"/>
        <s v="S00041"/>
        <s v="S00042"/>
        <s v="S00043"/>
        <s v="S00044"/>
        <s v="S00045"/>
        <s v="S00046"/>
        <s v="S00047"/>
        <s v="S00048"/>
        <s v="S00049"/>
        <s v="S00050"/>
        <s v="S00051"/>
        <s v="S00052"/>
        <s v="S00053"/>
        <s v="S00054"/>
        <s v="S00055"/>
        <s v="S00056"/>
        <s v="S00057"/>
        <s v="S00058"/>
        <s v="S00059"/>
        <s v="S00060"/>
        <s v="S00061"/>
        <s v="S00062"/>
        <s v="S00063"/>
        <s v="S00064"/>
        <s v="S00065"/>
        <s v="S00066"/>
        <s v="S00067"/>
        <s v="S00069"/>
        <s v="S00072"/>
        <s v="S00073"/>
        <s v="S00074"/>
        <s v="S00077"/>
        <s v="S00078"/>
        <s v="S00079"/>
        <s v="S00081"/>
        <s v="S00082"/>
        <s v="S00083"/>
        <s v="S00084"/>
        <s v="S00086"/>
        <s v="S00087"/>
        <s v="S00088"/>
        <s v="S00089"/>
        <s v="S00090"/>
        <s v="S00092"/>
        <s v="S00093"/>
        <s v="S00094"/>
        <s v="S00095"/>
        <s v="S00096"/>
        <s v="S00097"/>
        <s v="S00098"/>
        <s v="S00099"/>
        <s v="S00100"/>
        <s v="S00101"/>
        <s v="S00103"/>
        <s v="S00104"/>
        <s v="S00105"/>
        <s v="S00106"/>
        <s v="S00108"/>
        <s v="S00113"/>
        <s v="S00114"/>
        <s v="S00116"/>
        <s v="S00117"/>
        <s v="S00118"/>
        <s v="S00119"/>
        <s v="S00120"/>
        <s v="S00121"/>
        <s v="S00122"/>
        <s v="S00123"/>
        <s v="S00124"/>
        <s v="S00125"/>
        <s v="S00126"/>
        <s v="S00127"/>
        <s v="S00128"/>
        <s v="S00129"/>
        <s v="S00130"/>
        <s v="S00131"/>
        <s v="S00132"/>
        <s v="S00133"/>
        <s v="S00136"/>
        <s v="S00137"/>
        <s v="S00138"/>
        <s v="S00139"/>
        <s v="S00140"/>
        <s v="S00141"/>
        <s v="S00142"/>
        <s v="S00143"/>
        <s v="S00144"/>
        <s v="S00145"/>
        <s v="S00146"/>
        <s v="S00148"/>
        <s v="S00149"/>
        <s v="S00150"/>
        <s v="S00151"/>
        <s v="S00152"/>
        <s v="S00153"/>
        <s v="S00154"/>
        <s v="S00156"/>
        <s v="S00157"/>
        <s v="S00158"/>
        <s v="S00159"/>
        <s v="S00160"/>
        <s v="S00161"/>
        <s v="S00163"/>
        <s v="S00164"/>
        <s v="S00165"/>
        <s v="S00166"/>
        <s v="S00167"/>
        <s v="S00168"/>
        <s v="S00169"/>
        <s v="S00170"/>
        <s v="S00171"/>
        <s v="S00174"/>
        <s v="S00175"/>
        <s v="S00176"/>
        <s v="S00177"/>
        <s v="S00178"/>
        <s v="S00179"/>
        <s v="S00181"/>
        <s v="S00182"/>
        <s v="S00183"/>
        <s v="S00184"/>
        <s v="S00185"/>
        <s v="S00186"/>
        <s v="S00187"/>
        <s v="S00188"/>
        <s v="S00189"/>
        <s v="S00190"/>
        <s v="S00192"/>
        <s v="S00195"/>
        <s v="S00196"/>
        <s v="S00197"/>
        <s v="S00198"/>
        <s v="S00199"/>
        <s v="S00201"/>
        <s v="S00202"/>
        <s v="S00203"/>
        <s v="S00204"/>
        <s v="S00205"/>
        <s v="S00206"/>
        <s v="S00207"/>
        <s v="S00208"/>
        <s v="S00209"/>
        <s v="S00210"/>
        <s v="S00211"/>
        <s v="S00212"/>
        <s v="S00213"/>
        <s v="S00214"/>
        <s v="S00215"/>
        <s v="S00218"/>
        <s v="S00219"/>
        <s v="S00220"/>
        <s v="S00221"/>
        <s v="S00222"/>
        <s v="S00223"/>
        <s v="S00225"/>
        <s v="S00226"/>
        <s v="S00227"/>
        <s v="S00228"/>
        <s v="S00229"/>
        <s v="S00230"/>
        <s v="S00231"/>
        <s v="S00233"/>
        <s v="S00234"/>
        <s v="S00235"/>
        <s v="S00236"/>
        <s v="S00237"/>
        <s v="S00238"/>
        <s v="S00239"/>
        <s v="S00240"/>
        <s v="S00241"/>
        <s v="S00242"/>
        <s v="S00243"/>
        <s v="S00244"/>
        <s v="S00245"/>
        <s v="S00246"/>
        <s v="S00247"/>
        <s v="S00248"/>
        <s v="S00249"/>
        <s v="S00250"/>
        <s v="S00257"/>
        <s v="S00258"/>
        <s v="S00259"/>
        <s v="S00260"/>
        <s v="S00261"/>
        <s v="S00262"/>
        <s v="S00263"/>
        <s v="S00264"/>
        <s v="S00265"/>
        <s v="S00274"/>
        <s v="S00279"/>
        <s v="S00280"/>
        <s v="S00282"/>
        <s v="S00283"/>
        <s v="S00284"/>
        <s v="S00285"/>
        <s v="S00286"/>
        <s v="S00287"/>
        <s v="S00289"/>
        <s v="S00291"/>
        <s v="S00292"/>
        <s v="S00293"/>
        <s v="S00294"/>
        <s v="S00295"/>
        <s v="S00296"/>
        <s v="S00298"/>
        <s v="S00300"/>
        <s v="S00301"/>
        <s v="S00302"/>
        <s v="S00303"/>
        <s v="S00304"/>
        <s v="S00305"/>
        <s v="S00306"/>
        <s v="S00308"/>
        <s v="S00309"/>
        <s v="S00310"/>
        <s v="S00311"/>
        <s v="S00313"/>
        <s v="S00314"/>
        <s v="S00315"/>
        <s v="S00316"/>
        <s v="S00317"/>
        <s v="S00318"/>
        <s v="S00319"/>
        <s v="S00320"/>
        <s v="S00321"/>
        <s v="S00322"/>
        <s v="S00323"/>
        <s v="S00324"/>
        <s v="S00325"/>
        <s v="S00326"/>
        <s v="S00327"/>
        <s v="S00328"/>
        <s v="S00330"/>
        <s v="S00331"/>
        <s v="S00332"/>
        <s v="S00334"/>
        <s v="S00335"/>
        <s v="S00336"/>
        <s v="S00337"/>
        <s v="S00338"/>
        <s v="S00339"/>
        <s v="S00340"/>
        <s v="S00341"/>
        <s v="S00343"/>
        <s v="S00344"/>
        <s v="S00346"/>
        <s v="S00347"/>
        <s v="S00348"/>
        <s v="S00349"/>
        <s v="S00350"/>
        <s v="S00351"/>
        <s v="S00352"/>
        <s v="S00353"/>
        <s v="S00354"/>
        <s v="S00355"/>
        <s v="S00356"/>
        <s v="S00357"/>
        <s v="S00358"/>
        <s v="S00359"/>
        <s v="S00361"/>
        <s v="S00362"/>
        <s v="S00363"/>
        <s v="S00364"/>
        <s v="S00365"/>
        <s v="S00366"/>
        <s v="S00368"/>
        <s v="S00369"/>
        <s v="S00372"/>
        <s v="S00373"/>
        <s v="S00374"/>
        <s v="S00375"/>
        <s v="S00376"/>
        <s v="S00378"/>
        <s v="S00379"/>
        <s v="S00380"/>
        <s v="S00381"/>
        <s v="S00382"/>
        <s v="S00384"/>
        <s v="S00386"/>
        <s v="S00387"/>
        <s v="S00388"/>
        <s v="S00389"/>
        <s v="S00392"/>
        <s v="S00393"/>
        <s v="S00394"/>
        <s v="S00395"/>
        <s v="S00396"/>
        <s v="S00397"/>
        <s v="S00398"/>
        <s v="S00399"/>
        <s v="S00400"/>
        <s v="S00401"/>
        <s v="S00402"/>
        <s v="S00404"/>
        <s v="S00405"/>
        <s v="S00407"/>
        <s v="S00408"/>
        <s v="S00410"/>
        <s v="S00411"/>
        <s v="S00412"/>
        <s v="S00413"/>
        <s v="S00414"/>
        <s v="S00415"/>
        <s v="S00416"/>
        <s v="S00417"/>
        <s v="S00418"/>
        <s v="S00419"/>
        <s v="S00420"/>
        <s v="S00421"/>
        <s v="S00422"/>
        <s v="S00423"/>
        <s v="S00424"/>
        <s v="S00425"/>
        <s v="S00426"/>
        <s v="S00427"/>
        <s v="S00428"/>
        <s v="S00429"/>
        <s v="S00430"/>
        <s v="S00431"/>
        <s v="S00432"/>
        <s v="S00433"/>
        <s v="S00434"/>
        <s v="S00435"/>
        <s v="S00436"/>
        <s v="S00437"/>
        <s v="S00439"/>
        <s v="S00440"/>
        <s v="S00441"/>
        <s v="S00442"/>
        <s v="S00443"/>
        <s v="S00444"/>
        <s v="S00446"/>
        <s v="S00447"/>
        <s v="S00449"/>
        <s v="S00450"/>
        <s v="S00451"/>
        <s v="S00452"/>
        <s v="S00454"/>
        <s v="S00456"/>
        <s v="S00457"/>
        <s v="S00458"/>
        <s v="S00462"/>
        <s v="S00464"/>
        <s v="S00465"/>
        <s v="S00466"/>
        <s v="S00467"/>
        <s v="S00468"/>
        <s v="S00469"/>
        <s v="S00470"/>
        <s v="S00471"/>
        <s v="S00472"/>
        <s v="S00473"/>
        <s v="S00474"/>
        <s v="S00475"/>
        <s v="S00476"/>
        <s v="S00477"/>
        <s v="S00478"/>
        <s v="S00479"/>
        <s v="S00482"/>
        <s v="S00483"/>
        <s v="S00484"/>
        <s v="S00485"/>
        <s v="S00486"/>
        <s v="S00488"/>
        <s v="S00489"/>
        <s v="S00490"/>
        <s v="S00491"/>
        <s v="S00492"/>
        <s v="S00493"/>
        <s v="S00494"/>
        <s v="S00495"/>
        <s v="S00496"/>
        <s v="S00497"/>
        <s v="S00498"/>
        <s v="S00499"/>
        <s v="S00500"/>
        <s v="S00501"/>
        <s v="S00502"/>
        <s v="S00503"/>
        <s v="S00505"/>
        <s v="S00506"/>
        <s v="S00507"/>
        <s v="S00508"/>
        <s v="S00509"/>
        <s v="S00510"/>
        <s v="S00511"/>
        <s v="S00512"/>
        <s v="S00513"/>
        <s v="S00514"/>
        <s v="S00515"/>
        <s v="S00516"/>
        <s v="S00517"/>
        <s v="S00518"/>
        <s v="S00519"/>
        <s v="S00520"/>
        <s v="S00522"/>
        <s v="S00523"/>
        <s v="S00525"/>
        <s v="S00526"/>
        <s v="S00527"/>
        <s v="S00528"/>
        <s v="S00529"/>
        <s v="S00530"/>
        <s v="S00531"/>
        <s v="S00532"/>
        <s v="S00533"/>
        <s v="S00534"/>
        <s v="S00535"/>
        <s v="S00536"/>
        <s v="S00537"/>
        <s v="S00538"/>
        <s v="S00539"/>
        <s v="S00540"/>
        <s v="S00541"/>
        <s v="S00542"/>
        <s v="S00543"/>
        <s v="S00544"/>
        <s v="S00545"/>
        <s v="S00546"/>
        <s v="S00547"/>
        <s v="S00549"/>
        <s v="S00550"/>
        <s v="S00551"/>
        <s v="S00552"/>
        <s v="S00553"/>
        <s v="S00554"/>
        <s v="S00555"/>
        <s v="S00556"/>
        <s v="S00557"/>
        <s v="S00558"/>
        <s v="S00559"/>
        <s v="S00560"/>
        <s v="S00561"/>
        <s v="S00562"/>
        <s v="S00563"/>
        <s v="S00564"/>
        <s v="S00565"/>
        <s v="S00566"/>
        <s v="S00567"/>
        <s v="S00568"/>
        <s v="S00570"/>
        <s v="S00571"/>
        <s v="S00572"/>
        <s v="S00573"/>
        <s v="S00574"/>
        <s v="S00575"/>
        <s v="S00576"/>
        <s v="S00577"/>
        <s v="S00578"/>
        <s v="S00579"/>
        <s v="S00580"/>
        <s v="S00581"/>
        <s v="S00582"/>
        <s v="S00583"/>
        <s v="S00584"/>
        <s v="S00585"/>
        <s v="S00586"/>
        <s v="S00587"/>
        <s v="S00588"/>
        <s v="S00589"/>
        <s v="S00590"/>
        <s v="S00591"/>
        <s v="S00592"/>
        <m/>
      </sharedItems>
    </cacheField>
    <cacheField name="Fecha de la orden" numFmtId="164">
      <sharedItems containsNonDate="0" containsDate="1" containsString="0" containsBlank="1" minDate="2026-02-26T11:03:34Z" maxDate="2026-06-23T17:00:26Z">
        <d v="2026-03-09T05:46:05Z"/>
        <d v="2026-02-26T11:03:34Z"/>
        <d v="2026-02-26T12:04:03Z"/>
        <d v="2026-02-26T12:12:16Z"/>
        <d v="2026-03-16T08:30:19Z"/>
        <d v="2026-03-13T17:23:50Z"/>
        <d v="2026-03-09T05:47:20Z"/>
        <d v="2026-03-09T05:47:34Z"/>
        <d v="2026-03-09T05:47:50Z"/>
        <d v="2026-03-09T05:47:58Z"/>
        <d v="2026-03-03T15:32:17Z"/>
        <d v="2026-03-09T05:48:52Z"/>
        <d v="2026-03-09T05:49:02Z"/>
        <d v="2026-03-09T05:49:11Z"/>
        <d v="2026-03-09T05:49:23Z"/>
        <d v="2026-03-09T05:49:34Z"/>
        <d v="2026-03-09T05:49:52Z"/>
        <d v="2026-03-09T05:51:09Z"/>
        <d v="2026-03-04T14:06:27Z"/>
        <d v="2026-03-09T05:50:11Z"/>
        <d v="2026-03-09T05:51:16Z"/>
        <d v="2026-03-09T05:50:21Z"/>
        <d v="2026-03-09T05:50:28Z"/>
        <d v="2026-03-05T08:44:27Z"/>
        <d v="2026-03-09T05:50:40Z"/>
        <d v="2026-03-09T05:50:49Z"/>
        <d v="2026-03-09T06:07:31Z"/>
        <d v="2026-03-09T06:07:38Z"/>
        <d v="2026-03-09T06:07:40Z"/>
        <d v="2026-03-09T06:07:43Z"/>
        <d v="2026-03-09T06:07:48Z"/>
        <d v="2026-03-06T14:04:22Z"/>
        <d v="2026-03-06T16:17:37Z"/>
        <d v="2026-03-06T16:23:53Z"/>
        <d v="2026-03-09T05:45:51Z"/>
        <d v="2026-03-10T10:36:19Z"/>
        <d v="2026-03-09T13:14:07Z"/>
        <d v="2026-03-09T15:44:40Z"/>
        <d v="2026-03-10T11:02:53Z"/>
        <d v="2026-03-09T16:10:07Z"/>
        <d v="2026-03-10T11:02:28Z"/>
        <d v="2026-03-10T07:52:48Z"/>
        <d v="2026-03-10T11:02:06Z"/>
        <d v="2026-03-11T08:57:54Z"/>
        <d v="2026-03-10T11:37:13Z"/>
        <d v="2026-03-10T15:57:31Z"/>
        <d v="2026-03-10T16:41:51Z"/>
        <d v="2026-03-10T16:41:27Z"/>
        <d v="2026-03-10T16:42:16Z"/>
        <d v="2026-03-10T16:41:13Z"/>
        <d v="2026-03-11T16:48:08Z"/>
        <d v="2026-03-11T16:00:08Z"/>
        <d v="2026-03-11T08:57:24Z"/>
        <d v="2026-03-11T08:25:15Z"/>
        <d v="2026-03-11T08:53:18Z"/>
        <d v="2026-03-11T15:59:02Z"/>
        <d v="2026-03-11T11:52:43Z"/>
        <d v="2026-03-11T15:56:38Z"/>
        <d v="2026-03-11T16:47:51Z"/>
        <d v="2026-03-12T08:57:51Z"/>
        <d v="2026-03-12T08:57:33Z"/>
        <d v="2026-03-12T09:53:55Z"/>
        <d v="2026-03-12T12:33:25Z"/>
        <d v="2026-03-12T15:23:56Z"/>
        <d v="2026-03-12T17:06:14Z"/>
        <d v="2026-03-12T15:53:58Z"/>
        <d v="2026-03-12T17:30:57Z"/>
        <d v="2026-03-12T17:52:53Z"/>
        <d v="2026-03-12T17:52:10Z"/>
        <d v="2026-03-12T17:48:07Z"/>
        <d v="2026-03-13T14:20:18Z"/>
        <d v="2026-03-13T13:44:41Z"/>
        <d v="2026-03-13T13:44:32Z"/>
        <d v="2026-03-13T15:05:37Z"/>
        <d v="2026-03-13T15:06:03Z"/>
        <d v="2026-03-13T15:30:47Z"/>
        <d v="2026-03-16T10:59:09Z"/>
        <d v="2026-03-16T10:58:20Z"/>
        <d v="2026-03-16T10:58:41Z"/>
        <d v="2026-03-16T09:48:58Z"/>
        <d v="2026-03-16T11:42:28Z"/>
        <d v="2026-03-17T15:46:36Z"/>
        <d v="2026-03-17T15:46:45Z"/>
        <d v="2026-03-17T15:47:27Z"/>
        <d v="2026-03-17T15:47:47Z"/>
        <d v="2026-03-17T15:48:10Z"/>
        <d v="2026-03-17T13:29:12Z"/>
        <d v="2026-03-17T15:48:29Z"/>
        <d v="2026-03-17T16:14:43Z"/>
        <d v="2026-03-18T17:47:57Z"/>
        <d v="2026-03-18T08:50:51Z"/>
        <d v="2026-03-18T17:48:16Z"/>
        <d v="2026-03-18T17:48:39Z"/>
        <d v="2026-03-18T17:48:50Z"/>
        <d v="2026-03-18T17:49:03Z"/>
        <d v="2026-03-19T13:42:21Z"/>
        <d v="2026-03-19T13:42:43Z"/>
        <d v="2026-03-19T13:43:05Z"/>
        <d v="2026-03-19T14:00:35Z"/>
        <d v="2026-03-19T18:16:03Z"/>
        <d v="2026-03-19T16:49:05Z"/>
        <d v="2026-03-19T17:00:12Z"/>
        <d v="2026-03-19T17:05:57Z"/>
        <d v="2026-03-20T12:26:28Z"/>
        <d v="2026-03-20T15:49:51Z"/>
        <d v="2026-03-20T17:05:18Z"/>
        <d v="2026-03-20T16:53:36Z"/>
        <d v="2026-03-24T15:22:46Z"/>
        <d v="2026-03-23T14:43:57Z"/>
        <d v="2026-03-23T14:44:27Z"/>
        <d v="2026-03-23T14:44:16Z"/>
        <d v="2026-03-23T15:27:34Z"/>
        <d v="2026-03-23T15:59:36Z"/>
        <d v="2026-03-24T16:03:00Z"/>
        <d v="2026-03-24T16:07:08Z"/>
        <d v="2026-03-24T16:06:40Z"/>
        <d v="2026-03-24T16:04:10Z"/>
        <d v="2026-03-24T14:55:17Z"/>
        <d v="2026-03-24T16:35:21Z"/>
        <d v="2026-03-25T10:10:16Z"/>
        <d v="2026-03-25T16:20:53Z"/>
        <d v="2026-03-25T16:27:33Z"/>
        <d v="2026-03-25T16:30:23Z"/>
        <d v="2026-03-26T09:27:17Z"/>
        <d v="2026-03-26T09:26:58Z"/>
        <d v="2026-03-26T09:36:49Z"/>
        <d v="2026-03-26T15:47:40Z"/>
        <d v="2026-03-26T15:37:53Z"/>
        <d v="2026-03-26T16:26:05Z"/>
        <d v="2026-03-26T17:00:41Z"/>
        <d v="2026-03-26T17:31:20Z"/>
        <d v="2026-03-26T17:40:57Z"/>
        <d v="2026-03-27T09:11:54Z"/>
        <d v="2026-03-27T13:30:42Z"/>
        <d v="2026-03-27T14:26:25Z"/>
        <d v="2026-03-27T15:50:29Z"/>
        <d v="2026-03-27T15:50:38Z"/>
        <d v="2026-03-27T15:51:03Z"/>
        <d v="2026-03-27T17:26:14Z"/>
        <d v="2026-03-30T09:33:49Z"/>
        <d v="2026-03-30T09:33:57Z"/>
        <d v="2026-03-31T11:14:17Z"/>
        <d v="2026-03-31T12:57:42Z"/>
        <d v="2026-03-31T17:28:06Z"/>
        <d v="2026-03-31T15:30:59Z"/>
        <d v="2026-03-31T17:10:45Z"/>
        <d v="2026-04-01T12:12:53Z"/>
        <d v="2026-04-01T12:45:55Z"/>
        <d v="2026-04-01T16:50:50Z"/>
        <d v="2026-04-06T08:54:40Z"/>
        <d v="2026-04-06T08:33:22Z"/>
        <d v="2026-04-07T08:32:41Z"/>
        <d v="2026-04-06T16:30:54Z"/>
        <d v="2026-04-07T17:40:44Z"/>
        <d v="2026-04-07T17:40:55Z"/>
        <d v="2026-04-08T14:13:41Z"/>
        <d v="2026-04-09T09:51:49Z"/>
        <d v="2026-04-09T18:49:37Z"/>
        <d v="2026-04-09T16:39:13Z"/>
        <d v="2026-04-09T18:05:53Z"/>
        <d v="2026-04-09T18:49:20Z"/>
        <d v="2026-04-10T08:20:57Z"/>
        <d v="2026-04-10T11:39:06Z"/>
        <d v="2026-04-10T11:38:23Z"/>
        <d v="2026-04-10T15:45:46Z"/>
        <d v="2026-04-13T08:55:00Z"/>
        <d v="2026-04-13T08:53:56Z"/>
        <d v="2026-04-13T08:53:39Z"/>
        <d v="2026-04-11T09:45:39Z"/>
        <d v="2026-04-13T16:59:04Z"/>
        <d v="2026-04-13T15:53:55Z"/>
        <d v="2026-04-13T15:53:44Z"/>
        <d v="2026-04-13T16:02:05Z"/>
        <d v="2026-04-13T16:58:23Z"/>
        <d v="2026-04-13T16:58:31Z"/>
        <d v="2026-04-13T17:20:00Z"/>
        <d v="2026-05-12T16:04:13Z"/>
        <d v="2026-04-14T12:49:48Z"/>
        <d v="2026-04-14T17:53:34Z"/>
        <d v="2026-04-14T18:06:47Z"/>
        <d v="2026-04-15T13:43:18Z"/>
        <d v="2026-04-15T13:00:53Z"/>
        <d v="2026-04-15T12:04:44Z"/>
        <d v="2026-04-15T12:44:15Z"/>
        <d v="2026-04-15T16:14:55Z"/>
        <d v="2026-04-16T09:56:40Z"/>
        <d v="2026-04-16T11:53:59Z"/>
        <d v="2026-04-16T11:54:15Z"/>
        <d v="2026-04-16T12:09:39Z"/>
        <d v="2026-04-16T15:27:55Z"/>
        <d v="2026-04-16T15:28:13Z"/>
        <d v="2026-04-16T16:36:50Z"/>
        <d v="2026-04-16T18:36:25Z"/>
        <d v="2026-04-17T10:45:21Z"/>
        <d v="2026-04-17T10:45:05Z"/>
        <d v="2026-04-17T10:45:38Z"/>
        <d v="2026-04-17T13:52:06Z"/>
        <d v="2026-04-17T14:46:02Z"/>
        <d v="2026-04-20T10:14:37Z"/>
        <d v="2026-04-20T11:53:38Z"/>
        <d v="2026-04-20T11:58:50Z"/>
        <d v="2026-04-20T11:58:38Z"/>
        <d v="2026-04-20T16:05:36Z"/>
        <d v="2026-04-21T08:51:58Z"/>
        <d v="2026-04-24T12:51:34Z"/>
        <d v="2026-04-21T15:38:23Z"/>
        <d v="2026-04-21T15:38:37Z"/>
        <d v="2026-04-21T17:38:08Z"/>
        <d v="2026-04-22T13:10:07Z"/>
        <d v="2026-04-22T17:04:39Z"/>
        <d v="2026-04-22T17:04:27Z"/>
        <d v="2026-04-22T17:04:17Z"/>
        <d v="2026-04-22T17:04:06Z"/>
        <d v="2026-04-23T10:03:39Z"/>
        <d v="2026-04-28T14:07:47Z"/>
        <d v="2026-04-23T12:27:53Z"/>
        <d v="2026-04-23T12:14:14Z"/>
        <d v="2026-04-23T13:10:24Z"/>
        <d v="2026-04-23T14:43:14Z"/>
        <d v="2026-04-23T15:01:55Z"/>
        <d v="2026-04-23T15:54:22Z"/>
        <d v="2026-04-23T17:08:02Z"/>
        <d v="2026-04-23T17:08:13Z"/>
        <d v="2026-04-24T13:50:52Z"/>
        <d v="2026-04-24T13:51:54Z"/>
        <d v="2026-04-24T13:51:33Z"/>
        <d v="2026-04-24T13:51:12Z"/>
        <d v="2026-04-24T15:34:52Z"/>
        <d v="2026-05-18T12:01:07Z"/>
        <d v="2026-04-24T16:36:41Z"/>
        <d v="2026-04-27T08:56:38Z"/>
        <d v="2026-04-27T11:58:11Z"/>
        <d v="2026-04-27T11:33:40Z"/>
        <d v="2026-04-27T13:41:04Z"/>
        <d v="2026-04-27T16:04:32Z"/>
        <d v="2026-04-27T18:19:49Z"/>
        <d v="2026-04-28T12:41:07Z"/>
        <d v="2026-04-29T09:21:13Z"/>
        <d v="2026-04-29T09:21:32Z"/>
        <d v="2026-04-29T13:14:39Z"/>
        <d v="2026-04-29T15:59:08Z"/>
        <d v="2026-04-29T15:59:45Z"/>
        <d v="2026-04-30T09:41:54Z"/>
        <d v="2026-04-30T11:39:32Z"/>
        <d v="2026-04-30T11:39:54Z"/>
        <d v="2026-04-30T12:20:54Z"/>
        <d v="2026-04-30T16:58:16Z"/>
        <d v="2026-05-04T08:26:58Z"/>
        <d v="2026-05-04T12:01:17Z"/>
        <d v="2026-05-04T12:01:37Z"/>
        <d v="2026-05-04T15:31:46Z"/>
        <d v="2026-05-04T15:32:03Z"/>
        <d v="2026-05-04T16:06:20Z"/>
        <d v="2026-05-04T16:06:33Z"/>
        <d v="2026-05-04T16:36:20Z"/>
        <d v="2026-05-04T17:52:46Z"/>
        <d v="2026-05-05T08:15:31Z"/>
        <d v="2026-05-05T08:15:44Z"/>
        <d v="2026-05-05T12:02:27Z"/>
        <d v="2026-05-05T12:02:12Z"/>
        <d v="2026-05-05T17:39:52Z"/>
        <d v="2026-05-13T16:49:58Z"/>
        <d v="2026-05-06T16:44:07Z"/>
        <d v="2026-05-06T16:43:59Z"/>
        <d v="2026-05-06T16:43:47Z"/>
        <d v="2026-05-06T16:55:30Z"/>
        <d v="2026-05-07T11:50:46Z"/>
        <d v="2026-05-07T11:51:00Z"/>
        <d v="2026-05-07T14:51:41Z"/>
        <d v="2026-05-07T15:55:59Z"/>
        <d v="2026-05-07T15:55:47Z"/>
        <d v="2026-05-07T16:43:09Z"/>
        <d v="2026-05-07T16:43:25Z"/>
        <d v="2026-05-07T16:53:03Z"/>
        <d v="2026-05-07T16:53:17Z"/>
        <d v="2026-05-08T10:58:27Z"/>
        <d v="2026-05-08T15:24:00Z"/>
        <d v="2026-05-08T15:22:55Z"/>
        <d v="2026-05-08T17:07:11Z"/>
        <d v="2026-05-08T17:07:25Z"/>
        <d v="2026-05-08T17:25:12Z"/>
        <d v="2026-05-08T17:40:28Z"/>
        <d v="2026-05-08T17:40:41Z"/>
        <d v="2026-05-11T08:10:44Z"/>
        <d v="2026-05-11T08:26:04Z"/>
        <d v="2026-05-11T08:28:04Z"/>
        <d v="2026-05-13T16:50:09Z"/>
        <d v="2026-05-11T13:33:34Z"/>
        <d v="2026-05-11T13:33:47Z"/>
        <d v="2026-05-11T17:16:44Z"/>
        <d v="2026-05-11T17:17:37Z"/>
        <d v="2026-05-12T12:32:16Z"/>
        <d v="2026-05-12T12:32:01Z"/>
        <d v="2026-05-12T16:08:37Z"/>
        <d v="2026-05-12T16:07:50Z"/>
        <d v="2026-05-12T17:30:52Z"/>
        <d v="2026-05-12T17:55:53Z"/>
        <d v="2026-05-13T14:13:21Z"/>
        <d v="2026-05-13T15:06:05Z"/>
        <d v="2026-05-13T15:05:55Z"/>
        <d v="2026-05-13T15:05:47Z"/>
        <d v="2026-05-13T15:08:35Z"/>
        <d v="2026-05-13T16:03:30Z"/>
        <d v="2026-05-13T16:11:24Z"/>
        <d v="2026-05-13T16:48:11Z"/>
        <d v="2026-05-13T16:46:41Z"/>
        <d v="2026-05-13T16:45:58Z"/>
        <d v="2026-05-14T10:03:04Z"/>
        <d v="2026-05-14T14:50:37Z"/>
        <d v="2026-05-14T14:57:07Z"/>
        <d v="2026-05-14T16:03:07Z"/>
        <d v="2026-05-14T15:48:14Z"/>
        <d v="2026-05-14T16:48:37Z"/>
        <d v="2026-05-14T18:06:30Z"/>
        <d v="2026-05-14T18:06:22Z"/>
        <d v="2026-05-14T18:06:15Z"/>
        <d v="2026-05-15T16:43:13Z"/>
        <d v="2026-05-15T13:39:48Z"/>
        <d v="2026-05-15T16:17:24Z"/>
        <d v="2026-05-15T16:17:14Z"/>
        <d v="2026-05-15T16:17:07Z"/>
        <d v="2026-05-15T16:30:38Z"/>
        <d v="2026-05-15T16:29:25Z"/>
        <d v="2026-05-15T17:05:45Z"/>
        <d v="2026-05-18T08:33:54Z"/>
        <d v="2026-05-18T09:01:18Z"/>
        <d v="2026-05-18T09:25:44Z"/>
        <d v="2026-05-18T13:10:36Z"/>
        <d v="2026-05-19T08:55:15Z"/>
        <d v="2026-05-19T10:50:15Z"/>
        <d v="2026-05-19T10:52:22Z"/>
        <d v="2026-05-19T16:22:18Z"/>
        <d v="2026-05-21T14:28:09Z"/>
        <d v="2026-05-20T09:11:05Z"/>
        <d v="2026-05-20T09:37:50Z"/>
        <d v="2026-05-20T10:20:50Z"/>
        <d v="2026-05-20T10:58:19Z"/>
        <d v="2026-05-20T11:02:44Z"/>
        <d v="2026-05-20T15:43:48Z"/>
        <d v="2026-05-20T15:44:28Z"/>
        <d v="2026-05-20T15:44:11Z"/>
        <d v="2026-05-20T17:13:02Z"/>
        <d v="2026-05-20T17:43:07Z"/>
        <d v="2026-05-20T17:45:19Z"/>
        <d v="2026-05-26T10:04:53Z"/>
        <d v="2026-05-21T10:21:07Z"/>
        <d v="2026-05-21T13:04:20Z"/>
        <d v="2026-05-21T13:17:30Z"/>
        <d v="2026-05-21T17:16:43Z"/>
        <d v="2026-05-22T08:30:05Z"/>
        <d v="2026-05-22T08:34:54Z"/>
        <d v="2026-05-22T08:34:36Z"/>
        <d v="2026-05-22T11:31:19Z"/>
        <d v="2026-05-22T15:32:57Z"/>
        <d v="2026-05-22T17:00:33Z"/>
        <d v="2026-05-25T08:16:58Z"/>
        <d v="2026-05-25T08:57:43Z"/>
        <d v="2026-05-25T13:39:00Z"/>
        <d v="2026-05-28T15:34:06Z"/>
        <d v="2026-05-25T18:00:24Z"/>
        <d v="2026-05-26T10:20:24Z"/>
        <d v="2026-05-26T15:13:22Z"/>
        <d v="2026-05-26T16:51:42Z"/>
        <d v="2026-05-26T13:25:36Z"/>
        <d v="2026-05-27T09:33:31Z"/>
        <d v="2026-05-26T16:42:12Z"/>
        <d v="2026-05-26T16:41:53Z"/>
        <d v="2026-05-26T16:54:33Z"/>
        <d v="2026-05-26T17:48:31Z"/>
        <d v="2026-05-28T08:13:25Z"/>
        <d v="2026-05-29T10:28:28Z"/>
        <d v="2026-05-28T16:27:21Z"/>
        <d v="2026-05-28T17:35:04Z"/>
        <d v="2026-05-29T19:38:15Z"/>
        <d v="2026-05-29T19:39:14Z"/>
        <d v="2026-06-01T09:03:21Z"/>
        <d v="2026-06-01T09:02:51Z"/>
        <d v="2026-06-01T08:56:06Z"/>
        <d v="2026-06-03T10:51:47Z"/>
        <d v="2026-06-01T16:11:28Z"/>
        <d v="2026-06-01T16:10:54Z"/>
        <d v="2026-06-01T16:49:34Z"/>
        <d v="2026-06-01T16:49:25Z"/>
        <d v="2026-06-01T16:49:16Z"/>
        <d v="2026-06-01T17:23:57Z"/>
        <d v="2026-06-01T17:24:30Z"/>
        <d v="2026-06-02T08:32:47Z"/>
        <d v="2026-06-02T17:29:41Z"/>
        <d v="2026-06-02T17:30:48Z"/>
        <d v="2026-06-02T17:44:20Z"/>
        <d v="2026-06-02T17:43:57Z"/>
        <d v="2026-06-02T17:58:49Z"/>
        <d v="2026-06-03T11:32:03Z"/>
        <d v="2026-06-03T15:26:58Z"/>
        <d v="2026-06-03T15:27:30Z"/>
        <d v="2026-06-03T16:00:17Z"/>
        <d v="2026-06-03T15:39:09Z"/>
        <d v="2026-06-03T16:20:27Z"/>
        <d v="2026-06-03T17:38:42Z"/>
        <d v="2026-06-03T17:38:56Z"/>
        <d v="2026-06-04T08:51:03Z"/>
        <d v="2026-06-04T12:14:49Z"/>
        <d v="2026-06-04T14:16:44Z"/>
        <d v="2026-06-04T14:16:24Z"/>
        <d v="2026-06-04T14:16:02Z"/>
        <d v="2026-06-04T13:00:23Z"/>
        <d v="2026-06-04T15:41:41Z"/>
        <d v="2026-06-04T15:41:04Z"/>
        <d v="2026-06-04T15:41:20Z"/>
        <d v="2026-06-04T19:02:44Z"/>
        <d v="2026-06-05T08:35:16Z"/>
        <d v="2026-06-04T19:02:33Z"/>
        <d v="2026-06-05T08:26:30Z"/>
        <d v="2026-06-05T09:09:36Z"/>
        <d v="2026-06-05T09:10:30Z"/>
        <d v="2026-06-05T11:51:51Z"/>
        <d v="2026-06-05T13:35:12Z"/>
        <d v="2026-06-05T15:23:46Z"/>
        <d v="2026-06-05T16:03:57Z"/>
        <d v="2026-06-05T16:04:20Z"/>
        <d v="2026-06-05T18:00:11Z"/>
        <d v="2026-06-08T16:44:04Z"/>
        <d v="2026-06-08T08:55:00Z"/>
        <d v="2026-06-09T13:04:29Z"/>
        <d v="2026-06-08T16:44:23Z"/>
        <d v="2026-06-08T17:14:45Z"/>
        <d v="2026-06-09T09:26:44Z"/>
        <d v="2026-06-09T08:49:07Z"/>
        <d v="2026-06-09T09:27:13Z"/>
        <d v="2026-06-15T16:46:57Z"/>
        <d v="2026-06-09T12:33:07Z"/>
        <d v="2026-06-09T15:37:30Z"/>
        <d v="2026-06-09T15:38:35Z"/>
        <d v="2026-06-09T16:03:39Z"/>
        <d v="2026-06-10T12:24:00Z"/>
        <d v="2026-06-10T09:05:30Z"/>
        <d v="2026-06-10T11:52:02Z"/>
        <d v="2026-06-10T14:02:25Z"/>
        <d v="2026-06-10T13:07:01Z"/>
        <d v="2026-06-10T13:06:52Z"/>
        <d v="2026-06-10T14:20:12Z"/>
        <d v="2026-06-10T14:20:03Z"/>
        <d v="2026-06-10T14:19:54Z"/>
        <d v="2026-06-10T15:17:48Z"/>
        <d v="2026-06-10T16:01:43Z"/>
        <d v="2026-06-10T16:25:03Z"/>
        <d v="2026-06-10T16:29:50Z"/>
        <d v="2026-06-10T18:12:59Z"/>
        <d v="2026-06-11T14:58:06Z"/>
        <d v="2026-06-11T14:59:37Z"/>
        <d v="2026-06-11T15:15:16Z"/>
        <d v="2026-06-11T15:24:38Z"/>
        <d v="2026-06-11T16:06:06Z"/>
        <d v="2026-06-11T17:02:17Z"/>
        <d v="2026-06-11T17:02:04Z"/>
        <d v="2026-06-11T17:05:06Z"/>
        <d v="2026-06-19T13:54:05Z"/>
        <d v="2026-06-12T09:19:16Z"/>
        <d v="2026-06-12T15:13:25Z"/>
        <d v="2026-06-12T13:11:15Z"/>
        <d v="2026-06-12T15:48:00Z"/>
        <d v="2026-06-12T15:48:16Z"/>
        <d v="2026-06-12T16:18:57Z"/>
        <d v="2026-06-12T16:19:12Z"/>
        <d v="2026-06-12T16:50:44Z"/>
        <d v="2026-06-13T14:21:44Z"/>
        <d v="2026-06-15T14:29:48Z"/>
        <d v="2026-06-15T16:35:24Z"/>
        <d v="2026-06-15T16:35:12Z"/>
        <d v="2026-06-15T17:20:12Z"/>
        <d v="2026-06-16T10:07:50Z"/>
        <d v="2026-06-16T16:49:39Z"/>
        <d v="2026-06-16T16:49:57Z"/>
        <d v="2026-06-16T16:50:34Z"/>
        <d v="2026-06-16T16:50:14Z"/>
        <d v="2026-06-17T09:33:03Z"/>
        <d v="2026-06-17T17:09:53Z"/>
        <d v="2026-06-17T14:48:42Z"/>
        <d v="2026-06-17T17:09:24Z"/>
        <d v="2026-06-18T12:59:01Z"/>
        <d v="2026-06-18T17:34:11Z"/>
        <d v="2026-06-18T17:34:28Z"/>
        <d v="2026-06-19T09:16:42Z"/>
        <d v="2026-06-19T09:39:25Z"/>
        <d v="2026-06-19T15:12:04Z"/>
        <d v="2026-06-19T10:42:49Z"/>
        <d v="2026-06-19T17:18:43Z"/>
        <d v="2026-06-19T17:18:33Z"/>
        <d v="2026-06-19T17:18:24Z"/>
        <d v="2026-06-22T08:05:20Z"/>
        <d v="2026-06-22T11:12:02Z"/>
        <d v="2026-06-22T11:47:17Z"/>
        <d v="2026-06-22T17:00:26Z"/>
        <m/>
      </sharedItems>
      <fieldGroup base="1">
        <rangePr autoStart="0" autoEnd="0" groupBy="months" startDate="2026-02-26T11:03:34Z" endDate="2026-06-23T17:00:26Z"/>
        <groupItems>
          <s v="&lt;02/26/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/23/26"/>
        </groupItems>
      </fieldGroup>
    </cacheField>
    <cacheField name="Cliente" numFmtId="0">
      <sharedItems containsBlank="1">
        <s v="GARAJE Y TALLERES FRIDELBA, C.A"/>
        <s v="EMPRENDIMIENTO IRMA RODRIGUEZ 6"/>
        <s v="ZIP MARKET, CA"/>
        <s v="E&amp;M CAR SHOP C.A"/>
        <s v="TERA INGENIERIA Y SERVICIOS INDUSTRIALES, C.A"/>
        <s v="MOTO MARCE 21, CA"/>
        <s v="SPEED RACING, CA"/>
        <s v="SERVICIOS Y MANTENIMIENTO SPACARS, C.A, Henry Blanco"/>
        <s v="MOTO REPUESTOS LA FLECHA, C.A."/>
        <s v="AUTO ACCESORIOS VZLA, C.A."/>
        <s v="Ruta 8 Autopartes,c.a."/>
        <s v="EMPRENDIMIENTO TOMAS MARCANO 5"/>
        <s v="INVERSIONES SMALUM 21, C.A."/>
        <s v="Autorepuestos las 24 horas"/>
        <s v="Multiservicios Sanahuja 36 C.A"/>
        <s v="Encamotors Catia C.A"/>
        <s v="Joel Duque"/>
        <s v="Moises Alejandro Mares"/>
        <s v="Ricardo A. Fernandez."/>
        <s v="AUTOREPUESTOS SION C.A."/>
        <s v="HIDRAULICAS CAICEDO C.A."/>
        <s v="COMERCIAL REPUESTOS MUNDIALES RMS 2022 C.A."/>
        <s v="Ferretería JJ Martins c.a"/>
        <s v="Angel ARMAS"/>
        <s v="Miguel Antonio Chacon"/>
        <s v="inversiones El Gran Charles C.A"/>
        <s v="Junior Marco Antonio Vivas Navas"/>
        <s v="Auto repuestos Fontalvo"/>
        <s v="Moto Bestia, C.A"/>
        <s v="WILLY MOTOR CAR REPUESTOS Y SERVICIOS, C.A."/>
        <s v="Inversiones Trip K, c.a."/>
        <s v="ALIPLUS TRASPORTE Y EQUIPOS, CA"/>
        <s v="Vianney García"/>
        <s v="Comercializadora Garabote"/>
        <s v="INVERSIONES IRETE SUKA, C.A"/>
        <s v="Rawy Xavier Melendez Caripa"/>
        <s v="Autoelectronica Oranel, C.A."/>
        <s v="Marlene Herrera"/>
        <s v="FREDI MARQUEZ"/>
        <s v="Auto Repuestos Acal C.A"/>
        <s v="INVERSIONES MI LINDA YEMAIRE 2019, C.A"/>
        <s v="Corporación Lubricantes 7ma Av.C.A"/>
        <s v="Barrios Rodríguez Marlon Enrique"/>
        <s v="Motolavado Yahir"/>
        <s v="Comercial Rio Paraguas C.A"/>
        <s v="Repuestos y Accesorios chaustre 2024"/>
        <s v="Rhino Toyo Parts, C.A."/>
        <s v="INVERSIONES R&amp;C 1817, c.a."/>
        <s v="SJMG 2012 C.A"/>
        <s v="TorniRepuesto BA 2015, C.A"/>
        <s v="VAL VAL 16 C.A"/>
        <s v="Auto Servicios HN 6972, C.A"/>
        <s v="Jesus luciani Russiani."/>
        <s v="Katiuska Alejandra Curvelo"/>
        <s v="DISTRIBUIDORA PINOS 181297 C.A"/>
        <s v="Remodelaciones Ivanro, C.A"/>
        <s v="Servicios Nicolazzo 97, C.A"/>
        <s v="Ruben Dario Fernandez"/>
        <s v="MULTISERVICIOS RECAM13, C.A."/>
        <s v="Coffee Party, C.A."/>
        <s v="Pedro Castro"/>
        <s v="Inversiones Famasa, C.A"/>
        <s v="Inversiones maxgad &amp; ef"/>
        <s v="Wuilliams bastidas"/>
        <s v="Javier Cardenas Prato."/>
        <s v="Moto Repuestos Sanz 11. C.A."/>
        <s v="ACCESORIOS Y REPUESTOS MOTO CAR 20-11-C.A"/>
        <s v="Emprendimiento YSKRA"/>
        <s v="Moto repuestos jj"/>
        <s v="Multiservicios Arizona, C.A."/>
        <s v="Video Electrónica Fermat, C.A"/>
        <s v="Felipe Granja"/>
        <s v="Mini Market Las Mercedes,c.a."/>
        <s v="Diana Carolina Torres"/>
        <s v="INVERSIONES JOSCAR XXI, S.A."/>
        <s v="Alexis Rodríguez Fernández"/>
        <s v="Inversiones Brayan CT C.A"/>
        <s v="Franklin J. Mijares S."/>
        <s v="Autoasesorio maxi motor"/>
        <s v="AGROPECUARIA EL TORO DORADO, C.A"/>
        <s v="Jose Becerra"/>
        <s v="ELIVAN2025, C.A"/>
        <s v="MARTIN RAMON DIAZ BOLIVAR"/>
        <s v="Jose Lopez Espinoza"/>
        <s v="Emprendimiento Tomas Paz"/>
        <s v="Ramon Alvarez Mota"/>
        <s v="M.L.P Repuestos y Otros, C.A"/>
        <s v="Megacar2020.c.a"/>
        <s v="Victor Ordaz"/>
        <s v="Emprendimiento José Sánchez 203 c.a"/>
        <s v="Multiservicios Gre-orio2022 c.a"/>
        <s v="Emprendimiento Jordy Valencia"/>
        <s v="TALLER TNMCAR, C.A"/>
        <s v="Neykel Quevedo"/>
        <s v="Distribuidora Nesmari 2050 c.a"/>
        <s v="Inversiones La Bendición del Nazareno, C.A"/>
        <s v="Benefit c.a"/>
        <s v="JOSE STURCHIO CAPPELLANIA"/>
        <s v="Yulendri Carolina Pineda Blanco"/>
        <s v="LOGISTICA Y CONSULTORIA VINCARS, C.A."/>
        <s v="MOTOREPUESTOS EL GUANÁBANO YRM C.A."/>
        <s v="La cámara perfecta"/>
        <s v="Alexander Quiroz"/>
        <s v="Emprendimiento ilaris cancelo"/>
        <s v="Inversiones Dekamalbaz, C.A"/>
        <s v="Distribuidora Drako 2024 c.a"/>
        <s v="ESTACIONAMIENTO CIACORE 2000 c.a"/>
        <s v="Emprendimiento Yeizon Villaroel"/>
        <s v="SERVICIOS Y MANTENIMIENTO SPACARS, C.A"/>
        <s v="EMPRENDIMIENTO MARTIN BASTIDAS 2"/>
        <s v="Turismo Apureño Turapca, C.A"/>
        <s v="Dimas Ortíz"/>
        <s v="Grupo 3030, C.A"/>
        <s v="Lubripartes Vzla, c.a."/>
        <s v="DISTRIBUIDORA MULTIAHORRO C.A."/>
        <s v="EMPRENDIMIENTO HECTOR LLAMOZA"/>
        <s v="Grupo Biker Way mm, C.A"/>
        <s v="Frenos Elite, C.A"/>
        <s v="ADS SERVICE C.A"/>
        <s v="ALI ALEXANDER MORENO FIGUEREDO"/>
        <s v="DISTRIBUIDORA E.P.L.C 2017, c.a."/>
        <s v="Jose Angel Gutierrez Rodriguez"/>
        <s v="Jhon Morales"/>
        <s v="Inversiones Vercris 17 C.A"/>
        <s v="AREA58 2022, C.A."/>
        <s v="Pidelo Y Punto,c.a."/>
        <s v="Cauchos y Suministros Camacho C.A"/>
        <s v="HP Repuestos 2007 C.A"/>
        <s v="Manuel Emilio Reyes"/>
        <s v="Anthony Jose Quijada Diaz."/>
        <s v="Global Ferre 888 C.A"/>
        <s v="Paola M. Aguilera Z."/>
        <s v="Comercial los de faria,c.a."/>
        <s v="Autorepuestos Pitstop,c.a."/>
        <s v="PROYECTO MAQUIVEIRO 21 C.A."/>
        <s v="Motorepuestos HD 94, C.A"/>
        <s v="Inversiones Marfran 2025, C. A."/>
        <s v="Ingrit Martinez"/>
        <s v="Inversiones Mirelkys C.A"/>
        <s v="Inversiones AreaElectric 2021,c.a."/>
        <s v="Inversiones DSM 2706, c.a."/>
        <s v="CONSTRUCTORA GRANO AGREGADO, C.A"/>
        <s v="Alejandro Zorrilla"/>
        <s v="Cooperativa Dios mi Amparo, R.L."/>
        <s v="Montura de Cauchos Biondo,c.a."/>
        <s v="Braulio R. Cedeño Gonzalez."/>
        <s v="Autorepuestos el Florin,c.a."/>
        <s v="Josefina Guevera"/>
        <s v="EN LA VIA 2023 C.A"/>
        <s v="CAUCHOS Y ACCESORIOS LA CAMPIÑA, C.A."/>
        <s v="Devenalsa Deshidratadora Venezolana de Alimentos, S.A."/>
        <s v="Constructora Campo Urbano,c.a."/>
        <s v="Auto Partes Y Repuestos Encava Express,c.a."/>
        <s v="Cauchos California, C.A"/>
        <s v="José Brea"/>
        <s v="JONNY DAVID BOLIVAR"/>
        <s v="Servicios de Gruas Torgil 300, c.a."/>
        <s v="Cauchera William 2018, C.A"/>
        <s v="Lubricantes BK C.A"/>
        <s v="Luis Zambrano"/>
        <s v="Abraham almenar"/>
        <s v="Comercializadora Dimon c.a"/>
        <s v="EMPRENDIMIENTO MANUEL GÓMEZ 6"/>
        <s v="Distribuidora El Frenazo"/>
        <s v="Multiservicio Tocome, C.A"/>
        <s v="Autopartes Munich PH 168 C.A."/>
        <s v="Desarrollo Agrario Integral DAI Los Pucheros 13, C. A."/>
        <s v="Inversiones Los compadres 7686, c.a."/>
        <s v="Repuestos Guia Dios Nuestro Camino,c.a."/>
        <s v="Lubristation, C.A."/>
        <s v="Repuestos y accesorios motochiva23 c.a"/>
        <s v="LA CASA DE LAS BATERIAS"/>
        <s v="SUPLIPARTES PARAISO, C.A"/>
        <s v="Inversiones Air Brakes, C.A"/>
        <s v="Inversiones tydelmarojg"/>
        <s v="Javier gregorio Espinoza"/>
        <s v="Jefferson rosales"/>
        <s v="MOTOS Y REPUESTOS DOS RUEDAS, C.A."/>
        <s v="INVERSIONES ARCOSOL 21, C.A."/>
        <s v="CENTRO MOTRIZ GUADALUPE, C.A."/>
        <s v="Sergio Ibrain Rumbo Mundaray"/>
        <s v="INVERSIONES F-250, C.A"/>
        <s v="LUBRIREPUESTOS PANORAMA, C.A."/>
        <s v="Jose Alzolay"/>
        <s v="Multiservicio SOS Cars, C.A"/>
        <s v="Carlos Bravo"/>
        <s v="Edgar salas"/>
        <s v="MOTO REPUESTO GARCIA 2023, C.A."/>
        <s v="JOSE RAFAEL MARTÍNEZ"/>
        <s v="Angi Edimar Carvajal Peñaranda"/>
        <s v="Ideal car"/>
        <s v="ANGEL LEON GALARRAGA"/>
        <s v="Nemer Bourji"/>
        <s v="Comercializadora El Fénix de Catia"/>
        <s v="Kervin baez"/>
        <s v="AGROPECUARIA LECHE Y MIEL, C.A"/>
        <s v="Inversiones García GL C.A"/>
        <s v="Wili Mervin León Romero"/>
        <s v="Asociación Cooperativa la Esquina del Lubricante 9999 R.L"/>
        <s v="JOSE RUBIO ESPINEL"/>
        <s v="Yeifri Alexander Marquez Zerpa"/>
        <s v="Automecanica Marilu 2014, C.A"/>
        <s v="Moto repuestos el casco 2050 c.a"/>
        <s v="AUTOPERIQUITO EL PEQUEÑO CHAMOY, C.A."/>
        <s v="CLUDE CARVALHO DE ACOSTA"/>
        <s v="Melany Madrid"/>
        <s v="INVERSIONES BECLA PARTS C.A."/>
        <s v="REPRESENTACIONES LAGUS MEL, C. A"/>
        <s v="DIADOMHAN AUTOMOTRIZ, C.A."/>
        <s v="Comercializadora Estoril 25,c.a."/>
        <s v="AUTOSERVICIOS SPACARS, C.A."/>
        <s v="MARIA CAROLINA CARDENAS GUEVARA"/>
        <s v="CAUCHOS NUÑEZ, C.A."/>
        <s v="Kiosco Willianny 1013, C.A"/>
        <s v="ELENA MEJIAS"/>
        <s v="En ascenso 2011,c.a."/>
        <s v="INVERSIONES DA &amp; JE,"/>
        <s v="Deyanira Carpio De Sequera"/>
        <s v="Multiservicios y Distribuidora Todo Carro Bedyf, C.A"/>
        <s v="Marco Romero"/>
        <s v="SEBASTIAN RICON MOLINA"/>
        <s v="FRANCISCO MONCADA"/>
        <s v="Greicy Moncada"/>
        <s v="CASERES GONZALEZ RONALD OSWALDO"/>
        <s v="Francesco orlando Espro bolaños"/>
        <s v="Sandra Katherine Quintero Crespo"/>
        <s v="Emprendimiento Eduardo Pérez 6"/>
        <s v="TALLER Y REPUESTOS CHOPPERS, C.A."/>
        <s v="Jorge Luis camacaro"/>
        <s v="Multiservicios gochi express 2024, c.a"/>
        <s v="ERICH GILBERTO CASERES MELENDEZ"/>
        <s v="Almacenadora X7, C.A"/>
        <s v="COMERCIAL EKAFREN,C.A."/>
        <s v="DISTRIBUIDORA R. LAYA MORA,C.A."/>
        <s v="OLIVEIRA &amp; SANTOS, C.A.(SERVICENTRO EL CUÑO, C.A.)"/>
        <s v="Antonio Terán"/>
        <s v="MULTIPARTES Y SERVICIOS HONDANIS,C.A."/>
        <s v="INVERSIONES SM 2191, C.A."/>
        <s v="Carlos Eduardo Ascension Matos"/>
        <s v="EMPRENDIMIENTO FRANCISCO VEGAS 3"/>
        <s v="PROYECTOS Y DESARROLLO TOMTOM,C.A."/>
        <s v="Mazare Motors, C.A"/>
        <s v="GASOLVEN DISTRIBUIDORA, C.A"/>
        <s v="Jhoe Zamora"/>
        <s v="Inversiones Pronautica, C.A."/>
        <s v="NAUDY MARTINEZ"/>
        <s v="ERICK JOSE MAIGUA GUILLEN"/>
        <s v="Comercializadora 1108,c.a."/>
        <s v="Edward Belén"/>
        <s v="Repuestos González peña 31 c.a"/>
        <s v="ELISA ALEJANDRA JIMÉNEZ SUÁREZ"/>
        <s v="AUTOPERIQUITOS LA CAMPIÑA C.A."/>
        <s v="José Gregorio Hernández"/>
        <s v="Hidromaticos La Colina, C.A"/>
        <s v="COMERCIALIZADORA J.A.N. 65, C.A"/>
        <s v="Servi Motores 3A, C.A"/>
        <s v="Inversiones Todo marca Oeste C.A"/>
        <s v="Power Sport Servicios El Hatillo, C.A"/>
        <s v="MAXIAIRE ELECTROMOTRIZ, C.A"/>
        <s v="Industrias Arasia, c.a."/>
        <s v="Automotriz Danale C.A"/>
        <s v="Cauchera El Gordo 0410,c.a."/>
        <s v="WDH Automotriz 0706, c.a."/>
        <s v="María Elena Hernández Rangel"/>
        <s v="Luis Eduardo Piñero Calcurian"/>
        <s v="ELECTROMECÁNICA DANPE C.A."/>
        <s v="Gabriel Martinez"/>
        <s v="GRIMAN DIAZ HECTOR EDUARDO"/>
        <s v="Servimecanica Brandao"/>
        <s v="Daniela Sanobria"/>
        <s v="Multiservicios Diacedeg,c.a."/>
        <s v="Emprendimiento Emily Blanco 10"/>
        <s v="Agustin Pedro Rodriguez Carro"/>
        <s v="Juan antonio salaverria herrera"/>
        <s v="Fluidtack Soluciones, c.a."/>
        <s v="Hipermercado Petare,c.a."/>
        <s v="Bicicletas Repuestos Carioca C.A"/>
        <s v="Jose de Andrade"/>
        <s v="ROBERT GUILLEN"/>
        <s v="Monkey moto Services C.A"/>
        <s v="Repuestos Chevecars Gran Caracas, C.A"/>
        <s v="Autolavado Artico"/>
        <s v="Auto Lavado Norte Sur CS, C.A"/>
        <s v="Repuestos El Portu26 C.A"/>
        <s v="Auto partes Maideirense, C.A"/>
        <s v="Carlos Ruiz"/>
        <s v="Luis Francisco hernandez falcon"/>
        <s v="Larry Herrera"/>
        <s v="Jefferson Navone"/>
        <s v="AUTO REPUESTOS EL DUO 2013, C.A."/>
        <s v="Grupo KACAOIL,C.A."/>
        <s v="Jose Gregorio Lopez"/>
        <s v="AUTOLAVADO ANDRES BELLO C.A"/>
        <s v="Inversiones Repuestos Flash 3141, C.A"/>
        <s v="York Dick Mujica Andarcia"/>
        <s v="UBAG Services,c.a."/>
        <s v="July villasana"/>
        <s v="SUKAY MOTORS V.I.P C.A"/>
        <s v="Chaquiro Arteaga"/>
        <s v="Kevin Monsalve"/>
        <m/>
      </sharedItems>
    </cacheField>
    <cacheField name="Vendedor" numFmtId="0">
      <sharedItems containsBlank="1">
        <s v="VILLABONA CORREA ALBA ESTEFANIA"/>
        <s v="CALDERON TERAN ARGIMIRO ANTONIO"/>
        <s v="Marco Romero"/>
        <s v="OCANTO ZABALA ROSALVY DEL CARMEN"/>
        <s v="TORO ARDILES DAVID JOSE"/>
        <s v="MARTINEZ MONTES JEFFREY ENRIQUE"/>
        <s v="GRIMAN DIAZ HECTOR EDUARDO"/>
        <s v="CASERES GONZALEZ RONALD OSWALDO"/>
        <s v="REVERON DE CONTRERAS MELANI AUSMAR"/>
        <s v="BETANCOURT ROBRIGUEZ LUIS ENRRIQUE"/>
        <s v="PEREZ DIAZ ANGEL DE DIOS"/>
        <s v="QUEVEDO BASTIDAS NEYKEL DAVID"/>
        <s v="PACHECO RODRIGUEZ FRANCISCO JAVIER"/>
        <s v="Raúl David"/>
        <s v="LOPEZ ANTUNEZ ANDERSON JOSE"/>
        <s v="Frank Vasquez"/>
        <s v="VELASCO RODRIGUEZ MARCOS LEONCIO"/>
        <m/>
      </sharedItems>
    </cacheField>
    <cacheField name="Total" numFmtId="4">
      <sharedItems containsString="0" containsBlank="1" containsNumber="1">
        <n v="232.98"/>
        <n v="246.0"/>
        <n v="35.33"/>
        <n v="335.98"/>
        <n v="27781.08"/>
        <n v="63.77"/>
        <n v="82.24"/>
        <n v="954.79"/>
        <n v="104.36"/>
        <n v="96.0"/>
        <n v="78.25"/>
        <n v="472.53"/>
        <n v="212.72"/>
        <n v="90.44"/>
        <n v="72.48"/>
        <n v="510.0"/>
        <n v="69.28"/>
        <n v="261.98"/>
        <n v="146.08"/>
        <n v="289.16"/>
        <n v="101.0"/>
        <n v="243.01"/>
        <n v="185.04"/>
        <n v="434.83"/>
        <n v="75.0"/>
        <n v="90.02"/>
        <n v="28.88"/>
        <n v="1080.62"/>
        <n v="160.98"/>
        <n v="151.96"/>
        <n v="362.52"/>
        <n v="2421.89"/>
        <n v="55.34"/>
        <n v="129.99"/>
        <n v="1893.12"/>
        <n v="53.79"/>
        <n v="1033.52"/>
        <n v="64.99"/>
        <n v="120.02"/>
        <n v="259.99"/>
        <n v="792.33"/>
        <n v="582.77"/>
        <n v="72.0"/>
        <n v="133.99"/>
        <n v="84.29"/>
        <n v="241.81"/>
        <n v="2036.91"/>
        <n v="209.87"/>
        <n v="10739.61"/>
        <n v="3393.87"/>
        <n v="170.36"/>
        <n v="375.35"/>
        <n v="132.47"/>
        <n v="160.5"/>
        <n v="560.84"/>
        <n v="78.62"/>
        <n v="415.08"/>
        <n v="183.49"/>
        <n v="35.99"/>
        <n v="300.86"/>
        <n v="533.34"/>
        <n v="71.99"/>
        <n v="1633.07"/>
        <n v="970.07"/>
        <n v="67.37"/>
        <n v="173.65"/>
        <n v="392.65"/>
        <n v="286.51"/>
        <n v="89.99"/>
        <n v="171.0"/>
        <n v="126.0"/>
        <n v="191.1"/>
        <n v="368.51"/>
        <n v="434.94"/>
        <n v="530.98"/>
        <n v="1623.82"/>
        <n v="93.0"/>
        <n v="197.55"/>
        <n v="184.1"/>
        <n v="711.13"/>
        <n v="297.02"/>
        <n v="280.5"/>
        <n v="991.22"/>
        <n v="110.01"/>
        <n v="108.0"/>
        <n v="296.98"/>
        <n v="99.01"/>
        <n v="207.05"/>
        <n v="50.65"/>
        <n v="289.79"/>
        <n v="179.99"/>
        <n v="390.77"/>
        <n v="106.49"/>
        <n v="4655.88"/>
        <n v="199.49"/>
        <n v="2259.37"/>
        <n v="952.5"/>
        <n v="1947.24"/>
        <n v="850.5"/>
        <n v="51.01"/>
        <n v="94.01"/>
        <n v="20275.64"/>
        <n v="129.92"/>
        <n v="360.0"/>
        <n v="972.01"/>
        <n v="53.65"/>
        <n v="301.5"/>
        <n v="192.05"/>
        <n v="309.0"/>
        <n v="1105.53"/>
        <n v="1996.24"/>
        <n v="36.08"/>
        <n v="2625.01"/>
        <n v="249.0"/>
        <n v="288.0"/>
        <n v="152.99"/>
        <n v="1183.21"/>
        <n v="55.58"/>
        <n v="123.99"/>
        <n v="1092.0"/>
        <n v="2119.46"/>
        <n v="1881.84"/>
        <n v="712.48"/>
        <n v="345.1"/>
        <n v="354.77"/>
        <n v="721.47"/>
        <n v="201.0"/>
        <n v="164.98"/>
        <n v="373.5"/>
        <n v="24.0"/>
        <n v="247.88"/>
        <n v="259.98"/>
        <n v="543.01"/>
        <n v="162.0"/>
        <n v="159.99"/>
        <n v="372.0"/>
        <n v="941.99"/>
        <n v="1783.22"/>
        <n v="140.99"/>
        <n v="180.0"/>
        <n v="1177.4"/>
        <n v="107.96"/>
        <n v="157.76"/>
        <n v="164.72"/>
        <n v="180.96"/>
        <n v="143.52"/>
        <n v="140.02"/>
        <n v="533.46"/>
        <n v="112.3"/>
        <n v="680.77"/>
        <n v="214.6"/>
        <n v="258.01"/>
        <n v="315.52"/>
        <n v="580.0"/>
        <n v="199.52"/>
        <n v="183.0"/>
        <n v="104.4"/>
        <n v="721.52"/>
        <n v="429.2"/>
        <n v="361.92"/>
        <n v="756.32"/>
        <n v="227.03"/>
        <n v="539.4"/>
        <n v="183.28"/>
        <n v="98.6"/>
        <n v="371.2"/>
        <n v="431.52"/>
        <n v="10077.45"/>
        <n v="116.0"/>
        <n v="444.28"/>
        <n v="343.0"/>
        <n v="125.28"/>
        <n v="215.33"/>
        <n v="498.8"/>
        <n v="3991.56"/>
        <n v="406.14"/>
        <n v="676.28"/>
        <n v="295.8"/>
        <n v="514.93"/>
        <n v="1409.4"/>
        <n v="1057.92"/>
        <n v="251.99"/>
        <n v="5968.02"/>
        <n v="4875.25"/>
        <n v="445.44"/>
        <n v="74.99"/>
        <n v="161.0"/>
        <n v="1090.4"/>
        <n v="394.4"/>
        <n v="464.0"/>
        <n v="111.36"/>
        <n v="3853.52"/>
        <n v="453.59"/>
        <n v="777.2"/>
        <n v="163.56"/>
        <n v="329.44"/>
        <n v="313.2"/>
        <n v="231.72"/>
        <n v="5151.59"/>
        <n v="394.54"/>
        <n v="222.72"/>
        <n v="272.6"/>
        <n v="273.98"/>
        <n v="177.48"/>
        <n v="250.56"/>
        <n v="211.12"/>
        <n v="59.16"/>
        <n v="172.84"/>
        <n v="1073.0"/>
        <n v="120.59"/>
        <n v="599.72"/>
        <n v="64.96"/>
        <n v="306.24"/>
        <n v="3312.78"/>
        <n v="436.16"/>
        <n v="284.61"/>
        <n v="164.0"/>
        <n v="80.0"/>
        <n v="296.37"/>
        <n v="1211.07"/>
        <n v="80.04"/>
        <n v="98.41"/>
        <n v="197.2"/>
        <n v="100.92"/>
        <n v="362.42"/>
        <n v="807.96"/>
        <n v="83.52"/>
        <n v="357.28"/>
        <n v="81.2"/>
        <n v="499.96"/>
        <n v="774.88"/>
        <n v="146.16"/>
        <n v="215.54"/>
        <n v="241.04"/>
        <n v="79.96"/>
        <n v="74.24"/>
        <n v="954.71"/>
        <n v="6802.37"/>
        <n v="280.72"/>
        <n v="106.72"/>
        <n v="176.32"/>
        <n v="299.28"/>
        <n v="447.76"/>
        <n v="312.04"/>
        <n v="87.0"/>
        <n v="1223.8"/>
        <n v="225.04"/>
        <n v="382.8"/>
        <n v="148.48"/>
        <n v="1051.51"/>
        <n v="348.0"/>
        <n v="487.2"/>
        <n v="2308.4"/>
        <n v="162.4"/>
        <n v="406.0"/>
        <n v="334.08"/>
        <n v="646.49"/>
        <n v="115.86"/>
        <n v="3457.96"/>
        <n v="1077.51"/>
        <n v="324.41"/>
        <n v="318.61"/>
        <n v="770.48"/>
        <n v="1071.71"/>
        <n v="162.2"/>
        <n v="112.38"/>
        <n v="2128.45"/>
        <n v="76.0"/>
        <n v="644.13"/>
        <n v="472.01"/>
        <n v="0.0"/>
        <n v="249.66"/>
        <n v="102.6"/>
        <n v="476.55"/>
        <n v="134.52"/>
        <n v="220.13"/>
        <n v="52.22"/>
        <n v="100.0"/>
        <n v="425.0"/>
        <n v="266.16"/>
        <n v="255.0"/>
        <n v="116.93"/>
        <n v="306.16"/>
        <n v="341.55"/>
        <n v="81.54"/>
        <n v="163.08"/>
        <n v="130.77"/>
        <n v="244.61"/>
        <n v="252.31"/>
        <n v="215.39"/>
        <n v="53.85"/>
        <n v="104.62"/>
        <n v="68.44"/>
        <n v="110.77"/>
        <n v="224.62"/>
        <n v="192.31"/>
        <n v="406.16"/>
        <n v="1906.54"/>
        <n v="109.98"/>
        <n v="229.23"/>
        <n v="258.46"/>
        <n v="500.02"/>
        <n v="336.93"/>
        <n v="333.86"/>
        <n v="1073.85"/>
        <n v="193.85"/>
        <n v="721.55"/>
        <n v="1304.58"/>
        <n v="321.55"/>
        <n v="233.86"/>
        <n v="8147.67"/>
        <n v="216.93"/>
        <n v="395.38"/>
        <n v="1669.27"/>
        <n v="304.63"/>
        <n v="496.99"/>
        <n v="2858.47"/>
        <n v="58.46"/>
        <n v="1850.74"/>
        <n v="260.01"/>
        <n v="84.61"/>
        <n v="144.62"/>
        <n v="2020.77"/>
        <n v="224.56"/>
        <n v="495.39"/>
        <n v="497.48"/>
        <n v="40.0"/>
        <n v="273.85"/>
        <n v="1361.52"/>
        <n v="21143.12"/>
        <n v="263.09"/>
        <n v="315.12"/>
        <n v="283.08"/>
        <n v="576.93"/>
        <n v="1107.71"/>
        <n v="993.84"/>
        <n v="261.53"/>
        <n v="1630.73"/>
        <n v="75.39"/>
        <n v="260.0"/>
        <n v="227.7"/>
        <n v="1543.12"/>
        <n v="350.78"/>
        <n v="298.47"/>
        <n v="444.63"/>
        <n v="729.26"/>
        <n v="112.31"/>
        <n v="109.23"/>
        <n v="369.24"/>
        <n v="163.07"/>
        <n v="390.0"/>
        <n v="121.53"/>
        <n v="158.47"/>
        <n v="73.0"/>
        <n v="88.58"/>
        <n v="2684.62"/>
        <n v="69.92"/>
        <n v="119.99"/>
        <n v="444.61"/>
        <n v="221.55"/>
        <n v="3496.92"/>
        <n v="152.22"/>
        <n v="1429.24"/>
        <n v="421.34"/>
        <n v="99.23"/>
        <n v="116.02"/>
        <n v="143.5"/>
        <n v="55.0"/>
        <n v="103.81"/>
        <n v="757.17"/>
        <n v="1632.58"/>
        <n v="160.4"/>
        <n v="230.02"/>
        <n v="335.96"/>
        <n v="205.81"/>
        <n v="345.01"/>
        <n v="220.95"/>
        <n v="298.11"/>
        <n v="349.57"/>
        <n v="2049.11"/>
        <n v="80.2"/>
        <n v="441.86"/>
        <n v="118.02"/>
        <n v="399.14"/>
        <n v="114.04"/>
        <n v="363.13"/>
        <n v="519.17"/>
        <n v="424.63"/>
        <n v="373.62"/>
        <n v="349.62"/>
        <n v="117.05"/>
        <n v="21577.54"/>
        <n v="428.32"/>
        <n v="199.3"/>
        <n v="136.0"/>
        <n v="115.99"/>
        <n v="226.07"/>
        <n v="1023.22"/>
        <n v="1017.34"/>
        <n v="353.95"/>
        <n v="2841.41"/>
        <n v="359.98"/>
        <n v="346.7"/>
        <n v="36.66"/>
        <n v="20547.78"/>
        <n v="447.53"/>
        <n v="1860.43"/>
        <n v="222.32"/>
        <n v="94.39"/>
        <n v="148.11"/>
        <n v="173.68"/>
        <n v="387.73"/>
        <n v="109.35"/>
        <n v="614.35"/>
        <n v="338.12"/>
        <n v="54.22"/>
        <n v="325.29"/>
        <n v="21970.0"/>
        <n v="600.64"/>
        <n v="226.85"/>
        <n v="38.52"/>
        <n v="497.93"/>
        <n v="900.28"/>
        <n v="178.29"/>
        <n v="107.54"/>
        <n v="91.98"/>
        <m/>
      </sharedItems>
    </cacheField>
    <cacheField name="Terminos de pago" numFmtId="0">
      <sharedItems containsBlank="1">
        <s v="Pago inmediato"/>
        <s v="21 días"/>
        <s v="7 días"/>
        <s v="15 días"/>
        <s v="45 días"/>
        <s v="30 días"/>
        <m/>
      </sharedItems>
    </cacheField>
    <cacheField name="Descuento x Diferencial %" numFmtId="10">
      <sharedItems containsString="0" containsBlank="1" containsNumber="1">
        <n v="0.24886256331015533"/>
        <n v="0.0"/>
        <n v="0.005312316031665376"/>
        <n v="0.2442171158103672"/>
        <n v="5.476451259585069E-4"/>
        <n v="0.14156227374077768"/>
        <n v="0.19756388625982468"/>
        <n v="0.22666666666666668"/>
        <n v="0.2001777382803821"/>
        <n v="0.13793103906315762"/>
        <n v="0.11350226476016656"/>
        <n v="7.692899453815016E-5"/>
        <n v="0.004499250124979093"/>
        <n v="8.509119858723935E-7"/>
        <n v="0.09467765759756042"/>
        <n v="0.26573498690285724"/>
        <n v="0.013147168509631157"/>
        <n v="0.0031266394364918293"/>
        <n v="0.09067485632946704"/>
        <n v="0.13838151326513992"/>
        <n v="0.2345704715658239"/>
        <n v="0.15191646504520562"/>
        <n v="0.11382113821138207"/>
        <n v="0.137949764949031"/>
        <n v="7.55008310728722E-4"/>
        <n v="0.018374083241647243"/>
        <n v="0.33337822368864045"/>
        <n v="0.33333333333333337"/>
        <n v="0.323834822506641"/>
        <n v="0.32872655478775914"/>
        <n v="0.3201973843127782"/>
        <n v="0.050003812484141874"/>
        <n v="0.2863179641280871"/>
        <n v="0.33568489124044676"/>
        <n v="0.33346402666143893"/>
        <n v="1.063716625890887E-4"/>
        <n v="0.33665008291873966"/>
        <n v="0.2762301483988545"/>
        <n v="0.34627831715210355"/>
        <n v="0.027507641011392137"/>
        <n v="0.2983087441525728"/>
        <n v="0.32388438564540023"/>
        <n v="0.34511735728774273"/>
        <n v="0.18256898835865487"/>
        <n v="0.33065595716198126"/>
        <n v="8.819053413988698E-6"/>
        <n v="0.0019893063662671517"/>
        <n v="0.0036231884057971175"/>
        <n v="1.4283673760895343E-4"/>
        <n v="0.34843624699278275"/>
        <n v="0.33929436638329735"/>
        <n v="0.11398467432950188"/>
        <n v="0.10344909743428743"/>
        <n v="0.0060725111080197625"/>
        <n v="0.06246366189067476"/>
        <n v="0.0019349473360799063"/>
        <n v="0.13324118506630744"/>
        <n v="0.3448275862068966"/>
        <n v="0.1344311943636891"/>
        <n v="1.3494155992443968E-4"/>
        <n v="6.385825026019587E-4"/>
        <n v="0.002006398459725167"/>
        <n v="0.10452928163641884"/>
        <n v="0.12498663769691853"/>
        <n v="0.3283025126461564"/>
        <n v="0.3486590038314177"/>
        <n v="8.859487955481526E-6"/>
        <n v="0.005563549979734295"/>
        <n v="0.34729064039408875"/>
        <n v="0.006754032535118415"/>
        <n v="0.3496748374187093"/>
        <n v="0.339978448275862"/>
        <n v="0.08102583213477454"/>
        <n v="0.34843624699278264"/>
        <n v="0.1493706827021356"/>
        <n v="0.029461677329008173"/>
        <n v="0.10378716067372273"/>
        <n v="0.10345706717786651"/>
        <n v="0.346485819975339"/>
        <n v="0.09502876700265772"/>
        <n v="0.3440359054030727"/>
        <n v="0.1379205952113357"/>
        <n v="0.3469785575048733"/>
        <n v="0.14093687736116778"/>
        <n v="0.2640499553969671"/>
        <n v="0.0800572723542402"/>
        <n v="0.00635926618525795"/>
        <n v="0.0089107110383706"/>
        <n v="0.043414275202354746"/>
        <n v="0.10077797408627875"/>
        <n v="0.13793042831340674"/>
        <n v="0.34998973383619525"/>
        <n v="0.008606007948168237"/>
        <n v="0.3299583822008443"/>
        <n v="0.34999118632117043"/>
        <n v="4.0268424228440125E-6"/>
        <n v="0.13554168417122736"/>
        <n v="0.013157894736842146"/>
        <n v="0.11000523636774695"/>
        <n v="0.08000402783945593"/>
        <m/>
      </sharedItems>
    </cacheField>
    <cacheField name="Dcto Pronto Pago %" numFmtId="0">
      <sharedItems containsString="0" containsBlank="1" containsNumber="1">
        <m/>
        <n v="0.0509"/>
        <n v="0.08"/>
        <n v="0.02"/>
        <n v="0.05"/>
        <n v="0.06"/>
      </sharedItems>
    </cacheField>
    <cacheField name="Numero de Orden" numFmtId="0">
      <sharedItems containsSemiMixedTypes="0" containsString="0" containsNumber="1" containsInteger="1">
        <n v="4.0"/>
        <n v="7.0"/>
        <n v="8.0"/>
        <n v="9.0"/>
        <n v="10.0"/>
        <n v="11.0"/>
        <n v="14.0"/>
        <n v="15.0"/>
        <n v="17.0"/>
        <n v="18.0"/>
        <n v="19.0"/>
        <n v="20.0"/>
        <n v="21.0"/>
        <n v="22.0"/>
        <n v="23.0"/>
        <n v="24.0"/>
        <n v="26.0"/>
        <n v="27.0"/>
        <n v="28.0"/>
        <n v="29.0"/>
        <n v="30.0"/>
        <n v="31.0"/>
        <n v="32.0"/>
        <n v="33.0"/>
        <n v="34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9.0"/>
        <n v="72.0"/>
        <n v="73.0"/>
        <n v="74.0"/>
        <n v="77.0"/>
        <n v="78.0"/>
        <n v="79.0"/>
        <n v="81.0"/>
        <n v="82.0"/>
        <n v="83.0"/>
        <n v="84.0"/>
        <n v="86.0"/>
        <n v="87.0"/>
        <n v="88.0"/>
        <n v="89.0"/>
        <n v="90.0"/>
        <n v="92.0"/>
        <n v="93.0"/>
        <n v="94.0"/>
        <n v="95.0"/>
        <n v="96.0"/>
        <n v="97.0"/>
        <n v="98.0"/>
        <n v="99.0"/>
        <n v="100.0"/>
        <n v="101.0"/>
        <n v="103.0"/>
        <n v="104.0"/>
        <n v="105.0"/>
        <n v="106.0"/>
        <n v="108.0"/>
        <n v="113.0"/>
        <n v="114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6.0"/>
        <n v="137.0"/>
        <n v="138.0"/>
        <n v="139.0"/>
        <n v="140.0"/>
        <n v="141.0"/>
        <n v="142.0"/>
        <n v="143.0"/>
        <n v="144.0"/>
        <n v="145.0"/>
        <n v="146.0"/>
        <n v="148.0"/>
        <n v="149.0"/>
        <n v="150.0"/>
        <n v="151.0"/>
        <n v="152.0"/>
        <n v="153.0"/>
        <n v="154.0"/>
        <n v="156.0"/>
        <n v="157.0"/>
        <n v="158.0"/>
        <n v="159.0"/>
        <n v="160.0"/>
        <n v="161.0"/>
        <n v="163.0"/>
        <n v="164.0"/>
        <n v="165.0"/>
        <n v="166.0"/>
        <n v="167.0"/>
        <n v="168.0"/>
        <n v="169.0"/>
        <n v="170.0"/>
        <n v="171.0"/>
        <n v="174.0"/>
        <n v="175.0"/>
        <n v="176.0"/>
        <n v="177.0"/>
        <n v="178.0"/>
        <n v="179.0"/>
        <n v="181.0"/>
        <n v="182.0"/>
        <n v="183.0"/>
        <n v="184.0"/>
        <n v="185.0"/>
        <n v="186.0"/>
        <n v="187.0"/>
        <n v="188.0"/>
        <n v="189.0"/>
        <n v="190.0"/>
        <n v="192.0"/>
        <n v="195.0"/>
        <n v="196.0"/>
        <n v="197.0"/>
        <n v="198.0"/>
        <n v="199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8.0"/>
        <n v="219.0"/>
        <n v="220.0"/>
        <n v="221.0"/>
        <n v="222.0"/>
        <n v="223.0"/>
        <n v="225.0"/>
        <n v="226.0"/>
        <n v="227.0"/>
        <n v="228.0"/>
        <n v="229.0"/>
        <n v="230.0"/>
        <n v="231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7.0"/>
        <n v="258.0"/>
        <n v="259.0"/>
        <n v="260.0"/>
        <n v="261.0"/>
        <n v="262.0"/>
        <n v="263.0"/>
        <n v="264.0"/>
        <n v="265.0"/>
        <n v="274.0"/>
        <n v="279.0"/>
        <n v="280.0"/>
        <n v="282.0"/>
        <n v="283.0"/>
        <n v="284.0"/>
        <n v="285.0"/>
        <n v="286.0"/>
        <n v="287.0"/>
        <n v="289.0"/>
        <n v="291.0"/>
        <n v="292.0"/>
        <n v="293.0"/>
        <n v="294.0"/>
        <n v="295.0"/>
        <n v="296.0"/>
        <n v="298.0"/>
        <n v="300.0"/>
        <n v="301.0"/>
        <n v="302.0"/>
        <n v="303.0"/>
        <n v="304.0"/>
        <n v="305.0"/>
        <n v="306.0"/>
        <n v="308.0"/>
        <n v="309.0"/>
        <n v="310.0"/>
        <n v="311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30.0"/>
        <n v="331.0"/>
        <n v="332.0"/>
        <n v="334.0"/>
        <n v="335.0"/>
        <n v="336.0"/>
        <n v="337.0"/>
        <n v="338.0"/>
        <n v="339.0"/>
        <n v="340.0"/>
        <n v="341.0"/>
        <n v="343.0"/>
        <n v="344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1.0"/>
        <n v="362.0"/>
        <n v="363.0"/>
        <n v="364.0"/>
        <n v="365.0"/>
        <n v="366.0"/>
        <n v="368.0"/>
        <n v="369.0"/>
        <n v="372.0"/>
        <n v="373.0"/>
        <n v="374.0"/>
        <n v="375.0"/>
        <n v="376.0"/>
        <n v="378.0"/>
        <n v="379.0"/>
        <n v="380.0"/>
        <n v="381.0"/>
        <n v="382.0"/>
        <n v="384.0"/>
        <n v="386.0"/>
        <n v="387.0"/>
        <n v="388.0"/>
        <n v="389.0"/>
        <n v="392.0"/>
        <n v="393.0"/>
        <n v="394.0"/>
        <n v="395.0"/>
        <n v="396.0"/>
        <n v="397.0"/>
        <n v="398.0"/>
        <n v="399.0"/>
        <n v="400.0"/>
        <n v="401.0"/>
        <n v="402.0"/>
        <n v="404.0"/>
        <n v="405.0"/>
        <n v="407.0"/>
        <n v="408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9.0"/>
        <n v="440.0"/>
        <n v="441.0"/>
        <n v="442.0"/>
        <n v="443.0"/>
        <n v="444.0"/>
        <n v="446.0"/>
        <n v="447.0"/>
        <n v="449.0"/>
        <n v="450.0"/>
        <n v="451.0"/>
        <n v="452.0"/>
        <n v="454.0"/>
        <n v="456.0"/>
        <n v="457.0"/>
        <n v="458.0"/>
        <n v="462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2.0"/>
        <n v="483.0"/>
        <n v="484.0"/>
        <n v="485.0"/>
        <n v="486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2.0"/>
        <n v="523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0.0"/>
      </sharedItems>
    </cacheField>
    <cacheField name="Fecha" numFmtId="165">
      <sharedItems containsSemiMixedTypes="0" containsDate="1" containsString="0">
        <d v="2026-03-09T00:00:00Z"/>
        <d v="2026-02-26T00:00:00Z"/>
        <d v="2026-03-16T00:00:00Z"/>
        <d v="2026-03-13T00:00:00Z"/>
        <d v="2026-03-03T00:00:00Z"/>
        <d v="2026-03-04T00:00:00Z"/>
        <d v="2026-03-05T00:00:00Z"/>
        <d v="2026-03-06T00:00:00Z"/>
        <d v="2026-03-10T00:00:00Z"/>
        <d v="2026-03-11T00:00:00Z"/>
        <d v="2026-03-12T00:00:00Z"/>
        <d v="2026-03-17T00:00:00Z"/>
        <d v="2026-03-18T00:00:00Z"/>
        <d v="2026-03-19T00:00:00Z"/>
        <d v="2026-03-20T00:00:00Z"/>
        <d v="2026-03-24T00:00:00Z"/>
        <d v="2026-03-23T00:00:00Z"/>
        <d v="2026-03-25T00:00:00Z"/>
        <d v="2026-03-26T00:00:00Z"/>
        <d v="2026-03-27T00:00:00Z"/>
        <d v="2026-03-30T00:00:00Z"/>
        <d v="2026-03-31T00:00:00Z"/>
        <d v="2026-04-01T00:00:00Z"/>
        <d v="2026-04-06T00:00:00Z"/>
        <d v="2026-04-07T00:00:00Z"/>
        <d v="2026-04-08T00:00:00Z"/>
        <d v="2026-04-09T00:00:00Z"/>
        <d v="2026-04-10T00:00:00Z"/>
        <d v="2026-04-13T00:00:00Z"/>
        <d v="2026-04-11T00:00:00Z"/>
        <d v="2026-05-12T00:00:00Z"/>
        <d v="2026-04-14T00:00:00Z"/>
        <d v="2026-04-15T00:00:00Z"/>
        <d v="2026-04-16T00:00:00Z"/>
        <d v="2026-04-17T00:00:00Z"/>
        <d v="2026-04-20T00:00:00Z"/>
        <d v="2026-04-21T00:00:00Z"/>
        <d v="2026-04-24T00:00:00Z"/>
        <d v="2026-04-22T00:00:00Z"/>
        <d v="2026-04-23T00:00:00Z"/>
        <d v="2026-04-28T00:00:00Z"/>
        <d v="2026-05-18T00:00:00Z"/>
        <d v="2026-04-27T00:00:00Z"/>
        <d v="2026-04-29T00:00:00Z"/>
        <d v="2026-04-30T00:00:00Z"/>
        <d v="2026-05-04T00:00:00Z"/>
        <d v="2026-05-05T00:00:00Z"/>
        <d v="2026-05-13T00:00:00Z"/>
        <d v="2026-05-06T00:00:00Z"/>
        <d v="2026-05-07T00:00:00Z"/>
        <d v="2026-05-08T00:00:00Z"/>
        <d v="2026-05-11T00:00:00Z"/>
        <d v="2026-05-14T00:00:00Z"/>
        <d v="2026-05-15T00:00:00Z"/>
        <d v="2026-05-19T00:00:00Z"/>
        <d v="2026-05-21T00:00:00Z"/>
        <d v="2026-05-20T00:00:00Z"/>
        <d v="2026-05-26T00:00:00Z"/>
        <d v="2026-05-22T00:00:00Z"/>
        <d v="2026-05-25T00:00:00Z"/>
        <d v="2026-05-28T00:00:00Z"/>
        <d v="2026-05-27T00:00:00Z"/>
        <d v="2026-05-29T00:00:00Z"/>
        <d v="2026-06-01T00:00:00Z"/>
        <d v="2026-06-03T00:00:00Z"/>
        <d v="2026-06-02T00:00:00Z"/>
        <d v="2026-06-04T00:00:00Z"/>
        <d v="2026-06-05T00:00:00Z"/>
        <d v="2026-06-08T00:00:00Z"/>
        <d v="2026-06-09T00:00:00Z"/>
        <d v="2026-06-15T00:00:00Z"/>
        <d v="2026-06-10T00:00:00Z"/>
        <d v="2026-06-11T00:00:00Z"/>
        <d v="2026-06-19T00:00:00Z"/>
        <d v="2026-06-12T00:00:00Z"/>
        <d v="2026-06-13T00:00:00Z"/>
        <d v="2026-06-16T00:00:00Z"/>
        <d v="2026-06-17T00:00:00Z"/>
        <d v="2026-06-18T00:00:00Z"/>
        <d v="2026-06-22T00:00:00Z"/>
        <d v="1899-12-30T00:00:00Z"/>
      </sharedItems>
    </cacheField>
    <cacheField name="Dias de credito">
      <sharedItems containsMixedTypes="1" containsNumber="1" containsInteger="1">
        <n v="0.0"/>
        <n v="21.0"/>
        <n v="7.0"/>
        <n v="15.0"/>
        <n v="45.0"/>
        <n v="30.0"/>
        <s v=""/>
      </sharedItems>
    </cacheField>
    <cacheField name="Vencimiento" numFmtId="165">
      <sharedItems containsSemiMixedTypes="0" containsDate="1" containsString="0">
        <d v="2026-03-10T00:00:00Z"/>
        <d v="2026-02-27T00:00:00Z"/>
        <d v="2026-04-07T00:00:00Z"/>
        <d v="2026-03-14T00:00:00Z"/>
        <d v="2026-03-17T00:00:00Z"/>
        <d v="2026-03-11T00:00:00Z"/>
        <d v="2026-03-25T00:00:00Z"/>
        <d v="2026-03-20T00:00:00Z"/>
        <d v="2026-03-06T00:00:00Z"/>
        <d v="2026-03-22T00:00:00Z"/>
        <d v="2026-04-21T00:00:00Z"/>
        <d v="2026-03-26T00:00:00Z"/>
        <d v="2026-03-18T00:00:00Z"/>
        <d v="2026-03-27T00:00:00Z"/>
        <d v="2026-04-01T00:00:00Z"/>
        <d v="2026-04-26T00:00:00Z"/>
        <d v="2026-03-12T00:00:00Z"/>
        <d v="2026-03-19T00:00:00Z"/>
        <d v="2026-03-28T00:00:00Z"/>
        <d v="2026-03-13T00:00:00Z"/>
        <d v="2026-03-21T00:00:00Z"/>
        <d v="2026-04-13T00:00:00Z"/>
        <d v="2026-04-16T00:00:00Z"/>
        <d v="2026-04-17T00:00:00Z"/>
        <d v="2026-04-02T00:00:00Z"/>
        <d v="2026-04-18T00:00:00Z"/>
        <d v="2026-04-04T00:00:00Z"/>
        <d v="2026-04-05T00:00:00Z"/>
        <d v="2026-04-11T00:00:00Z"/>
        <d v="2026-05-09T00:00:00Z"/>
        <d v="2026-04-08T00:00:00Z"/>
        <d v="2026-03-24T00:00:00Z"/>
        <d v="2026-04-09T00:00:00Z"/>
        <d v="2026-05-10T00:00:00Z"/>
        <d v="2026-04-10T00:00:00Z"/>
        <d v="2026-05-11T00:00:00Z"/>
        <d v="2026-04-12T00:00:00Z"/>
        <d v="2026-03-31T00:00:00Z"/>
        <d v="2026-04-15T00:00:00Z"/>
        <d v="2026-04-14T00:00:00Z"/>
        <d v="2026-04-22T00:00:00Z"/>
        <d v="2026-04-23T00:00:00Z"/>
        <d v="2026-04-25T00:00:00Z"/>
        <d v="2026-05-20T00:00:00Z"/>
        <d v="2026-04-30T00:00:00Z"/>
        <d v="2026-05-01T00:00:00Z"/>
        <d v="2026-04-24T00:00:00Z"/>
        <d v="2026-05-02T00:00:00Z"/>
        <d v="2026-05-18T00:00:00Z"/>
        <d v="2026-04-28T00:00:00Z"/>
        <d v="2026-05-06T00:00:00Z"/>
        <d v="2026-04-29T00:00:00Z"/>
        <d v="2026-05-22T00:00:00Z"/>
        <d v="2026-05-29T00:00:00Z"/>
        <d v="2026-05-24T00:00:00Z"/>
        <d v="2026-05-26T00:00:00Z"/>
        <d v="2026-05-05T00:00:00Z"/>
        <d v="2026-05-14T00:00:00Z"/>
        <d v="2026-05-07T00:00:00Z"/>
        <d v="2026-05-08T00:00:00Z"/>
        <d v="2026-05-12T00:00:00Z"/>
        <d v="2026-06-19T00:00:00Z"/>
        <d v="2026-05-13T00:00:00Z"/>
        <d v="2026-05-28T00:00:00Z"/>
        <d v="2026-06-06T00:00:00Z"/>
        <d v="2026-05-15T00:00:00Z"/>
        <d v="2026-05-16T00:00:00Z"/>
        <d v="2026-06-23T00:00:00Z"/>
        <d v="2026-05-19T00:00:00Z"/>
        <d v="2026-06-12T00:00:00Z"/>
        <d v="2026-05-21T00:00:00Z"/>
        <d v="2026-06-05T00:00:00Z"/>
        <d v="2026-05-23T00:00:00Z"/>
        <d v="2026-06-30T00:00:00Z"/>
        <d v="2026-05-27T00:00:00Z"/>
        <d v="2026-07-05T00:00:00Z"/>
        <d v="2026-06-03T00:00:00Z"/>
        <d v="2026-05-30T00:00:00Z"/>
        <d v="2026-06-07T00:00:00Z"/>
        <d v="2026-06-02T00:00:00Z"/>
        <d v="2026-06-04T00:00:00Z"/>
        <d v="2026-06-29T00:00:00Z"/>
        <d v="2026-06-09T00:00:00Z"/>
        <d v="2026-06-11T00:00:00Z"/>
        <d v="2026-07-02T00:00:00Z"/>
        <d v="2026-06-17T00:00:00Z"/>
        <d v="2026-06-10T00:00:00Z"/>
        <d v="2026-06-18T00:00:00Z"/>
        <d v="2026-06-24T00:00:00Z"/>
        <d v="2026-06-25T00:00:00Z"/>
        <d v="2026-06-20T00:00:00Z"/>
        <d v="2026-06-13T00:00:00Z"/>
        <d v="2026-06-26T00:00:00Z"/>
        <d v="2026-06-27T00:00:00Z"/>
        <d v="2026-06-16T00:00:00Z"/>
        <d v="2026-07-11T00:00:00Z"/>
        <d v="2026-06-28T00:00:00Z"/>
        <d v="2026-07-13T00:00:00Z"/>
        <d v="2026-06-21T00:00:00Z"/>
        <d v="2026-07-03T00:00:00Z"/>
        <d v="2026-07-04T00:00:00Z"/>
        <d v="2026-07-10T00:00:00Z"/>
        <d v="2026-07-20T00:00:00Z"/>
        <d v="1899-12-31T00:00:00Z"/>
      </sharedItems>
    </cacheField>
    <cacheField name="Total C/Dcto" numFmtId="4">
      <sharedItems containsSemiMixedTypes="0" containsString="0" containsNumber="1">
        <n v="175.0"/>
        <n v="246.0"/>
        <n v="35.33"/>
        <n v="335.98"/>
        <n v="27781.08"/>
        <n v="63.77"/>
        <n v="82.24"/>
        <n v="954.79"/>
        <n v="104.36"/>
        <n v="96.0"/>
        <n v="78.25"/>
        <n v="472.53"/>
        <n v="212.72"/>
        <n v="90.44"/>
        <n v="72.48"/>
        <n v="510.0"/>
        <n v="68.91196274532622"/>
        <n v="198.0"/>
        <n v="146.0"/>
        <n v="289.16"/>
        <n v="86.70221035218145"/>
        <n v="195.0"/>
        <n v="185.04"/>
        <n v="434.83"/>
        <n v="58.0"/>
        <n v="72.0"/>
        <n v="28.88"/>
        <n v="1080.62"/>
        <n v="160.98"/>
        <n v="130.99999930396257"/>
        <n v="362.52"/>
        <n v="2147.0"/>
        <n v="55.34"/>
        <n v="129.98"/>
        <n v="1796.760192"/>
        <n v="53.79"/>
        <n v="1033.52"/>
        <n v="64.99"/>
        <n v="119.48"/>
        <n v="259.99"/>
        <n v="792.33"/>
        <n v="582.77"/>
        <n v="133.99"/>
        <n v="84.28992827662871"/>
        <n v="241.81"/>
        <n v="2036.91"/>
        <n v="190.0"/>
        <n v="10739.61"/>
        <n v="2492.0"/>
        <n v="154.49144837269924"/>
        <n v="375.35"/>
        <n v="132.47"/>
        <n v="159.99817437044305"/>
        <n v="560.84"/>
        <n v="78.62"/>
        <n v="415.08"/>
        <n v="166.8520706121061"/>
        <n v="35.99"/>
        <n v="300.86"/>
        <n v="459.5356037151703"/>
        <n v="71.99"/>
        <n v="1250.0"/>
        <n v="970.07"/>
        <n v="67.37"/>
        <n v="173.65"/>
        <n v="333.0"/>
        <n v="286.51"/>
        <n v="89.99"/>
        <n v="171.0"/>
        <n v="126.0"/>
        <n v="218.0"/>
        <n v="191.1"/>
        <n v="317.6741321186326"/>
        <n v="434.94"/>
        <n v="530.98"/>
        <n v="1623.82"/>
        <n v="92.92978422710223"/>
        <n v="193.9201998556126"/>
        <n v="184.1"/>
        <n v="711.13"/>
        <n v="280.5"/>
        <n v="991.22"/>
        <n v="110.01"/>
        <n v="296.98"/>
        <n v="99.01"/>
        <n v="140.0"/>
        <n v="34.0"/>
        <n v="197.0"/>
        <n v="179.99"/>
        <n v="371.2300101955719"/>
        <n v="76.0"/>
        <n v="4655.88"/>
        <n v="199.49"/>
        <n v="2259.37"/>
        <n v="952.5"/>
        <n v="1947.24"/>
        <n v="565.0"/>
        <n v="32.9798"/>
        <n v="94.0"/>
        <n v="20275.64"/>
        <n v="93.0"/>
        <n v="129.92"/>
        <n v="360.0"/>
        <n v="972.01"/>
        <n v="53.65"/>
        <n v="200.0"/>
        <n v="139.0"/>
        <n v="202.0"/>
        <n v="108.0"/>
        <n v="1105.53"/>
        <n v="1996.24"/>
        <n v="36.08"/>
        <n v="2625.01"/>
        <n v="249.0"/>
        <n v="288.0"/>
        <n v="35.0"/>
        <n v="152.99"/>
        <n v="1183.21"/>
        <n v="39.0"/>
        <n v="123.99"/>
        <n v="1092.0"/>
        <n v="1433.0"/>
        <n v="1881.84"/>
        <n v="712.48"/>
        <n v="226.0"/>
        <n v="290.0"/>
        <n v="721.47"/>
        <n v="201.0"/>
        <n v="164.98"/>
        <n v="250.0"/>
        <n v="24.0"/>
        <n v="247.88"/>
        <n v="259.98"/>
        <n v="543.01"/>
        <n v="159.99"/>
        <n v="372.0"/>
        <n v="941.99"/>
        <n v="1783.22"/>
        <n v="140.99"/>
        <n v="180.0"/>
        <n v="1177.3896164465104"/>
        <n v="107.96"/>
        <n v="157.44616702765768"/>
        <n v="164.72"/>
        <n v="180.96"/>
        <n v="143.0"/>
        <n v="533.46"/>
        <n v="112.3"/>
        <n v="680.77"/>
        <n v="214.6"/>
        <n v="258.01"/>
        <n v="315.52"/>
        <n v="580.0"/>
        <n v="130.0"/>
        <n v="183.0"/>
        <n v="104.4"/>
        <n v="721.52"/>
        <n v="429.2"/>
        <n v="361.92"/>
        <n v="756.32"/>
        <n v="150.0"/>
        <n v="539.4"/>
        <n v="183.28"/>
        <n v="98.6"/>
        <n v="371.2"/>
        <n v="431.52"/>
        <n v="10077.45"/>
        <n v="116.0"/>
        <n v="444.28"/>
        <n v="343.0"/>
        <n v="111.0"/>
        <n v="215.33"/>
        <n v="498.8"/>
        <n v="3991.56"/>
        <n v="406.14"/>
        <n v="606.31944438714"/>
        <n v="294.00375121424776"/>
        <n v="514.93"/>
        <n v="1321.363714931283"/>
        <n v="1057.92"/>
        <n v="164.4012754748009"/>
        <n v="239.3905"/>
        <n v="5968.02"/>
        <n v="4875.25"/>
        <n v="386.08904652406403"/>
        <n v="74.99"/>
        <n v="161.0"/>
        <n v="943.8162256658335"/>
        <n v="394.4"/>
        <n v="464.0"/>
        <n v="111.36"/>
        <n v="3853.0"/>
        <n v="453.59"/>
        <n v="777.2"/>
        <n v="163.56"/>
        <n v="329.44"/>
        <n v="312.99999596018506"/>
        <n v="231.72"/>
        <n v="5141.253857758865"/>
        <n v="394.54"/>
        <n v="222.72"/>
        <n v="272.6"/>
        <n v="273.98"/>
        <n v="158.92814309516837"/>
        <n v="250.56"/>
        <n v="211.12"/>
        <n v="51.7657905138503"/>
        <n v="172.84"/>
        <n v="1073.0"/>
        <n v="81.0"/>
        <n v="599.72"/>
        <n v="64.96"/>
        <n v="306.24"/>
        <n v="3312.78"/>
        <n v="436.16"/>
        <n v="284.61"/>
        <n v="164.0"/>
        <n v="80.0"/>
        <n v="68.0"/>
        <n v="296.37"/>
        <n v="1211.07"/>
        <n v="115.99897229939717"/>
        <n v="80.04"/>
        <n v="98.41"/>
        <n v="197.2"/>
        <n v="100.92"/>
        <n v="362.42"/>
        <n v="807.96"/>
        <n v="83.05533230569259"/>
        <n v="357.28"/>
        <n v="53.0"/>
        <n v="499.96"/>
        <n v="774.88"/>
        <n v="146.16"/>
        <n v="97.93405239203732"/>
        <n v="215.54"/>
        <n v="241.04"/>
        <n v="52.0"/>
        <n v="49.0"/>
        <n v="954.71"/>
        <n v="6802.37"/>
        <n v="257.9744284031261"/>
        <n v="106.72"/>
        <n v="176.32"/>
        <n v="447.76"/>
        <n v="312.04"/>
        <n v="87.0"/>
        <n v="1223.8"/>
        <n v="191.4256215647114"/>
        <n v="382.8"/>
        <n v="148.48"/>
        <n v="1051.51"/>
        <n v="348.0"/>
        <n v="472.8462708053072"/>
        <n v="74.24"/>
        <n v="2308.4"/>
        <n v="162.4"/>
        <n v="406.0"/>
        <n v="334.08"/>
        <n v="646.49"/>
        <n v="115.86"/>
        <n v="3457.96"/>
        <n v="965.678296502457"/>
        <n v="290.84749283682834"/>
        <n v="318.61"/>
        <n v="770.48"/>
        <n v="1071.71"/>
        <n v="106.0"/>
        <n v="101.70066716424132"/>
        <n v="2128.45"/>
        <n v="555.2912070065223"/>
        <n v="472.01"/>
        <n v="0.0"/>
        <n v="249.66"/>
        <n v="67.0"/>
        <n v="476.55"/>
        <n v="146.8997939712403"/>
        <n v="99.0"/>
        <n v="102.6"/>
        <n v="202.5069926366611"/>
        <n v="52.22"/>
        <n v="100.0"/>
        <n v="425.0"/>
        <n v="266.16"/>
        <n v="255.0"/>
        <n v="116.93"/>
        <n v="306.16"/>
        <n v="339.37799263442514"/>
        <n v="81.54"/>
        <n v="163.08"/>
        <n v="130.77"/>
        <n v="244.61"/>
        <n v="252.31"/>
        <n v="215.39"/>
        <n v="53.85"/>
        <n v="104.62"/>
        <n v="68.44"/>
        <n v="110.77"/>
        <n v="224.62"/>
        <n v="192.31"/>
        <n v="406.16"/>
        <n v="1906.54"/>
        <n v="109.0"/>
        <n v="229.23"/>
        <n v="258.46"/>
        <n v="500.02"/>
        <n v="78.0"/>
        <n v="336.93"/>
        <n v="333.86"/>
        <n v="1073.85"/>
        <n v="193.85"/>
        <n v="721.55"/>
        <n v="1304.58"/>
        <n v="321.55"/>
        <n v="233.86"/>
        <n v="8147.67"/>
        <n v="216.93"/>
        <n v="395.38"/>
        <n v="1669.27"/>
        <n v="273.9300057540969"/>
        <n v="496.99"/>
        <n v="2464.200008578976"/>
        <n v="58.46"/>
        <n v="1203.0"/>
        <n v="257.77235187339676"/>
        <n v="84.61"/>
        <n v="144.62"/>
        <n v="1354.0"/>
        <n v="224.56"/>
        <n v="495.39"/>
        <n v="487.53040000000004"/>
        <n v="37.6"/>
        <n v="273.85"/>
        <n v="885.0"/>
        <n v="21143.12"/>
        <n v="263.09"/>
        <n v="315.12"/>
        <n v="283.08"/>
        <n v="576.93"/>
        <n v="1107.71"/>
        <n v="993.84"/>
        <n v="261.53"/>
        <n v="1630.73"/>
        <n v="75.39"/>
        <n v="260.0"/>
        <n v="227.7"/>
        <n v="1543.12"/>
        <n v="350.78"/>
        <n v="298.47"/>
        <n v="444.62820954505355"/>
        <n v="729.26"/>
        <n v="112.31"/>
        <n v="40.0"/>
        <n v="109.23"/>
        <n v="369.24"/>
        <n v="163.07"/>
        <n v="390.0"/>
        <n v="121.53"/>
        <n v="101.08111086985839"/>
        <n v="75.0"/>
        <n v="141.03747019280314"/>
        <n v="73.0"/>
        <n v="88.58"/>
        <n v="2684.62"/>
        <n v="69.92"/>
        <n v="119.99"/>
        <n v="444.61"/>
        <n v="221.55"/>
        <n v="3496.92"/>
        <n v="152.22"/>
        <n v="1429.24"/>
        <n v="421.34"/>
        <n v="99.23"/>
        <n v="116.02"/>
        <n v="143.5"/>
        <n v="55.0"/>
        <n v="103.81"/>
        <n v="757.17"/>
        <n v="1632.58"/>
        <n v="160.4"/>
        <n v="230.02"/>
        <n v="335.96"/>
        <n v="205.81"/>
        <n v="345.01"/>
        <n v="220.95"/>
        <n v="274.2599992607798"/>
        <n v="349.57"/>
        <n v="2049.11"/>
        <n v="80.2"/>
        <n v="441.86"/>
        <n v="118.02"/>
        <n v="399.14"/>
        <n v="114.04"/>
        <n v="363.13"/>
        <n v="519.17"/>
        <n v="424.63"/>
        <n v="373.62"/>
        <n v="349.62"/>
        <n v="117.05"/>
        <n v="21577.54"/>
        <n v="428.32"/>
        <n v="199.3"/>
        <n v="136.0"/>
        <n v="115.99"/>
        <n v="226.07"/>
        <n v="1023.22"/>
        <n v="1017.34"/>
        <n v="353.95"/>
        <n v="2841.41"/>
        <n v="359.98"/>
        <n v="346.7"/>
        <n v="36.66"/>
        <n v="20547.78"/>
        <n v="447.53"/>
        <n v="1860.43"/>
        <n v="222.32"/>
        <n v="94.39"/>
        <n v="148.11"/>
        <n v="173.68"/>
        <n v="387.73"/>
        <n v="109.35"/>
        <n v="614.35"/>
        <n v="338.12"/>
        <n v="54.22"/>
        <n v="325.29"/>
        <n v="21970.0"/>
        <n v="600.64"/>
        <n v="226.85"/>
        <n v="38.52"/>
        <n v="497.93"/>
        <n v="900.28"/>
        <n v="178.29"/>
        <n v="107.54"/>
        <n v="91.98"/>
      </sharedItems>
    </cacheField>
    <cacheField name="Dias Vencido" numFmtId="0">
      <sharedItems containsSemiMixedTypes="0" containsString="0" containsNumber="1" containsInteger="1">
        <n v="0.0"/>
        <n v="102.0"/>
        <n v="94.0"/>
        <n v="93.0"/>
        <n v="92.0"/>
        <n v="87.0"/>
        <n v="62.0"/>
        <n v="91.0"/>
        <n v="106.0"/>
        <n v="99.0"/>
        <n v="98.0"/>
        <n v="72.0"/>
        <n v="71.0"/>
        <n v="70.0"/>
        <n v="84.0"/>
        <n v="83.0"/>
        <n v="49.0"/>
        <n v="80.0"/>
        <n v="79.0"/>
        <n v="48.0"/>
        <n v="78.0"/>
        <n v="77.0"/>
        <n v="86.0"/>
        <n v="74.0"/>
        <n v="81.0"/>
        <n v="66.0"/>
        <n v="65.0"/>
        <n v="63.0"/>
        <n v="76.0"/>
        <n v="38.0"/>
        <n v="73.0"/>
        <n v="58.0"/>
        <n v="57.0"/>
        <n v="64.0"/>
        <n v="56.0"/>
        <n v="40.0"/>
        <n v="60.0"/>
        <n v="59.0"/>
        <n v="36.0"/>
        <n v="53.0"/>
        <n v="44.0"/>
        <n v="51.0"/>
        <n v="50.0"/>
        <n v="46.0"/>
        <n v="8.0"/>
        <n v="45.0"/>
        <n v="30.0"/>
        <n v="43.0"/>
        <n v="29.0"/>
        <n v="42.0"/>
        <n v="4.0"/>
        <n v="39.0"/>
        <n v="15.0"/>
        <n v="37.0"/>
        <n v="22.0"/>
        <n v="35.0"/>
        <n v="32.0"/>
        <n v="31.0"/>
        <n v="24.0"/>
        <n v="28.0"/>
        <n v="20.0"/>
        <n v="25.0"/>
        <n v="23.0"/>
        <n v="21.0"/>
        <n v="18.0"/>
        <n v="16.0"/>
        <n v="10.0"/>
        <n v="17.0"/>
        <n v="9.0"/>
        <n v="3.0"/>
        <n v="2.0"/>
        <n v="7.0"/>
        <n v="14.0"/>
        <n v="11.0"/>
        <n v="1.0"/>
        <n v="6.0"/>
      </sharedItems>
    </cacheField>
    <cacheField name="Estado Vencimiento" numFmtId="0">
      <sharedItems>
        <s v="PAGADA"/>
        <s v="VENCIDA"/>
        <s v="EN TIEMPO"/>
      </sharedItems>
    </cacheField>
    <cacheField name="Monto Pagado USD" numFmtId="2">
      <sharedItems containsSemiMixedTypes="0" containsString="0" containsNumber="1">
        <n v="175.0"/>
        <n v="246.0"/>
        <n v="85.33"/>
        <n v="396.47317906993857"/>
        <n v="27781.08"/>
        <n v="74.96008846460224"/>
        <n v="86.57827478329567"/>
        <n v="713.0517045098114"/>
        <n v="1847.0"/>
        <n v="96.0"/>
        <n v="91.89855023431099"/>
        <n v="166.2406347195711"/>
        <n v="238.64989571606637"/>
        <n v="101.23959178648737"/>
        <n v="30.0"/>
        <n v="150.0"/>
        <n v="68.91196274532622"/>
        <n v="198.0"/>
        <n v="146.0"/>
        <n v="49.99999999999999"/>
        <n v="86.70221035218145"/>
        <n v="195.0"/>
        <n v="204.98768474833676"/>
        <n v="208.01027020652973"/>
        <n v="58.0"/>
        <n v="72.0"/>
        <n v="29.15730285384934"/>
        <n v="120.0"/>
        <n v="161.00050004287857"/>
        <n v="151.96000661699588"/>
        <n v="426.50749968791314"/>
        <n v="2147.0"/>
        <n v="0.0"/>
        <n v="129.98"/>
        <n v="1893.1200111550663"/>
        <n v="61.94126451808485"/>
        <n v="430.0"/>
        <n v="65.0"/>
        <n v="119.48"/>
        <n v="260.0"/>
        <n v="930.7020201949153"/>
        <n v="218.00235178206609"/>
        <n v="134.0"/>
        <n v="84.28992827662871"/>
        <n v="200.0"/>
        <n v="190.0"/>
        <n v="3498.0"/>
        <n v="2492.0"/>
        <n v="72.00074587599022"/>
        <n v="168.12024837269925"/>
        <n v="699.8626482778354"/>
        <n v="132.48"/>
        <n v="159.99817437044305"/>
        <n v="104.0"/>
        <n v="78.62019474738442"/>
        <n v="166.8520706121061"/>
        <n v="36.0"/>
        <n v="179.6674934264389"/>
        <n v="459.5356037151703"/>
        <n v="1250.0"/>
        <n v="470.4594610117201"/>
        <n v="49.48284845279499"/>
        <n v="226.93084447331103"/>
        <n v="333.0"/>
        <n v="278.1546575091378"/>
        <n v="90.0"/>
        <n v="171.0"/>
        <n v="126.0"/>
        <n v="218.0"/>
        <n v="204.9527236491361"/>
        <n v="317.6741321186326"/>
        <n v="553.8995151408834"/>
        <n v="129.27358900772364"/>
        <n v="92.92978422710223"/>
        <n v="193.9201998556126"/>
        <n v="115.0"/>
        <n v="100.0"/>
        <n v="280.9058335076449"/>
        <n v="1004.9404832091172"/>
        <n v="110.03"/>
        <n v="99.01"/>
        <n v="140.0"/>
        <n v="34.0"/>
        <n v="197.0"/>
        <n v="49.99952260466893"/>
        <n v="371.2300101955719"/>
        <n v="40.0"/>
        <n v="76.0"/>
        <n v="760.0"/>
        <n v="1060.0"/>
        <n v="66.0"/>
        <n v="340.0"/>
        <n v="565.0"/>
        <n v="94.0"/>
        <n v="2250.0"/>
        <n v="93.13711428276046"/>
        <n v="129.92"/>
        <n v="160.0"/>
        <n v="972.03"/>
        <n v="53.65001902310711"/>
        <n v="139.0"/>
        <n v="202.0"/>
        <n v="68.0"/>
        <n v="873.2251532449004"/>
        <n v="1220.0"/>
        <n v="36.08"/>
        <n v="1750.0"/>
        <n v="350.0"/>
        <n v="35.0"/>
        <n v="154.0"/>
        <n v="39.0"/>
        <n v="124.0"/>
        <n v="680.0"/>
        <n v="1433.0"/>
        <n v="226.0"/>
        <n v="290.0"/>
        <n v="299.99998955244996"/>
        <n v="49.99995874080229"/>
        <n v="250.0"/>
        <n v="24.0"/>
        <n v="247.88"/>
        <n v="181.45946467803017"/>
        <n v="108.0"/>
        <n v="490.8439698346676"/>
        <n v="141.0"/>
        <n v="115.92"/>
        <n v="64.8"/>
        <n v="157.44616702765768"/>
        <n v="117.0"/>
        <n v="143.0"/>
        <n v="345.6025942062502"/>
        <n v="70.0"/>
        <n v="681.0"/>
        <n v="217.99999793332705"/>
        <n v="167.0"/>
        <n v="201.0"/>
        <n v="430.1467444416737"/>
        <n v="130.0"/>
        <n v="107.0"/>
        <n v="460.0"/>
        <n v="278.0"/>
        <n v="400.0"/>
        <n v="301.0"/>
        <n v="119.0"/>
        <n v="99.00002319356113"/>
        <n v="78.98181390985013"/>
        <n v="75.0"/>
        <n v="282.0"/>
        <n v="170.0"/>
        <n v="111.0"/>
        <n v="133.0"/>
        <n v="240.0"/>
        <n v="275.0"/>
        <n v="3991.560009369363"/>
        <n v="88.0"/>
        <n v="606.31944438714"/>
        <n v="294.00375121424776"/>
        <n v="514.93"/>
        <n v="1321.363714931283"/>
        <n v="674.0"/>
        <n v="164.4012754748009"/>
        <n v="252.0"/>
        <n v="386.08904652406403"/>
        <n v="161.0"/>
        <n v="943.8162256658335"/>
        <n v="227.84392824309774"/>
        <n v="3853.0"/>
        <n v="67.0"/>
        <n v="300.0"/>
        <n v="125.63075283420564"/>
        <n v="312.99999596018506"/>
        <n v="5141.253857758865"/>
        <n v="255.0"/>
        <n v="274.0"/>
        <n v="85.0"/>
        <n v="309.86250181116026"/>
        <n v="158.92814309516837"/>
        <n v="92.99984324821058"/>
        <n v="51.7657905138503"/>
        <n v="81.0"/>
        <n v="600.0"/>
        <n v="42.99963604939886"/>
        <n v="436.16"/>
        <n v="180.0"/>
        <n v="127.23867747154877"/>
        <n v="51.0"/>
        <n v="188.0"/>
        <n v="115.99897229939717"/>
        <n v="80.10613240736942"/>
        <n v="199.29037442675545"/>
        <n v="83.05533230569259"/>
        <n v="53.0"/>
        <n v="97.93405239203732"/>
        <n v="135.0"/>
        <n v="52.0"/>
        <n v="49.0"/>
        <n v="602.0"/>
        <n v="6802.37"/>
        <n v="257.9744284031261"/>
        <n v="64.0"/>
        <n v="110.0"/>
        <n v="60.0"/>
        <n v="191.4256215647114"/>
        <n v="73.5"/>
        <n v="91.0"/>
        <n v="472.8462708053072"/>
        <n v="112.40046278050664"/>
        <n v="162.4"/>
        <n v="3457.96"/>
        <n v="965.678296502457"/>
        <n v="290.84749283682834"/>
        <n v="318.611889330559"/>
        <n v="106.0"/>
        <n v="101.70066716424132"/>
        <n v="555.2912070065223"/>
        <n v="146.8997939712403"/>
        <n v="99.0"/>
        <n v="202.5069926366611"/>
        <n v="339.37799263442514"/>
        <n v="51.94"/>
        <n v="273.60935701220956"/>
        <n v="141.38997861716132"/>
        <n v="29.76782104372371"/>
        <n v="32.0"/>
        <n v="50.0"/>
        <n v="3.0"/>
        <n v="43.0"/>
        <n v="105.0"/>
        <n v="406.16042037848337"/>
        <n v="109.0"/>
        <n v="23.0"/>
        <n v="130.0816348849812"/>
        <n v="78.0"/>
        <n v="213.0"/>
        <n v="743.3868313515263"/>
        <n v="191.0"/>
        <n v="2715.890000542556"/>
        <n v="358.0"/>
        <n v="155.0"/>
        <n v="273.9300057540969"/>
        <n v="2464.200008578976"/>
        <n v="1203.0"/>
        <n v="257.77235187339676"/>
        <n v="1354.0"/>
        <n v="249.0"/>
        <n v="320.0"/>
        <n v="24.10919014773099"/>
        <n v="885.0"/>
        <n v="200.23138708409584"/>
        <n v="879.6731765489762"/>
        <n v="28.060000000000002"/>
        <n v="444.62820954505355"/>
        <n v="73.0"/>
        <n v="101.08111086985839"/>
        <n v="141.03747019280314"/>
        <n v="103.0"/>
        <n v="56.0"/>
        <n v="274.26"/>
        <n v="274.2599992607798"/>
        <n v="700.0"/>
        <n v="21577.54"/>
        <n v="229.9733587271232"/>
        <n v="37.0"/>
        <n v="390.0"/>
      </sharedItems>
    </cacheField>
    <cacheField name="Moneda de pago">
      <sharedItems containsMixedTypes="1" containsNumber="1" containsInteger="1">
        <s v="USD"/>
        <s v="VES"/>
        <s v="Sin Pago"/>
        <s v="MIXTO"/>
        <n v="6.0"/>
      </sharedItems>
    </cacheField>
    <cacheField name="Saldo Orden" numFmtId="4">
      <sharedItems containsSemiMixedTypes="0" containsString="0" containsNumber="1">
        <n v="0.0"/>
        <n v="-50.0"/>
        <n v="-60.49317906993855"/>
        <n v="-11.190088464602233"/>
        <n v="-4.338274783295674"/>
        <n v="241.73829549018853"/>
        <n v="-13.648550234310989"/>
        <n v="306.2893652804289"/>
        <n v="-25.92989571606637"/>
        <n v="-10.799591786487369"/>
        <n v="42.480000000000004"/>
        <n v="360.0"/>
        <n v="239.16000000000003"/>
        <n v="-19.94768474833677"/>
        <n v="226.81972979347026"/>
        <n v="-0.27730285384934206"/>
        <n v="960.6199999999999"/>
        <n v="-0.02050004287858087"/>
        <n v="-20.960007313033316"/>
        <n v="-63.98749968791316"/>
        <n v="55.34"/>
        <n v="-96.35981915506636"/>
        <n v="-8.15126451808485"/>
        <n v="603.52"/>
        <n v="-0.010000000000005116"/>
        <n v="-0.009999999999990905"/>
        <n v="-138.3720201949153"/>
        <n v="364.7676482179339"/>
        <n v="241.81"/>
        <n v="1836.91"/>
        <n v="7241.610000000001"/>
        <n v="-7.458759902192469E-4"/>
        <n v="-13.628800000000012"/>
        <n v="-324.5126482778354"/>
        <n v="456.84000000000003"/>
        <n v="-1.9474738441260797E-4"/>
        <n v="415.08"/>
        <n v="-0.00999999999999801"/>
        <n v="121.1925065735611"/>
        <n v="499.6105389882799"/>
        <n v="17.887151547205015"/>
        <n v="-53.28084447331102"/>
        <n v="8.3553424908622"/>
        <n v="-13.852723649136095"/>
        <n v="-118.95951514088341"/>
        <n v="401.70641099227635"/>
        <n v="1623.82"/>
        <n v="69.1"/>
        <n v="611.13"/>
        <n v="-0.4058335076448998"/>
        <n v="-13.72048320911722"/>
        <n v="-0.01999999999999602"/>
        <n v="146.98000000000002"/>
        <n v="129.99047739533108"/>
        <n v="32.0"/>
        <n v="3895.88"/>
        <n v="134.49"/>
        <n v="1199.37"/>
        <n v="802.5"/>
        <n v="230.98000000000002"/>
        <n v="1607.24"/>
        <n v="-1.0202000000000027"/>
        <n v="18025.64"/>
        <n v="-0.13711428276046433"/>
        <n v="200.0"/>
        <n v="-0.01999999999998181"/>
        <n v="-1.9023107114435334E-5"/>
        <n v="40.0"/>
        <n v="232.30484675509956"/>
        <n v="776.24"/>
        <n v="875.0100000000002"/>
        <n v="-101.0"/>
        <n v="288.0"/>
        <n v="-1.009999999999991"/>
        <n v="1183.21"/>
        <n v="412.0"/>
        <n v="1881.84"/>
        <n v="712.48"/>
        <n v="421.47001044755007"/>
        <n v="201.0"/>
        <n v="114.98004125919769"/>
        <n v="361.55053532196985"/>
        <n v="272.0"/>
        <n v="451.14603016533243"/>
        <n v="1443.22"/>
        <n v="64.08"/>
        <n v="1112.5896164465105"/>
        <n v="43.16"/>
        <n v="68.72"/>
        <n v="63.96000000000001"/>
        <n v="187.85740579374982"/>
        <n v="42.3"/>
        <n v="-0.2300000000000182"/>
        <n v="-3.3999979333270574"/>
        <n v="91.00999999999999"/>
        <n v="114.51999999999998"/>
        <n v="149.85325555832628"/>
        <n v="76.0"/>
        <n v="-113.6"/>
        <n v="261.52"/>
        <n v="151.2"/>
        <n v="164.92000000000002"/>
        <n v="356.32000000000005"/>
        <n v="238.39999999999998"/>
        <n v="64.28"/>
        <n v="-0.4000231935611396"/>
        <n v="292.21818609014986"/>
        <n v="356.52"/>
        <n v="9795.45"/>
        <n v="116.0"/>
        <n v="274.28"/>
        <n v="143.0"/>
        <n v="82.33000000000001"/>
        <n v="258.8"/>
        <n v="156.51999999999998"/>
        <n v="-9.369362942379666E-6"/>
        <n v="318.14"/>
        <n v="383.9200000000001"/>
        <n v="-12.609499999999997"/>
        <n v="5968.02"/>
        <n v="4875.25"/>
        <n v="166.55607175690224"/>
        <n v="264.0"/>
        <n v="39.36"/>
        <n v="453.59"/>
        <n v="37.400000000000006"/>
        <n v="477.20000000000005"/>
        <n v="64.4"/>
        <n v="215.51999999999998"/>
        <n v="37.929247165794365"/>
        <n v="289.44"/>
        <n v="81.72"/>
        <n v="139.54000000000002"/>
        <n v="-51.28"/>
        <n v="187.60000000000002"/>
        <n v="-35.88250181116024"/>
        <n v="250.56"/>
        <n v="118.12015675178942"/>
        <n v="41.0"/>
        <n v="142.84"/>
        <n v="953.0"/>
        <n v="-0.2799999999999727"/>
        <n v="21.960363950601135"/>
        <n v="108.24000000000001"/>
        <n v="2876.6200000000003"/>
        <n v="436.16"/>
        <n v="104.61000000000001"/>
        <n v="36.76132252845123"/>
        <n v="29.0"/>
        <n v="108.37"/>
        <n v="1211.07"/>
        <n v="-0.06613240736940895"/>
        <n v="98.41"/>
        <n v="-2.09037442675546"/>
        <n v="65.92"/>
        <n v="-28.599999999999994"/>
        <n v="35.92"/>
        <n v="136.42000000000002"/>
        <n v="807.96"/>
        <n v="257.28"/>
        <n v="499.96"/>
        <n v="774.88"/>
        <n v="146.16"/>
        <n v="80.53999999999999"/>
        <n v="117.03999999999999"/>
        <n v="352.71000000000004"/>
        <n v="42.72"/>
        <n v="66.32"/>
        <n v="307.76"/>
        <n v="252.04000000000002"/>
        <n v="87.0"/>
        <n v="38.400000000000006"/>
        <n v="873.8"/>
        <n v="42.5"/>
        <n v="382.8"/>
        <n v="57.47999999999999"/>
        <n v="811.51"/>
        <n v="348.0"/>
        <n v="-38.16046278050665"/>
        <n v="2108.4"/>
        <n v="406.0"/>
        <n v="122.4"/>
        <n v="234.07999999999998"/>
        <n v="526.49"/>
        <n v="40.86"/>
        <n v="-0.001889330558981328"/>
        <n v="770.48"/>
        <n v="1071.71"/>
        <n v="2128.45"/>
        <n v="372.01"/>
        <n v="249.66"/>
        <n v="476.55"/>
        <n v="102.6"/>
        <n v="52.22"/>
        <n v="100.0"/>
        <n v="425.0"/>
        <n v="266.16"/>
        <n v="255.0"/>
        <n v="116.93"/>
        <n v="306.16"/>
        <n v="29.60000000000001"/>
        <n v="-110.52935701220954"/>
        <n v="45.77000000000001"/>
        <n v="103.2200213828387"/>
        <n v="252.31"/>
        <n v="185.6221789562763"/>
        <n v="21.85"/>
        <n v="54.620000000000005"/>
        <n v="65.44"/>
        <n v="42.769999999999996"/>
        <n v="181.62"/>
        <n v="87.31"/>
        <n v="-4.2037848334075534E-4"/>
        <n v="1756.54"/>
        <n v="58.540000000000006"/>
        <n v="99.14836511501878"/>
        <n v="258.46"/>
        <n v="123.93"/>
        <n v="333.86"/>
        <n v="1073.85"/>
        <n v="67.85"/>
        <n v="721.55"/>
        <n v="561.1931686484736"/>
        <n v="130.55"/>
        <n v="233.86"/>
        <n v="5431.779999457443"/>
        <n v="-141.07"/>
        <n v="240.38"/>
        <n v="1669.27"/>
        <n v="496.99"/>
        <n v="133.86"/>
        <n v="36.620000000000005"/>
        <n v="58.46"/>
        <n v="64.62"/>
        <n v="89.62"/>
        <n v="84.61"/>
        <n v="110.77"/>
        <n v="144.62"/>
        <n v="224.56"/>
        <n v="246.39"/>
        <n v="167.53040000000004"/>
        <n v="13.490809852269013"/>
        <n v="273.85"/>
        <n v="21143.12"/>
        <n v="263.09"/>
        <n v="315.12"/>
        <n v="283.08"/>
        <n v="51.540000000000006"/>
        <n v="426.92999999999995"/>
        <n v="1107.71"/>
        <n v="216.93"/>
        <n v="993.84"/>
        <n v="61.29861291590413"/>
        <n v="751.0568234510238"/>
        <n v="224.62"/>
        <n v="75.39"/>
        <n v="53.480000000000004"/>
        <n v="260.0"/>
        <n v="227.7"/>
        <n v="1543.12"/>
        <n v="350.78"/>
        <n v="298.47"/>
        <n v="729.26"/>
        <n v="39.31"/>
        <n v="179.99"/>
        <n v="109.23"/>
        <n v="369.24"/>
        <n v="163.07"/>
        <n v="390.0"/>
        <n v="121.53"/>
        <n v="46.93000000000001"/>
        <n v="73.0"/>
        <n v="88.58"/>
        <n v="2684.62"/>
        <n v="-0.0799999999999983"/>
        <n v="119.99"/>
        <n v="444.61"/>
        <n v="221.55"/>
        <n v="60.06999999999999"/>
        <n v="3496.92"/>
        <n v="152.22"/>
        <n v="1429.24"/>
        <n v="421.34"/>
        <n v="43.230000000000004"/>
        <n v="116.02"/>
        <n v="143.5"/>
        <n v="55.0"/>
        <n v="103.81"/>
        <n v="757.17"/>
        <n v="1632.58"/>
        <n v="160.4"/>
        <n v="230.02"/>
        <n v="335.96"/>
        <n v="205.81"/>
        <n v="70.75"/>
        <n v="220.95"/>
        <n v="349.57"/>
        <n v="1349.1100000000001"/>
        <n v="80.2"/>
        <n v="441.86"/>
        <n v="118.02"/>
        <n v="399.14"/>
        <n v="114.04"/>
        <n v="363.13"/>
        <n v="519.17"/>
        <n v="424.63"/>
        <n v="373.62"/>
        <n v="349.62"/>
        <n v="117.05"/>
        <n v="199.3"/>
        <n v="136.0"/>
        <n v="115.99"/>
        <n v="226.07"/>
        <n v="1023.22"/>
        <n v="787.3666412728768"/>
        <n v="353.95"/>
        <n v="2841.41"/>
        <n v="359.98"/>
        <n v="346.7"/>
        <n v="20547.78"/>
        <n v="447.53"/>
        <n v="1860.43"/>
        <n v="82.32"/>
        <n v="94.39"/>
        <n v="148.11"/>
        <n v="173.68"/>
        <n v="387.73"/>
        <n v="109.35"/>
        <n v="614.35"/>
        <n v="338.12"/>
        <n v="54.22"/>
        <n v="325.29"/>
        <n v="21970.0"/>
        <n v="210.64"/>
        <n v="226.85"/>
        <n v="38.52"/>
        <n v="497.93"/>
        <n v="900.28"/>
        <n v="178.29"/>
        <n v="107.54"/>
        <n v="91.98"/>
      </sharedItems>
    </cacheField>
    <cacheField name="Ultimo Pago">
      <sharedItems containsDate="1" containsMixedTypes="1">
        <d v="2026-03-19T00:00:00Z"/>
        <d v="2026-03-03T00:00:00Z"/>
        <d v="2026-06-01T00:00:00Z"/>
        <d v="2026-03-02T00:00:00Z"/>
        <d v="2026-06-08T00:00:00Z"/>
        <d v="2026-05-29T00:00:00Z"/>
        <d v="2026-05-14T00:00:00Z"/>
        <d v="2026-04-17T00:00:00Z"/>
        <d v="2026-04-21T00:00:00Z"/>
        <d v="2026-04-14T00:00:00Z"/>
        <d v="2026-04-28T00:00:00Z"/>
        <d v="2026-06-04T00:00:00Z"/>
        <d v="2026-05-11T00:00:00Z"/>
        <d v="2026-03-30T00:00:00Z"/>
        <d v="2026-03-17T00:00:00Z"/>
        <d v="2026-06-02T00:00:00Z"/>
        <d v="2026-06-19T00:00:00Z"/>
        <d v="2026-03-05T00:00:00Z"/>
        <d v="2026-04-22T00:00:00Z"/>
        <d v="2026-06-10T00:00:00Z"/>
        <d v="2026-06-23T00:00:00Z"/>
        <d v="2026-04-09T00:00:00Z"/>
        <d v="2026-03-06T00:00:00Z"/>
        <d v="2026-05-08T00:00:00Z"/>
        <s v="Sin Pago"/>
        <d v="2026-03-13T00:00:00Z"/>
        <d v="2026-03-09T00:00:00Z"/>
        <d v="2026-03-23T00:00:00Z"/>
        <d v="2026-03-27T00:00:00Z"/>
        <d v="2026-04-20T00:00:00Z"/>
        <d v="2026-04-10T00:00:00Z"/>
        <d v="2026-06-09T00:00:00Z"/>
        <d v="2026-05-05T00:00:00Z"/>
        <d v="2026-06-16T00:00:00Z"/>
        <d v="2026-05-04T00:00:00Z"/>
        <d v="2026-04-15T00:00:00Z"/>
        <d v="2026-03-11T00:00:00Z"/>
        <d v="2026-05-21T00:00:00Z"/>
        <d v="2026-04-13T00:00:00Z"/>
        <d v="2026-05-27T00:00:00Z"/>
        <d v="2026-03-12T00:00:00Z"/>
        <d v="2026-03-26T00:00:00Z"/>
        <d v="2026-05-18T00:00:00Z"/>
        <d v="2026-05-19T00:00:00Z"/>
        <d v="2026-06-17T00:00:00Z"/>
        <d v="2026-06-11T00:00:00Z"/>
        <d v="2026-05-26T00:00:00Z"/>
        <d v="2026-05-15T00:00:00Z"/>
        <d v="2026-04-24T00:00:00Z"/>
        <d v="2026-04-30T00:00:00Z"/>
        <d v="2026-05-12T00:00:00Z"/>
        <d v="2026-03-25T00:00:00Z"/>
        <d v="2026-06-03T00:00:00Z"/>
        <d v="2026-05-07T00:00:00Z"/>
        <d v="2026-04-29T00:00:00Z"/>
        <d v="2026-05-31T00:00:00Z"/>
        <d v="2026-03-31T00:00:00Z"/>
        <d v="2026-03-24T00:00:00Z"/>
        <d v="2026-05-22T00:00:00Z"/>
        <d v="2026-06-15T00:00:00Z"/>
        <d v="2026-06-05T00:00:00Z"/>
        <d v="2026-04-27T00:00:00Z"/>
        <d v="2026-04-23T00:00:00Z"/>
        <d v="2026-04-01T00:00:00Z"/>
        <d v="2026-06-13T00:00:00Z"/>
        <d v="2026-06-22T00:00:00Z"/>
        <d v="2026-04-07T00:00:00Z"/>
        <d v="2026-04-08T00:00:00Z"/>
        <d v="2026-05-28T00:00:00Z"/>
        <d v="2026-05-13T00:00:00Z"/>
        <d v="2026-06-12T00:00:00Z"/>
        <d v="2026-06-18T00:00:00Z"/>
        <d v="2026-05-25T00:00:00Z"/>
        <d v="2026-05-06T00:00:00Z"/>
        <d v="2026-05-20T00:00:00Z"/>
        <d v="1899-12-30T00:00:00Z"/>
      </sharedItems>
    </cacheField>
    <cacheField name="Status de Pago" numFmtId="0">
      <sharedItems>
        <s v="PAGADA"/>
        <s v="PAGO PARCIAL"/>
        <s v="PENDIENTE"/>
      </sharedItems>
    </cacheField>
    <cacheField name="Prioridad de Cobro" numFmtId="0">
      <sharedItems>
        <s v="SOLVENTE"/>
        <s v="CRÍTICO: VENCIDA"/>
        <s v="EN TIEMPO"/>
      </sharedItems>
    </cacheField>
    <cacheField name="Dias desde el ultimo Pago" numFmtId="0">
      <sharedItems containsSemiMixedTypes="0" containsString="0" containsNumber="1" containsInteger="1">
        <n v="0.0"/>
        <n v="71.0"/>
        <n v="23.0"/>
        <n v="25.0"/>
        <n v="8.0"/>
        <n v="17.0"/>
        <n v="4.0"/>
        <n v="44.0"/>
        <n v="18.0"/>
        <n v="11.0"/>
        <n v="37.0"/>
        <n v="75.0"/>
        <n v="106.0"/>
        <n v="32.0"/>
        <n v="58.0"/>
        <n v="46.0"/>
        <n v="54.0"/>
        <n v="19.0"/>
        <n v="24.0"/>
        <n v="51.0"/>
        <n v="73.0"/>
        <n v="50.0"/>
        <n v="12.0"/>
        <n v="61.0"/>
        <n v="14.0"/>
        <n v="5.0"/>
        <n v="81.0"/>
        <n v="78.0"/>
        <n v="39.0"/>
        <n v="79.0"/>
        <n v="26.0"/>
        <n v="40.0"/>
        <n v="30.0"/>
        <n v="64.0"/>
        <n v="22.0"/>
        <n v="15.0"/>
        <n v="16.0"/>
        <n v="10.0"/>
        <n v="31.0"/>
        <n v="9.0"/>
        <n v="60.0"/>
        <n v="36.0"/>
        <n v="53.0"/>
        <n v="47.0"/>
        <n v="43.0"/>
        <n v="38.0"/>
        <n v="46200.0"/>
      </sharedItems>
    </cacheField>
    <cacheField name="Validacion Descuento Diferencial" numFmtId="0">
      <sharedItems>
        <s v="OK"/>
        <s v="Sin Pago"/>
      </sharedItems>
    </cacheField>
    <cacheField name="Validacion Descuento Pronto Pago" numFmtId="0">
      <sharedItems>
        <s v=""/>
        <s v="OK"/>
        <s v="⚠️ REVISAR DESCUENTO"/>
      </sharedItems>
    </cacheField>
    <cacheField name="Cobrado" numFmtId="0">
      <sharedItems containsSemiMixedTypes="0" containsString="0" containsNumber="1">
        <n v="175.0"/>
        <n v="246.0"/>
        <n v="85.33"/>
        <n v="396.47317906993857"/>
        <n v="27781.08"/>
        <n v="74.96008846460224"/>
        <n v="86.57827478329567"/>
        <n v="713.0517045098114"/>
        <n v="116.81780880130722"/>
        <n v="96.0"/>
        <n v="91.89855023431099"/>
        <n v="166.2406347195711"/>
        <n v="238.64989571606637"/>
        <n v="101.23959178648737"/>
        <n v="30.0"/>
        <n v="150.0"/>
        <n v="68.91196274532622"/>
        <n v="198.0"/>
        <n v="146.0"/>
        <n v="49.99999999999999"/>
        <n v="86.70221035218145"/>
        <n v="195.0"/>
        <n v="204.98768474833676"/>
        <n v="208.01027020652973"/>
        <n v="58.0"/>
        <n v="72.0"/>
        <n v="29.15730285384934"/>
        <n v="120.0"/>
        <n v="161.00050004287857"/>
        <n v="130.99999930396257"/>
        <n v="426.50749968791314"/>
        <n v="2147.0"/>
        <n v="0.0"/>
        <n v="129.98"/>
        <n v="1893.1200111550663"/>
        <n v="61.94126451808485"/>
        <n v="430.0"/>
        <n v="65.0"/>
        <n v="119.48"/>
        <n v="260.0"/>
        <n v="930.7020201949153"/>
        <n v="218.00235178206609"/>
        <n v="134.0"/>
        <n v="84.28992827662871"/>
        <n v="200.0"/>
        <n v="190.0"/>
        <n v="3498.0"/>
        <n v="2492.0"/>
        <n v="72.00074587599022"/>
        <n v="168.12024837269925"/>
        <n v="699.8626482778354"/>
        <n v="132.48"/>
        <n v="159.99817437044305"/>
        <n v="104.0"/>
        <n v="78.62019474738442"/>
        <n v="166.8520706121061"/>
        <n v="36.0"/>
        <n v="179.6674934264389"/>
        <n v="459.5356037151703"/>
        <n v="1250.0"/>
        <n v="470.4594610117201"/>
        <n v="49.48284845279499"/>
        <n v="226.93084447331103"/>
        <n v="333.0"/>
        <n v="240.16602494209363"/>
        <n v="90.0"/>
        <n v="171.0"/>
        <n v="126.0"/>
        <n v="218.0"/>
        <n v="204.9527236491361"/>
        <n v="317.6741321186326"/>
        <n v="553.8995151408834"/>
        <n v="129.27358900772364"/>
        <n v="92.92978422710223"/>
        <n v="193.9201998556126"/>
        <n v="115.0"/>
        <n v="100.0"/>
        <n v="280.9058335076449"/>
        <n v="1004.9404832091172"/>
        <n v="110.03"/>
        <n v="99.01"/>
        <n v="140.0"/>
        <n v="34.0"/>
        <n v="197.0"/>
        <n v="49.99952260466893"/>
        <n v="371.2300101955719"/>
        <n v="40.0"/>
        <n v="76.0"/>
        <n v="760.0"/>
        <n v="1060.0"/>
        <n v="50.0"/>
        <n v="340.0"/>
        <n v="565.0"/>
        <n v="94.0"/>
        <n v="2250.0"/>
        <n v="93.13711428276046"/>
        <n v="129.92"/>
        <n v="160.0"/>
        <n v="972.03"/>
        <n v="53.65001902310711"/>
        <n v="139.0"/>
        <n v="202.0"/>
        <n v="68.0"/>
        <n v="873.2251532449004"/>
        <n v="1220.0"/>
        <n v="36.08"/>
        <n v="1861.852921624856"/>
        <n v="350.0"/>
        <n v="35.0"/>
        <n v="154.0"/>
        <n v="39.0"/>
        <n v="124.0"/>
        <n v="680.0"/>
        <n v="1433.0"/>
        <n v="226.0"/>
        <n v="290.0"/>
        <n v="299.99998955244996"/>
        <n v="49.99995874080229"/>
        <n v="250.0"/>
        <n v="24.0"/>
        <n v="247.88"/>
        <n v="181.45946467803017"/>
        <n v="108.0"/>
        <n v="490.8439698346676"/>
        <n v="141.0"/>
        <n v="115.92"/>
        <n v="1177.3896164465104"/>
        <n v="64.8"/>
        <n v="157.44616702765768"/>
        <n v="117.0"/>
        <n v="143.0"/>
        <n v="345.6025942062502"/>
        <n v="70.0"/>
        <n v="681.0"/>
        <n v="217.99999793332705"/>
        <n v="167.0"/>
        <n v="201.0"/>
        <n v="430.1467444416737"/>
        <n v="130.0"/>
        <n v="107.0"/>
        <n v="460.0"/>
        <n v="278.0"/>
        <n v="400.0"/>
        <n v="301.0"/>
        <n v="119.0"/>
        <n v="99.00002319356113"/>
        <n v="78.98181390985013"/>
        <n v="75.0"/>
        <n v="6561.31493769991"/>
        <n v="170.0"/>
        <n v="111.0"/>
        <n v="133.0"/>
        <n v="240.0"/>
        <n v="275.0"/>
        <n v="3991.560009369363"/>
        <n v="88.0"/>
        <n v="606.31944438714"/>
        <n v="294.00375121424776"/>
        <n v="514.93"/>
        <n v="1321.363714931283"/>
        <n v="674.0"/>
        <n v="164.4012754748009"/>
        <n v="252.0"/>
        <n v="386.08904652406403"/>
        <n v="161.0"/>
        <n v="943.8162256658335"/>
        <n v="227.84392824309774"/>
        <n v="3853.0"/>
        <n v="67.0"/>
        <n v="300.0"/>
        <n v="125.63075283420564"/>
        <n v="312.99999596018506"/>
        <n v="5141.253857758865"/>
        <n v="255.0"/>
        <n v="131.0"/>
        <n v="85.0"/>
        <n v="309.86250181116026"/>
        <n v="158.92814309516837"/>
        <n v="92.99984324821058"/>
        <n v="51.7657905138503"/>
        <n v="81.0"/>
        <n v="600.0"/>
        <n v="42.99963604939886"/>
        <n v="3312.786007365469"/>
        <n v="180.0"/>
        <n v="127.23867747154877"/>
        <n v="51.0"/>
        <n v="188.0"/>
        <n v="115.99897229939717"/>
        <n v="80.10613240736942"/>
        <n v="199.29037442675545"/>
        <n v="83.05533230569259"/>
        <n v="53.0"/>
        <n v="97.93405239203732"/>
        <n v="135.0"/>
        <n v="52.0"/>
        <n v="49.0"/>
        <n v="602.0"/>
        <n v="6802.37"/>
        <n v="257.9744284031261"/>
        <n v="64.0"/>
        <n v="110.0"/>
        <n v="60.0"/>
        <n v="66.0"/>
        <n v="191.4256215647114"/>
        <n v="73.5"/>
        <n v="91.0"/>
        <n v="472.8462708053072"/>
        <n v="112.40046278050664"/>
        <n v="99.99970875815205"/>
        <n v="3457.96"/>
        <n v="965.678296502457"/>
        <n v="290.84749283682834"/>
        <n v="318.611889330559"/>
        <n v="106.0"/>
        <n v="101.70066716424132"/>
        <n v="555.2912070065223"/>
        <n v="146.8997939712403"/>
        <n v="99.0"/>
        <n v="202.5069926366611"/>
        <n v="339.37799263442514"/>
        <n v="51.94"/>
        <n v="273.60935701220956"/>
        <n v="141.38997861716132"/>
        <n v="29.76782104372371"/>
        <n v="32.0"/>
        <n v="3.0"/>
        <n v="105.0"/>
        <n v="406.16042037848337"/>
        <n v="109.0"/>
        <n v="23.0"/>
        <n v="130.0816348849812"/>
        <n v="78.0"/>
        <n v="213.0"/>
        <n v="743.3868313515263"/>
        <n v="191.0"/>
        <n v="2715.890000542556"/>
        <n v="358.0"/>
        <n v="155.0"/>
        <n v="273.9300057540969"/>
        <n v="2464.200008578976"/>
        <n v="1203.0"/>
        <n v="257.77235187339676"/>
        <n v="1354.0"/>
        <n v="249.0"/>
        <n v="320.0"/>
        <n v="24.10919014773099"/>
        <n v="885.0"/>
        <n v="200.23138708409584"/>
        <n v="879.6731765489762"/>
        <n v="28.060000000000002"/>
        <n v="444.62820954505355"/>
        <n v="73.0"/>
        <n v="101.08111086985839"/>
        <n v="141.03747019280314"/>
        <n v="103.0"/>
        <n v="56.0"/>
        <n v="274.2599992607798"/>
        <n v="700.0"/>
        <n v="21577.54"/>
        <n v="229.9733587271232"/>
        <n v="390.0"/>
      </sharedItems>
    </cacheField>
    <cacheField name="Validación por Diferencial" numFmtId="0">
      <sharedItems>
        <s v="CUMPLE"/>
        <s v="NO CUMPLE"/>
        <s v="SIN MONEDA VÁLIDA"/>
        <s v="SIN TOTAL"/>
        <s v=""/>
      </sharedItems>
    </cacheField>
    <cacheField name="Columna 27" numFmtId="0">
      <sharedItems containsString="0" containsBlank="1">
        <m/>
      </sharedItems>
    </cacheField>
    <cacheField name="Columna 28" numFmtId="0">
      <sharedItems containsString="0" containsBlank="1">
        <m/>
      </sharedItems>
    </cacheField>
    <cacheField name="Columna 29" numFmtId="0">
      <sharedItems containsString="0" containsBlank="1">
        <m/>
      </sharedItems>
    </cacheField>
    <cacheField name="Columna 30" numFmtId="0">
      <sharedItems containsString="0" containsBlank="1">
        <m/>
      </sharedItems>
    </cacheField>
    <cacheField name="Columna 31" numFmtId="0">
      <sharedItems containsString="0" containsBlank="1">
        <m/>
      </sharedItems>
    </cacheField>
    <cacheField name="Columna 32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F595" sheet="Ventas"/>
  </cacheSource>
  <cacheFields>
    <cacheField name="Referencia de la orden" numFmtId="0">
      <sharedItems containsBlank="1">
        <s v="S00004"/>
        <s v="S00007"/>
        <s v="S00008"/>
        <s v="S00009"/>
        <s v="S00010"/>
        <s v="S00011"/>
        <s v="S00014"/>
        <s v="S00015"/>
        <s v="S00017"/>
        <s v="S00018"/>
        <s v="S00019"/>
        <s v="S00020"/>
        <s v="S00021"/>
        <s v="S00022"/>
        <s v="S00023"/>
        <s v="S00024"/>
        <s v="S00026"/>
        <s v="S00027"/>
        <s v="S00028"/>
        <s v="S00029"/>
        <s v="S00030"/>
        <s v="S00031"/>
        <s v="S00032"/>
        <s v="S00033"/>
        <s v="S00034"/>
        <s v="S00036"/>
        <s v="S00037"/>
        <s v="S00038"/>
        <s v="S00039"/>
        <s v="S00040"/>
        <s v="S00041"/>
        <s v="S00042"/>
        <s v="S00043"/>
        <s v="S00044"/>
        <s v="S00045"/>
        <s v="S00046"/>
        <s v="S00047"/>
        <s v="S00048"/>
        <s v="S00049"/>
        <s v="S00050"/>
        <s v="S00051"/>
        <s v="S00052"/>
        <s v="S00053"/>
        <s v="S00054"/>
        <s v="S00055"/>
        <s v="S00056"/>
        <s v="S00057"/>
        <s v="S00058"/>
        <s v="S00059"/>
        <s v="S00060"/>
        <s v="S00061"/>
        <s v="S00062"/>
        <s v="S00063"/>
        <s v="S00064"/>
        <s v="S00065"/>
        <s v="S00066"/>
        <s v="S00067"/>
        <s v="S00069"/>
        <s v="S00072"/>
        <s v="S00073"/>
        <s v="S00074"/>
        <s v="S00077"/>
        <s v="S00078"/>
        <s v="S00079"/>
        <s v="S00081"/>
        <s v="S00082"/>
        <s v="S00083"/>
        <s v="S00084"/>
        <s v="S00086"/>
        <s v="S00087"/>
        <s v="S00088"/>
        <s v="S00089"/>
        <s v="S00090"/>
        <s v="S00092"/>
        <s v="S00093"/>
        <s v="S00094"/>
        <s v="S00095"/>
        <s v="S00096"/>
        <s v="S00097"/>
        <s v="S00098"/>
        <s v="S00099"/>
        <s v="S00100"/>
        <s v="S00101"/>
        <s v="S00103"/>
        <s v="S00104"/>
        <s v="S00105"/>
        <s v="S00106"/>
        <s v="S00108"/>
        <s v="S00113"/>
        <s v="S00114"/>
        <s v="S00116"/>
        <s v="S00117"/>
        <s v="S00118"/>
        <s v="S00119"/>
        <s v="S00120"/>
        <s v="S00121"/>
        <s v="S00122"/>
        <s v="S00123"/>
        <s v="S00124"/>
        <s v="S00125"/>
        <s v="S00126"/>
        <s v="S00127"/>
        <s v="S00128"/>
        <s v="S00129"/>
        <s v="S00130"/>
        <s v="S00131"/>
        <s v="S00132"/>
        <s v="S00133"/>
        <s v="S00136"/>
        <s v="S00137"/>
        <s v="S00138"/>
        <s v="S00139"/>
        <s v="S00140"/>
        <s v="S00141"/>
        <s v="S00142"/>
        <s v="S00143"/>
        <s v="S00144"/>
        <s v="S00145"/>
        <s v="S00146"/>
        <s v="S00148"/>
        <s v="S00149"/>
        <s v="S00150"/>
        <s v="S00151"/>
        <s v="S00152"/>
        <s v="S00153"/>
        <s v="S00154"/>
        <s v="S00156"/>
        <s v="S00157"/>
        <s v="S00158"/>
        <s v="S00159"/>
        <s v="S00160"/>
        <s v="S00161"/>
        <s v="S00163"/>
        <s v="S00164"/>
        <s v="S00165"/>
        <s v="S00166"/>
        <s v="S00167"/>
        <s v="S00168"/>
        <s v="S00169"/>
        <s v="S00170"/>
        <s v="S00171"/>
        <s v="S00174"/>
        <s v="S00175"/>
        <s v="S00176"/>
        <s v="S00177"/>
        <s v="S00178"/>
        <s v="S00179"/>
        <s v="S00181"/>
        <s v="S00182"/>
        <s v="S00183"/>
        <s v="S00184"/>
        <s v="S00185"/>
        <s v="S00186"/>
        <s v="S00187"/>
        <s v="S00188"/>
        <s v="S00189"/>
        <s v="S00190"/>
        <s v="S00192"/>
        <s v="S00195"/>
        <s v="S00196"/>
        <s v="S00197"/>
        <s v="S00198"/>
        <s v="S00199"/>
        <s v="S00201"/>
        <s v="S00202"/>
        <s v="S00203"/>
        <s v="S00204"/>
        <s v="S00205"/>
        <s v="S00206"/>
        <s v="S00207"/>
        <s v="S00208"/>
        <s v="S00209"/>
        <s v="S00210"/>
        <s v="S00211"/>
        <s v="S00212"/>
        <s v="S00213"/>
        <s v="S00214"/>
        <s v="S00215"/>
        <s v="S00218"/>
        <s v="S00219"/>
        <s v="S00220"/>
        <s v="S00221"/>
        <s v="S00222"/>
        <s v="S00223"/>
        <s v="S00225"/>
        <s v="S00226"/>
        <s v="S00227"/>
        <s v="S00228"/>
        <s v="S00229"/>
        <s v="S00230"/>
        <s v="S00231"/>
        <s v="S00233"/>
        <s v="S00234"/>
        <s v="S00235"/>
        <s v="S00236"/>
        <s v="S00237"/>
        <s v="S00238"/>
        <s v="S00239"/>
        <s v="S00240"/>
        <s v="S00241"/>
        <s v="S00242"/>
        <s v="S00243"/>
        <s v="S00244"/>
        <s v="S00245"/>
        <s v="S00246"/>
        <s v="S00247"/>
        <s v="S00248"/>
        <s v="S00249"/>
        <s v="S00250"/>
        <s v="S00257"/>
        <s v="S00258"/>
        <s v="S00259"/>
        <s v="S00260"/>
        <s v="S00261"/>
        <s v="S00262"/>
        <s v="S00263"/>
        <s v="S00264"/>
        <s v="S00265"/>
        <s v="S00274"/>
        <s v="S00279"/>
        <s v="S00280"/>
        <s v="S00282"/>
        <s v="S00283"/>
        <s v="S00284"/>
        <s v="S00285"/>
        <s v="S00286"/>
        <s v="S00287"/>
        <s v="S00289"/>
        <s v="S00291"/>
        <s v="S00292"/>
        <s v="S00293"/>
        <s v="S00294"/>
        <s v="S00295"/>
        <s v="S00296"/>
        <s v="S00298"/>
        <s v="S00300"/>
        <s v="S00301"/>
        <s v="S00302"/>
        <s v="S00303"/>
        <s v="S00304"/>
        <s v="S00305"/>
        <s v="S00306"/>
        <s v="S00308"/>
        <s v="S00309"/>
        <s v="S00310"/>
        <s v="S00311"/>
        <s v="S00313"/>
        <s v="S00314"/>
        <s v="S00315"/>
        <s v="S00316"/>
        <s v="S00317"/>
        <s v="S00318"/>
        <s v="S00319"/>
        <s v="S00320"/>
        <s v="S00321"/>
        <s v="S00322"/>
        <s v="S00323"/>
        <s v="S00324"/>
        <s v="S00325"/>
        <s v="S00326"/>
        <s v="S00327"/>
        <s v="S00328"/>
        <s v="S00330"/>
        <s v="S00331"/>
        <s v="S00332"/>
        <s v="S00334"/>
        <s v="S00335"/>
        <s v="S00336"/>
        <s v="S00337"/>
        <s v="S00338"/>
        <s v="S00339"/>
        <s v="S00340"/>
        <s v="S00341"/>
        <s v="S00343"/>
        <s v="S00344"/>
        <s v="S00346"/>
        <s v="S00347"/>
        <s v="S00348"/>
        <s v="S00349"/>
        <s v="S00350"/>
        <s v="S00351"/>
        <s v="S00352"/>
        <s v="S00353"/>
        <s v="S00354"/>
        <s v="S00355"/>
        <s v="S00356"/>
        <s v="S00357"/>
        <s v="S00358"/>
        <s v="S00359"/>
        <s v="S00361"/>
        <s v="S00362"/>
        <s v="S00363"/>
        <s v="S00364"/>
        <s v="S00365"/>
        <s v="S00366"/>
        <s v="S00368"/>
        <s v="S00369"/>
        <s v="S00372"/>
        <s v="S00373"/>
        <s v="S00374"/>
        <s v="S00375"/>
        <s v="S00376"/>
        <s v="S00378"/>
        <s v="S00379"/>
        <s v="S00380"/>
        <s v="S00381"/>
        <s v="S00382"/>
        <s v="S00384"/>
        <s v="S00386"/>
        <s v="S00387"/>
        <s v="S00388"/>
        <s v="S00389"/>
        <s v="S00392"/>
        <s v="S00393"/>
        <s v="S00394"/>
        <s v="S00395"/>
        <s v="S00396"/>
        <s v="S00397"/>
        <s v="S00398"/>
        <s v="S00399"/>
        <s v="S00400"/>
        <s v="S00401"/>
        <s v="S00402"/>
        <s v="S00404"/>
        <s v="S00405"/>
        <s v="S00407"/>
        <s v="S00408"/>
        <s v="S00410"/>
        <s v="S00411"/>
        <s v="S00412"/>
        <s v="S00413"/>
        <s v="S00414"/>
        <s v="S00415"/>
        <s v="S00416"/>
        <s v="S00417"/>
        <s v="S00418"/>
        <s v="S00419"/>
        <s v="S00420"/>
        <s v="S00421"/>
        <s v="S00422"/>
        <s v="S00423"/>
        <s v="S00424"/>
        <s v="S00425"/>
        <s v="S00426"/>
        <s v="S00427"/>
        <s v="S00428"/>
        <s v="S00429"/>
        <s v="S00430"/>
        <s v="S00431"/>
        <s v="S00432"/>
        <s v="S00433"/>
        <s v="S00434"/>
        <s v="S00435"/>
        <s v="S00436"/>
        <s v="S00437"/>
        <s v="S00439"/>
        <s v="S00440"/>
        <s v="S00441"/>
        <s v="S00442"/>
        <s v="S00443"/>
        <s v="S00444"/>
        <s v="S00446"/>
        <s v="S00447"/>
        <s v="S00449"/>
        <s v="S00450"/>
        <s v="S00451"/>
        <s v="S00452"/>
        <s v="S00454"/>
        <s v="S00456"/>
        <s v="S00457"/>
        <s v="S00458"/>
        <s v="S00462"/>
        <s v="S00464"/>
        <s v="S00465"/>
        <s v="S00466"/>
        <s v="S00467"/>
        <s v="S00468"/>
        <s v="S00469"/>
        <s v="S00470"/>
        <s v="S00471"/>
        <s v="S00472"/>
        <s v="S00473"/>
        <s v="S00474"/>
        <s v="S00475"/>
        <s v="S00476"/>
        <s v="S00477"/>
        <s v="S00478"/>
        <s v="S00479"/>
        <s v="S00482"/>
        <s v="S00483"/>
        <s v="S00484"/>
        <s v="S00485"/>
        <s v="S00486"/>
        <s v="S00488"/>
        <s v="S00489"/>
        <s v="S00490"/>
        <s v="S00491"/>
        <s v="S00492"/>
        <s v="S00493"/>
        <s v="S00494"/>
        <s v="S00495"/>
        <s v="S00496"/>
        <s v="S00497"/>
        <s v="S00498"/>
        <s v="S00499"/>
        <s v="S00500"/>
        <s v="S00501"/>
        <s v="S00502"/>
        <s v="S00503"/>
        <s v="S00505"/>
        <s v="S00506"/>
        <s v="S00507"/>
        <s v="S00508"/>
        <s v="S00509"/>
        <s v="S00510"/>
        <s v="S00511"/>
        <s v="S00512"/>
        <s v="S00513"/>
        <s v="S00514"/>
        <s v="S00515"/>
        <s v="S00516"/>
        <s v="S00517"/>
        <s v="S00518"/>
        <s v="S00519"/>
        <s v="S00520"/>
        <s v="S00522"/>
        <s v="S00523"/>
        <s v="S00525"/>
        <s v="S00526"/>
        <s v="S00527"/>
        <s v="S00528"/>
        <s v="S00529"/>
        <s v="S00530"/>
        <s v="S00531"/>
        <s v="S00532"/>
        <s v="S00533"/>
        <s v="S00534"/>
        <s v="S00535"/>
        <s v="S00536"/>
        <s v="S00537"/>
        <s v="S00538"/>
        <s v="S00539"/>
        <s v="S00540"/>
        <s v="S00541"/>
        <s v="S00542"/>
        <s v="S00543"/>
        <s v="S00544"/>
        <s v="S00545"/>
        <s v="S00546"/>
        <s v="S00547"/>
        <s v="S00549"/>
        <s v="S00550"/>
        <s v="S00551"/>
        <s v="S00552"/>
        <s v="S00553"/>
        <s v="S00554"/>
        <s v="S00555"/>
        <s v="S00556"/>
        <s v="S00557"/>
        <s v="S00558"/>
        <s v="S00559"/>
        <s v="S00560"/>
        <s v="S00561"/>
        <s v="S00562"/>
        <s v="S00563"/>
        <s v="S00564"/>
        <s v="S00565"/>
        <s v="S00566"/>
        <s v="S00567"/>
        <s v="S00568"/>
        <s v="S00570"/>
        <s v="S00571"/>
        <s v="S00572"/>
        <s v="S00573"/>
        <s v="S00574"/>
        <s v="S00575"/>
        <s v="S00576"/>
        <s v="S00577"/>
        <s v="S00578"/>
        <s v="S00579"/>
        <s v="S00580"/>
        <s v="S00581"/>
        <s v="S00582"/>
        <s v="S00583"/>
        <s v="S00584"/>
        <s v="S00585"/>
        <s v="S00586"/>
        <s v="S00587"/>
        <s v="S00588"/>
        <s v="S00589"/>
        <s v="S00590"/>
        <s v="S00591"/>
        <s v="S00592"/>
        <m/>
      </sharedItems>
    </cacheField>
    <cacheField name="Fecha de la orden" numFmtId="164">
      <sharedItems containsDate="1" containsString="0" containsBlank="1">
        <d v="2026-03-09T05:46:05Z"/>
        <d v="2026-02-26T11:03:34Z"/>
        <d v="2026-02-26T12:04:03Z"/>
        <d v="2026-02-26T12:12:16Z"/>
        <d v="2026-03-16T08:30:19Z"/>
        <d v="2026-03-13T17:23:50Z"/>
        <d v="2026-03-09T05:47:20Z"/>
        <d v="2026-03-09T05:47:34Z"/>
        <d v="2026-03-09T05:47:50Z"/>
        <d v="2026-03-09T05:47:58Z"/>
        <d v="2026-03-03T15:32:17Z"/>
        <d v="2026-03-09T05:48:52Z"/>
        <d v="2026-03-09T05:49:02Z"/>
        <d v="2026-03-09T05:49:11Z"/>
        <d v="2026-03-09T05:49:23Z"/>
        <d v="2026-03-09T05:49:34Z"/>
        <d v="2026-03-09T05:49:52Z"/>
        <d v="2026-03-09T05:51:09Z"/>
        <d v="2026-03-04T14:06:27Z"/>
        <d v="2026-03-09T05:50:11Z"/>
        <d v="2026-03-09T05:51:16Z"/>
        <d v="2026-03-09T05:50:21Z"/>
        <d v="2026-03-09T05:50:28Z"/>
        <d v="2026-03-05T08:44:27Z"/>
        <d v="2026-03-09T05:50:40Z"/>
        <d v="2026-03-09T05:50:49Z"/>
        <d v="2026-03-09T06:07:31Z"/>
        <d v="2026-03-09T06:07:38Z"/>
        <d v="2026-03-09T06:07:40Z"/>
        <d v="2026-03-09T06:07:43Z"/>
        <d v="2026-03-09T06:07:48Z"/>
        <d v="2026-03-06T14:04:22Z"/>
        <d v="2026-03-06T16:17:37Z"/>
        <d v="2026-03-06T16:23:53Z"/>
        <d v="2026-03-09T05:45:51Z"/>
        <d v="2026-03-10T10:36:19Z"/>
        <d v="2026-03-09T13:14:07Z"/>
        <d v="2026-03-09T15:44:40Z"/>
        <d v="2026-03-10T11:02:53Z"/>
        <d v="2026-03-09T16:10:07Z"/>
        <d v="2026-03-10T11:02:28Z"/>
        <d v="2026-03-10T07:52:48Z"/>
        <d v="2026-03-10T11:02:06Z"/>
        <d v="2026-03-11T08:57:54Z"/>
        <d v="2026-03-10T11:37:13Z"/>
        <d v="2026-03-10T15:57:31Z"/>
        <d v="2026-03-10T16:41:51Z"/>
        <d v="2026-03-10T16:41:27Z"/>
        <d v="2026-03-10T16:42:16Z"/>
        <d v="2026-03-10T16:41:13Z"/>
        <d v="2026-03-11T16:48:08Z"/>
        <d v="2026-03-11T16:00:08Z"/>
        <d v="2026-03-11T08:57:24Z"/>
        <d v="2026-03-11T08:25:15Z"/>
        <d v="2026-03-11T08:53:18Z"/>
        <d v="2026-03-11T15:59:02Z"/>
        <d v="2026-03-11T11:52:43Z"/>
        <d v="2026-03-11T15:56:38Z"/>
        <d v="2026-03-11T16:47:51Z"/>
        <d v="2026-03-12T08:57:51Z"/>
        <d v="2026-03-12T08:57:33Z"/>
        <d v="2026-03-12T09:53:55Z"/>
        <d v="2026-03-12T12:33:25Z"/>
        <d v="2026-03-12T15:23:56Z"/>
        <d v="2026-03-12T17:06:14Z"/>
        <d v="2026-03-12T15:53:58Z"/>
        <d v="2026-03-12T17:30:57Z"/>
        <d v="2026-03-12T17:52:53Z"/>
        <d v="2026-03-12T17:52:10Z"/>
        <d v="2026-03-12T17:48:07Z"/>
        <d v="2026-03-13T14:20:18Z"/>
        <d v="2026-03-13T13:44:41Z"/>
        <d v="2026-03-13T13:44:32Z"/>
        <d v="2026-03-13T15:05:37Z"/>
        <d v="2026-03-13T15:06:03Z"/>
        <d v="2026-03-13T15:30:47Z"/>
        <d v="2026-03-16T10:59:09Z"/>
        <d v="2026-03-16T10:58:20Z"/>
        <d v="2026-03-16T10:58:41Z"/>
        <d v="2026-03-16T09:48:58Z"/>
        <d v="2026-03-16T11:42:28Z"/>
        <d v="2026-03-17T15:46:36Z"/>
        <d v="2026-03-17T15:46:45Z"/>
        <d v="2026-03-17T15:47:27Z"/>
        <d v="2026-03-17T15:47:47Z"/>
        <d v="2026-03-17T15:48:10Z"/>
        <d v="2026-03-17T13:29:12Z"/>
        <d v="2026-03-17T15:48:29Z"/>
        <d v="2026-03-17T16:14:43Z"/>
        <d v="2026-03-18T17:47:57Z"/>
        <d v="2026-03-18T08:50:51Z"/>
        <d v="2026-03-18T17:48:16Z"/>
        <d v="2026-03-18T17:48:39Z"/>
        <d v="2026-03-18T17:48:50Z"/>
        <d v="2026-03-18T17:49:03Z"/>
        <d v="2026-03-19T13:42:21Z"/>
        <d v="2026-03-19T13:42:43Z"/>
        <d v="2026-03-19T13:43:05Z"/>
        <d v="2026-03-19T14:00:35Z"/>
        <d v="2026-03-19T18:16:03Z"/>
        <d v="2026-03-19T16:49:05Z"/>
        <d v="2026-03-19T17:00:12Z"/>
        <d v="2026-03-19T17:05:57Z"/>
        <d v="2026-03-20T12:26:28Z"/>
        <d v="2026-03-20T15:49:51Z"/>
        <d v="2026-03-20T17:05:18Z"/>
        <d v="2026-03-20T16:53:36Z"/>
        <d v="2026-03-24T15:22:46Z"/>
        <d v="2026-03-23T14:43:57Z"/>
        <d v="2026-03-23T14:44:27Z"/>
        <d v="2026-03-23T14:44:16Z"/>
        <d v="2026-03-23T15:27:34Z"/>
        <d v="2026-03-23T15:59:36Z"/>
        <d v="2026-03-24T16:03:00Z"/>
        <d v="2026-03-24T16:07:08Z"/>
        <d v="2026-03-24T16:06:40Z"/>
        <d v="2026-03-24T16:04:10Z"/>
        <d v="2026-03-24T14:55:17Z"/>
        <d v="2026-03-24T16:35:21Z"/>
        <d v="2026-03-25T10:10:16Z"/>
        <d v="2026-03-25T16:20:53Z"/>
        <d v="2026-03-25T16:27:33Z"/>
        <d v="2026-03-25T16:30:23Z"/>
        <d v="2026-03-26T09:27:17Z"/>
        <d v="2026-03-26T09:26:58Z"/>
        <d v="2026-03-26T09:36:49Z"/>
        <d v="2026-03-26T15:47:40Z"/>
        <d v="2026-03-26T15:37:53Z"/>
        <d v="2026-03-26T16:26:05Z"/>
        <d v="2026-03-26T17:00:41Z"/>
        <d v="2026-03-26T17:31:20Z"/>
        <d v="2026-03-26T17:40:57Z"/>
        <d v="2026-03-27T09:11:54Z"/>
        <d v="2026-03-27T13:30:42Z"/>
        <d v="2026-03-27T14:26:25Z"/>
        <d v="2026-03-27T15:50:29Z"/>
        <d v="2026-03-27T15:50:38Z"/>
        <d v="2026-03-27T15:51:03Z"/>
        <d v="2026-03-27T17:26:14Z"/>
        <d v="2026-03-30T09:33:49Z"/>
        <d v="2026-03-30T09:33:57Z"/>
        <d v="2026-03-31T11:14:17Z"/>
        <d v="2026-03-31T12:57:42Z"/>
        <d v="2026-03-31T17:28:06Z"/>
        <d v="2026-03-31T15:30:59Z"/>
        <d v="2026-03-31T17:10:45Z"/>
        <d v="2026-04-01T12:12:53Z"/>
        <d v="2026-04-01T12:45:55Z"/>
        <d v="2026-04-01T16:50:50Z"/>
        <d v="2026-04-06T08:54:40Z"/>
        <d v="2026-04-06T08:33:22Z"/>
        <d v="2026-04-07T08:32:41Z"/>
        <d v="2026-04-06T16:30:54Z"/>
        <d v="2026-04-07T17:40:44Z"/>
        <d v="2026-04-07T17:40:55Z"/>
        <d v="2026-04-08T14:13:41Z"/>
        <d v="2026-04-09T09:51:49Z"/>
        <d v="2026-04-09T18:49:37Z"/>
        <d v="2026-04-09T16:39:13Z"/>
        <d v="2026-04-09T18:05:53Z"/>
        <d v="2026-04-09T18:49:20Z"/>
        <d v="2026-04-10T08:20:57Z"/>
        <d v="2026-04-10T11:39:06Z"/>
        <d v="2026-04-10T11:38:23Z"/>
        <d v="2026-04-10T15:45:46Z"/>
        <d v="2026-04-13T08:55:00Z"/>
        <d v="2026-04-13T08:53:56Z"/>
        <d v="2026-04-13T08:53:39Z"/>
        <d v="2026-04-11T09:45:39Z"/>
        <d v="2026-04-13T16:59:04Z"/>
        <d v="2026-04-13T15:53:55Z"/>
        <d v="2026-04-13T15:53:44Z"/>
        <d v="2026-04-13T16:02:05Z"/>
        <d v="2026-04-13T16:58:23Z"/>
        <d v="2026-04-13T16:58:31Z"/>
        <d v="2026-04-13T17:20:00Z"/>
        <d v="2026-05-12T16:04:13Z"/>
        <d v="2026-04-14T12:49:48Z"/>
        <d v="2026-04-14T17:53:34Z"/>
        <d v="2026-04-14T18:06:47Z"/>
        <d v="2026-04-15T13:43:18Z"/>
        <d v="2026-04-15T13:00:53Z"/>
        <d v="2026-04-15T12:04:44Z"/>
        <d v="2026-04-15T12:44:15Z"/>
        <d v="2026-04-15T16:14:55Z"/>
        <d v="2026-04-16T09:56:40Z"/>
        <d v="2026-04-16T11:53:59Z"/>
        <d v="2026-04-16T11:54:15Z"/>
        <d v="2026-04-16T12:09:39Z"/>
        <d v="2026-04-16T15:27:55Z"/>
        <d v="2026-04-16T15:28:13Z"/>
        <d v="2026-04-16T16:36:50Z"/>
        <d v="2026-04-16T18:36:25Z"/>
        <d v="2026-04-17T10:45:21Z"/>
        <d v="2026-04-17T10:45:05Z"/>
        <d v="2026-04-17T10:45:38Z"/>
        <d v="2026-04-17T13:52:06Z"/>
        <d v="2026-04-17T14:46:02Z"/>
        <d v="2026-04-20T10:14:37Z"/>
        <d v="2026-04-20T11:53:38Z"/>
        <d v="2026-04-20T11:58:50Z"/>
        <d v="2026-04-20T11:58:38Z"/>
        <d v="2026-04-20T16:05:36Z"/>
        <d v="2026-04-21T08:51:58Z"/>
        <d v="2026-04-24T12:51:34Z"/>
        <d v="2026-04-21T15:38:23Z"/>
        <d v="2026-04-21T15:38:37Z"/>
        <d v="2026-04-21T17:38:08Z"/>
        <d v="2026-04-22T13:10:07Z"/>
        <d v="2026-04-22T17:04:39Z"/>
        <d v="2026-04-22T17:04:27Z"/>
        <d v="2026-04-22T17:04:17Z"/>
        <d v="2026-04-22T17:04:06Z"/>
        <d v="2026-04-23T10:03:39Z"/>
        <d v="2026-04-28T14:07:47Z"/>
        <d v="2026-04-23T12:27:53Z"/>
        <d v="2026-04-23T12:14:14Z"/>
        <d v="2026-04-23T13:10:24Z"/>
        <d v="2026-04-23T14:43:14Z"/>
        <d v="2026-04-23T15:01:55Z"/>
        <d v="2026-04-23T15:54:22Z"/>
        <d v="2026-04-23T17:08:02Z"/>
        <d v="2026-04-23T17:08:13Z"/>
        <d v="2026-04-24T13:50:52Z"/>
        <d v="2026-04-24T13:51:54Z"/>
        <d v="2026-04-24T13:51:33Z"/>
        <d v="2026-04-24T13:51:12Z"/>
        <d v="2026-04-24T15:34:52Z"/>
        <d v="2026-05-18T12:01:07Z"/>
        <d v="2026-04-24T16:36:41Z"/>
        <d v="2026-04-27T08:56:38Z"/>
        <d v="2026-04-27T11:58:11Z"/>
        <d v="2026-04-27T11:33:40Z"/>
        <d v="2026-04-27T13:41:04Z"/>
        <d v="2026-04-27T16:04:32Z"/>
        <d v="2026-04-27T18:19:49Z"/>
        <d v="2026-04-28T12:41:07Z"/>
        <d v="2026-04-29T09:21:13Z"/>
        <d v="2026-04-29T09:21:32Z"/>
        <d v="2026-04-29T13:14:39Z"/>
        <d v="2026-04-29T15:59:08Z"/>
        <d v="2026-04-29T15:59:45Z"/>
        <d v="2026-04-30T09:41:54Z"/>
        <d v="2026-04-30T11:39:32Z"/>
        <d v="2026-04-30T11:39:54Z"/>
        <d v="2026-04-30T12:20:54Z"/>
        <d v="2026-04-30T16:58:16Z"/>
        <d v="2026-05-04T08:26:58Z"/>
        <d v="2026-05-04T12:01:17Z"/>
        <d v="2026-05-04T12:01:37Z"/>
        <d v="2026-05-04T15:31:46Z"/>
        <d v="2026-05-04T15:32:03Z"/>
        <d v="2026-05-04T16:06:20Z"/>
        <d v="2026-05-04T16:06:33Z"/>
        <d v="2026-05-04T16:36:20Z"/>
        <d v="2026-05-04T17:52:46Z"/>
        <d v="2026-05-05T08:15:31Z"/>
        <d v="2026-05-05T08:15:44Z"/>
        <d v="2026-05-05T12:02:27Z"/>
        <d v="2026-05-05T12:02:12Z"/>
        <d v="2026-05-05T17:39:52Z"/>
        <d v="2026-05-13T16:49:58Z"/>
        <d v="2026-05-06T16:44:07Z"/>
        <d v="2026-05-06T16:43:59Z"/>
        <d v="2026-05-06T16:43:47Z"/>
        <d v="2026-05-06T16:55:30Z"/>
        <d v="2026-05-07T11:50:46Z"/>
        <d v="2026-05-07T11:51:00Z"/>
        <d v="2026-05-07T14:51:41Z"/>
        <d v="2026-05-07T15:55:59Z"/>
        <d v="2026-05-07T15:55:47Z"/>
        <d v="2026-05-07T16:43:09Z"/>
        <d v="2026-05-07T16:43:25Z"/>
        <d v="2026-05-07T16:53:03Z"/>
        <d v="2026-05-07T16:53:17Z"/>
        <d v="2026-05-08T10:58:27Z"/>
        <d v="2026-05-08T15:24:00Z"/>
        <d v="2026-05-08T15:22:55Z"/>
        <d v="2026-05-08T17:07:11Z"/>
        <d v="2026-05-08T17:07:25Z"/>
        <d v="2026-05-08T17:25:12Z"/>
        <d v="2026-05-08T17:40:28Z"/>
        <d v="2026-05-08T17:40:41Z"/>
        <d v="2026-05-11T08:10:44Z"/>
        <d v="2026-05-11T08:26:04Z"/>
        <d v="2026-05-11T08:28:04Z"/>
        <d v="2026-05-13T16:50:09Z"/>
        <d v="2026-05-11T13:33:34Z"/>
        <d v="2026-05-11T13:33:47Z"/>
        <d v="2026-05-11T17:16:44Z"/>
        <d v="2026-05-11T17:17:37Z"/>
        <d v="2026-05-12T12:32:16Z"/>
        <d v="2026-05-12T12:32:01Z"/>
        <d v="2026-05-12T16:08:37Z"/>
        <d v="2026-05-12T16:07:50Z"/>
        <d v="2026-05-12T17:30:52Z"/>
        <d v="2026-05-12T17:55:53Z"/>
        <d v="2026-05-13T14:13:21Z"/>
        <d v="2026-05-13T15:06:05Z"/>
        <d v="2026-05-13T15:05:55Z"/>
        <d v="2026-05-13T15:05:47Z"/>
        <d v="2026-05-13T15:08:35Z"/>
        <d v="2026-05-13T16:03:30Z"/>
        <d v="2026-05-13T16:11:24Z"/>
        <d v="2026-05-13T16:48:11Z"/>
        <d v="2026-05-13T16:46:41Z"/>
        <d v="2026-05-13T16:45:58Z"/>
        <d v="2026-05-14T10:03:04Z"/>
        <d v="2026-05-14T14:50:37Z"/>
        <d v="2026-05-14T14:57:07Z"/>
        <d v="2026-05-14T16:03:07Z"/>
        <d v="2026-05-14T15:48:14Z"/>
        <d v="2026-05-14T16:48:37Z"/>
        <d v="2026-05-14T18:06:30Z"/>
        <d v="2026-05-14T18:06:22Z"/>
        <d v="2026-05-14T18:06:15Z"/>
        <d v="2026-05-15T16:43:13Z"/>
        <d v="2026-05-15T13:39:48Z"/>
        <d v="2026-05-15T16:17:24Z"/>
        <d v="2026-05-15T16:17:14Z"/>
        <d v="2026-05-15T16:17:07Z"/>
        <d v="2026-05-15T16:30:38Z"/>
        <d v="2026-05-15T16:29:25Z"/>
        <d v="2026-05-15T17:05:45Z"/>
        <d v="2026-05-18T08:33:54Z"/>
        <d v="2026-05-18T09:01:18Z"/>
        <d v="2026-05-18T09:25:44Z"/>
        <d v="2026-05-18T13:10:36Z"/>
        <d v="2026-05-19T08:55:15Z"/>
        <d v="2026-05-19T10:50:15Z"/>
        <d v="2026-05-19T10:52:22Z"/>
        <d v="2026-05-19T16:22:18Z"/>
        <d v="2026-05-21T14:28:09Z"/>
        <d v="2026-05-20T09:11:05Z"/>
        <d v="2026-05-20T09:37:50Z"/>
        <d v="2026-05-20T10:20:50Z"/>
        <d v="2026-05-20T10:58:19Z"/>
        <d v="2026-05-20T11:02:44Z"/>
        <d v="2026-05-20T15:43:48Z"/>
        <d v="2026-05-20T15:44:28Z"/>
        <d v="2026-05-20T15:44:11Z"/>
        <d v="2026-05-20T17:13:02Z"/>
        <d v="2026-05-20T17:43:07Z"/>
        <d v="2026-05-20T17:45:19Z"/>
        <d v="2026-05-26T10:04:53Z"/>
        <d v="2026-05-21T10:21:07Z"/>
        <d v="2026-05-21T13:04:20Z"/>
        <d v="2026-05-21T13:17:30Z"/>
        <d v="2026-05-21T17:16:43Z"/>
        <d v="2026-05-22T08:30:05Z"/>
        <d v="2026-05-22T08:34:54Z"/>
        <d v="2026-05-22T08:34:36Z"/>
        <d v="2026-05-22T11:31:19Z"/>
        <d v="2026-05-22T15:32:57Z"/>
        <d v="2026-05-22T17:00:33Z"/>
        <d v="2026-05-25T08:16:58Z"/>
        <d v="2026-05-25T08:57:43Z"/>
        <d v="2026-05-25T13:39:00Z"/>
        <d v="2026-05-28T15:34:06Z"/>
        <d v="2026-05-25T18:00:24Z"/>
        <d v="2026-05-26T10:20:24Z"/>
        <d v="2026-05-26T15:13:22Z"/>
        <d v="2026-05-26T16:51:42Z"/>
        <d v="2026-05-26T13:25:36Z"/>
        <d v="2026-05-27T09:33:31Z"/>
        <d v="2026-05-26T16:42:12Z"/>
        <d v="2026-05-26T16:41:53Z"/>
        <d v="2026-05-26T16:54:33Z"/>
        <d v="2026-05-26T17:48:31Z"/>
        <d v="2026-05-28T08:13:25Z"/>
        <d v="2026-05-29T10:28:28Z"/>
        <d v="2026-05-28T16:27:21Z"/>
        <d v="2026-05-28T17:35:04Z"/>
        <d v="2026-05-29T19:38:15Z"/>
        <d v="2026-05-29T19:39:14Z"/>
        <d v="2026-06-01T09:03:21Z"/>
        <d v="2026-06-01T09:02:51Z"/>
        <d v="2026-06-01T08:56:06Z"/>
        <d v="2026-06-03T10:51:47Z"/>
        <d v="2026-06-01T16:11:28Z"/>
        <d v="2026-06-01T16:10:54Z"/>
        <d v="2026-06-01T16:49:34Z"/>
        <d v="2026-06-01T16:49:25Z"/>
        <d v="2026-06-01T16:49:16Z"/>
        <d v="2026-06-01T17:23:57Z"/>
        <d v="2026-06-01T17:24:30Z"/>
        <d v="2026-06-02T08:32:47Z"/>
        <d v="2026-06-02T17:29:41Z"/>
        <d v="2026-06-02T17:30:48Z"/>
        <d v="2026-06-02T17:44:20Z"/>
        <d v="2026-06-02T17:43:57Z"/>
        <d v="2026-06-02T17:58:49Z"/>
        <d v="2026-06-03T11:32:03Z"/>
        <d v="2026-06-03T15:26:58Z"/>
        <d v="2026-06-03T15:27:30Z"/>
        <d v="2026-06-03T16:00:17Z"/>
        <d v="2026-06-03T15:39:09Z"/>
        <d v="2026-06-03T16:20:27Z"/>
        <d v="2026-06-03T17:38:42Z"/>
        <d v="2026-06-03T17:38:56Z"/>
        <d v="2026-06-04T08:51:03Z"/>
        <d v="2026-06-04T12:14:49Z"/>
        <d v="2026-06-04T14:16:44Z"/>
        <d v="2026-06-04T14:16:24Z"/>
        <d v="2026-06-04T14:16:02Z"/>
        <d v="2026-06-04T13:00:23Z"/>
        <d v="2026-06-04T15:41:41Z"/>
        <d v="2026-06-04T15:41:04Z"/>
        <d v="2026-06-04T15:41:20Z"/>
        <d v="2026-06-04T19:02:44Z"/>
        <d v="2026-06-05T08:35:16Z"/>
        <d v="2026-06-04T19:02:33Z"/>
        <d v="2026-06-05T08:26:30Z"/>
        <d v="2026-06-05T09:09:36Z"/>
        <d v="2026-06-05T09:10:30Z"/>
        <d v="2026-06-05T11:51:51Z"/>
        <d v="2026-06-05T13:35:12Z"/>
        <d v="2026-06-05T15:23:46Z"/>
        <d v="2026-06-05T16:03:57Z"/>
        <d v="2026-06-05T16:04:20Z"/>
        <d v="2026-06-05T18:00:11Z"/>
        <d v="2026-06-08T16:44:04Z"/>
        <d v="2026-06-08T08:55:00Z"/>
        <d v="2026-06-09T13:04:29Z"/>
        <d v="2026-06-08T16:44:23Z"/>
        <d v="2026-06-08T17:14:45Z"/>
        <d v="2026-06-09T09:26:44Z"/>
        <d v="2026-06-09T08:49:07Z"/>
        <d v="2026-06-09T09:27:13Z"/>
        <d v="2026-06-15T16:46:57Z"/>
        <d v="2026-06-09T12:33:07Z"/>
        <d v="2026-06-09T15:37:30Z"/>
        <d v="2026-06-09T15:38:35Z"/>
        <d v="2026-06-09T16:03:39Z"/>
        <d v="2026-06-10T12:24:00Z"/>
        <d v="2026-06-10T09:05:30Z"/>
        <d v="2026-06-10T11:52:02Z"/>
        <d v="2026-06-10T14:02:25Z"/>
        <d v="2026-06-10T13:07:01Z"/>
        <d v="2026-06-10T13:06:52Z"/>
        <d v="2026-06-10T14:20:12Z"/>
        <d v="2026-06-10T14:20:03Z"/>
        <d v="2026-06-10T14:19:54Z"/>
        <d v="2026-06-10T15:17:48Z"/>
        <d v="2026-06-10T16:01:43Z"/>
        <d v="2026-06-10T16:25:03Z"/>
        <d v="2026-06-10T16:29:50Z"/>
        <d v="2026-06-10T18:12:59Z"/>
        <d v="2026-06-11T14:58:06Z"/>
        <d v="2026-06-11T14:59:37Z"/>
        <d v="2026-06-11T15:15:16Z"/>
        <d v="2026-06-11T15:24:38Z"/>
        <d v="2026-06-11T16:06:06Z"/>
        <d v="2026-06-11T17:02:17Z"/>
        <d v="2026-06-11T17:02:04Z"/>
        <d v="2026-06-11T17:05:06Z"/>
        <d v="2026-06-19T13:54:05Z"/>
        <d v="2026-06-12T09:19:16Z"/>
        <d v="2026-06-12T15:13:25Z"/>
        <d v="2026-06-12T13:11:15Z"/>
        <d v="2026-06-12T15:48:00Z"/>
        <d v="2026-06-12T15:48:16Z"/>
        <d v="2026-06-12T16:18:57Z"/>
        <d v="2026-06-12T16:19:12Z"/>
        <d v="2026-06-12T16:50:44Z"/>
        <d v="2026-06-13T14:21:44Z"/>
        <d v="2026-06-15T14:29:48Z"/>
        <d v="2026-06-15T16:35:24Z"/>
        <d v="2026-06-15T16:35:12Z"/>
        <d v="2026-06-15T17:20:12Z"/>
        <d v="2026-06-16T10:07:50Z"/>
        <d v="2026-06-16T16:49:39Z"/>
        <d v="2026-06-16T16:49:57Z"/>
        <d v="2026-06-16T16:50:34Z"/>
        <d v="2026-06-16T16:50:14Z"/>
        <d v="2026-06-17T09:33:03Z"/>
        <d v="2026-06-17T17:09:53Z"/>
        <d v="2026-06-17T14:48:42Z"/>
        <d v="2026-06-17T17:09:24Z"/>
        <d v="2026-06-18T12:59:01Z"/>
        <d v="2026-06-18T17:34:11Z"/>
        <d v="2026-06-18T17:34:28Z"/>
        <d v="2026-06-19T09:16:42Z"/>
        <d v="2026-06-19T09:39:25Z"/>
        <d v="2026-06-19T15:12:04Z"/>
        <d v="2026-06-19T10:42:49Z"/>
        <d v="2026-06-19T17:18:43Z"/>
        <d v="2026-06-19T17:18:33Z"/>
        <d v="2026-06-19T17:18:24Z"/>
        <d v="2026-06-22T08:05:20Z"/>
        <d v="2026-06-22T11:12:02Z"/>
        <d v="2026-06-22T11:47:17Z"/>
        <d v="2026-06-22T17:00:26Z"/>
        <m/>
      </sharedItems>
    </cacheField>
    <cacheField name="Cliente" numFmtId="0">
      <sharedItems containsBlank="1">
        <s v="GARAJE Y TALLERES FRIDELBA, C.A"/>
        <s v="EMPRENDIMIENTO IRMA RODRIGUEZ 6"/>
        <s v="ZIP MARKET, CA"/>
        <s v="E&amp;M CAR SHOP C.A"/>
        <s v="TERA INGENIERIA Y SERVICIOS INDUSTRIALES, C.A"/>
        <s v="MOTO MARCE 21, CA"/>
        <s v="SPEED RACING, CA"/>
        <s v="SERVICIOS Y MANTENIMIENTO SPACARS, C.A, Henry Blanco"/>
        <s v="MOTO REPUESTOS LA FLECHA, C.A."/>
        <s v="AUTO ACCESORIOS VZLA, C.A."/>
        <s v="Ruta 8 Autopartes,c.a."/>
        <s v="EMPRENDIMIENTO TOMAS MARCANO 5"/>
        <s v="INVERSIONES SMALUM 21, C.A."/>
        <s v="Autorepuestos las 24 horas"/>
        <s v="Multiservicios Sanahuja 36 C.A"/>
        <s v="Encamotors Catia C.A"/>
        <s v="Joel Duque"/>
        <s v="Moises Alejandro Mares"/>
        <s v="Ricardo A. Fernandez."/>
        <s v="AUTOREPUESTOS SION C.A."/>
        <s v="HIDRAULICAS CAICEDO C.A."/>
        <s v="COMERCIAL REPUESTOS MUNDIALES RMS 2022 C.A."/>
        <s v="Ferretería JJ Martins c.a"/>
        <s v="Angel ARMAS"/>
        <s v="Miguel Antonio Chacon"/>
        <s v="inversiones El Gran Charles C.A"/>
        <s v="Junior Marco Antonio Vivas Navas"/>
        <s v="Auto repuestos Fontalvo"/>
        <s v="Moto Bestia, C.A"/>
        <s v="WILLY MOTOR CAR REPUESTOS Y SERVICIOS, C.A."/>
        <s v="Inversiones Trip K, c.a."/>
        <s v="ALIPLUS TRASPORTE Y EQUIPOS, CA"/>
        <s v="Vianney García"/>
        <s v="Comercializadora Garabote"/>
        <s v="INVERSIONES IRETE SUKA, C.A"/>
        <s v="Rawy Xavier Melendez Caripa"/>
        <s v="Autoelectronica Oranel, C.A."/>
        <s v="Marlene Herrera"/>
        <s v="FREDI MARQUEZ"/>
        <s v="Auto Repuestos Acal C.A"/>
        <s v="INVERSIONES MI LINDA YEMAIRE 2019, C.A"/>
        <s v="Corporación Lubricantes 7ma Av.C.A"/>
        <s v="Barrios Rodríguez Marlon Enrique"/>
        <s v="Motolavado Yahir"/>
        <s v="Comercial Rio Paraguas C.A"/>
        <s v="Repuestos y Accesorios chaustre 2024"/>
        <s v="Rhino Toyo Parts, C.A."/>
        <s v="INVERSIONES R&amp;C 1817, c.a."/>
        <s v="SJMG 2012 C.A"/>
        <s v="TorniRepuesto BA 2015, C.A"/>
        <s v="VAL VAL 16 C.A"/>
        <s v="Auto Servicios HN 6972, C.A"/>
        <s v="Jesus luciani Russiani."/>
        <s v="Katiuska Alejandra Curvelo"/>
        <s v="DISTRIBUIDORA PINOS 181297 C.A"/>
        <s v="Remodelaciones Ivanro, C.A"/>
        <s v="Servicios Nicolazzo 97, C.A"/>
        <s v="Ruben Dario Fernandez"/>
        <s v="MULTISERVICIOS RECAM13, C.A."/>
        <s v="Coffee Party, C.A."/>
        <s v="Pedro Castro"/>
        <s v="Inversiones Famasa, C.A"/>
        <s v="Inversiones maxgad &amp; ef"/>
        <s v="Wuilliams bastidas"/>
        <s v="Javier Cardenas Prato."/>
        <s v="Moto Repuestos Sanz 11. C.A."/>
        <s v="ACCESORIOS Y REPUESTOS MOTO CAR 20-11-C.A"/>
        <s v="Emprendimiento YSKRA"/>
        <s v="Moto repuestos jj"/>
        <s v="Multiservicios Arizona, C.A."/>
        <s v="Video Electrónica Fermat, C.A"/>
        <s v="Felipe Granja"/>
        <s v="Mini Market Las Mercedes,c.a."/>
        <s v="Diana Carolina Torres"/>
        <s v="INVERSIONES JOSCAR XXI, S.A."/>
        <s v="Alexis Rodríguez Fernández"/>
        <s v="Inversiones Brayan CT C.A"/>
        <s v="Franklin J. Mijares S."/>
        <s v="Autoasesorio maxi motor"/>
        <s v="AGROPECUARIA EL TORO DORADO, C.A"/>
        <s v="Jose Becerra"/>
        <s v="ELIVAN2025, C.A"/>
        <s v="MARTIN RAMON DIAZ BOLIVAR"/>
        <s v="Jose Lopez Espinoza"/>
        <s v="Emprendimiento Tomas Paz"/>
        <s v="Ramon Alvarez Mota"/>
        <s v="M.L.P Repuestos y Otros, C.A"/>
        <s v="Megacar2020.c.a"/>
        <s v="Victor Ordaz"/>
        <s v="Emprendimiento José Sánchez 203 c.a"/>
        <s v="Multiservicios Gre-orio2022 c.a"/>
        <s v="Emprendimiento Jordy Valencia"/>
        <s v="TALLER TNMCAR, C.A"/>
        <s v="Neykel Quevedo"/>
        <s v="Distribuidora Nesmari 2050 c.a"/>
        <s v="Inversiones La Bendición del Nazareno, C.A"/>
        <s v="Benefit c.a"/>
        <s v="JOSE STURCHIO CAPPELLANIA"/>
        <s v="Yulendri Carolina Pineda Blanco"/>
        <s v="LOGISTICA Y CONSULTORIA VINCARS, C.A."/>
        <s v="MOTOREPUESTOS EL GUANÁBANO YRM C.A."/>
        <s v="La cámara perfecta"/>
        <s v="Alexander Quiroz"/>
        <s v="Emprendimiento ilaris cancelo"/>
        <s v="Inversiones Dekamalbaz, C.A"/>
        <s v="Distribuidora Drako 2024 c.a"/>
        <s v="ESTACIONAMIENTO CIACORE 2000 c.a"/>
        <s v="Emprendimiento Yeizon Villaroel"/>
        <s v="SERVICIOS Y MANTENIMIENTO SPACARS, C.A"/>
        <s v="EMPRENDIMIENTO MARTIN BASTIDAS 2"/>
        <s v="Turismo Apureño Turapca, C.A"/>
        <s v="Dimas Ortíz"/>
        <s v="Grupo 3030, C.A"/>
        <s v="Lubripartes Vzla, c.a."/>
        <s v="DISTRIBUIDORA MULTIAHORRO C.A."/>
        <s v="EMPRENDIMIENTO HECTOR LLAMOZA"/>
        <s v="Grupo Biker Way mm, C.A"/>
        <s v="Frenos Elite, C.A"/>
        <s v="ADS SERVICE C.A"/>
        <s v="ALI ALEXANDER MORENO FIGUEREDO"/>
        <s v="DISTRIBUIDORA E.P.L.C 2017, c.a."/>
        <s v="Jose Angel Gutierrez Rodriguez"/>
        <s v="Jhon Morales"/>
        <s v="Inversiones Vercris 17 C.A"/>
        <s v="AREA58 2022, C.A."/>
        <s v="Pidelo Y Punto,c.a."/>
        <s v="Cauchos y Suministros Camacho C.A"/>
        <s v="HP Repuestos 2007 C.A"/>
        <s v="Manuel Emilio Reyes"/>
        <s v="Anthony Jose Quijada Diaz."/>
        <s v="Global Ferre 888 C.A"/>
        <s v="Paola M. Aguilera Z."/>
        <s v="Comercial los de faria,c.a."/>
        <s v="Autorepuestos Pitstop,c.a."/>
        <s v="PROYECTO MAQUIVEIRO 21 C.A."/>
        <s v="Motorepuestos HD 94, C.A"/>
        <s v="Inversiones Marfran 2025, C. A."/>
        <s v="Ingrit Martinez"/>
        <s v="Inversiones Mirelkys C.A"/>
        <s v="Inversiones AreaElectric 2021,c.a."/>
        <s v="Inversiones DSM 2706, c.a."/>
        <s v="CONSTRUCTORA GRANO AGREGADO, C.A"/>
        <s v="Alejandro Zorrilla"/>
        <s v="Cooperativa Dios mi Amparo, R.L."/>
        <s v="Montura de Cauchos Biondo,c.a."/>
        <s v="Braulio R. Cedeño Gonzalez."/>
        <s v="Autorepuestos el Florin,c.a."/>
        <s v="Josefina Guevera"/>
        <s v="EN LA VIA 2023 C.A"/>
        <s v="CAUCHOS Y ACCESORIOS LA CAMPIÑA, C.A."/>
        <s v="Devenalsa Deshidratadora Venezolana de Alimentos, S.A."/>
        <s v="Constructora Campo Urbano,c.a."/>
        <s v="Auto Partes Y Repuestos Encava Express,c.a."/>
        <s v="Cauchos California, C.A"/>
        <s v="José Brea"/>
        <s v="JONNY DAVID BOLIVAR"/>
        <s v="Servicios de Gruas Torgil 300, c.a."/>
        <s v="Cauchera William 2018, C.A"/>
        <s v="Lubricantes BK C.A"/>
        <s v="Luis Zambrano"/>
        <s v="Abraham almenar"/>
        <s v="Comercializadora Dimon c.a"/>
        <s v="EMPRENDIMIENTO MANUEL GÓMEZ 6"/>
        <s v="Distribuidora El Frenazo"/>
        <s v="Multiservicio Tocome, C.A"/>
        <s v="Autopartes Munich PH 168 C.A."/>
        <s v="Desarrollo Agrario Integral DAI Los Pucheros 13, C. A."/>
        <s v="Inversiones Los compadres 7686, c.a."/>
        <s v="Repuestos Guia Dios Nuestro Camino,c.a."/>
        <s v="Lubristation, C.A."/>
        <s v="Repuestos y accesorios motochiva23 c.a"/>
        <s v="LA CASA DE LAS BATERIAS"/>
        <s v="SUPLIPARTES PARAISO, C.A"/>
        <s v="Inversiones Air Brakes, C.A"/>
        <s v="Inversiones tydelmarojg"/>
        <s v="Javier gregorio Espinoza"/>
        <s v="Jefferson rosales"/>
        <s v="MOTOS Y REPUESTOS DOS RUEDAS, C.A."/>
        <s v="INVERSIONES ARCOSOL 21, C.A."/>
        <s v="CENTRO MOTRIZ GUADALUPE, C.A."/>
        <s v="Sergio Ibrain Rumbo Mundaray"/>
        <s v="INVERSIONES F-250, C.A"/>
        <s v="LUBRIREPUESTOS PANORAMA, C.A."/>
        <s v="Jose Alzolay"/>
        <s v="Multiservicio SOS Cars, C.A"/>
        <s v="Carlos Bravo"/>
        <s v="Edgar salas"/>
        <s v="MOTO REPUESTO GARCIA 2023, C.A."/>
        <s v="JOSE RAFAEL MARTÍNEZ"/>
        <s v="Angi Edimar Carvajal Peñaranda"/>
        <s v="Ideal car"/>
        <s v="ANGEL LEON GALARRAGA"/>
        <s v="Nemer Bourji"/>
        <s v="Comercializadora El Fénix de Catia"/>
        <s v="Kervin baez"/>
        <s v="AGROPECUARIA LECHE Y MIEL, C.A"/>
        <s v="Inversiones García GL C.A"/>
        <s v="Wili Mervin León Romero"/>
        <s v="Asociación Cooperativa la Esquina del Lubricante 9999 R.L"/>
        <s v="JOSE RUBIO ESPINEL"/>
        <s v="Yeifri Alexander Marquez Zerpa"/>
        <s v="Automecanica Marilu 2014, C.A"/>
        <s v="Moto repuestos el casco 2050 c.a"/>
        <s v="AUTOPERIQUITO EL PEQUEÑO CHAMOY, C.A."/>
        <s v="CLUDE CARVALHO DE ACOSTA"/>
        <s v="Melany Madrid"/>
        <s v="INVERSIONES BECLA PARTS C.A."/>
        <s v="REPRESENTACIONES LAGUS MEL, C. A"/>
        <s v="DIADOMHAN AUTOMOTRIZ, C.A."/>
        <s v="Comercializadora Estoril 25,c.a."/>
        <s v="AUTOSERVICIOS SPACARS, C.A."/>
        <s v="MARIA CAROLINA CARDENAS GUEVARA"/>
        <s v="CAUCHOS NUÑEZ, C.A."/>
        <s v="Kiosco Willianny 1013, C.A"/>
        <s v="ELENA MEJIAS"/>
        <s v="En ascenso 2011,c.a."/>
        <s v="INVERSIONES DA &amp; JE,"/>
        <s v="Deyanira Carpio De Sequera"/>
        <s v="Multiservicios y Distribuidora Todo Carro Bedyf, C.A"/>
        <s v="Marco Romero"/>
        <s v="SEBASTIAN RICON MOLINA"/>
        <s v="FRANCISCO MONCADA"/>
        <s v="Greicy Moncada"/>
        <s v="CASERES GONZALEZ RONALD OSWALDO"/>
        <s v="Francesco orlando Espro bolaños"/>
        <s v="Sandra Katherine Quintero Crespo"/>
        <s v="Emprendimiento Eduardo Pérez 6"/>
        <s v="TALLER Y REPUESTOS CHOPPERS, C.A."/>
        <s v="Jorge Luis camacaro"/>
        <s v="Multiservicios gochi express 2024, c.a"/>
        <s v="ERICH GILBERTO CASERES MELENDEZ"/>
        <s v="Almacenadora X7, C.A"/>
        <s v="COMERCIAL EKAFREN,C.A."/>
        <s v="DISTRIBUIDORA R. LAYA MORA,C.A."/>
        <s v="OLIVEIRA &amp; SANTOS, C.A.(SERVICENTRO EL CUÑO, C.A.)"/>
        <s v="Antonio Terán"/>
        <s v="MULTIPARTES Y SERVICIOS HONDANIS,C.A."/>
        <s v="INVERSIONES SM 2191, C.A."/>
        <s v="Carlos Eduardo Ascension Matos"/>
        <s v="EMPRENDIMIENTO FRANCISCO VEGAS 3"/>
        <s v="PROYECTOS Y DESARROLLO TOMTOM,C.A."/>
        <s v="Mazare Motors, C.A"/>
        <s v="GASOLVEN DISTRIBUIDORA, C.A"/>
        <s v="Jhoe Zamora"/>
        <s v="Inversiones Pronautica, C.A."/>
        <s v="NAUDY MARTINEZ"/>
        <s v="ERICK JOSE MAIGUA GUILLEN"/>
        <s v="Comercializadora 1108,c.a."/>
        <s v="Edward Belén"/>
        <s v="Repuestos González peña 31 c.a"/>
        <s v="ELISA ALEJANDRA JIMÉNEZ SUÁREZ"/>
        <s v="AUTOPERIQUITOS LA CAMPIÑA C.A."/>
        <s v="José Gregorio Hernández"/>
        <s v="Hidromaticos La Colina, C.A"/>
        <s v="COMERCIALIZADORA J.A.N. 65, C.A"/>
        <s v="Servi Motores 3A, C.A"/>
        <s v="Inversiones Todo marca Oeste C.A"/>
        <s v="Power Sport Servicios El Hatillo, C.A"/>
        <s v="MAXIAIRE ELECTROMOTRIZ, C.A"/>
        <s v="Industrias Arasia, c.a."/>
        <s v="Automotriz Danale C.A"/>
        <s v="Cauchera El Gordo 0410,c.a."/>
        <s v="WDH Automotriz 0706, c.a."/>
        <s v="María Elena Hernández Rangel"/>
        <s v="Luis Eduardo Piñero Calcurian"/>
        <s v="ELECTROMECÁNICA DANPE C.A."/>
        <s v="Gabriel Martinez"/>
        <s v="GRIMAN DIAZ HECTOR EDUARDO"/>
        <s v="Servimecanica Brandao"/>
        <s v="Daniela Sanobria"/>
        <s v="Multiservicios Diacedeg,c.a."/>
        <s v="Emprendimiento Emily Blanco 10"/>
        <s v="Agustin Pedro Rodriguez Carro"/>
        <s v="Juan antonio salaverria herrera"/>
        <s v="Fluidtack Soluciones, c.a."/>
        <s v="Hipermercado Petare,c.a."/>
        <s v="Bicicletas Repuestos Carioca C.A"/>
        <s v="Jose de Andrade"/>
        <s v="ROBERT GUILLEN"/>
        <s v="Monkey moto Services C.A"/>
        <s v="Repuestos Chevecars Gran Caracas, C.A"/>
        <s v="Autolavado Artico"/>
        <s v="Auto Lavado Norte Sur CS, C.A"/>
        <s v="Repuestos El Portu26 C.A"/>
        <s v="Auto partes Maideirense, C.A"/>
        <s v="Carlos Ruiz"/>
        <s v="Luis Francisco hernandez falcon"/>
        <s v="Larry Herrera"/>
        <s v="Jefferson Navone"/>
        <s v="AUTO REPUESTOS EL DUO 2013, C.A."/>
        <s v="Grupo KACAOIL,C.A."/>
        <s v="Jose Gregorio Lopez"/>
        <s v="AUTOLAVADO ANDRES BELLO C.A"/>
        <s v="Inversiones Repuestos Flash 3141, C.A"/>
        <s v="York Dick Mujica Andarcia"/>
        <s v="UBAG Services,c.a."/>
        <s v="July villasana"/>
        <s v="SUKAY MOTORS V.I.P C.A"/>
        <s v="Chaquiro Arteaga"/>
        <s v="Kevin Monsalve"/>
        <m/>
      </sharedItems>
    </cacheField>
    <cacheField name="Vendedor" numFmtId="0">
      <sharedItems containsBlank="1">
        <s v="VILLABONA CORREA ALBA ESTEFANIA"/>
        <s v="CALDERON TERAN ARGIMIRO ANTONIO"/>
        <s v="Marco Romero"/>
        <s v="OCANTO ZABALA ROSALVY DEL CARMEN"/>
        <s v="TORO ARDILES DAVID JOSE"/>
        <s v="MARTINEZ MONTES JEFFREY ENRIQUE"/>
        <s v="GRIMAN DIAZ HECTOR EDUARDO"/>
        <s v="CASERES GONZALEZ RONALD OSWALDO"/>
        <s v="REVERON DE CONTRERAS MELANI AUSMAR"/>
        <s v="BETANCOURT ROBRIGUEZ LUIS ENRRIQUE"/>
        <s v="PEREZ DIAZ ANGEL DE DIOS"/>
        <s v="QUEVEDO BASTIDAS NEYKEL DAVID"/>
        <s v="PACHECO RODRIGUEZ FRANCISCO JAVIER"/>
        <s v="Raúl David"/>
        <s v="LOPEZ ANTUNEZ ANDERSON JOSE"/>
        <s v="Frank Vasquez"/>
        <s v="VELASCO RODRIGUEZ MARCOS LEONCIO"/>
        <m/>
      </sharedItems>
    </cacheField>
    <cacheField name="Total" numFmtId="4">
      <sharedItems containsString="0" containsBlank="1" containsNumber="1">
        <n v="232.98"/>
        <n v="246.0"/>
        <n v="35.33"/>
        <n v="335.98"/>
        <n v="27781.08"/>
        <n v="63.77"/>
        <n v="82.24"/>
        <n v="954.79"/>
        <n v="104.36"/>
        <n v="96.0"/>
        <n v="78.25"/>
        <n v="472.53"/>
        <n v="212.72"/>
        <n v="90.44"/>
        <n v="72.48"/>
        <n v="510.0"/>
        <n v="69.28"/>
        <n v="261.98"/>
        <n v="146.08"/>
        <n v="289.16"/>
        <n v="101.0"/>
        <n v="243.01"/>
        <n v="185.04"/>
        <n v="434.83"/>
        <n v="75.0"/>
        <n v="90.02"/>
        <n v="28.88"/>
        <n v="1080.62"/>
        <n v="160.98"/>
        <n v="151.96"/>
        <n v="362.52"/>
        <n v="2421.89"/>
        <n v="55.34"/>
        <n v="129.99"/>
        <n v="1893.12"/>
        <n v="53.79"/>
        <n v="1033.52"/>
        <n v="64.99"/>
        <n v="120.02"/>
        <n v="259.99"/>
        <n v="792.33"/>
        <n v="582.77"/>
        <n v="72.0"/>
        <n v="133.99"/>
        <n v="84.29"/>
        <n v="241.81"/>
        <n v="2036.91"/>
        <n v="209.87"/>
        <n v="10739.61"/>
        <n v="3393.87"/>
        <n v="170.36"/>
        <n v="375.35"/>
        <n v="132.47"/>
        <n v="160.5"/>
        <n v="560.84"/>
        <n v="78.62"/>
        <n v="415.08"/>
        <n v="183.49"/>
        <n v="35.99"/>
        <n v="300.86"/>
        <n v="533.34"/>
        <n v="71.99"/>
        <n v="1633.07"/>
        <n v="970.07"/>
        <n v="67.37"/>
        <n v="173.65"/>
        <n v="392.65"/>
        <n v="286.51"/>
        <n v="89.99"/>
        <n v="171.0"/>
        <n v="126.0"/>
        <n v="191.1"/>
        <n v="368.51"/>
        <n v="434.94"/>
        <n v="530.98"/>
        <n v="1623.82"/>
        <n v="93.0"/>
        <n v="197.55"/>
        <n v="184.1"/>
        <n v="711.13"/>
        <n v="297.02"/>
        <n v="280.5"/>
        <n v="991.22"/>
        <n v="110.01"/>
        <n v="108.0"/>
        <n v="296.98"/>
        <n v="99.01"/>
        <n v="207.05"/>
        <n v="50.65"/>
        <n v="289.79"/>
        <n v="179.99"/>
        <n v="390.77"/>
        <n v="106.49"/>
        <n v="4655.88"/>
        <n v="199.49"/>
        <n v="2259.37"/>
        <n v="952.5"/>
        <n v="1947.24"/>
        <n v="850.5"/>
        <n v="51.01"/>
        <n v="94.01"/>
        <n v="20275.64"/>
        <n v="129.92"/>
        <n v="360.0"/>
        <n v="972.01"/>
        <n v="53.65"/>
        <n v="301.5"/>
        <n v="192.05"/>
        <n v="309.0"/>
        <n v="1105.53"/>
        <n v="1996.24"/>
        <n v="36.08"/>
        <n v="2625.01"/>
        <n v="249.0"/>
        <n v="288.0"/>
        <n v="152.99"/>
        <n v="1183.21"/>
        <n v="55.58"/>
        <n v="123.99"/>
        <n v="1092.0"/>
        <n v="2119.46"/>
        <n v="1881.84"/>
        <n v="712.48"/>
        <n v="345.1"/>
        <n v="354.77"/>
        <n v="721.47"/>
        <n v="201.0"/>
        <n v="164.98"/>
        <n v="373.5"/>
        <n v="24.0"/>
        <n v="247.88"/>
        <n v="259.98"/>
        <n v="543.01"/>
        <n v="162.0"/>
        <n v="159.99"/>
        <n v="372.0"/>
        <n v="941.99"/>
        <n v="1783.22"/>
        <n v="140.99"/>
        <n v="180.0"/>
        <n v="1177.4"/>
        <n v="107.96"/>
        <n v="157.76"/>
        <n v="164.72"/>
        <n v="180.96"/>
        <n v="143.52"/>
        <n v="140.02"/>
        <n v="533.46"/>
        <n v="112.3"/>
        <n v="680.77"/>
        <n v="214.6"/>
        <n v="258.01"/>
        <n v="315.52"/>
        <n v="580.0"/>
        <n v="199.52"/>
        <n v="183.0"/>
        <n v="104.4"/>
        <n v="721.52"/>
        <n v="429.2"/>
        <n v="361.92"/>
        <n v="756.32"/>
        <n v="227.03"/>
        <n v="539.4"/>
        <n v="183.28"/>
        <n v="98.6"/>
        <n v="371.2"/>
        <n v="431.52"/>
        <n v="10077.45"/>
        <n v="116.0"/>
        <n v="444.28"/>
        <n v="343.0"/>
        <n v="125.28"/>
        <n v="215.33"/>
        <n v="498.8"/>
        <n v="3991.56"/>
        <n v="406.14"/>
        <n v="676.28"/>
        <n v="295.8"/>
        <n v="514.93"/>
        <n v="1409.4"/>
        <n v="1057.92"/>
        <n v="251.99"/>
        <n v="5968.02"/>
        <n v="4875.25"/>
        <n v="445.44"/>
        <n v="74.99"/>
        <n v="161.0"/>
        <n v="1090.4"/>
        <n v="394.4"/>
        <n v="464.0"/>
        <n v="111.36"/>
        <n v="3853.52"/>
        <n v="453.59"/>
        <n v="777.2"/>
        <n v="163.56"/>
        <n v="329.44"/>
        <n v="313.2"/>
        <n v="231.72"/>
        <n v="5151.59"/>
        <n v="394.54"/>
        <n v="222.72"/>
        <n v="272.6"/>
        <n v="273.98"/>
        <n v="177.48"/>
        <n v="250.56"/>
        <n v="211.12"/>
        <n v="59.16"/>
        <n v="172.84"/>
        <n v="1073.0"/>
        <n v="120.59"/>
        <n v="599.72"/>
        <n v="64.96"/>
        <n v="306.24"/>
        <n v="3312.78"/>
        <n v="436.16"/>
        <n v="284.61"/>
        <n v="164.0"/>
        <n v="80.0"/>
        <n v="296.37"/>
        <n v="1211.07"/>
        <n v="80.04"/>
        <n v="98.41"/>
        <n v="197.2"/>
        <n v="100.92"/>
        <n v="362.42"/>
        <n v="807.96"/>
        <n v="83.52"/>
        <n v="357.28"/>
        <n v="81.2"/>
        <n v="499.96"/>
        <n v="774.88"/>
        <n v="146.16"/>
        <n v="215.54"/>
        <n v="241.04"/>
        <n v="79.96"/>
        <n v="74.24"/>
        <n v="954.71"/>
        <n v="6802.37"/>
        <n v="280.72"/>
        <n v="106.72"/>
        <n v="176.32"/>
        <n v="299.28"/>
        <n v="447.76"/>
        <n v="312.04"/>
        <n v="87.0"/>
        <n v="1223.8"/>
        <n v="225.04"/>
        <n v="382.8"/>
        <n v="148.48"/>
        <n v="1051.51"/>
        <n v="348.0"/>
        <n v="487.2"/>
        <n v="2308.4"/>
        <n v="162.4"/>
        <n v="406.0"/>
        <n v="334.08"/>
        <n v="646.49"/>
        <n v="115.86"/>
        <n v="3457.96"/>
        <n v="1077.51"/>
        <n v="324.41"/>
        <n v="318.61"/>
        <n v="770.48"/>
        <n v="1071.71"/>
        <n v="162.2"/>
        <n v="112.38"/>
        <n v="2128.45"/>
        <n v="76.0"/>
        <n v="644.13"/>
        <n v="472.01"/>
        <n v="0.0"/>
        <n v="249.66"/>
        <n v="102.6"/>
        <n v="476.55"/>
        <n v="134.52"/>
        <n v="220.13"/>
        <n v="52.22"/>
        <n v="100.0"/>
        <n v="425.0"/>
        <n v="266.16"/>
        <n v="255.0"/>
        <n v="116.93"/>
        <n v="306.16"/>
        <n v="341.55"/>
        <n v="81.54"/>
        <n v="163.08"/>
        <n v="130.77"/>
        <n v="244.61"/>
        <n v="252.31"/>
        <n v="215.39"/>
        <n v="53.85"/>
        <n v="104.62"/>
        <n v="68.44"/>
        <n v="110.77"/>
        <n v="224.62"/>
        <n v="192.31"/>
        <n v="406.16"/>
        <n v="1906.54"/>
        <n v="109.98"/>
        <n v="229.23"/>
        <n v="258.46"/>
        <n v="500.02"/>
        <n v="336.93"/>
        <n v="333.86"/>
        <n v="1073.85"/>
        <n v="193.85"/>
        <n v="721.55"/>
        <n v="1304.58"/>
        <n v="321.55"/>
        <n v="233.86"/>
        <n v="8147.67"/>
        <n v="216.93"/>
        <n v="395.38"/>
        <n v="1669.27"/>
        <n v="304.63"/>
        <n v="496.99"/>
        <n v="2858.47"/>
        <n v="58.46"/>
        <n v="1850.74"/>
        <n v="260.01"/>
        <n v="84.61"/>
        <n v="144.62"/>
        <n v="2020.77"/>
        <n v="224.56"/>
        <n v="495.39"/>
        <n v="497.48"/>
        <n v="40.0"/>
        <n v="273.85"/>
        <n v="1361.52"/>
        <n v="21143.12"/>
        <n v="263.09"/>
        <n v="315.12"/>
        <n v="283.08"/>
        <n v="576.93"/>
        <n v="1107.71"/>
        <n v="993.84"/>
        <n v="261.53"/>
        <n v="1630.73"/>
        <n v="75.39"/>
        <n v="260.0"/>
        <n v="227.7"/>
        <n v="1543.12"/>
        <n v="350.78"/>
        <n v="298.47"/>
        <n v="444.63"/>
        <n v="729.26"/>
        <n v="112.31"/>
        <n v="109.23"/>
        <n v="369.24"/>
        <n v="163.07"/>
        <n v="390.0"/>
        <n v="121.53"/>
        <n v="158.47"/>
        <n v="73.0"/>
        <n v="88.58"/>
        <n v="2684.62"/>
        <n v="69.92"/>
        <n v="119.99"/>
        <n v="444.61"/>
        <n v="221.55"/>
        <n v="3496.92"/>
        <n v="152.22"/>
        <n v="1429.24"/>
        <n v="421.34"/>
        <n v="99.23"/>
        <n v="116.02"/>
        <n v="143.5"/>
        <n v="55.0"/>
        <n v="103.81"/>
        <n v="757.17"/>
        <n v="1632.58"/>
        <n v="160.4"/>
        <n v="230.02"/>
        <n v="335.96"/>
        <n v="205.81"/>
        <n v="345.01"/>
        <n v="220.95"/>
        <n v="298.11"/>
        <n v="349.57"/>
        <n v="2049.11"/>
        <n v="80.2"/>
        <n v="441.86"/>
        <n v="118.02"/>
        <n v="399.14"/>
        <n v="114.04"/>
        <n v="363.13"/>
        <n v="519.17"/>
        <n v="424.63"/>
        <n v="373.62"/>
        <n v="349.62"/>
        <n v="117.05"/>
        <n v="21577.54"/>
        <n v="428.32"/>
        <n v="199.3"/>
        <n v="136.0"/>
        <n v="115.99"/>
        <n v="226.07"/>
        <n v="1023.22"/>
        <n v="1017.34"/>
        <n v="353.95"/>
        <n v="2841.41"/>
        <n v="359.98"/>
        <n v="346.7"/>
        <n v="36.66"/>
        <n v="20547.78"/>
        <n v="447.53"/>
        <n v="1860.43"/>
        <n v="222.32"/>
        <n v="94.39"/>
        <n v="148.11"/>
        <n v="173.68"/>
        <n v="387.73"/>
        <n v="109.35"/>
        <n v="614.35"/>
        <n v="338.12"/>
        <n v="54.22"/>
        <n v="325.29"/>
        <n v="21970.0"/>
        <n v="600.64"/>
        <n v="226.85"/>
        <n v="38.52"/>
        <n v="497.93"/>
        <n v="900.28"/>
        <n v="178.29"/>
        <n v="107.54"/>
        <n v="91.98"/>
        <m/>
      </sharedItems>
    </cacheField>
    <cacheField name="Terminos de pago" numFmtId="0">
      <sharedItems containsBlank="1">
        <s v="Pago inmediato"/>
        <s v="21 días"/>
        <s v="7 días"/>
        <s v="15 días"/>
        <s v="45 días"/>
        <s v="30 días"/>
        <m/>
      </sharedItems>
    </cacheField>
    <cacheField name="Descuento x Diferencial %" numFmtId="10">
      <sharedItems containsString="0" containsBlank="1" containsNumber="1">
        <n v="0.24886256331015533"/>
        <n v="0.0"/>
        <n v="0.005312316031665376"/>
        <n v="0.2442171158103672"/>
        <n v="5.476451259585069E-4"/>
        <n v="0.14156227374077768"/>
        <n v="0.19756388625982468"/>
        <n v="0.22666666666666668"/>
        <n v="0.2001777382803821"/>
        <n v="0.13793103906315762"/>
        <n v="0.11350226476016656"/>
        <n v="7.692899453815016E-5"/>
        <n v="0.004499250124979093"/>
        <n v="8.509119858723935E-7"/>
        <n v="0.09467765759756042"/>
        <n v="0.26573498690285724"/>
        <n v="0.013147168509631157"/>
        <n v="0.0031266394364918293"/>
        <n v="0.09067485632946704"/>
        <n v="0.13838151326513992"/>
        <n v="0.2345704715658239"/>
        <n v="0.15191646504520562"/>
        <n v="0.11382113821138207"/>
        <n v="0.137949764949031"/>
        <n v="7.55008310728722E-4"/>
        <n v="0.018374083241647243"/>
        <n v="0.33337822368864045"/>
        <n v="0.33333333333333337"/>
        <n v="0.323834822506641"/>
        <n v="0.32872655478775914"/>
        <n v="0.3201973843127782"/>
        <n v="0.050003812484141874"/>
        <n v="0.2863179641280871"/>
        <n v="0.33568489124044676"/>
        <n v="0.33346402666143893"/>
        <n v="1.063716625890887E-4"/>
        <n v="0.33665008291873966"/>
        <n v="0.2762301483988545"/>
        <n v="0.34627831715210355"/>
        <n v="0.027507641011392137"/>
        <n v="0.2983087441525728"/>
        <n v="0.32388438564540023"/>
        <n v="0.34511735728774273"/>
        <n v="0.18256898835865487"/>
        <n v="0.33065595716198126"/>
        <n v="8.819053413988698E-6"/>
        <n v="0.0019893063662671517"/>
        <n v="0.0036231884057971175"/>
        <n v="1.4283673760895343E-4"/>
        <n v="0.34843624699278275"/>
        <n v="0.33929436638329735"/>
        <n v="0.11398467432950188"/>
        <n v="0.10344909743428743"/>
        <n v="0.0060725111080197625"/>
        <n v="0.06246366189067476"/>
        <n v="0.0019349473360799063"/>
        <n v="0.13324118506630744"/>
        <n v="0.3448275862068966"/>
        <n v="0.1344311943636891"/>
        <n v="1.3494155992443968E-4"/>
        <n v="6.385825026019587E-4"/>
        <n v="0.002006398459725167"/>
        <n v="0.10452928163641884"/>
        <n v="0.12498663769691853"/>
        <n v="0.3283025126461564"/>
        <n v="0.3486590038314177"/>
        <n v="8.859487955481526E-6"/>
        <n v="0.005563549979734295"/>
        <n v="0.34729064039408875"/>
        <n v="0.006754032535118415"/>
        <n v="0.3496748374187093"/>
        <n v="0.339978448275862"/>
        <n v="0.08102583213477454"/>
        <n v="0.34843624699278264"/>
        <n v="0.1493706827021356"/>
        <n v="0.029461677329008173"/>
        <n v="0.10378716067372273"/>
        <n v="0.10345706717786651"/>
        <n v="0.346485819975339"/>
        <n v="0.09502876700265772"/>
        <n v="0.3440359054030727"/>
        <n v="0.1379205952113357"/>
        <n v="0.3469785575048733"/>
        <n v="0.14093687736116778"/>
        <n v="0.2640499553969671"/>
        <n v="0.0800572723542402"/>
        <n v="0.00635926618525795"/>
        <n v="0.0089107110383706"/>
        <n v="0.043414275202354746"/>
        <n v="0.10077797408627875"/>
        <n v="0.13793042831340674"/>
        <n v="0.34998973383619525"/>
        <n v="0.008606007948168237"/>
        <n v="0.3299583822008443"/>
        <n v="0.34999118632117043"/>
        <n v="4.0268424228440125E-6"/>
        <n v="0.13554168417122736"/>
        <n v="0.013157894736842146"/>
        <n v="0.11000523636774695"/>
        <n v="0.08000402783945593"/>
        <m/>
      </sharedItems>
    </cacheField>
    <cacheField name="Dcto Pronto Pago %" numFmtId="0">
      <sharedItems containsString="0" containsBlank="1" containsNumber="1">
        <m/>
        <n v="0.0509"/>
        <n v="0.08"/>
        <n v="0.02"/>
        <n v="0.05"/>
        <n v="0.06"/>
      </sharedItems>
    </cacheField>
    <cacheField name="Numero de Orden" numFmtId="0">
      <sharedItems containsSemiMixedTypes="0" containsString="0" containsNumber="1" containsInteger="1">
        <n v="4.0"/>
        <n v="7.0"/>
        <n v="8.0"/>
        <n v="9.0"/>
        <n v="10.0"/>
        <n v="11.0"/>
        <n v="14.0"/>
        <n v="15.0"/>
        <n v="17.0"/>
        <n v="18.0"/>
        <n v="19.0"/>
        <n v="20.0"/>
        <n v="21.0"/>
        <n v="22.0"/>
        <n v="23.0"/>
        <n v="24.0"/>
        <n v="26.0"/>
        <n v="27.0"/>
        <n v="28.0"/>
        <n v="29.0"/>
        <n v="30.0"/>
        <n v="31.0"/>
        <n v="32.0"/>
        <n v="33.0"/>
        <n v="34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9.0"/>
        <n v="72.0"/>
        <n v="73.0"/>
        <n v="74.0"/>
        <n v="77.0"/>
        <n v="78.0"/>
        <n v="79.0"/>
        <n v="81.0"/>
        <n v="82.0"/>
        <n v="83.0"/>
        <n v="84.0"/>
        <n v="86.0"/>
        <n v="87.0"/>
        <n v="88.0"/>
        <n v="89.0"/>
        <n v="90.0"/>
        <n v="92.0"/>
        <n v="93.0"/>
        <n v="94.0"/>
        <n v="95.0"/>
        <n v="96.0"/>
        <n v="97.0"/>
        <n v="98.0"/>
        <n v="99.0"/>
        <n v="100.0"/>
        <n v="101.0"/>
        <n v="103.0"/>
        <n v="104.0"/>
        <n v="105.0"/>
        <n v="106.0"/>
        <n v="108.0"/>
        <n v="113.0"/>
        <n v="114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6.0"/>
        <n v="137.0"/>
        <n v="138.0"/>
        <n v="139.0"/>
        <n v="140.0"/>
        <n v="141.0"/>
        <n v="142.0"/>
        <n v="143.0"/>
        <n v="144.0"/>
        <n v="145.0"/>
        <n v="146.0"/>
        <n v="148.0"/>
        <n v="149.0"/>
        <n v="150.0"/>
        <n v="151.0"/>
        <n v="152.0"/>
        <n v="153.0"/>
        <n v="154.0"/>
        <n v="156.0"/>
        <n v="157.0"/>
        <n v="158.0"/>
        <n v="159.0"/>
        <n v="160.0"/>
        <n v="161.0"/>
        <n v="163.0"/>
        <n v="164.0"/>
        <n v="165.0"/>
        <n v="166.0"/>
        <n v="167.0"/>
        <n v="168.0"/>
        <n v="169.0"/>
        <n v="170.0"/>
        <n v="171.0"/>
        <n v="174.0"/>
        <n v="175.0"/>
        <n v="176.0"/>
        <n v="177.0"/>
        <n v="178.0"/>
        <n v="179.0"/>
        <n v="181.0"/>
        <n v="182.0"/>
        <n v="183.0"/>
        <n v="184.0"/>
        <n v="185.0"/>
        <n v="186.0"/>
        <n v="187.0"/>
        <n v="188.0"/>
        <n v="189.0"/>
        <n v="190.0"/>
        <n v="192.0"/>
        <n v="195.0"/>
        <n v="196.0"/>
        <n v="197.0"/>
        <n v="198.0"/>
        <n v="199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8.0"/>
        <n v="219.0"/>
        <n v="220.0"/>
        <n v="221.0"/>
        <n v="222.0"/>
        <n v="223.0"/>
        <n v="225.0"/>
        <n v="226.0"/>
        <n v="227.0"/>
        <n v="228.0"/>
        <n v="229.0"/>
        <n v="230.0"/>
        <n v="231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7.0"/>
        <n v="258.0"/>
        <n v="259.0"/>
        <n v="260.0"/>
        <n v="261.0"/>
        <n v="262.0"/>
        <n v="263.0"/>
        <n v="264.0"/>
        <n v="265.0"/>
        <n v="274.0"/>
        <n v="279.0"/>
        <n v="280.0"/>
        <n v="282.0"/>
        <n v="283.0"/>
        <n v="284.0"/>
        <n v="285.0"/>
        <n v="286.0"/>
        <n v="287.0"/>
        <n v="289.0"/>
        <n v="291.0"/>
        <n v="292.0"/>
        <n v="293.0"/>
        <n v="294.0"/>
        <n v="295.0"/>
        <n v="296.0"/>
        <n v="298.0"/>
        <n v="300.0"/>
        <n v="301.0"/>
        <n v="302.0"/>
        <n v="303.0"/>
        <n v="304.0"/>
        <n v="305.0"/>
        <n v="306.0"/>
        <n v="308.0"/>
        <n v="309.0"/>
        <n v="310.0"/>
        <n v="311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30.0"/>
        <n v="331.0"/>
        <n v="332.0"/>
        <n v="334.0"/>
        <n v="335.0"/>
        <n v="336.0"/>
        <n v="337.0"/>
        <n v="338.0"/>
        <n v="339.0"/>
        <n v="340.0"/>
        <n v="341.0"/>
        <n v="343.0"/>
        <n v="344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1.0"/>
        <n v="362.0"/>
        <n v="363.0"/>
        <n v="364.0"/>
        <n v="365.0"/>
        <n v="366.0"/>
        <n v="368.0"/>
        <n v="369.0"/>
        <n v="372.0"/>
        <n v="373.0"/>
        <n v="374.0"/>
        <n v="375.0"/>
        <n v="376.0"/>
        <n v="378.0"/>
        <n v="379.0"/>
        <n v="380.0"/>
        <n v="381.0"/>
        <n v="382.0"/>
        <n v="384.0"/>
        <n v="386.0"/>
        <n v="387.0"/>
        <n v="388.0"/>
        <n v="389.0"/>
        <n v="392.0"/>
        <n v="393.0"/>
        <n v="394.0"/>
        <n v="395.0"/>
        <n v="396.0"/>
        <n v="397.0"/>
        <n v="398.0"/>
        <n v="399.0"/>
        <n v="400.0"/>
        <n v="401.0"/>
        <n v="402.0"/>
        <n v="404.0"/>
        <n v="405.0"/>
        <n v="407.0"/>
        <n v="408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9.0"/>
        <n v="440.0"/>
        <n v="441.0"/>
        <n v="442.0"/>
        <n v="443.0"/>
        <n v="444.0"/>
        <n v="446.0"/>
        <n v="447.0"/>
        <n v="449.0"/>
        <n v="450.0"/>
        <n v="451.0"/>
        <n v="452.0"/>
        <n v="454.0"/>
        <n v="456.0"/>
        <n v="457.0"/>
        <n v="458.0"/>
        <n v="462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2.0"/>
        <n v="483.0"/>
        <n v="484.0"/>
        <n v="485.0"/>
        <n v="486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2.0"/>
        <n v="523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0.0"/>
      </sharedItems>
    </cacheField>
    <cacheField name="Fecha" numFmtId="165">
      <sharedItems containsSemiMixedTypes="0" containsDate="1" containsString="0">
        <d v="2026-03-09T00:00:00Z"/>
        <d v="2026-02-26T00:00:00Z"/>
        <d v="2026-03-16T00:00:00Z"/>
        <d v="2026-03-13T00:00:00Z"/>
        <d v="2026-03-03T00:00:00Z"/>
        <d v="2026-03-04T00:00:00Z"/>
        <d v="2026-03-05T00:00:00Z"/>
        <d v="2026-03-06T00:00:00Z"/>
        <d v="2026-03-10T00:00:00Z"/>
        <d v="2026-03-11T00:00:00Z"/>
        <d v="2026-03-12T00:00:00Z"/>
        <d v="2026-03-17T00:00:00Z"/>
        <d v="2026-03-18T00:00:00Z"/>
        <d v="2026-03-19T00:00:00Z"/>
        <d v="2026-03-20T00:00:00Z"/>
        <d v="2026-03-24T00:00:00Z"/>
        <d v="2026-03-23T00:00:00Z"/>
        <d v="2026-03-25T00:00:00Z"/>
        <d v="2026-03-26T00:00:00Z"/>
        <d v="2026-03-27T00:00:00Z"/>
        <d v="2026-03-30T00:00:00Z"/>
        <d v="2026-03-31T00:00:00Z"/>
        <d v="2026-04-01T00:00:00Z"/>
        <d v="2026-04-06T00:00:00Z"/>
        <d v="2026-04-07T00:00:00Z"/>
        <d v="2026-04-08T00:00:00Z"/>
        <d v="2026-04-09T00:00:00Z"/>
        <d v="2026-04-10T00:00:00Z"/>
        <d v="2026-04-13T00:00:00Z"/>
        <d v="2026-04-11T00:00:00Z"/>
        <d v="2026-05-12T00:00:00Z"/>
        <d v="2026-04-14T00:00:00Z"/>
        <d v="2026-04-15T00:00:00Z"/>
        <d v="2026-04-16T00:00:00Z"/>
        <d v="2026-04-17T00:00:00Z"/>
        <d v="2026-04-20T00:00:00Z"/>
        <d v="2026-04-21T00:00:00Z"/>
        <d v="2026-04-24T00:00:00Z"/>
        <d v="2026-04-22T00:00:00Z"/>
        <d v="2026-04-23T00:00:00Z"/>
        <d v="2026-04-28T00:00:00Z"/>
        <d v="2026-05-18T00:00:00Z"/>
        <d v="2026-04-27T00:00:00Z"/>
        <d v="2026-04-29T00:00:00Z"/>
        <d v="2026-04-30T00:00:00Z"/>
        <d v="2026-05-04T00:00:00Z"/>
        <d v="2026-05-05T00:00:00Z"/>
        <d v="2026-05-13T00:00:00Z"/>
        <d v="2026-05-06T00:00:00Z"/>
        <d v="2026-05-07T00:00:00Z"/>
        <d v="2026-05-08T00:00:00Z"/>
        <d v="2026-05-11T00:00:00Z"/>
        <d v="2026-05-14T00:00:00Z"/>
        <d v="2026-05-15T00:00:00Z"/>
        <d v="2026-05-19T00:00:00Z"/>
        <d v="2026-05-21T00:00:00Z"/>
        <d v="2026-05-20T00:00:00Z"/>
        <d v="2026-05-26T00:00:00Z"/>
        <d v="2026-05-22T00:00:00Z"/>
        <d v="2026-05-25T00:00:00Z"/>
        <d v="2026-05-28T00:00:00Z"/>
        <d v="2026-05-27T00:00:00Z"/>
        <d v="2026-05-29T00:00:00Z"/>
        <d v="2026-06-01T00:00:00Z"/>
        <d v="2026-06-03T00:00:00Z"/>
        <d v="2026-06-02T00:00:00Z"/>
        <d v="2026-06-04T00:00:00Z"/>
        <d v="2026-06-05T00:00:00Z"/>
        <d v="2026-06-08T00:00:00Z"/>
        <d v="2026-06-09T00:00:00Z"/>
        <d v="2026-06-15T00:00:00Z"/>
        <d v="2026-06-10T00:00:00Z"/>
        <d v="2026-06-11T00:00:00Z"/>
        <d v="2026-06-19T00:00:00Z"/>
        <d v="2026-06-12T00:00:00Z"/>
        <d v="2026-06-13T00:00:00Z"/>
        <d v="2026-06-16T00:00:00Z"/>
        <d v="2026-06-17T00:00:00Z"/>
        <d v="2026-06-18T00:00:00Z"/>
        <d v="2026-06-22T00:00:00Z"/>
        <d v="1899-12-30T00:00:00Z"/>
      </sharedItems>
    </cacheField>
    <cacheField name="Dias de credito">
      <sharedItems containsMixedTypes="1" containsNumber="1" containsInteger="1">
        <n v="0.0"/>
        <n v="21.0"/>
        <n v="7.0"/>
        <n v="15.0"/>
        <n v="45.0"/>
        <n v="30.0"/>
        <s v=""/>
      </sharedItems>
    </cacheField>
    <cacheField name="Vencimiento" numFmtId="165">
      <sharedItems containsSemiMixedTypes="0" containsDate="1" containsString="0">
        <d v="2026-03-10T00:00:00Z"/>
        <d v="2026-02-27T00:00:00Z"/>
        <d v="2026-04-07T00:00:00Z"/>
        <d v="2026-03-14T00:00:00Z"/>
        <d v="2026-03-17T00:00:00Z"/>
        <d v="2026-03-11T00:00:00Z"/>
        <d v="2026-03-25T00:00:00Z"/>
        <d v="2026-03-20T00:00:00Z"/>
        <d v="2026-03-06T00:00:00Z"/>
        <d v="2026-03-22T00:00:00Z"/>
        <d v="2026-04-21T00:00:00Z"/>
        <d v="2026-03-26T00:00:00Z"/>
        <d v="2026-03-18T00:00:00Z"/>
        <d v="2026-03-27T00:00:00Z"/>
        <d v="2026-04-01T00:00:00Z"/>
        <d v="2026-04-26T00:00:00Z"/>
        <d v="2026-03-12T00:00:00Z"/>
        <d v="2026-03-19T00:00:00Z"/>
        <d v="2026-03-28T00:00:00Z"/>
        <d v="2026-03-13T00:00:00Z"/>
        <d v="2026-03-21T00:00:00Z"/>
        <d v="2026-04-13T00:00:00Z"/>
        <d v="2026-04-16T00:00:00Z"/>
        <d v="2026-04-17T00:00:00Z"/>
        <d v="2026-04-02T00:00:00Z"/>
        <d v="2026-04-18T00:00:00Z"/>
        <d v="2026-04-04T00:00:00Z"/>
        <d v="2026-04-05T00:00:00Z"/>
        <d v="2026-04-11T00:00:00Z"/>
        <d v="2026-05-09T00:00:00Z"/>
        <d v="2026-04-08T00:00:00Z"/>
        <d v="2026-03-24T00:00:00Z"/>
        <d v="2026-04-09T00:00:00Z"/>
        <d v="2026-05-10T00:00:00Z"/>
        <d v="2026-04-10T00:00:00Z"/>
        <d v="2026-05-11T00:00:00Z"/>
        <d v="2026-04-12T00:00:00Z"/>
        <d v="2026-03-31T00:00:00Z"/>
        <d v="2026-04-15T00:00:00Z"/>
        <d v="2026-04-14T00:00:00Z"/>
        <d v="2026-04-22T00:00:00Z"/>
        <d v="2026-04-23T00:00:00Z"/>
        <d v="2026-04-25T00:00:00Z"/>
        <d v="2026-05-20T00:00:00Z"/>
        <d v="2026-04-30T00:00:00Z"/>
        <d v="2026-05-01T00:00:00Z"/>
        <d v="2026-04-24T00:00:00Z"/>
        <d v="2026-05-02T00:00:00Z"/>
        <d v="2026-05-18T00:00:00Z"/>
        <d v="2026-04-28T00:00:00Z"/>
        <d v="2026-05-06T00:00:00Z"/>
        <d v="2026-04-29T00:00:00Z"/>
        <d v="2026-05-22T00:00:00Z"/>
        <d v="2026-05-29T00:00:00Z"/>
        <d v="2026-05-24T00:00:00Z"/>
        <d v="2026-05-26T00:00:00Z"/>
        <d v="2026-05-05T00:00:00Z"/>
        <d v="2026-05-14T00:00:00Z"/>
        <d v="2026-05-07T00:00:00Z"/>
        <d v="2026-05-08T00:00:00Z"/>
        <d v="2026-05-12T00:00:00Z"/>
        <d v="2026-06-19T00:00:00Z"/>
        <d v="2026-05-13T00:00:00Z"/>
        <d v="2026-05-28T00:00:00Z"/>
        <d v="2026-06-06T00:00:00Z"/>
        <d v="2026-05-15T00:00:00Z"/>
        <d v="2026-05-16T00:00:00Z"/>
        <d v="2026-06-23T00:00:00Z"/>
        <d v="2026-05-19T00:00:00Z"/>
        <d v="2026-06-12T00:00:00Z"/>
        <d v="2026-05-21T00:00:00Z"/>
        <d v="2026-06-05T00:00:00Z"/>
        <d v="2026-05-23T00:00:00Z"/>
        <d v="2026-06-30T00:00:00Z"/>
        <d v="2026-05-27T00:00:00Z"/>
        <d v="2026-07-05T00:00:00Z"/>
        <d v="2026-06-03T00:00:00Z"/>
        <d v="2026-05-30T00:00:00Z"/>
        <d v="2026-06-07T00:00:00Z"/>
        <d v="2026-06-02T00:00:00Z"/>
        <d v="2026-06-04T00:00:00Z"/>
        <d v="2026-06-29T00:00:00Z"/>
        <d v="2026-06-09T00:00:00Z"/>
        <d v="2026-06-11T00:00:00Z"/>
        <d v="2026-07-02T00:00:00Z"/>
        <d v="2026-06-17T00:00:00Z"/>
        <d v="2026-06-10T00:00:00Z"/>
        <d v="2026-06-18T00:00:00Z"/>
        <d v="2026-06-24T00:00:00Z"/>
        <d v="2026-06-25T00:00:00Z"/>
        <d v="2026-06-20T00:00:00Z"/>
        <d v="2026-06-13T00:00:00Z"/>
        <d v="2026-06-26T00:00:00Z"/>
        <d v="2026-06-27T00:00:00Z"/>
        <d v="2026-06-16T00:00:00Z"/>
        <d v="2026-07-11T00:00:00Z"/>
        <d v="2026-06-28T00:00:00Z"/>
        <d v="2026-07-13T00:00:00Z"/>
        <d v="2026-06-21T00:00:00Z"/>
        <d v="2026-07-03T00:00:00Z"/>
        <d v="2026-07-04T00:00:00Z"/>
        <d v="2026-07-10T00:00:00Z"/>
        <d v="2026-07-20T00:00:00Z"/>
        <d v="1899-12-31T00:00:00Z"/>
      </sharedItems>
    </cacheField>
    <cacheField name="Total C/Dcto" numFmtId="4">
      <sharedItems containsSemiMixedTypes="0" containsString="0" containsNumber="1">
        <n v="175.0"/>
        <n v="246.0"/>
        <n v="35.33"/>
        <n v="335.98"/>
        <n v="27781.08"/>
        <n v="63.77"/>
        <n v="82.24"/>
        <n v="954.79"/>
        <n v="104.36"/>
        <n v="96.0"/>
        <n v="78.25"/>
        <n v="472.53"/>
        <n v="212.72"/>
        <n v="90.44"/>
        <n v="72.48"/>
        <n v="510.0"/>
        <n v="68.91196274532622"/>
        <n v="198.0"/>
        <n v="146.0"/>
        <n v="289.16"/>
        <n v="86.70221035218145"/>
        <n v="195.0"/>
        <n v="185.04"/>
        <n v="434.83"/>
        <n v="58.0"/>
        <n v="72.0"/>
        <n v="28.88"/>
        <n v="1080.62"/>
        <n v="160.98"/>
        <n v="130.99999930396257"/>
        <n v="362.52"/>
        <n v="2147.0"/>
        <n v="55.34"/>
        <n v="129.98"/>
        <n v="1796.760192"/>
        <n v="53.79"/>
        <n v="1033.52"/>
        <n v="64.99"/>
        <n v="119.48"/>
        <n v="259.99"/>
        <n v="792.33"/>
        <n v="582.77"/>
        <n v="133.99"/>
        <n v="84.28992827662871"/>
        <n v="241.81"/>
        <n v="2036.91"/>
        <n v="190.0"/>
        <n v="10739.61"/>
        <n v="2492.0"/>
        <n v="154.49144837269924"/>
        <n v="375.35"/>
        <n v="132.47"/>
        <n v="159.99817437044305"/>
        <n v="560.84"/>
        <n v="78.62"/>
        <n v="415.08"/>
        <n v="166.8520706121061"/>
        <n v="35.99"/>
        <n v="300.86"/>
        <n v="459.5356037151703"/>
        <n v="71.99"/>
        <n v="1250.0"/>
        <n v="970.07"/>
        <n v="67.37"/>
        <n v="173.65"/>
        <n v="333.0"/>
        <n v="286.51"/>
        <n v="89.99"/>
        <n v="171.0"/>
        <n v="126.0"/>
        <n v="218.0"/>
        <n v="191.1"/>
        <n v="317.6741321186326"/>
        <n v="434.94"/>
        <n v="530.98"/>
        <n v="1623.82"/>
        <n v="92.92978422710223"/>
        <n v="193.9201998556126"/>
        <n v="184.1"/>
        <n v="711.13"/>
        <n v="280.5"/>
        <n v="991.22"/>
        <n v="110.01"/>
        <n v="296.98"/>
        <n v="99.01"/>
        <n v="140.0"/>
        <n v="34.0"/>
        <n v="197.0"/>
        <n v="179.99"/>
        <n v="371.2300101955719"/>
        <n v="76.0"/>
        <n v="4655.88"/>
        <n v="199.49"/>
        <n v="2259.37"/>
        <n v="952.5"/>
        <n v="1947.24"/>
        <n v="565.0"/>
        <n v="32.9798"/>
        <n v="94.0"/>
        <n v="20275.64"/>
        <n v="93.0"/>
        <n v="129.92"/>
        <n v="360.0"/>
        <n v="972.01"/>
        <n v="53.65"/>
        <n v="200.0"/>
        <n v="139.0"/>
        <n v="202.0"/>
        <n v="108.0"/>
        <n v="1105.53"/>
        <n v="1996.24"/>
        <n v="36.08"/>
        <n v="2625.01"/>
        <n v="249.0"/>
        <n v="288.0"/>
        <n v="35.0"/>
        <n v="152.99"/>
        <n v="1183.21"/>
        <n v="39.0"/>
        <n v="123.99"/>
        <n v="1092.0"/>
        <n v="1433.0"/>
        <n v="1881.84"/>
        <n v="712.48"/>
        <n v="226.0"/>
        <n v="290.0"/>
        <n v="721.47"/>
        <n v="201.0"/>
        <n v="164.98"/>
        <n v="250.0"/>
        <n v="24.0"/>
        <n v="247.88"/>
        <n v="259.98"/>
        <n v="543.01"/>
        <n v="159.99"/>
        <n v="372.0"/>
        <n v="941.99"/>
        <n v="1783.22"/>
        <n v="140.99"/>
        <n v="180.0"/>
        <n v="1177.3896164465104"/>
        <n v="107.96"/>
        <n v="157.44616702765768"/>
        <n v="164.72"/>
        <n v="180.96"/>
        <n v="143.0"/>
        <n v="533.46"/>
        <n v="112.3"/>
        <n v="680.77"/>
        <n v="214.6"/>
        <n v="258.01"/>
        <n v="315.52"/>
        <n v="580.0"/>
        <n v="130.0"/>
        <n v="183.0"/>
        <n v="104.4"/>
        <n v="721.52"/>
        <n v="429.2"/>
        <n v="361.92"/>
        <n v="756.32"/>
        <n v="150.0"/>
        <n v="539.4"/>
        <n v="183.28"/>
        <n v="98.6"/>
        <n v="371.2"/>
        <n v="431.52"/>
        <n v="10077.45"/>
        <n v="116.0"/>
        <n v="444.28"/>
        <n v="343.0"/>
        <n v="111.0"/>
        <n v="215.33"/>
        <n v="498.8"/>
        <n v="3991.56"/>
        <n v="406.14"/>
        <n v="606.31944438714"/>
        <n v="294.00375121424776"/>
        <n v="514.93"/>
        <n v="1321.363714931283"/>
        <n v="1057.92"/>
        <n v="164.4012754748009"/>
        <n v="239.3905"/>
        <n v="5968.02"/>
        <n v="4875.25"/>
        <n v="386.08904652406403"/>
        <n v="74.99"/>
        <n v="161.0"/>
        <n v="943.8162256658335"/>
        <n v="394.4"/>
        <n v="464.0"/>
        <n v="111.36"/>
        <n v="3853.0"/>
        <n v="453.59"/>
        <n v="777.2"/>
        <n v="163.56"/>
        <n v="329.44"/>
        <n v="312.99999596018506"/>
        <n v="231.72"/>
        <n v="5141.253857758865"/>
        <n v="394.54"/>
        <n v="222.72"/>
        <n v="272.6"/>
        <n v="273.98"/>
        <n v="158.92814309516837"/>
        <n v="250.56"/>
        <n v="211.12"/>
        <n v="51.7657905138503"/>
        <n v="172.84"/>
        <n v="1073.0"/>
        <n v="81.0"/>
        <n v="599.72"/>
        <n v="64.96"/>
        <n v="306.24"/>
        <n v="3312.78"/>
        <n v="436.16"/>
        <n v="284.61"/>
        <n v="164.0"/>
        <n v="80.0"/>
        <n v="68.0"/>
        <n v="296.37"/>
        <n v="1211.07"/>
        <n v="115.99897229939717"/>
        <n v="80.04"/>
        <n v="98.41"/>
        <n v="197.2"/>
        <n v="100.92"/>
        <n v="362.42"/>
        <n v="807.96"/>
        <n v="83.05533230569259"/>
        <n v="357.28"/>
        <n v="53.0"/>
        <n v="499.96"/>
        <n v="774.88"/>
        <n v="146.16"/>
        <n v="97.93405239203732"/>
        <n v="215.54"/>
        <n v="241.04"/>
        <n v="52.0"/>
        <n v="49.0"/>
        <n v="954.71"/>
        <n v="6802.37"/>
        <n v="257.9744284031261"/>
        <n v="106.72"/>
        <n v="176.32"/>
        <n v="447.76"/>
        <n v="312.04"/>
        <n v="87.0"/>
        <n v="1223.8"/>
        <n v="191.4256215647114"/>
        <n v="382.8"/>
        <n v="148.48"/>
        <n v="1051.51"/>
        <n v="348.0"/>
        <n v="472.8462708053072"/>
        <n v="74.24"/>
        <n v="2308.4"/>
        <n v="162.4"/>
        <n v="406.0"/>
        <n v="334.08"/>
        <n v="646.49"/>
        <n v="115.86"/>
        <n v="3457.96"/>
        <n v="965.678296502457"/>
        <n v="290.84749283682834"/>
        <n v="318.61"/>
        <n v="770.48"/>
        <n v="1071.71"/>
        <n v="106.0"/>
        <n v="101.70066716424132"/>
        <n v="2128.45"/>
        <n v="555.2912070065223"/>
        <n v="472.01"/>
        <n v="0.0"/>
        <n v="249.66"/>
        <n v="67.0"/>
        <n v="476.55"/>
        <n v="146.8997939712403"/>
        <n v="99.0"/>
        <n v="102.6"/>
        <n v="202.5069926366611"/>
        <n v="52.22"/>
        <n v="100.0"/>
        <n v="425.0"/>
        <n v="266.16"/>
        <n v="255.0"/>
        <n v="116.93"/>
        <n v="306.16"/>
        <n v="339.37799263442514"/>
        <n v="81.54"/>
        <n v="163.08"/>
        <n v="130.77"/>
        <n v="244.61"/>
        <n v="252.31"/>
        <n v="215.39"/>
        <n v="53.85"/>
        <n v="104.62"/>
        <n v="68.44"/>
        <n v="110.77"/>
        <n v="224.62"/>
        <n v="192.31"/>
        <n v="406.16"/>
        <n v="1906.54"/>
        <n v="109.0"/>
        <n v="229.23"/>
        <n v="258.46"/>
        <n v="500.02"/>
        <n v="78.0"/>
        <n v="336.93"/>
        <n v="333.86"/>
        <n v="1073.85"/>
        <n v="193.85"/>
        <n v="721.55"/>
        <n v="1304.58"/>
        <n v="321.55"/>
        <n v="233.86"/>
        <n v="8147.67"/>
        <n v="216.93"/>
        <n v="395.38"/>
        <n v="1669.27"/>
        <n v="273.9300057540969"/>
        <n v="496.99"/>
        <n v="2464.200008578976"/>
        <n v="58.46"/>
        <n v="1203.0"/>
        <n v="257.77235187339676"/>
        <n v="84.61"/>
        <n v="144.62"/>
        <n v="1354.0"/>
        <n v="224.56"/>
        <n v="495.39"/>
        <n v="487.53040000000004"/>
        <n v="37.6"/>
        <n v="273.85"/>
        <n v="885.0"/>
        <n v="21143.12"/>
        <n v="263.09"/>
        <n v="315.12"/>
        <n v="283.08"/>
        <n v="576.93"/>
        <n v="1107.71"/>
        <n v="993.84"/>
        <n v="261.53"/>
        <n v="1630.73"/>
        <n v="75.39"/>
        <n v="260.0"/>
        <n v="227.7"/>
        <n v="1543.12"/>
        <n v="350.78"/>
        <n v="298.47"/>
        <n v="444.62820954505355"/>
        <n v="729.26"/>
        <n v="112.31"/>
        <n v="40.0"/>
        <n v="109.23"/>
        <n v="369.24"/>
        <n v="163.07"/>
        <n v="390.0"/>
        <n v="121.53"/>
        <n v="101.08111086985839"/>
        <n v="75.0"/>
        <n v="141.03747019280314"/>
        <n v="73.0"/>
        <n v="88.58"/>
        <n v="2684.62"/>
        <n v="69.92"/>
        <n v="119.99"/>
        <n v="444.61"/>
        <n v="221.55"/>
        <n v="3496.92"/>
        <n v="152.22"/>
        <n v="1429.24"/>
        <n v="421.34"/>
        <n v="99.23"/>
        <n v="116.02"/>
        <n v="143.5"/>
        <n v="55.0"/>
        <n v="103.81"/>
        <n v="757.17"/>
        <n v="1632.58"/>
        <n v="160.4"/>
        <n v="230.02"/>
        <n v="335.96"/>
        <n v="205.81"/>
        <n v="345.01"/>
        <n v="220.95"/>
        <n v="274.2599992607798"/>
        <n v="349.57"/>
        <n v="2049.11"/>
        <n v="80.2"/>
        <n v="441.86"/>
        <n v="118.02"/>
        <n v="399.14"/>
        <n v="114.04"/>
        <n v="363.13"/>
        <n v="519.17"/>
        <n v="424.63"/>
        <n v="373.62"/>
        <n v="349.62"/>
        <n v="117.05"/>
        <n v="21577.54"/>
        <n v="428.32"/>
        <n v="199.3"/>
        <n v="136.0"/>
        <n v="115.99"/>
        <n v="226.07"/>
        <n v="1023.22"/>
        <n v="1017.34"/>
        <n v="353.95"/>
        <n v="2841.41"/>
        <n v="359.98"/>
        <n v="346.7"/>
        <n v="36.66"/>
        <n v="20547.78"/>
        <n v="447.53"/>
        <n v="1860.43"/>
        <n v="222.32"/>
        <n v="94.39"/>
        <n v="148.11"/>
        <n v="173.68"/>
        <n v="387.73"/>
        <n v="109.35"/>
        <n v="614.35"/>
        <n v="338.12"/>
        <n v="54.22"/>
        <n v="325.29"/>
        <n v="21970.0"/>
        <n v="600.64"/>
        <n v="226.85"/>
        <n v="38.52"/>
        <n v="497.93"/>
        <n v="900.28"/>
        <n v="178.29"/>
        <n v="107.54"/>
        <n v="91.98"/>
      </sharedItems>
    </cacheField>
    <cacheField name="Dias Vencido" numFmtId="0">
      <sharedItems containsSemiMixedTypes="0" containsString="0" containsNumber="1" containsInteger="1">
        <n v="0.0"/>
        <n v="102.0"/>
        <n v="94.0"/>
        <n v="93.0"/>
        <n v="92.0"/>
        <n v="87.0"/>
        <n v="62.0"/>
        <n v="91.0"/>
        <n v="106.0"/>
        <n v="99.0"/>
        <n v="98.0"/>
        <n v="72.0"/>
        <n v="71.0"/>
        <n v="70.0"/>
        <n v="84.0"/>
        <n v="83.0"/>
        <n v="49.0"/>
        <n v="80.0"/>
        <n v="79.0"/>
        <n v="48.0"/>
        <n v="78.0"/>
        <n v="77.0"/>
        <n v="86.0"/>
        <n v="74.0"/>
        <n v="81.0"/>
        <n v="66.0"/>
        <n v="65.0"/>
        <n v="63.0"/>
        <n v="76.0"/>
        <n v="38.0"/>
        <n v="73.0"/>
        <n v="58.0"/>
        <n v="57.0"/>
        <n v="64.0"/>
        <n v="56.0"/>
        <n v="40.0"/>
        <n v="60.0"/>
        <n v="59.0"/>
        <n v="36.0"/>
        <n v="53.0"/>
        <n v="44.0"/>
        <n v="51.0"/>
        <n v="50.0"/>
        <n v="46.0"/>
        <n v="8.0"/>
        <n v="45.0"/>
        <n v="30.0"/>
        <n v="43.0"/>
        <n v="29.0"/>
        <n v="42.0"/>
        <n v="4.0"/>
        <n v="39.0"/>
        <n v="15.0"/>
        <n v="37.0"/>
        <n v="22.0"/>
        <n v="35.0"/>
        <n v="32.0"/>
        <n v="31.0"/>
        <n v="24.0"/>
        <n v="28.0"/>
        <n v="20.0"/>
        <n v="25.0"/>
        <n v="23.0"/>
        <n v="21.0"/>
        <n v="18.0"/>
        <n v="16.0"/>
        <n v="10.0"/>
        <n v="17.0"/>
        <n v="9.0"/>
        <n v="3.0"/>
        <n v="2.0"/>
        <n v="7.0"/>
        <n v="14.0"/>
        <n v="11.0"/>
        <n v="1.0"/>
        <n v="6.0"/>
      </sharedItems>
      <fieldGroup base="13">
        <rangePr autoStart="0" autoEnd="0" startNum="1.0" endNum="30.0" groupInterval="1000.0"/>
        <groupItems>
          <s v="&lt; 1"/>
          <s v="1 - 30"/>
          <s v="&gt; 30"/>
        </groupItems>
      </fieldGroup>
    </cacheField>
    <cacheField name="Estado Vencimiento" numFmtId="0">
      <sharedItems>
        <s v="PAGADA"/>
        <s v="VENCIDA"/>
        <s v="EN TIEMPO"/>
      </sharedItems>
    </cacheField>
    <cacheField name="Monto Pagado USD" numFmtId="2">
      <sharedItems containsSemiMixedTypes="0" containsString="0" containsNumber="1">
        <n v="175.0"/>
        <n v="246.0"/>
        <n v="85.33"/>
        <n v="396.47317906993857"/>
        <n v="27781.08"/>
        <n v="74.96008846460224"/>
        <n v="86.57827478329567"/>
        <n v="713.0517045098114"/>
        <n v="1847.0"/>
        <n v="96.0"/>
        <n v="91.89855023431099"/>
        <n v="166.2406347195711"/>
        <n v="238.64989571606637"/>
        <n v="101.23959178648737"/>
        <n v="30.0"/>
        <n v="150.0"/>
        <n v="68.91196274532622"/>
        <n v="198.0"/>
        <n v="146.0"/>
        <n v="49.99999999999999"/>
        <n v="86.70221035218145"/>
        <n v="195.0"/>
        <n v="204.98768474833676"/>
        <n v="208.01027020652973"/>
        <n v="58.0"/>
        <n v="72.0"/>
        <n v="29.15730285384934"/>
        <n v="120.0"/>
        <n v="161.00050004287857"/>
        <n v="151.96000661699588"/>
        <n v="426.50749968791314"/>
        <n v="2147.0"/>
        <n v="0.0"/>
        <n v="129.98"/>
        <n v="1893.1200111550663"/>
        <n v="61.94126451808485"/>
        <n v="430.0"/>
        <n v="65.0"/>
        <n v="119.48"/>
        <n v="260.0"/>
        <n v="930.7020201949153"/>
        <n v="218.00235178206609"/>
        <n v="134.0"/>
        <n v="84.28992827662871"/>
        <n v="200.0"/>
        <n v="190.0"/>
        <n v="3498.0"/>
        <n v="2492.0"/>
        <n v="72.00074587599022"/>
        <n v="168.12024837269925"/>
        <n v="699.8626482778354"/>
        <n v="132.48"/>
        <n v="159.99817437044305"/>
        <n v="104.0"/>
        <n v="78.62019474738442"/>
        <n v="166.8520706121061"/>
        <n v="36.0"/>
        <n v="179.6674934264389"/>
        <n v="459.5356037151703"/>
        <n v="1250.0"/>
        <n v="470.4594610117201"/>
        <n v="49.48284845279499"/>
        <n v="226.93084447331103"/>
        <n v="333.0"/>
        <n v="278.1546575091378"/>
        <n v="90.0"/>
        <n v="171.0"/>
        <n v="126.0"/>
        <n v="218.0"/>
        <n v="204.9527236491361"/>
        <n v="317.6741321186326"/>
        <n v="553.8995151408834"/>
        <n v="129.27358900772364"/>
        <n v="92.92978422710223"/>
        <n v="193.9201998556126"/>
        <n v="115.0"/>
        <n v="100.0"/>
        <n v="280.9058335076449"/>
        <n v="1004.9404832091172"/>
        <n v="110.03"/>
        <n v="99.01"/>
        <n v="140.0"/>
        <n v="34.0"/>
        <n v="197.0"/>
        <n v="49.99952260466893"/>
        <n v="371.2300101955719"/>
        <n v="40.0"/>
        <n v="76.0"/>
        <n v="760.0"/>
        <n v="1060.0"/>
        <n v="66.0"/>
        <n v="340.0"/>
        <n v="565.0"/>
        <n v="94.0"/>
        <n v="2250.0"/>
        <n v="93.13711428276046"/>
        <n v="129.92"/>
        <n v="160.0"/>
        <n v="972.03"/>
        <n v="53.65001902310711"/>
        <n v="139.0"/>
        <n v="202.0"/>
        <n v="68.0"/>
        <n v="873.2251532449004"/>
        <n v="1220.0"/>
        <n v="36.08"/>
        <n v="1750.0"/>
        <n v="350.0"/>
        <n v="35.0"/>
        <n v="154.0"/>
        <n v="39.0"/>
        <n v="124.0"/>
        <n v="680.0"/>
        <n v="1433.0"/>
        <n v="226.0"/>
        <n v="290.0"/>
        <n v="299.99998955244996"/>
        <n v="49.99995874080229"/>
        <n v="250.0"/>
        <n v="24.0"/>
        <n v="247.88"/>
        <n v="181.45946467803017"/>
        <n v="108.0"/>
        <n v="490.8439698346676"/>
        <n v="141.0"/>
        <n v="115.92"/>
        <n v="64.8"/>
        <n v="157.44616702765768"/>
        <n v="117.0"/>
        <n v="143.0"/>
        <n v="345.6025942062502"/>
        <n v="70.0"/>
        <n v="681.0"/>
        <n v="217.99999793332705"/>
        <n v="167.0"/>
        <n v="201.0"/>
        <n v="430.1467444416737"/>
        <n v="130.0"/>
        <n v="107.0"/>
        <n v="460.0"/>
        <n v="278.0"/>
        <n v="400.0"/>
        <n v="301.0"/>
        <n v="119.0"/>
        <n v="99.00002319356113"/>
        <n v="78.98181390985013"/>
        <n v="75.0"/>
        <n v="282.0"/>
        <n v="170.0"/>
        <n v="111.0"/>
        <n v="133.0"/>
        <n v="240.0"/>
        <n v="275.0"/>
        <n v="3991.560009369363"/>
        <n v="88.0"/>
        <n v="606.31944438714"/>
        <n v="294.00375121424776"/>
        <n v="514.93"/>
        <n v="1321.363714931283"/>
        <n v="674.0"/>
        <n v="164.4012754748009"/>
        <n v="252.0"/>
        <n v="386.08904652406403"/>
        <n v="161.0"/>
        <n v="943.8162256658335"/>
        <n v="227.84392824309774"/>
        <n v="3853.0"/>
        <n v="67.0"/>
        <n v="300.0"/>
        <n v="125.63075283420564"/>
        <n v="312.99999596018506"/>
        <n v="5141.253857758865"/>
        <n v="255.0"/>
        <n v="274.0"/>
        <n v="85.0"/>
        <n v="309.86250181116026"/>
        <n v="158.92814309516837"/>
        <n v="92.99984324821058"/>
        <n v="51.7657905138503"/>
        <n v="81.0"/>
        <n v="600.0"/>
        <n v="42.99963604939886"/>
        <n v="436.16"/>
        <n v="180.0"/>
        <n v="127.23867747154877"/>
        <n v="51.0"/>
        <n v="188.0"/>
        <n v="115.99897229939717"/>
        <n v="80.10613240736942"/>
        <n v="199.29037442675545"/>
        <n v="83.05533230569259"/>
        <n v="53.0"/>
        <n v="97.93405239203732"/>
        <n v="135.0"/>
        <n v="52.0"/>
        <n v="49.0"/>
        <n v="602.0"/>
        <n v="6802.37"/>
        <n v="257.9744284031261"/>
        <n v="64.0"/>
        <n v="110.0"/>
        <n v="60.0"/>
        <n v="191.4256215647114"/>
        <n v="73.5"/>
        <n v="91.0"/>
        <n v="472.8462708053072"/>
        <n v="112.40046278050664"/>
        <n v="162.4"/>
        <n v="3457.96"/>
        <n v="965.678296502457"/>
        <n v="290.84749283682834"/>
        <n v="318.611889330559"/>
        <n v="106.0"/>
        <n v="101.70066716424132"/>
        <n v="555.2912070065223"/>
        <n v="146.8997939712403"/>
        <n v="99.0"/>
        <n v="202.5069926366611"/>
        <n v="339.37799263442514"/>
        <n v="51.94"/>
        <n v="273.60935701220956"/>
        <n v="141.38997861716132"/>
        <n v="29.76782104372371"/>
        <n v="32.0"/>
        <n v="50.0"/>
        <n v="3.0"/>
        <n v="43.0"/>
        <n v="105.0"/>
        <n v="406.16042037848337"/>
        <n v="109.0"/>
        <n v="23.0"/>
        <n v="130.0816348849812"/>
        <n v="78.0"/>
        <n v="213.0"/>
        <n v="743.3868313515263"/>
        <n v="191.0"/>
        <n v="2715.890000542556"/>
        <n v="358.0"/>
        <n v="155.0"/>
        <n v="273.9300057540969"/>
        <n v="2464.200008578976"/>
        <n v="1203.0"/>
        <n v="257.77235187339676"/>
        <n v="1354.0"/>
        <n v="249.0"/>
        <n v="320.0"/>
        <n v="24.10919014773099"/>
        <n v="885.0"/>
        <n v="200.23138708409584"/>
        <n v="879.6731765489762"/>
        <n v="28.060000000000002"/>
        <n v="444.62820954505355"/>
        <n v="73.0"/>
        <n v="101.08111086985839"/>
        <n v="141.03747019280314"/>
        <n v="103.0"/>
        <n v="56.0"/>
        <n v="274.26"/>
        <n v="274.2599992607798"/>
        <n v="700.0"/>
        <n v="21577.54"/>
        <n v="229.9733587271232"/>
        <n v="37.0"/>
        <n v="390.0"/>
      </sharedItems>
    </cacheField>
    <cacheField name="Moneda de pago">
      <sharedItems containsMixedTypes="1" containsNumber="1" containsInteger="1">
        <s v="USD"/>
        <s v="VES"/>
        <s v="Sin Pago"/>
        <s v="MIXTO"/>
        <n v="6.0"/>
      </sharedItems>
    </cacheField>
    <cacheField name="Saldo Orden" numFmtId="4">
      <sharedItems containsSemiMixedTypes="0" containsString="0" containsNumber="1">
        <n v="0.0"/>
        <n v="-50.0"/>
        <n v="-60.49317906993855"/>
        <n v="-11.190088464602233"/>
        <n v="-4.338274783295674"/>
        <n v="241.73829549018853"/>
        <n v="-13.648550234310989"/>
        <n v="306.2893652804289"/>
        <n v="-25.92989571606637"/>
        <n v="-10.799591786487369"/>
        <n v="42.480000000000004"/>
        <n v="360.0"/>
        <n v="239.16000000000003"/>
        <n v="-19.94768474833677"/>
        <n v="226.81972979347026"/>
        <n v="-0.27730285384934206"/>
        <n v="960.6199999999999"/>
        <n v="-0.02050004287858087"/>
        <n v="-20.960007313033316"/>
        <n v="-63.98749968791316"/>
        <n v="55.34"/>
        <n v="-96.35981915506636"/>
        <n v="-8.15126451808485"/>
        <n v="603.52"/>
        <n v="-0.010000000000005116"/>
        <n v="-0.009999999999990905"/>
        <n v="-138.3720201949153"/>
        <n v="364.7676482179339"/>
        <n v="241.81"/>
        <n v="1836.91"/>
        <n v="7241.610000000001"/>
        <n v="-7.458759902192469E-4"/>
        <n v="-13.628800000000012"/>
        <n v="-324.5126482778354"/>
        <n v="456.84000000000003"/>
        <n v="-1.9474738441260797E-4"/>
        <n v="415.08"/>
        <n v="-0.00999999999999801"/>
        <n v="121.1925065735611"/>
        <n v="499.6105389882799"/>
        <n v="17.887151547205015"/>
        <n v="-53.28084447331102"/>
        <n v="8.3553424908622"/>
        <n v="-13.852723649136095"/>
        <n v="-118.95951514088341"/>
        <n v="401.70641099227635"/>
        <n v="1623.82"/>
        <n v="69.1"/>
        <n v="611.13"/>
        <n v="-0.4058335076448998"/>
        <n v="-13.72048320911722"/>
        <n v="-0.01999999999999602"/>
        <n v="146.98000000000002"/>
        <n v="129.99047739533108"/>
        <n v="32.0"/>
        <n v="3895.88"/>
        <n v="134.49"/>
        <n v="1199.37"/>
        <n v="802.5"/>
        <n v="230.98000000000002"/>
        <n v="1607.24"/>
        <n v="-1.0202000000000027"/>
        <n v="18025.64"/>
        <n v="-0.13711428276046433"/>
        <n v="200.0"/>
        <n v="-0.01999999999998181"/>
        <n v="-1.9023107114435334E-5"/>
        <n v="40.0"/>
        <n v="232.30484675509956"/>
        <n v="776.24"/>
        <n v="875.0100000000002"/>
        <n v="-101.0"/>
        <n v="288.0"/>
        <n v="-1.009999999999991"/>
        <n v="1183.21"/>
        <n v="412.0"/>
        <n v="1881.84"/>
        <n v="712.48"/>
        <n v="421.47001044755007"/>
        <n v="201.0"/>
        <n v="114.98004125919769"/>
        <n v="361.55053532196985"/>
        <n v="272.0"/>
        <n v="451.14603016533243"/>
        <n v="1443.22"/>
        <n v="64.08"/>
        <n v="1112.5896164465105"/>
        <n v="43.16"/>
        <n v="68.72"/>
        <n v="63.96000000000001"/>
        <n v="187.85740579374982"/>
        <n v="42.3"/>
        <n v="-0.2300000000000182"/>
        <n v="-3.3999979333270574"/>
        <n v="91.00999999999999"/>
        <n v="114.51999999999998"/>
        <n v="149.85325555832628"/>
        <n v="76.0"/>
        <n v="-113.6"/>
        <n v="261.52"/>
        <n v="151.2"/>
        <n v="164.92000000000002"/>
        <n v="356.32000000000005"/>
        <n v="238.39999999999998"/>
        <n v="64.28"/>
        <n v="-0.4000231935611396"/>
        <n v="292.21818609014986"/>
        <n v="356.52"/>
        <n v="9795.45"/>
        <n v="116.0"/>
        <n v="274.28"/>
        <n v="143.0"/>
        <n v="82.33000000000001"/>
        <n v="258.8"/>
        <n v="156.51999999999998"/>
        <n v="-9.369362942379666E-6"/>
        <n v="318.14"/>
        <n v="383.9200000000001"/>
        <n v="-12.609499999999997"/>
        <n v="5968.02"/>
        <n v="4875.25"/>
        <n v="166.55607175690224"/>
        <n v="264.0"/>
        <n v="39.36"/>
        <n v="453.59"/>
        <n v="37.400000000000006"/>
        <n v="477.20000000000005"/>
        <n v="64.4"/>
        <n v="215.51999999999998"/>
        <n v="37.929247165794365"/>
        <n v="289.44"/>
        <n v="81.72"/>
        <n v="139.54000000000002"/>
        <n v="-51.28"/>
        <n v="187.60000000000002"/>
        <n v="-35.88250181116024"/>
        <n v="250.56"/>
        <n v="118.12015675178942"/>
        <n v="41.0"/>
        <n v="142.84"/>
        <n v="953.0"/>
        <n v="-0.2799999999999727"/>
        <n v="21.960363950601135"/>
        <n v="108.24000000000001"/>
        <n v="2876.6200000000003"/>
        <n v="436.16"/>
        <n v="104.61000000000001"/>
        <n v="36.76132252845123"/>
        <n v="29.0"/>
        <n v="108.37"/>
        <n v="1211.07"/>
        <n v="-0.06613240736940895"/>
        <n v="98.41"/>
        <n v="-2.09037442675546"/>
        <n v="65.92"/>
        <n v="-28.599999999999994"/>
        <n v="35.92"/>
        <n v="136.42000000000002"/>
        <n v="807.96"/>
        <n v="257.28"/>
        <n v="499.96"/>
        <n v="774.88"/>
        <n v="146.16"/>
        <n v="80.53999999999999"/>
        <n v="117.03999999999999"/>
        <n v="352.71000000000004"/>
        <n v="42.72"/>
        <n v="66.32"/>
        <n v="307.76"/>
        <n v="252.04000000000002"/>
        <n v="87.0"/>
        <n v="38.400000000000006"/>
        <n v="873.8"/>
        <n v="42.5"/>
        <n v="382.8"/>
        <n v="57.47999999999999"/>
        <n v="811.51"/>
        <n v="348.0"/>
        <n v="-38.16046278050665"/>
        <n v="2108.4"/>
        <n v="406.0"/>
        <n v="122.4"/>
        <n v="234.07999999999998"/>
        <n v="526.49"/>
        <n v="40.86"/>
        <n v="-0.001889330558981328"/>
        <n v="770.48"/>
        <n v="1071.71"/>
        <n v="2128.45"/>
        <n v="372.01"/>
        <n v="249.66"/>
        <n v="476.55"/>
        <n v="102.6"/>
        <n v="52.22"/>
        <n v="100.0"/>
        <n v="425.0"/>
        <n v="266.16"/>
        <n v="255.0"/>
        <n v="116.93"/>
        <n v="306.16"/>
        <n v="29.60000000000001"/>
        <n v="-110.52935701220954"/>
        <n v="45.77000000000001"/>
        <n v="103.2200213828387"/>
        <n v="252.31"/>
        <n v="185.6221789562763"/>
        <n v="21.85"/>
        <n v="54.620000000000005"/>
        <n v="65.44"/>
        <n v="42.769999999999996"/>
        <n v="181.62"/>
        <n v="87.31"/>
        <n v="-4.2037848334075534E-4"/>
        <n v="1756.54"/>
        <n v="58.540000000000006"/>
        <n v="99.14836511501878"/>
        <n v="258.46"/>
        <n v="123.93"/>
        <n v="333.86"/>
        <n v="1073.85"/>
        <n v="67.85"/>
        <n v="721.55"/>
        <n v="561.1931686484736"/>
        <n v="130.55"/>
        <n v="233.86"/>
        <n v="5431.779999457443"/>
        <n v="-141.07"/>
        <n v="240.38"/>
        <n v="1669.27"/>
        <n v="496.99"/>
        <n v="133.86"/>
        <n v="36.620000000000005"/>
        <n v="58.46"/>
        <n v="64.62"/>
        <n v="89.62"/>
        <n v="84.61"/>
        <n v="110.77"/>
        <n v="144.62"/>
        <n v="224.56"/>
        <n v="246.39"/>
        <n v="167.53040000000004"/>
        <n v="13.490809852269013"/>
        <n v="273.85"/>
        <n v="21143.12"/>
        <n v="263.09"/>
        <n v="315.12"/>
        <n v="283.08"/>
        <n v="51.540000000000006"/>
        <n v="426.92999999999995"/>
        <n v="1107.71"/>
        <n v="216.93"/>
        <n v="993.84"/>
        <n v="61.29861291590413"/>
        <n v="751.0568234510238"/>
        <n v="224.62"/>
        <n v="75.39"/>
        <n v="53.480000000000004"/>
        <n v="260.0"/>
        <n v="227.7"/>
        <n v="1543.12"/>
        <n v="350.78"/>
        <n v="298.47"/>
        <n v="729.26"/>
        <n v="39.31"/>
        <n v="179.99"/>
        <n v="109.23"/>
        <n v="369.24"/>
        <n v="163.07"/>
        <n v="390.0"/>
        <n v="121.53"/>
        <n v="46.93000000000001"/>
        <n v="73.0"/>
        <n v="88.58"/>
        <n v="2684.62"/>
        <n v="-0.0799999999999983"/>
        <n v="119.99"/>
        <n v="444.61"/>
        <n v="221.55"/>
        <n v="60.06999999999999"/>
        <n v="3496.92"/>
        <n v="152.22"/>
        <n v="1429.24"/>
        <n v="421.34"/>
        <n v="43.230000000000004"/>
        <n v="116.02"/>
        <n v="143.5"/>
        <n v="55.0"/>
        <n v="103.81"/>
        <n v="757.17"/>
        <n v="1632.58"/>
        <n v="160.4"/>
        <n v="230.02"/>
        <n v="335.96"/>
        <n v="205.81"/>
        <n v="70.75"/>
        <n v="220.95"/>
        <n v="349.57"/>
        <n v="1349.1100000000001"/>
        <n v="80.2"/>
        <n v="441.86"/>
        <n v="118.02"/>
        <n v="399.14"/>
        <n v="114.04"/>
        <n v="363.13"/>
        <n v="519.17"/>
        <n v="424.63"/>
        <n v="373.62"/>
        <n v="349.62"/>
        <n v="117.05"/>
        <n v="199.3"/>
        <n v="136.0"/>
        <n v="115.99"/>
        <n v="226.07"/>
        <n v="1023.22"/>
        <n v="787.3666412728768"/>
        <n v="353.95"/>
        <n v="2841.41"/>
        <n v="359.98"/>
        <n v="346.7"/>
        <n v="20547.78"/>
        <n v="447.53"/>
        <n v="1860.43"/>
        <n v="82.32"/>
        <n v="94.39"/>
        <n v="148.11"/>
        <n v="173.68"/>
        <n v="387.73"/>
        <n v="109.35"/>
        <n v="614.35"/>
        <n v="338.12"/>
        <n v="54.22"/>
        <n v="325.29"/>
        <n v="21970.0"/>
        <n v="210.64"/>
        <n v="226.85"/>
        <n v="38.52"/>
        <n v="497.93"/>
        <n v="900.28"/>
        <n v="178.29"/>
        <n v="107.54"/>
        <n v="91.98"/>
      </sharedItems>
    </cacheField>
    <cacheField name="Ultimo Pago">
      <sharedItems containsDate="1" containsMixedTypes="1">
        <d v="2026-03-19T00:00:00Z"/>
        <d v="2026-03-03T00:00:00Z"/>
        <d v="2026-06-01T00:00:00Z"/>
        <d v="2026-03-02T00:00:00Z"/>
        <d v="2026-06-08T00:00:00Z"/>
        <d v="2026-05-29T00:00:00Z"/>
        <d v="2026-05-14T00:00:00Z"/>
        <d v="2026-04-17T00:00:00Z"/>
        <d v="2026-04-21T00:00:00Z"/>
        <d v="2026-04-14T00:00:00Z"/>
        <d v="2026-04-28T00:00:00Z"/>
        <d v="2026-06-04T00:00:00Z"/>
        <d v="2026-05-11T00:00:00Z"/>
        <d v="2026-03-30T00:00:00Z"/>
        <d v="2026-03-17T00:00:00Z"/>
        <d v="2026-06-02T00:00:00Z"/>
        <d v="2026-06-19T00:00:00Z"/>
        <d v="2026-03-05T00:00:00Z"/>
        <d v="2026-04-22T00:00:00Z"/>
        <d v="2026-06-10T00:00:00Z"/>
        <d v="2026-06-23T00:00:00Z"/>
        <d v="2026-04-09T00:00:00Z"/>
        <d v="2026-03-06T00:00:00Z"/>
        <d v="2026-05-08T00:00:00Z"/>
        <s v="Sin Pago"/>
        <d v="2026-03-13T00:00:00Z"/>
        <d v="2026-03-09T00:00:00Z"/>
        <d v="2026-03-23T00:00:00Z"/>
        <d v="2026-03-27T00:00:00Z"/>
        <d v="2026-04-20T00:00:00Z"/>
        <d v="2026-04-10T00:00:00Z"/>
        <d v="2026-06-09T00:00:00Z"/>
        <d v="2026-05-05T00:00:00Z"/>
        <d v="2026-06-16T00:00:00Z"/>
        <d v="2026-05-04T00:00:00Z"/>
        <d v="2026-04-15T00:00:00Z"/>
        <d v="2026-03-11T00:00:00Z"/>
        <d v="2026-05-21T00:00:00Z"/>
        <d v="2026-04-13T00:00:00Z"/>
        <d v="2026-05-27T00:00:00Z"/>
        <d v="2026-03-12T00:00:00Z"/>
        <d v="2026-03-26T00:00:00Z"/>
        <d v="2026-05-18T00:00:00Z"/>
        <d v="2026-05-19T00:00:00Z"/>
        <d v="2026-06-17T00:00:00Z"/>
        <d v="2026-06-11T00:00:00Z"/>
        <d v="2026-05-26T00:00:00Z"/>
        <d v="2026-05-15T00:00:00Z"/>
        <d v="2026-04-24T00:00:00Z"/>
        <d v="2026-04-30T00:00:00Z"/>
        <d v="2026-05-12T00:00:00Z"/>
        <d v="2026-03-25T00:00:00Z"/>
        <d v="2026-06-03T00:00:00Z"/>
        <d v="2026-05-07T00:00:00Z"/>
        <d v="2026-04-29T00:00:00Z"/>
        <d v="2026-05-31T00:00:00Z"/>
        <d v="2026-03-31T00:00:00Z"/>
        <d v="2026-03-24T00:00:00Z"/>
        <d v="2026-05-22T00:00:00Z"/>
        <d v="2026-06-15T00:00:00Z"/>
        <d v="2026-06-05T00:00:00Z"/>
        <d v="2026-04-27T00:00:00Z"/>
        <d v="2026-04-23T00:00:00Z"/>
        <d v="2026-04-01T00:00:00Z"/>
        <d v="2026-06-13T00:00:00Z"/>
        <d v="2026-06-22T00:00:00Z"/>
        <d v="2026-04-07T00:00:00Z"/>
        <d v="2026-04-08T00:00:00Z"/>
        <d v="2026-05-28T00:00:00Z"/>
        <d v="2026-05-13T00:00:00Z"/>
        <d v="2026-06-12T00:00:00Z"/>
        <d v="2026-06-18T00:00:00Z"/>
        <d v="2026-05-25T00:00:00Z"/>
        <d v="2026-05-06T00:00:00Z"/>
        <d v="2026-05-20T00:00:00Z"/>
        <d v="1899-12-30T00:00:00Z"/>
      </sharedItems>
    </cacheField>
    <cacheField name="Status de Pago" numFmtId="0">
      <sharedItems>
        <s v="PAGADA"/>
        <s v="PAGO PARCIAL"/>
        <s v="PENDIENTE"/>
      </sharedItems>
    </cacheField>
    <cacheField name="Prioridad de Cobro" numFmtId="0">
      <sharedItems>
        <s v="SOLVENTE"/>
        <s v="CRÍTICO: VENCIDA"/>
        <s v="EN TIEMPO"/>
      </sharedItems>
    </cacheField>
    <cacheField name="Dias desde el ultimo Pago" numFmtId="0">
      <sharedItems containsSemiMixedTypes="0" containsString="0" containsNumber="1" containsInteger="1">
        <n v="0.0"/>
        <n v="71.0"/>
        <n v="23.0"/>
        <n v="25.0"/>
        <n v="8.0"/>
        <n v="17.0"/>
        <n v="4.0"/>
        <n v="44.0"/>
        <n v="18.0"/>
        <n v="11.0"/>
        <n v="37.0"/>
        <n v="75.0"/>
        <n v="106.0"/>
        <n v="32.0"/>
        <n v="58.0"/>
        <n v="46.0"/>
        <n v="54.0"/>
        <n v="19.0"/>
        <n v="24.0"/>
        <n v="51.0"/>
        <n v="73.0"/>
        <n v="50.0"/>
        <n v="12.0"/>
        <n v="61.0"/>
        <n v="14.0"/>
        <n v="5.0"/>
        <n v="81.0"/>
        <n v="78.0"/>
        <n v="39.0"/>
        <n v="79.0"/>
        <n v="26.0"/>
        <n v="40.0"/>
        <n v="30.0"/>
        <n v="64.0"/>
        <n v="22.0"/>
        <n v="15.0"/>
        <n v="16.0"/>
        <n v="10.0"/>
        <n v="31.0"/>
        <n v="9.0"/>
        <n v="60.0"/>
        <n v="36.0"/>
        <n v="53.0"/>
        <n v="47.0"/>
        <n v="43.0"/>
        <n v="38.0"/>
        <n v="46200.0"/>
      </sharedItems>
    </cacheField>
    <cacheField name="Validacion Descuento Diferencial" numFmtId="0">
      <sharedItems>
        <s v="OK"/>
        <s v="Sin Pago"/>
      </sharedItems>
    </cacheField>
    <cacheField name="Validacion Descuento Pronto Pago" numFmtId="0">
      <sharedItems>
        <s v=""/>
        <s v="OK"/>
        <s v="⚠️ REVISAR DESCUENTO"/>
      </sharedItems>
    </cacheField>
    <cacheField name="Cobrado" numFmtId="0">
      <sharedItems containsSemiMixedTypes="0" containsString="0" containsNumber="1">
        <n v="175.0"/>
        <n v="246.0"/>
        <n v="85.33"/>
        <n v="396.47317906993857"/>
        <n v="27781.08"/>
        <n v="74.96008846460224"/>
        <n v="86.57827478329567"/>
        <n v="713.0517045098114"/>
        <n v="116.81780880130722"/>
        <n v="96.0"/>
        <n v="91.89855023431099"/>
        <n v="166.2406347195711"/>
        <n v="238.64989571606637"/>
        <n v="101.23959178648737"/>
        <n v="30.0"/>
        <n v="150.0"/>
        <n v="68.91196274532622"/>
        <n v="198.0"/>
        <n v="146.0"/>
        <n v="49.99999999999999"/>
        <n v="86.70221035218145"/>
        <n v="195.0"/>
        <n v="204.98768474833676"/>
        <n v="208.01027020652973"/>
        <n v="58.0"/>
        <n v="72.0"/>
        <n v="29.15730285384934"/>
        <n v="120.0"/>
        <n v="161.00050004287857"/>
        <n v="130.99999930396257"/>
        <n v="426.50749968791314"/>
        <n v="2147.0"/>
        <n v="0.0"/>
        <n v="129.98"/>
        <n v="1893.1200111550663"/>
        <n v="61.94126451808485"/>
        <n v="430.0"/>
        <n v="65.0"/>
        <n v="119.48"/>
        <n v="260.0"/>
        <n v="930.7020201949153"/>
        <n v="218.00235178206609"/>
        <n v="134.0"/>
        <n v="84.28992827662871"/>
        <n v="200.0"/>
        <n v="190.0"/>
        <n v="3498.0"/>
        <n v="2492.0"/>
        <n v="72.00074587599022"/>
        <n v="168.12024837269925"/>
        <n v="699.8626482778354"/>
        <n v="132.48"/>
        <n v="159.99817437044305"/>
        <n v="104.0"/>
        <n v="78.62019474738442"/>
        <n v="166.8520706121061"/>
        <n v="36.0"/>
        <n v="179.6674934264389"/>
        <n v="459.5356037151703"/>
        <n v="1250.0"/>
        <n v="470.4594610117201"/>
        <n v="49.48284845279499"/>
        <n v="226.93084447331103"/>
        <n v="333.0"/>
        <n v="240.16602494209363"/>
        <n v="90.0"/>
        <n v="171.0"/>
        <n v="126.0"/>
        <n v="218.0"/>
        <n v="204.9527236491361"/>
        <n v="317.6741321186326"/>
        <n v="553.8995151408834"/>
        <n v="129.27358900772364"/>
        <n v="92.92978422710223"/>
        <n v="193.9201998556126"/>
        <n v="115.0"/>
        <n v="100.0"/>
        <n v="280.9058335076449"/>
        <n v="1004.9404832091172"/>
        <n v="110.03"/>
        <n v="99.01"/>
        <n v="140.0"/>
        <n v="34.0"/>
        <n v="197.0"/>
        <n v="49.99952260466893"/>
        <n v="371.2300101955719"/>
        <n v="40.0"/>
        <n v="76.0"/>
        <n v="760.0"/>
        <n v="1060.0"/>
        <n v="50.0"/>
        <n v="340.0"/>
        <n v="565.0"/>
        <n v="94.0"/>
        <n v="2250.0"/>
        <n v="93.13711428276046"/>
        <n v="129.92"/>
        <n v="160.0"/>
        <n v="972.03"/>
        <n v="53.65001902310711"/>
        <n v="139.0"/>
        <n v="202.0"/>
        <n v="68.0"/>
        <n v="873.2251532449004"/>
        <n v="1220.0"/>
        <n v="36.08"/>
        <n v="1861.852921624856"/>
        <n v="350.0"/>
        <n v="35.0"/>
        <n v="154.0"/>
        <n v="39.0"/>
        <n v="124.0"/>
        <n v="680.0"/>
        <n v="1433.0"/>
        <n v="226.0"/>
        <n v="290.0"/>
        <n v="299.99998955244996"/>
        <n v="49.99995874080229"/>
        <n v="250.0"/>
        <n v="24.0"/>
        <n v="247.88"/>
        <n v="181.45946467803017"/>
        <n v="108.0"/>
        <n v="490.8439698346676"/>
        <n v="141.0"/>
        <n v="115.92"/>
        <n v="1177.3896164465104"/>
        <n v="64.8"/>
        <n v="157.44616702765768"/>
        <n v="117.0"/>
        <n v="143.0"/>
        <n v="345.6025942062502"/>
        <n v="70.0"/>
        <n v="681.0"/>
        <n v="217.99999793332705"/>
        <n v="167.0"/>
        <n v="201.0"/>
        <n v="430.1467444416737"/>
        <n v="130.0"/>
        <n v="107.0"/>
        <n v="460.0"/>
        <n v="278.0"/>
        <n v="400.0"/>
        <n v="301.0"/>
        <n v="119.0"/>
        <n v="99.00002319356113"/>
        <n v="78.98181390985013"/>
        <n v="75.0"/>
        <n v="6561.31493769991"/>
        <n v="170.0"/>
        <n v="111.0"/>
        <n v="133.0"/>
        <n v="240.0"/>
        <n v="275.0"/>
        <n v="3991.560009369363"/>
        <n v="88.0"/>
        <n v="606.31944438714"/>
        <n v="294.00375121424776"/>
        <n v="514.93"/>
        <n v="1321.363714931283"/>
        <n v="674.0"/>
        <n v="164.4012754748009"/>
        <n v="252.0"/>
        <n v="386.08904652406403"/>
        <n v="161.0"/>
        <n v="943.8162256658335"/>
        <n v="227.84392824309774"/>
        <n v="3853.0"/>
        <n v="67.0"/>
        <n v="300.0"/>
        <n v="125.63075283420564"/>
        <n v="312.99999596018506"/>
        <n v="5141.253857758865"/>
        <n v="255.0"/>
        <n v="131.0"/>
        <n v="85.0"/>
        <n v="309.86250181116026"/>
        <n v="158.92814309516837"/>
        <n v="92.99984324821058"/>
        <n v="51.7657905138503"/>
        <n v="81.0"/>
        <n v="600.0"/>
        <n v="42.99963604939886"/>
        <n v="3312.786007365469"/>
        <n v="180.0"/>
        <n v="127.23867747154877"/>
        <n v="51.0"/>
        <n v="188.0"/>
        <n v="115.99897229939717"/>
        <n v="80.10613240736942"/>
        <n v="199.29037442675545"/>
        <n v="83.05533230569259"/>
        <n v="53.0"/>
        <n v="97.93405239203732"/>
        <n v="135.0"/>
        <n v="52.0"/>
        <n v="49.0"/>
        <n v="602.0"/>
        <n v="6802.37"/>
        <n v="257.9744284031261"/>
        <n v="64.0"/>
        <n v="110.0"/>
        <n v="60.0"/>
        <n v="66.0"/>
        <n v="191.4256215647114"/>
        <n v="73.5"/>
        <n v="91.0"/>
        <n v="472.8462708053072"/>
        <n v="112.40046278050664"/>
        <n v="99.99970875815205"/>
        <n v="3457.96"/>
        <n v="965.678296502457"/>
        <n v="290.84749283682834"/>
        <n v="318.611889330559"/>
        <n v="106.0"/>
        <n v="101.70066716424132"/>
        <n v="555.2912070065223"/>
        <n v="146.8997939712403"/>
        <n v="99.0"/>
        <n v="202.5069926366611"/>
        <n v="339.37799263442514"/>
        <n v="51.94"/>
        <n v="273.60935701220956"/>
        <n v="141.38997861716132"/>
        <n v="29.76782104372371"/>
        <n v="32.0"/>
        <n v="3.0"/>
        <n v="105.0"/>
        <n v="406.16042037848337"/>
        <n v="109.0"/>
        <n v="23.0"/>
        <n v="130.0816348849812"/>
        <n v="78.0"/>
        <n v="213.0"/>
        <n v="743.3868313515263"/>
        <n v="191.0"/>
        <n v="2715.890000542556"/>
        <n v="358.0"/>
        <n v="155.0"/>
        <n v="273.9300057540969"/>
        <n v="2464.200008578976"/>
        <n v="1203.0"/>
        <n v="257.77235187339676"/>
        <n v="1354.0"/>
        <n v="249.0"/>
        <n v="320.0"/>
        <n v="24.10919014773099"/>
        <n v="885.0"/>
        <n v="200.23138708409584"/>
        <n v="879.6731765489762"/>
        <n v="28.060000000000002"/>
        <n v="444.62820954505355"/>
        <n v="73.0"/>
        <n v="101.08111086985839"/>
        <n v="141.03747019280314"/>
        <n v="103.0"/>
        <n v="56.0"/>
        <n v="274.2599992607798"/>
        <n v="700.0"/>
        <n v="21577.54"/>
        <n v="229.9733587271232"/>
        <n v="390.0"/>
      </sharedItems>
    </cacheField>
    <cacheField name="Validación por Diferencial" numFmtId="0">
      <sharedItems>
        <s v="CUMPLE"/>
        <s v="NO CUMPLE"/>
        <s v="SIN MONEDA VÁLIDA"/>
        <s v="SIN TOTAL"/>
        <s v=""/>
      </sharedItems>
    </cacheField>
    <cacheField name="Columna 27" numFmtId="0">
      <sharedItems containsString="0" containsBlank="1">
        <m/>
      </sharedItems>
    </cacheField>
    <cacheField name="Columna 28" numFmtId="0">
      <sharedItems containsString="0" containsBlank="1">
        <m/>
      </sharedItems>
    </cacheField>
    <cacheField name="Columna 29" numFmtId="0">
      <sharedItems containsString="0" containsBlank="1">
        <m/>
      </sharedItems>
    </cacheField>
    <cacheField name="Columna 30" numFmtId="0">
      <sharedItems containsString="0" containsBlank="1">
        <m/>
      </sharedItems>
    </cacheField>
    <cacheField name="Columna 31" numFmtId="0">
      <sharedItems containsString="0" containsBlank="1">
        <m/>
      </sharedItems>
    </cacheField>
    <cacheField name="Columna 32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F595" sheet="Ventas"/>
  </cacheSource>
  <cacheFields>
    <cacheField name="Referencia de la orden" numFmtId="0">
      <sharedItems containsBlank="1">
        <s v="S00004"/>
        <s v="S00007"/>
        <s v="S00008"/>
        <s v="S00009"/>
        <s v="S00010"/>
        <s v="S00011"/>
        <s v="S00014"/>
        <s v="S00015"/>
        <s v="S00017"/>
        <s v="S00018"/>
        <s v="S00019"/>
        <s v="S00020"/>
        <s v="S00021"/>
        <s v="S00022"/>
        <s v="S00023"/>
        <s v="S00024"/>
        <s v="S00026"/>
        <s v="S00027"/>
        <s v="S00028"/>
        <s v="S00029"/>
        <s v="S00030"/>
        <s v="S00031"/>
        <s v="S00032"/>
        <s v="S00033"/>
        <s v="S00034"/>
        <s v="S00036"/>
        <s v="S00037"/>
        <s v="S00038"/>
        <s v="S00039"/>
        <s v="S00040"/>
        <s v="S00041"/>
        <s v="S00042"/>
        <s v="S00043"/>
        <s v="S00044"/>
        <s v="S00045"/>
        <s v="S00046"/>
        <s v="S00047"/>
        <s v="S00048"/>
        <s v="S00049"/>
        <s v="S00050"/>
        <s v="S00051"/>
        <s v="S00052"/>
        <s v="S00053"/>
        <s v="S00054"/>
        <s v="S00055"/>
        <s v="S00056"/>
        <s v="S00057"/>
        <s v="S00058"/>
        <s v="S00059"/>
        <s v="S00060"/>
        <s v="S00061"/>
        <s v="S00062"/>
        <s v="S00063"/>
        <s v="S00064"/>
        <s v="S00065"/>
        <s v="S00066"/>
        <s v="S00067"/>
        <s v="S00069"/>
        <s v="S00072"/>
        <s v="S00073"/>
        <s v="S00074"/>
        <s v="S00077"/>
        <s v="S00078"/>
        <s v="S00079"/>
        <s v="S00081"/>
        <s v="S00082"/>
        <s v="S00083"/>
        <s v="S00084"/>
        <s v="S00086"/>
        <s v="S00087"/>
        <s v="S00088"/>
        <s v="S00089"/>
        <s v="S00090"/>
        <s v="S00092"/>
        <s v="S00093"/>
        <s v="S00094"/>
        <s v="S00095"/>
        <s v="S00096"/>
        <s v="S00097"/>
        <s v="S00098"/>
        <s v="S00099"/>
        <s v="S00100"/>
        <s v="S00101"/>
        <s v="S00103"/>
        <s v="S00104"/>
        <s v="S00105"/>
        <s v="S00106"/>
        <s v="S00108"/>
        <s v="S00113"/>
        <s v="S00114"/>
        <s v="S00116"/>
        <s v="S00117"/>
        <s v="S00118"/>
        <s v="S00119"/>
        <s v="S00120"/>
        <s v="S00121"/>
        <s v="S00122"/>
        <s v="S00123"/>
        <s v="S00124"/>
        <s v="S00125"/>
        <s v="S00126"/>
        <s v="S00127"/>
        <s v="S00128"/>
        <s v="S00129"/>
        <s v="S00130"/>
        <s v="S00131"/>
        <s v="S00132"/>
        <s v="S00133"/>
        <s v="S00136"/>
        <s v="S00137"/>
        <s v="S00138"/>
        <s v="S00139"/>
        <s v="S00140"/>
        <s v="S00141"/>
        <s v="S00142"/>
        <s v="S00143"/>
        <s v="S00144"/>
        <s v="S00145"/>
        <s v="S00146"/>
        <s v="S00148"/>
        <s v="S00149"/>
        <s v="S00150"/>
        <s v="S00151"/>
        <s v="S00152"/>
        <s v="S00153"/>
        <s v="S00154"/>
        <s v="S00156"/>
        <s v="S00157"/>
        <s v="S00158"/>
        <s v="S00159"/>
        <s v="S00160"/>
        <s v="S00161"/>
        <s v="S00163"/>
        <s v="S00164"/>
        <s v="S00165"/>
        <s v="S00166"/>
        <s v="S00167"/>
        <s v="S00168"/>
        <s v="S00169"/>
        <s v="S00170"/>
        <s v="S00171"/>
        <s v="S00174"/>
        <s v="S00175"/>
        <s v="S00176"/>
        <s v="S00177"/>
        <s v="S00178"/>
        <s v="S00179"/>
        <s v="S00181"/>
        <s v="S00182"/>
        <s v="S00183"/>
        <s v="S00184"/>
        <s v="S00185"/>
        <s v="S00186"/>
        <s v="S00187"/>
        <s v="S00188"/>
        <s v="S00189"/>
        <s v="S00190"/>
        <s v="S00192"/>
        <s v="S00195"/>
        <s v="S00196"/>
        <s v="S00197"/>
        <s v="S00198"/>
        <s v="S00199"/>
        <s v="S00201"/>
        <s v="S00202"/>
        <s v="S00203"/>
        <s v="S00204"/>
        <s v="S00205"/>
        <s v="S00206"/>
        <s v="S00207"/>
        <s v="S00208"/>
        <s v="S00209"/>
        <s v="S00210"/>
        <s v="S00211"/>
        <s v="S00212"/>
        <s v="S00213"/>
        <s v="S00214"/>
        <s v="S00215"/>
        <s v="S00218"/>
        <s v="S00219"/>
        <s v="S00220"/>
        <s v="S00221"/>
        <s v="S00222"/>
        <s v="S00223"/>
        <s v="S00225"/>
        <s v="S00226"/>
        <s v="S00227"/>
        <s v="S00228"/>
        <s v="S00229"/>
        <s v="S00230"/>
        <s v="S00231"/>
        <s v="S00233"/>
        <s v="S00234"/>
        <s v="S00235"/>
        <s v="S00236"/>
        <s v="S00237"/>
        <s v="S00238"/>
        <s v="S00239"/>
        <s v="S00240"/>
        <s v="S00241"/>
        <s v="S00242"/>
        <s v="S00243"/>
        <s v="S00244"/>
        <s v="S00245"/>
        <s v="S00246"/>
        <s v="S00247"/>
        <s v="S00248"/>
        <s v="S00249"/>
        <s v="S00250"/>
        <s v="S00257"/>
        <s v="S00258"/>
        <s v="S00259"/>
        <s v="S00260"/>
        <s v="S00261"/>
        <s v="S00262"/>
        <s v="S00263"/>
        <s v="S00264"/>
        <s v="S00265"/>
        <s v="S00274"/>
        <s v="S00279"/>
        <s v="S00280"/>
        <s v="S00282"/>
        <s v="S00283"/>
        <s v="S00284"/>
        <s v="S00285"/>
        <s v="S00286"/>
        <s v="S00287"/>
        <s v="S00289"/>
        <s v="S00291"/>
        <s v="S00292"/>
        <s v="S00293"/>
        <s v="S00294"/>
        <s v="S00295"/>
        <s v="S00296"/>
        <s v="S00298"/>
        <s v="S00300"/>
        <s v="S00301"/>
        <s v="S00302"/>
        <s v="S00303"/>
        <s v="S00304"/>
        <s v="S00305"/>
        <s v="S00306"/>
        <s v="S00308"/>
        <s v="S00309"/>
        <s v="S00310"/>
        <s v="S00311"/>
        <s v="S00313"/>
        <s v="S00314"/>
        <s v="S00315"/>
        <s v="S00316"/>
        <s v="S00317"/>
        <s v="S00318"/>
        <s v="S00319"/>
        <s v="S00320"/>
        <s v="S00321"/>
        <s v="S00322"/>
        <s v="S00323"/>
        <s v="S00324"/>
        <s v="S00325"/>
        <s v="S00326"/>
        <s v="S00327"/>
        <s v="S00328"/>
        <s v="S00330"/>
        <s v="S00331"/>
        <s v="S00332"/>
        <s v="S00334"/>
        <s v="S00335"/>
        <s v="S00336"/>
        <s v="S00337"/>
        <s v="S00338"/>
        <s v="S00339"/>
        <s v="S00340"/>
        <s v="S00341"/>
        <s v="S00343"/>
        <s v="S00344"/>
        <s v="S00346"/>
        <s v="S00347"/>
        <s v="S00348"/>
        <s v="S00349"/>
        <s v="S00350"/>
        <s v="S00351"/>
        <s v="S00352"/>
        <s v="S00353"/>
        <s v="S00354"/>
        <s v="S00355"/>
        <s v="S00356"/>
        <s v="S00357"/>
        <s v="S00358"/>
        <s v="S00359"/>
        <s v="S00361"/>
        <s v="S00362"/>
        <s v="S00363"/>
        <s v="S00364"/>
        <s v="S00365"/>
        <s v="S00366"/>
        <s v="S00368"/>
        <s v="S00369"/>
        <s v="S00372"/>
        <s v="S00373"/>
        <s v="S00374"/>
        <s v="S00375"/>
        <s v="S00376"/>
        <s v="S00378"/>
        <s v="S00379"/>
        <s v="S00380"/>
        <s v="S00381"/>
        <s v="S00382"/>
        <s v="S00384"/>
        <s v="S00386"/>
        <s v="S00387"/>
        <s v="S00388"/>
        <s v="S00389"/>
        <s v="S00392"/>
        <s v="S00393"/>
        <s v="S00394"/>
        <s v="S00395"/>
        <s v="S00396"/>
        <s v="S00397"/>
        <s v="S00398"/>
        <s v="S00399"/>
        <s v="S00400"/>
        <s v="S00401"/>
        <s v="S00402"/>
        <s v="S00404"/>
        <s v="S00405"/>
        <s v="S00407"/>
        <s v="S00408"/>
        <s v="S00410"/>
        <s v="S00411"/>
        <s v="S00412"/>
        <s v="S00413"/>
        <s v="S00414"/>
        <s v="S00415"/>
        <s v="S00416"/>
        <s v="S00417"/>
        <s v="S00418"/>
        <s v="S00419"/>
        <s v="S00420"/>
        <s v="S00421"/>
        <s v="S00422"/>
        <s v="S00423"/>
        <s v="S00424"/>
        <s v="S00425"/>
        <s v="S00426"/>
        <s v="S00427"/>
        <s v="S00428"/>
        <s v="S00429"/>
        <s v="S00430"/>
        <s v="S00431"/>
        <s v="S00432"/>
        <s v="S00433"/>
        <s v="S00434"/>
        <s v="S00435"/>
        <s v="S00436"/>
        <s v="S00437"/>
        <s v="S00439"/>
        <s v="S00440"/>
        <s v="S00441"/>
        <s v="S00442"/>
        <s v="S00443"/>
        <s v="S00444"/>
        <s v="S00446"/>
        <s v="S00447"/>
        <s v="S00449"/>
        <s v="S00450"/>
        <s v="S00451"/>
        <s v="S00452"/>
        <s v="S00454"/>
        <s v="S00456"/>
        <s v="S00457"/>
        <s v="S00458"/>
        <s v="S00462"/>
        <s v="S00464"/>
        <s v="S00465"/>
        <s v="S00466"/>
        <s v="S00467"/>
        <s v="S00468"/>
        <s v="S00469"/>
        <s v="S00470"/>
        <s v="S00471"/>
        <s v="S00472"/>
        <s v="S00473"/>
        <s v="S00474"/>
        <s v="S00475"/>
        <s v="S00476"/>
        <s v="S00477"/>
        <s v="S00478"/>
        <s v="S00479"/>
        <s v="S00482"/>
        <s v="S00483"/>
        <s v="S00484"/>
        <s v="S00485"/>
        <s v="S00486"/>
        <s v="S00488"/>
        <s v="S00489"/>
        <s v="S00490"/>
        <s v="S00491"/>
        <s v="S00492"/>
        <s v="S00493"/>
        <s v="S00494"/>
        <s v="S00495"/>
        <s v="S00496"/>
        <s v="S00497"/>
        <s v="S00498"/>
        <s v="S00499"/>
        <s v="S00500"/>
        <s v="S00501"/>
        <s v="S00502"/>
        <s v="S00503"/>
        <s v="S00505"/>
        <s v="S00506"/>
        <s v="S00507"/>
        <s v="S00508"/>
        <s v="S00509"/>
        <s v="S00510"/>
        <s v="S00511"/>
        <s v="S00512"/>
        <s v="S00513"/>
        <s v="S00514"/>
        <s v="S00515"/>
        <s v="S00516"/>
        <s v="S00517"/>
        <s v="S00518"/>
        <s v="S00519"/>
        <s v="S00520"/>
        <s v="S00522"/>
        <s v="S00523"/>
        <s v="S00525"/>
        <s v="S00526"/>
        <s v="S00527"/>
        <s v="S00528"/>
        <s v="S00529"/>
        <s v="S00530"/>
        <s v="S00531"/>
        <s v="S00532"/>
        <s v="S00533"/>
        <s v="S00534"/>
        <s v="S00535"/>
        <s v="S00536"/>
        <s v="S00537"/>
        <s v="S00538"/>
        <s v="S00539"/>
        <s v="S00540"/>
        <s v="S00541"/>
        <s v="S00542"/>
        <s v="S00543"/>
        <s v="S00544"/>
        <s v="S00545"/>
        <s v="S00546"/>
        <s v="S00547"/>
        <s v="S00549"/>
        <s v="S00550"/>
        <s v="S00551"/>
        <s v="S00552"/>
        <s v="S00553"/>
        <s v="S00554"/>
        <s v="S00555"/>
        <s v="S00556"/>
        <s v="S00557"/>
        <s v="S00558"/>
        <s v="S00559"/>
        <s v="S00560"/>
        <s v="S00561"/>
        <s v="S00562"/>
        <s v="S00563"/>
        <s v="S00564"/>
        <s v="S00565"/>
        <s v="S00566"/>
        <s v="S00567"/>
        <s v="S00568"/>
        <s v="S00570"/>
        <s v="S00571"/>
        <s v="S00572"/>
        <s v="S00573"/>
        <s v="S00574"/>
        <s v="S00575"/>
        <s v="S00576"/>
        <s v="S00577"/>
        <s v="S00578"/>
        <s v="S00579"/>
        <s v="S00580"/>
        <s v="S00581"/>
        <s v="S00582"/>
        <s v="S00583"/>
        <s v="S00584"/>
        <s v="S00585"/>
        <s v="S00586"/>
        <s v="S00587"/>
        <s v="S00588"/>
        <s v="S00589"/>
        <s v="S00590"/>
        <s v="S00591"/>
        <s v="S00592"/>
        <m/>
      </sharedItems>
    </cacheField>
    <cacheField name="Fecha de la orden" numFmtId="164">
      <sharedItems containsNonDate="0" containsDate="1" containsString="0" containsBlank="1" minDate="2026-02-26T11:03:34Z" maxDate="2026-06-23T17:00:26Z">
        <d v="2026-03-09T05:46:05Z"/>
        <d v="2026-02-26T11:03:34Z"/>
        <d v="2026-02-26T12:04:03Z"/>
        <d v="2026-02-26T12:12:16Z"/>
        <d v="2026-03-16T08:30:19Z"/>
        <d v="2026-03-13T17:23:50Z"/>
        <d v="2026-03-09T05:47:20Z"/>
        <d v="2026-03-09T05:47:34Z"/>
        <d v="2026-03-09T05:47:50Z"/>
        <d v="2026-03-09T05:47:58Z"/>
        <d v="2026-03-03T15:32:17Z"/>
        <d v="2026-03-09T05:48:52Z"/>
        <d v="2026-03-09T05:49:02Z"/>
        <d v="2026-03-09T05:49:11Z"/>
        <d v="2026-03-09T05:49:23Z"/>
        <d v="2026-03-09T05:49:34Z"/>
        <d v="2026-03-09T05:49:52Z"/>
        <d v="2026-03-09T05:51:09Z"/>
        <d v="2026-03-04T14:06:27Z"/>
        <d v="2026-03-09T05:50:11Z"/>
        <d v="2026-03-09T05:51:16Z"/>
        <d v="2026-03-09T05:50:21Z"/>
        <d v="2026-03-09T05:50:28Z"/>
        <d v="2026-03-05T08:44:27Z"/>
        <d v="2026-03-09T05:50:40Z"/>
        <d v="2026-03-09T05:50:49Z"/>
        <d v="2026-03-09T06:07:31Z"/>
        <d v="2026-03-09T06:07:38Z"/>
        <d v="2026-03-09T06:07:40Z"/>
        <d v="2026-03-09T06:07:43Z"/>
        <d v="2026-03-09T06:07:48Z"/>
        <d v="2026-03-06T14:04:22Z"/>
        <d v="2026-03-06T16:17:37Z"/>
        <d v="2026-03-06T16:23:53Z"/>
        <d v="2026-03-09T05:45:51Z"/>
        <d v="2026-03-10T10:36:19Z"/>
        <d v="2026-03-09T13:14:07Z"/>
        <d v="2026-03-09T15:44:40Z"/>
        <d v="2026-03-10T11:02:53Z"/>
        <d v="2026-03-09T16:10:07Z"/>
        <d v="2026-03-10T11:02:28Z"/>
        <d v="2026-03-10T07:52:48Z"/>
        <d v="2026-03-10T11:02:06Z"/>
        <d v="2026-03-11T08:57:54Z"/>
        <d v="2026-03-10T11:37:13Z"/>
        <d v="2026-03-10T15:57:31Z"/>
        <d v="2026-03-10T16:41:51Z"/>
        <d v="2026-03-10T16:41:27Z"/>
        <d v="2026-03-10T16:42:16Z"/>
        <d v="2026-03-10T16:41:13Z"/>
        <d v="2026-03-11T16:48:08Z"/>
        <d v="2026-03-11T16:00:08Z"/>
        <d v="2026-03-11T08:57:24Z"/>
        <d v="2026-03-11T08:25:15Z"/>
        <d v="2026-03-11T08:53:18Z"/>
        <d v="2026-03-11T15:59:02Z"/>
        <d v="2026-03-11T11:52:43Z"/>
        <d v="2026-03-11T15:56:38Z"/>
        <d v="2026-03-11T16:47:51Z"/>
        <d v="2026-03-12T08:57:51Z"/>
        <d v="2026-03-12T08:57:33Z"/>
        <d v="2026-03-12T09:53:55Z"/>
        <d v="2026-03-12T12:33:25Z"/>
        <d v="2026-03-12T15:23:56Z"/>
        <d v="2026-03-12T17:06:14Z"/>
        <d v="2026-03-12T15:53:58Z"/>
        <d v="2026-03-12T17:30:57Z"/>
        <d v="2026-03-12T17:52:53Z"/>
        <d v="2026-03-12T17:52:10Z"/>
        <d v="2026-03-12T17:48:07Z"/>
        <d v="2026-03-13T14:20:18Z"/>
        <d v="2026-03-13T13:44:41Z"/>
        <d v="2026-03-13T13:44:32Z"/>
        <d v="2026-03-13T15:05:37Z"/>
        <d v="2026-03-13T15:06:03Z"/>
        <d v="2026-03-13T15:30:47Z"/>
        <d v="2026-03-16T10:59:09Z"/>
        <d v="2026-03-16T10:58:20Z"/>
        <d v="2026-03-16T10:58:41Z"/>
        <d v="2026-03-16T09:48:58Z"/>
        <d v="2026-03-16T11:42:28Z"/>
        <d v="2026-03-17T15:46:36Z"/>
        <d v="2026-03-17T15:46:45Z"/>
        <d v="2026-03-17T15:47:27Z"/>
        <d v="2026-03-17T15:47:47Z"/>
        <d v="2026-03-17T15:48:10Z"/>
        <d v="2026-03-17T13:29:12Z"/>
        <d v="2026-03-17T15:48:29Z"/>
        <d v="2026-03-17T16:14:43Z"/>
        <d v="2026-03-18T17:47:57Z"/>
        <d v="2026-03-18T08:50:51Z"/>
        <d v="2026-03-18T17:48:16Z"/>
        <d v="2026-03-18T17:48:39Z"/>
        <d v="2026-03-18T17:48:50Z"/>
        <d v="2026-03-18T17:49:03Z"/>
        <d v="2026-03-19T13:42:21Z"/>
        <d v="2026-03-19T13:42:43Z"/>
        <d v="2026-03-19T13:43:05Z"/>
        <d v="2026-03-19T14:00:35Z"/>
        <d v="2026-03-19T18:16:03Z"/>
        <d v="2026-03-19T16:49:05Z"/>
        <d v="2026-03-19T17:00:12Z"/>
        <d v="2026-03-19T17:05:57Z"/>
        <d v="2026-03-20T12:26:28Z"/>
        <d v="2026-03-20T15:49:51Z"/>
        <d v="2026-03-20T17:05:18Z"/>
        <d v="2026-03-20T16:53:36Z"/>
        <d v="2026-03-24T15:22:46Z"/>
        <d v="2026-03-23T14:43:57Z"/>
        <d v="2026-03-23T14:44:27Z"/>
        <d v="2026-03-23T14:44:16Z"/>
        <d v="2026-03-23T15:27:34Z"/>
        <d v="2026-03-23T15:59:36Z"/>
        <d v="2026-03-24T16:03:00Z"/>
        <d v="2026-03-24T16:07:08Z"/>
        <d v="2026-03-24T16:06:40Z"/>
        <d v="2026-03-24T16:04:10Z"/>
        <d v="2026-03-24T14:55:17Z"/>
        <d v="2026-03-24T16:35:21Z"/>
        <d v="2026-03-25T10:10:16Z"/>
        <d v="2026-03-25T16:20:53Z"/>
        <d v="2026-03-25T16:27:33Z"/>
        <d v="2026-03-25T16:30:23Z"/>
        <d v="2026-03-26T09:27:17Z"/>
        <d v="2026-03-26T09:26:58Z"/>
        <d v="2026-03-26T09:36:49Z"/>
        <d v="2026-03-26T15:47:40Z"/>
        <d v="2026-03-26T15:37:53Z"/>
        <d v="2026-03-26T16:26:05Z"/>
        <d v="2026-03-26T17:00:41Z"/>
        <d v="2026-03-26T17:31:20Z"/>
        <d v="2026-03-26T17:40:57Z"/>
        <d v="2026-03-27T09:11:54Z"/>
        <d v="2026-03-27T13:30:42Z"/>
        <d v="2026-03-27T14:26:25Z"/>
        <d v="2026-03-27T15:50:29Z"/>
        <d v="2026-03-27T15:50:38Z"/>
        <d v="2026-03-27T15:51:03Z"/>
        <d v="2026-03-27T17:26:14Z"/>
        <d v="2026-03-30T09:33:49Z"/>
        <d v="2026-03-30T09:33:57Z"/>
        <d v="2026-03-31T11:14:17Z"/>
        <d v="2026-03-31T12:57:42Z"/>
        <d v="2026-03-31T17:28:06Z"/>
        <d v="2026-03-31T15:30:59Z"/>
        <d v="2026-03-31T17:10:45Z"/>
        <d v="2026-04-01T12:12:53Z"/>
        <d v="2026-04-01T12:45:55Z"/>
        <d v="2026-04-01T16:50:50Z"/>
        <d v="2026-04-06T08:54:40Z"/>
        <d v="2026-04-06T08:33:22Z"/>
        <d v="2026-04-07T08:32:41Z"/>
        <d v="2026-04-06T16:30:54Z"/>
        <d v="2026-04-07T17:40:44Z"/>
        <d v="2026-04-07T17:40:55Z"/>
        <d v="2026-04-08T14:13:41Z"/>
        <d v="2026-04-09T09:51:49Z"/>
        <d v="2026-04-09T18:49:37Z"/>
        <d v="2026-04-09T16:39:13Z"/>
        <d v="2026-04-09T18:05:53Z"/>
        <d v="2026-04-09T18:49:20Z"/>
        <d v="2026-04-10T08:20:57Z"/>
        <d v="2026-04-10T11:39:06Z"/>
        <d v="2026-04-10T11:38:23Z"/>
        <d v="2026-04-10T15:45:46Z"/>
        <d v="2026-04-13T08:55:00Z"/>
        <d v="2026-04-13T08:53:56Z"/>
        <d v="2026-04-13T08:53:39Z"/>
        <d v="2026-04-11T09:45:39Z"/>
        <d v="2026-04-13T16:59:04Z"/>
        <d v="2026-04-13T15:53:55Z"/>
        <d v="2026-04-13T15:53:44Z"/>
        <d v="2026-04-13T16:02:05Z"/>
        <d v="2026-04-13T16:58:23Z"/>
        <d v="2026-04-13T16:58:31Z"/>
        <d v="2026-04-13T17:20:00Z"/>
        <d v="2026-05-12T16:04:13Z"/>
        <d v="2026-04-14T12:49:48Z"/>
        <d v="2026-04-14T17:53:34Z"/>
        <d v="2026-04-14T18:06:47Z"/>
        <d v="2026-04-15T13:43:18Z"/>
        <d v="2026-04-15T13:00:53Z"/>
        <d v="2026-04-15T12:04:44Z"/>
        <d v="2026-04-15T12:44:15Z"/>
        <d v="2026-04-15T16:14:55Z"/>
        <d v="2026-04-16T09:56:40Z"/>
        <d v="2026-04-16T11:53:59Z"/>
        <d v="2026-04-16T11:54:15Z"/>
        <d v="2026-04-16T12:09:39Z"/>
        <d v="2026-04-16T15:27:55Z"/>
        <d v="2026-04-16T15:28:13Z"/>
        <d v="2026-04-16T16:36:50Z"/>
        <d v="2026-04-16T18:36:25Z"/>
        <d v="2026-04-17T10:45:21Z"/>
        <d v="2026-04-17T10:45:05Z"/>
        <d v="2026-04-17T10:45:38Z"/>
        <d v="2026-04-17T13:52:06Z"/>
        <d v="2026-04-17T14:46:02Z"/>
        <d v="2026-04-20T10:14:37Z"/>
        <d v="2026-04-20T11:53:38Z"/>
        <d v="2026-04-20T11:58:50Z"/>
        <d v="2026-04-20T11:58:38Z"/>
        <d v="2026-04-20T16:05:36Z"/>
        <d v="2026-04-21T08:51:58Z"/>
        <d v="2026-04-24T12:51:34Z"/>
        <d v="2026-04-21T15:38:23Z"/>
        <d v="2026-04-21T15:38:37Z"/>
        <d v="2026-04-21T17:38:08Z"/>
        <d v="2026-04-22T13:10:07Z"/>
        <d v="2026-04-22T17:04:39Z"/>
        <d v="2026-04-22T17:04:27Z"/>
        <d v="2026-04-22T17:04:17Z"/>
        <d v="2026-04-22T17:04:06Z"/>
        <d v="2026-04-23T10:03:39Z"/>
        <d v="2026-04-28T14:07:47Z"/>
        <d v="2026-04-23T12:27:53Z"/>
        <d v="2026-04-23T12:14:14Z"/>
        <d v="2026-04-23T13:10:24Z"/>
        <d v="2026-04-23T14:43:14Z"/>
        <d v="2026-04-23T15:01:55Z"/>
        <d v="2026-04-23T15:54:22Z"/>
        <d v="2026-04-23T17:08:02Z"/>
        <d v="2026-04-23T17:08:13Z"/>
        <d v="2026-04-24T13:50:52Z"/>
        <d v="2026-04-24T13:51:54Z"/>
        <d v="2026-04-24T13:51:33Z"/>
        <d v="2026-04-24T13:51:12Z"/>
        <d v="2026-04-24T15:34:52Z"/>
        <d v="2026-05-18T12:01:07Z"/>
        <d v="2026-04-24T16:36:41Z"/>
        <d v="2026-04-27T08:56:38Z"/>
        <d v="2026-04-27T11:58:11Z"/>
        <d v="2026-04-27T11:33:40Z"/>
        <d v="2026-04-27T13:41:04Z"/>
        <d v="2026-04-27T16:04:32Z"/>
        <d v="2026-04-27T18:19:49Z"/>
        <d v="2026-04-28T12:41:07Z"/>
        <d v="2026-04-29T09:21:13Z"/>
        <d v="2026-04-29T09:21:32Z"/>
        <d v="2026-04-29T13:14:39Z"/>
        <d v="2026-04-29T15:59:08Z"/>
        <d v="2026-04-29T15:59:45Z"/>
        <d v="2026-04-30T09:41:54Z"/>
        <d v="2026-04-30T11:39:32Z"/>
        <d v="2026-04-30T11:39:54Z"/>
        <d v="2026-04-30T12:20:54Z"/>
        <d v="2026-04-30T16:58:16Z"/>
        <d v="2026-05-04T08:26:58Z"/>
        <d v="2026-05-04T12:01:17Z"/>
        <d v="2026-05-04T12:01:37Z"/>
        <d v="2026-05-04T15:31:46Z"/>
        <d v="2026-05-04T15:32:03Z"/>
        <d v="2026-05-04T16:06:20Z"/>
        <d v="2026-05-04T16:06:33Z"/>
        <d v="2026-05-04T16:36:20Z"/>
        <d v="2026-05-04T17:52:46Z"/>
        <d v="2026-05-05T08:15:31Z"/>
        <d v="2026-05-05T08:15:44Z"/>
        <d v="2026-05-05T12:02:27Z"/>
        <d v="2026-05-05T12:02:12Z"/>
        <d v="2026-05-05T17:39:52Z"/>
        <d v="2026-05-13T16:49:58Z"/>
        <d v="2026-05-06T16:44:07Z"/>
        <d v="2026-05-06T16:43:59Z"/>
        <d v="2026-05-06T16:43:47Z"/>
        <d v="2026-05-06T16:55:30Z"/>
        <d v="2026-05-07T11:50:46Z"/>
        <d v="2026-05-07T11:51:00Z"/>
        <d v="2026-05-07T14:51:41Z"/>
        <d v="2026-05-07T15:55:59Z"/>
        <d v="2026-05-07T15:55:47Z"/>
        <d v="2026-05-07T16:43:09Z"/>
        <d v="2026-05-07T16:43:25Z"/>
        <d v="2026-05-07T16:53:03Z"/>
        <d v="2026-05-07T16:53:17Z"/>
        <d v="2026-05-08T10:58:27Z"/>
        <d v="2026-05-08T15:24:00Z"/>
        <d v="2026-05-08T15:22:55Z"/>
        <d v="2026-05-08T17:07:11Z"/>
        <d v="2026-05-08T17:07:25Z"/>
        <d v="2026-05-08T17:25:12Z"/>
        <d v="2026-05-08T17:40:28Z"/>
        <d v="2026-05-08T17:40:41Z"/>
        <d v="2026-05-11T08:10:44Z"/>
        <d v="2026-05-11T08:26:04Z"/>
        <d v="2026-05-11T08:28:04Z"/>
        <d v="2026-05-13T16:50:09Z"/>
        <d v="2026-05-11T13:33:34Z"/>
        <d v="2026-05-11T13:33:47Z"/>
        <d v="2026-05-11T17:16:44Z"/>
        <d v="2026-05-11T17:17:37Z"/>
        <d v="2026-05-12T12:32:16Z"/>
        <d v="2026-05-12T12:32:01Z"/>
        <d v="2026-05-12T16:08:37Z"/>
        <d v="2026-05-12T16:07:50Z"/>
        <d v="2026-05-12T17:30:52Z"/>
        <d v="2026-05-12T17:55:53Z"/>
        <d v="2026-05-13T14:13:21Z"/>
        <d v="2026-05-13T15:06:05Z"/>
        <d v="2026-05-13T15:05:55Z"/>
        <d v="2026-05-13T15:05:47Z"/>
        <d v="2026-05-13T15:08:35Z"/>
        <d v="2026-05-13T16:03:30Z"/>
        <d v="2026-05-13T16:11:24Z"/>
        <d v="2026-05-13T16:48:11Z"/>
        <d v="2026-05-13T16:46:41Z"/>
        <d v="2026-05-13T16:45:58Z"/>
        <d v="2026-05-14T10:03:04Z"/>
        <d v="2026-05-14T14:50:37Z"/>
        <d v="2026-05-14T14:57:07Z"/>
        <d v="2026-05-14T16:03:07Z"/>
        <d v="2026-05-14T15:48:14Z"/>
        <d v="2026-05-14T16:48:37Z"/>
        <d v="2026-05-14T18:06:30Z"/>
        <d v="2026-05-14T18:06:22Z"/>
        <d v="2026-05-14T18:06:15Z"/>
        <d v="2026-05-15T16:43:13Z"/>
        <d v="2026-05-15T13:39:48Z"/>
        <d v="2026-05-15T16:17:24Z"/>
        <d v="2026-05-15T16:17:14Z"/>
        <d v="2026-05-15T16:17:07Z"/>
        <d v="2026-05-15T16:30:38Z"/>
        <d v="2026-05-15T16:29:25Z"/>
        <d v="2026-05-15T17:05:45Z"/>
        <d v="2026-05-18T08:33:54Z"/>
        <d v="2026-05-18T09:01:18Z"/>
        <d v="2026-05-18T09:25:44Z"/>
        <d v="2026-05-18T13:10:36Z"/>
        <d v="2026-05-19T08:55:15Z"/>
        <d v="2026-05-19T10:50:15Z"/>
        <d v="2026-05-19T10:52:22Z"/>
        <d v="2026-05-19T16:22:18Z"/>
        <d v="2026-05-21T14:28:09Z"/>
        <d v="2026-05-20T09:11:05Z"/>
        <d v="2026-05-20T09:37:50Z"/>
        <d v="2026-05-20T10:20:50Z"/>
        <d v="2026-05-20T10:58:19Z"/>
        <d v="2026-05-20T11:02:44Z"/>
        <d v="2026-05-20T15:43:48Z"/>
        <d v="2026-05-20T15:44:28Z"/>
        <d v="2026-05-20T15:44:11Z"/>
        <d v="2026-05-20T17:13:02Z"/>
        <d v="2026-05-20T17:43:07Z"/>
        <d v="2026-05-20T17:45:19Z"/>
        <d v="2026-05-26T10:04:53Z"/>
        <d v="2026-05-21T10:21:07Z"/>
        <d v="2026-05-21T13:04:20Z"/>
        <d v="2026-05-21T13:17:30Z"/>
        <d v="2026-05-21T17:16:43Z"/>
        <d v="2026-05-22T08:30:05Z"/>
        <d v="2026-05-22T08:34:54Z"/>
        <d v="2026-05-22T08:34:36Z"/>
        <d v="2026-05-22T11:31:19Z"/>
        <d v="2026-05-22T15:32:57Z"/>
        <d v="2026-05-22T17:00:33Z"/>
        <d v="2026-05-25T08:16:58Z"/>
        <d v="2026-05-25T08:57:43Z"/>
        <d v="2026-05-25T13:39:00Z"/>
        <d v="2026-05-28T15:34:06Z"/>
        <d v="2026-05-25T18:00:24Z"/>
        <d v="2026-05-26T10:20:24Z"/>
        <d v="2026-05-26T15:13:22Z"/>
        <d v="2026-05-26T16:51:42Z"/>
        <d v="2026-05-26T13:25:36Z"/>
        <d v="2026-05-27T09:33:31Z"/>
        <d v="2026-05-26T16:42:12Z"/>
        <d v="2026-05-26T16:41:53Z"/>
        <d v="2026-05-26T16:54:33Z"/>
        <d v="2026-05-26T17:48:31Z"/>
        <d v="2026-05-28T08:13:25Z"/>
        <d v="2026-05-29T10:28:28Z"/>
        <d v="2026-05-28T16:27:21Z"/>
        <d v="2026-05-28T17:35:04Z"/>
        <d v="2026-05-29T19:38:15Z"/>
        <d v="2026-05-29T19:39:14Z"/>
        <d v="2026-06-01T09:03:21Z"/>
        <d v="2026-06-01T09:02:51Z"/>
        <d v="2026-06-01T08:56:06Z"/>
        <d v="2026-06-03T10:51:47Z"/>
        <d v="2026-06-01T16:11:28Z"/>
        <d v="2026-06-01T16:10:54Z"/>
        <d v="2026-06-01T16:49:34Z"/>
        <d v="2026-06-01T16:49:25Z"/>
        <d v="2026-06-01T16:49:16Z"/>
        <d v="2026-06-01T17:23:57Z"/>
        <d v="2026-06-01T17:24:30Z"/>
        <d v="2026-06-02T08:32:47Z"/>
        <d v="2026-06-02T17:29:41Z"/>
        <d v="2026-06-02T17:30:48Z"/>
        <d v="2026-06-02T17:44:20Z"/>
        <d v="2026-06-02T17:43:57Z"/>
        <d v="2026-06-02T17:58:49Z"/>
        <d v="2026-06-03T11:32:03Z"/>
        <d v="2026-06-03T15:26:58Z"/>
        <d v="2026-06-03T15:27:30Z"/>
        <d v="2026-06-03T16:00:17Z"/>
        <d v="2026-06-03T15:39:09Z"/>
        <d v="2026-06-03T16:20:27Z"/>
        <d v="2026-06-03T17:38:42Z"/>
        <d v="2026-06-03T17:38:56Z"/>
        <d v="2026-06-04T08:51:03Z"/>
        <d v="2026-06-04T12:14:49Z"/>
        <d v="2026-06-04T14:16:44Z"/>
        <d v="2026-06-04T14:16:24Z"/>
        <d v="2026-06-04T14:16:02Z"/>
        <d v="2026-06-04T13:00:23Z"/>
        <d v="2026-06-04T15:41:41Z"/>
        <d v="2026-06-04T15:41:04Z"/>
        <d v="2026-06-04T15:41:20Z"/>
        <d v="2026-06-04T19:02:44Z"/>
        <d v="2026-06-05T08:35:16Z"/>
        <d v="2026-06-04T19:02:33Z"/>
        <d v="2026-06-05T08:26:30Z"/>
        <d v="2026-06-05T09:09:36Z"/>
        <d v="2026-06-05T09:10:30Z"/>
        <d v="2026-06-05T11:51:51Z"/>
        <d v="2026-06-05T13:35:12Z"/>
        <d v="2026-06-05T15:23:46Z"/>
        <d v="2026-06-05T16:03:57Z"/>
        <d v="2026-06-05T16:04:20Z"/>
        <d v="2026-06-05T18:00:11Z"/>
        <d v="2026-06-08T16:44:04Z"/>
        <d v="2026-06-08T08:55:00Z"/>
        <d v="2026-06-09T13:04:29Z"/>
        <d v="2026-06-08T16:44:23Z"/>
        <d v="2026-06-08T17:14:45Z"/>
        <d v="2026-06-09T09:26:44Z"/>
        <d v="2026-06-09T08:49:07Z"/>
        <d v="2026-06-09T09:27:13Z"/>
        <d v="2026-06-15T16:46:57Z"/>
        <d v="2026-06-09T12:33:07Z"/>
        <d v="2026-06-09T15:37:30Z"/>
        <d v="2026-06-09T15:38:35Z"/>
        <d v="2026-06-09T16:03:39Z"/>
        <d v="2026-06-10T12:24:00Z"/>
        <d v="2026-06-10T09:05:30Z"/>
        <d v="2026-06-10T11:52:02Z"/>
        <d v="2026-06-10T14:02:25Z"/>
        <d v="2026-06-10T13:07:01Z"/>
        <d v="2026-06-10T13:06:52Z"/>
        <d v="2026-06-10T14:20:12Z"/>
        <d v="2026-06-10T14:20:03Z"/>
        <d v="2026-06-10T14:19:54Z"/>
        <d v="2026-06-10T15:17:48Z"/>
        <d v="2026-06-10T16:01:43Z"/>
        <d v="2026-06-10T16:25:03Z"/>
        <d v="2026-06-10T16:29:50Z"/>
        <d v="2026-06-10T18:12:59Z"/>
        <d v="2026-06-11T14:58:06Z"/>
        <d v="2026-06-11T14:59:37Z"/>
        <d v="2026-06-11T15:15:16Z"/>
        <d v="2026-06-11T15:24:38Z"/>
        <d v="2026-06-11T16:06:06Z"/>
        <d v="2026-06-11T17:02:17Z"/>
        <d v="2026-06-11T17:02:04Z"/>
        <d v="2026-06-11T17:05:06Z"/>
        <d v="2026-06-19T13:54:05Z"/>
        <d v="2026-06-12T09:19:16Z"/>
        <d v="2026-06-12T15:13:25Z"/>
        <d v="2026-06-12T13:11:15Z"/>
        <d v="2026-06-12T15:48:00Z"/>
        <d v="2026-06-12T15:48:16Z"/>
        <d v="2026-06-12T16:18:57Z"/>
        <d v="2026-06-12T16:19:12Z"/>
        <d v="2026-06-12T16:50:44Z"/>
        <d v="2026-06-13T14:21:44Z"/>
        <d v="2026-06-15T14:29:48Z"/>
        <d v="2026-06-15T16:35:24Z"/>
        <d v="2026-06-15T16:35:12Z"/>
        <d v="2026-06-15T17:20:12Z"/>
        <d v="2026-06-16T10:07:50Z"/>
        <d v="2026-06-16T16:49:39Z"/>
        <d v="2026-06-16T16:49:57Z"/>
        <d v="2026-06-16T16:50:34Z"/>
        <d v="2026-06-16T16:50:14Z"/>
        <d v="2026-06-17T09:33:03Z"/>
        <d v="2026-06-17T17:09:53Z"/>
        <d v="2026-06-17T14:48:42Z"/>
        <d v="2026-06-17T17:09:24Z"/>
        <d v="2026-06-18T12:59:01Z"/>
        <d v="2026-06-18T17:34:11Z"/>
        <d v="2026-06-18T17:34:28Z"/>
        <d v="2026-06-19T09:16:42Z"/>
        <d v="2026-06-19T09:39:25Z"/>
        <d v="2026-06-19T15:12:04Z"/>
        <d v="2026-06-19T10:42:49Z"/>
        <d v="2026-06-19T17:18:43Z"/>
        <d v="2026-06-19T17:18:33Z"/>
        <d v="2026-06-19T17:18:24Z"/>
        <d v="2026-06-22T08:05:20Z"/>
        <d v="2026-06-22T11:12:02Z"/>
        <d v="2026-06-22T11:47:17Z"/>
        <d v="2026-06-22T17:00:26Z"/>
        <m/>
      </sharedItems>
      <fieldGroup base="1">
        <rangePr autoStart="0" autoEnd="0" groupBy="months" startDate="2026-02-26T11:03:34Z" endDate="2026-06-23T17:00:26Z"/>
        <groupItems>
          <s v="&lt;02/26/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/23/26"/>
        </groupItems>
      </fieldGroup>
    </cacheField>
    <cacheField name="Cliente" numFmtId="0">
      <sharedItems containsBlank="1">
        <s v="GARAJE Y TALLERES FRIDELBA, C.A"/>
        <s v="EMPRENDIMIENTO IRMA RODRIGUEZ 6"/>
        <s v="ZIP MARKET, CA"/>
        <s v="E&amp;M CAR SHOP C.A"/>
        <s v="TERA INGENIERIA Y SERVICIOS INDUSTRIALES, C.A"/>
        <s v="MOTO MARCE 21, CA"/>
        <s v="SPEED RACING, CA"/>
        <s v="SERVICIOS Y MANTENIMIENTO SPACARS, C.A, Henry Blanco"/>
        <s v="MOTO REPUESTOS LA FLECHA, C.A."/>
        <s v="AUTO ACCESORIOS VZLA, C.A."/>
        <s v="Ruta 8 Autopartes,c.a."/>
        <s v="EMPRENDIMIENTO TOMAS MARCANO 5"/>
        <s v="INVERSIONES SMALUM 21, C.A."/>
        <s v="Autorepuestos las 24 horas"/>
        <s v="Multiservicios Sanahuja 36 C.A"/>
        <s v="Encamotors Catia C.A"/>
        <s v="Joel Duque"/>
        <s v="Moises Alejandro Mares"/>
        <s v="Ricardo A. Fernandez."/>
        <s v="AUTOREPUESTOS SION C.A."/>
        <s v="HIDRAULICAS CAICEDO C.A."/>
        <s v="COMERCIAL REPUESTOS MUNDIALES RMS 2022 C.A."/>
        <s v="Ferretería JJ Martins c.a"/>
        <s v="Angel ARMAS"/>
        <s v="Miguel Antonio Chacon"/>
        <s v="inversiones El Gran Charles C.A"/>
        <s v="Junior Marco Antonio Vivas Navas"/>
        <s v="Auto repuestos Fontalvo"/>
        <s v="Moto Bestia, C.A"/>
        <s v="WILLY MOTOR CAR REPUESTOS Y SERVICIOS, C.A."/>
        <s v="Inversiones Trip K, c.a."/>
        <s v="ALIPLUS TRASPORTE Y EQUIPOS, CA"/>
        <s v="Vianney García"/>
        <s v="Comercializadora Garabote"/>
        <s v="INVERSIONES IRETE SUKA, C.A"/>
        <s v="Rawy Xavier Melendez Caripa"/>
        <s v="Autoelectronica Oranel, C.A."/>
        <s v="Marlene Herrera"/>
        <s v="FREDI MARQUEZ"/>
        <s v="Auto Repuestos Acal C.A"/>
        <s v="INVERSIONES MI LINDA YEMAIRE 2019, C.A"/>
        <s v="Corporación Lubricantes 7ma Av.C.A"/>
        <s v="Barrios Rodríguez Marlon Enrique"/>
        <s v="Motolavado Yahir"/>
        <s v="Comercial Rio Paraguas C.A"/>
        <s v="Repuestos y Accesorios chaustre 2024"/>
        <s v="Rhino Toyo Parts, C.A."/>
        <s v="INVERSIONES R&amp;C 1817, c.a."/>
        <s v="SJMG 2012 C.A"/>
        <s v="TorniRepuesto BA 2015, C.A"/>
        <s v="VAL VAL 16 C.A"/>
        <s v="Auto Servicios HN 6972, C.A"/>
        <s v="Jesus luciani Russiani."/>
        <s v="Katiuska Alejandra Curvelo"/>
        <s v="DISTRIBUIDORA PINOS 181297 C.A"/>
        <s v="Remodelaciones Ivanro, C.A"/>
        <s v="Servicios Nicolazzo 97, C.A"/>
        <s v="Ruben Dario Fernandez"/>
        <s v="MULTISERVICIOS RECAM13, C.A."/>
        <s v="Coffee Party, C.A."/>
        <s v="Pedro Castro"/>
        <s v="Inversiones Famasa, C.A"/>
        <s v="Inversiones maxgad &amp; ef"/>
        <s v="Wuilliams bastidas"/>
        <s v="Javier Cardenas Prato."/>
        <s v="Moto Repuestos Sanz 11. C.A."/>
        <s v="ACCESORIOS Y REPUESTOS MOTO CAR 20-11-C.A"/>
        <s v="Emprendimiento YSKRA"/>
        <s v="Moto repuestos jj"/>
        <s v="Multiservicios Arizona, C.A."/>
        <s v="Video Electrónica Fermat, C.A"/>
        <s v="Felipe Granja"/>
        <s v="Mini Market Las Mercedes,c.a."/>
        <s v="Diana Carolina Torres"/>
        <s v="INVERSIONES JOSCAR XXI, S.A."/>
        <s v="Alexis Rodríguez Fernández"/>
        <s v="Inversiones Brayan CT C.A"/>
        <s v="Franklin J. Mijares S."/>
        <s v="Autoasesorio maxi motor"/>
        <s v="AGROPECUARIA EL TORO DORADO, C.A"/>
        <s v="Jose Becerra"/>
        <s v="ELIVAN2025, C.A"/>
        <s v="MARTIN RAMON DIAZ BOLIVAR"/>
        <s v="Jose Lopez Espinoza"/>
        <s v="Emprendimiento Tomas Paz"/>
        <s v="Ramon Alvarez Mota"/>
        <s v="M.L.P Repuestos y Otros, C.A"/>
        <s v="Megacar2020.c.a"/>
        <s v="Victor Ordaz"/>
        <s v="Emprendimiento José Sánchez 203 c.a"/>
        <s v="Multiservicios Gre-orio2022 c.a"/>
        <s v="Emprendimiento Jordy Valencia"/>
        <s v="TALLER TNMCAR, C.A"/>
        <s v="Neykel Quevedo"/>
        <s v="Distribuidora Nesmari 2050 c.a"/>
        <s v="Inversiones La Bendición del Nazareno, C.A"/>
        <s v="Benefit c.a"/>
        <s v="JOSE STURCHIO CAPPELLANIA"/>
        <s v="Yulendri Carolina Pineda Blanco"/>
        <s v="LOGISTICA Y CONSULTORIA VINCARS, C.A."/>
        <s v="MOTOREPUESTOS EL GUANÁBANO YRM C.A."/>
        <s v="La cámara perfecta"/>
        <s v="Alexander Quiroz"/>
        <s v="Emprendimiento ilaris cancelo"/>
        <s v="Inversiones Dekamalbaz, C.A"/>
        <s v="Distribuidora Drako 2024 c.a"/>
        <s v="ESTACIONAMIENTO CIACORE 2000 c.a"/>
        <s v="Emprendimiento Yeizon Villaroel"/>
        <s v="SERVICIOS Y MANTENIMIENTO SPACARS, C.A"/>
        <s v="EMPRENDIMIENTO MARTIN BASTIDAS 2"/>
        <s v="Turismo Apureño Turapca, C.A"/>
        <s v="Dimas Ortíz"/>
        <s v="Grupo 3030, C.A"/>
        <s v="Lubripartes Vzla, c.a."/>
        <s v="DISTRIBUIDORA MULTIAHORRO C.A."/>
        <s v="EMPRENDIMIENTO HECTOR LLAMOZA"/>
        <s v="Grupo Biker Way mm, C.A"/>
        <s v="Frenos Elite, C.A"/>
        <s v="ADS SERVICE C.A"/>
        <s v="ALI ALEXANDER MORENO FIGUEREDO"/>
        <s v="DISTRIBUIDORA E.P.L.C 2017, c.a."/>
        <s v="Jose Angel Gutierrez Rodriguez"/>
        <s v="Jhon Morales"/>
        <s v="Inversiones Vercris 17 C.A"/>
        <s v="AREA58 2022, C.A."/>
        <s v="Pidelo Y Punto,c.a."/>
        <s v="Cauchos y Suministros Camacho C.A"/>
        <s v="HP Repuestos 2007 C.A"/>
        <s v="Manuel Emilio Reyes"/>
        <s v="Anthony Jose Quijada Diaz."/>
        <s v="Global Ferre 888 C.A"/>
        <s v="Paola M. Aguilera Z."/>
        <s v="Comercial los de faria,c.a."/>
        <s v="Autorepuestos Pitstop,c.a."/>
        <s v="PROYECTO MAQUIVEIRO 21 C.A."/>
        <s v="Motorepuestos HD 94, C.A"/>
        <s v="Inversiones Marfran 2025, C. A."/>
        <s v="Ingrit Martinez"/>
        <s v="Inversiones Mirelkys C.A"/>
        <s v="Inversiones AreaElectric 2021,c.a."/>
        <s v="Inversiones DSM 2706, c.a."/>
        <s v="CONSTRUCTORA GRANO AGREGADO, C.A"/>
        <s v="Alejandro Zorrilla"/>
        <s v="Cooperativa Dios mi Amparo, R.L."/>
        <s v="Montura de Cauchos Biondo,c.a."/>
        <s v="Braulio R. Cedeño Gonzalez."/>
        <s v="Autorepuestos el Florin,c.a."/>
        <s v="Josefina Guevera"/>
        <s v="EN LA VIA 2023 C.A"/>
        <s v="CAUCHOS Y ACCESORIOS LA CAMPIÑA, C.A."/>
        <s v="Devenalsa Deshidratadora Venezolana de Alimentos, S.A."/>
        <s v="Constructora Campo Urbano,c.a."/>
        <s v="Auto Partes Y Repuestos Encava Express,c.a."/>
        <s v="Cauchos California, C.A"/>
        <s v="José Brea"/>
        <s v="JONNY DAVID BOLIVAR"/>
        <s v="Servicios de Gruas Torgil 300, c.a."/>
        <s v="Cauchera William 2018, C.A"/>
        <s v="Lubricantes BK C.A"/>
        <s v="Luis Zambrano"/>
        <s v="Abraham almenar"/>
        <s v="Comercializadora Dimon c.a"/>
        <s v="EMPRENDIMIENTO MANUEL GÓMEZ 6"/>
        <s v="Distribuidora El Frenazo"/>
        <s v="Multiservicio Tocome, C.A"/>
        <s v="Autopartes Munich PH 168 C.A."/>
        <s v="Desarrollo Agrario Integral DAI Los Pucheros 13, C. A."/>
        <s v="Inversiones Los compadres 7686, c.a."/>
        <s v="Repuestos Guia Dios Nuestro Camino,c.a."/>
        <s v="Lubristation, C.A."/>
        <s v="Repuestos y accesorios motochiva23 c.a"/>
        <s v="LA CASA DE LAS BATERIAS"/>
        <s v="SUPLIPARTES PARAISO, C.A"/>
        <s v="Inversiones Air Brakes, C.A"/>
        <s v="Inversiones tydelmarojg"/>
        <s v="Javier gregorio Espinoza"/>
        <s v="Jefferson rosales"/>
        <s v="MOTOS Y REPUESTOS DOS RUEDAS, C.A."/>
        <s v="INVERSIONES ARCOSOL 21, C.A."/>
        <s v="CENTRO MOTRIZ GUADALUPE, C.A."/>
        <s v="Sergio Ibrain Rumbo Mundaray"/>
        <s v="INVERSIONES F-250, C.A"/>
        <s v="LUBRIREPUESTOS PANORAMA, C.A."/>
        <s v="Jose Alzolay"/>
        <s v="Multiservicio SOS Cars, C.A"/>
        <s v="Carlos Bravo"/>
        <s v="Edgar salas"/>
        <s v="MOTO REPUESTO GARCIA 2023, C.A."/>
        <s v="JOSE RAFAEL MARTÍNEZ"/>
        <s v="Angi Edimar Carvajal Peñaranda"/>
        <s v="Ideal car"/>
        <s v="ANGEL LEON GALARRAGA"/>
        <s v="Nemer Bourji"/>
        <s v="Comercializadora El Fénix de Catia"/>
        <s v="Kervin baez"/>
        <s v="AGROPECUARIA LECHE Y MIEL, C.A"/>
        <s v="Inversiones García GL C.A"/>
        <s v="Wili Mervin León Romero"/>
        <s v="Asociación Cooperativa la Esquina del Lubricante 9999 R.L"/>
        <s v="JOSE RUBIO ESPINEL"/>
        <s v="Yeifri Alexander Marquez Zerpa"/>
        <s v="Automecanica Marilu 2014, C.A"/>
        <s v="Moto repuestos el casco 2050 c.a"/>
        <s v="AUTOPERIQUITO EL PEQUEÑO CHAMOY, C.A."/>
        <s v="CLUDE CARVALHO DE ACOSTA"/>
        <s v="Melany Madrid"/>
        <s v="INVERSIONES BECLA PARTS C.A."/>
        <s v="REPRESENTACIONES LAGUS MEL, C. A"/>
        <s v="DIADOMHAN AUTOMOTRIZ, C.A."/>
        <s v="Comercializadora Estoril 25,c.a."/>
        <s v="AUTOSERVICIOS SPACARS, C.A."/>
        <s v="MARIA CAROLINA CARDENAS GUEVARA"/>
        <s v="CAUCHOS NUÑEZ, C.A."/>
        <s v="Kiosco Willianny 1013, C.A"/>
        <s v="ELENA MEJIAS"/>
        <s v="En ascenso 2011,c.a."/>
        <s v="INVERSIONES DA &amp; JE,"/>
        <s v="Deyanira Carpio De Sequera"/>
        <s v="Multiservicios y Distribuidora Todo Carro Bedyf, C.A"/>
        <s v="Marco Romero"/>
        <s v="SEBASTIAN RICON MOLINA"/>
        <s v="FRANCISCO MONCADA"/>
        <s v="Greicy Moncada"/>
        <s v="CASERES GONZALEZ RONALD OSWALDO"/>
        <s v="Francesco orlando Espro bolaños"/>
        <s v="Sandra Katherine Quintero Crespo"/>
        <s v="Emprendimiento Eduardo Pérez 6"/>
        <s v="TALLER Y REPUESTOS CHOPPERS, C.A."/>
        <s v="Jorge Luis camacaro"/>
        <s v="Multiservicios gochi express 2024, c.a"/>
        <s v="ERICH GILBERTO CASERES MELENDEZ"/>
        <s v="Almacenadora X7, C.A"/>
        <s v="COMERCIAL EKAFREN,C.A."/>
        <s v="DISTRIBUIDORA R. LAYA MORA,C.A."/>
        <s v="OLIVEIRA &amp; SANTOS, C.A.(SERVICENTRO EL CUÑO, C.A.)"/>
        <s v="Antonio Terán"/>
        <s v="MULTIPARTES Y SERVICIOS HONDANIS,C.A."/>
        <s v="INVERSIONES SM 2191, C.A."/>
        <s v="Carlos Eduardo Ascension Matos"/>
        <s v="EMPRENDIMIENTO FRANCISCO VEGAS 3"/>
        <s v="PROYECTOS Y DESARROLLO TOMTOM,C.A."/>
        <s v="Mazare Motors, C.A"/>
        <s v="GASOLVEN DISTRIBUIDORA, C.A"/>
        <s v="Jhoe Zamora"/>
        <s v="Inversiones Pronautica, C.A."/>
        <s v="NAUDY MARTINEZ"/>
        <s v="ERICK JOSE MAIGUA GUILLEN"/>
        <s v="Comercializadora 1108,c.a."/>
        <s v="Edward Belén"/>
        <s v="Repuestos González peña 31 c.a"/>
        <s v="ELISA ALEJANDRA JIMÉNEZ SUÁREZ"/>
        <s v="AUTOPERIQUITOS LA CAMPIÑA C.A."/>
        <s v="José Gregorio Hernández"/>
        <s v="Hidromaticos La Colina, C.A"/>
        <s v="COMERCIALIZADORA J.A.N. 65, C.A"/>
        <s v="Servi Motores 3A, C.A"/>
        <s v="Inversiones Todo marca Oeste C.A"/>
        <s v="Power Sport Servicios El Hatillo, C.A"/>
        <s v="MAXIAIRE ELECTROMOTRIZ, C.A"/>
        <s v="Industrias Arasia, c.a."/>
        <s v="Automotriz Danale C.A"/>
        <s v="Cauchera El Gordo 0410,c.a."/>
        <s v="WDH Automotriz 0706, c.a."/>
        <s v="María Elena Hernández Rangel"/>
        <s v="Luis Eduardo Piñero Calcurian"/>
        <s v="ELECTROMECÁNICA DANPE C.A."/>
        <s v="Gabriel Martinez"/>
        <s v="GRIMAN DIAZ HECTOR EDUARDO"/>
        <s v="Servimecanica Brandao"/>
        <s v="Daniela Sanobria"/>
        <s v="Multiservicios Diacedeg,c.a."/>
        <s v="Emprendimiento Emily Blanco 10"/>
        <s v="Agustin Pedro Rodriguez Carro"/>
        <s v="Juan antonio salaverria herrera"/>
        <s v="Fluidtack Soluciones, c.a."/>
        <s v="Hipermercado Petare,c.a."/>
        <s v="Bicicletas Repuestos Carioca C.A"/>
        <s v="Jose de Andrade"/>
        <s v="ROBERT GUILLEN"/>
        <s v="Monkey moto Services C.A"/>
        <s v="Repuestos Chevecars Gran Caracas, C.A"/>
        <s v="Autolavado Artico"/>
        <s v="Auto Lavado Norte Sur CS, C.A"/>
        <s v="Repuestos El Portu26 C.A"/>
        <s v="Auto partes Maideirense, C.A"/>
        <s v="Carlos Ruiz"/>
        <s v="Luis Francisco hernandez falcon"/>
        <s v="Larry Herrera"/>
        <s v="Jefferson Navone"/>
        <s v="AUTO REPUESTOS EL DUO 2013, C.A."/>
        <s v="Grupo KACAOIL,C.A."/>
        <s v="Jose Gregorio Lopez"/>
        <s v="AUTOLAVADO ANDRES BELLO C.A"/>
        <s v="Inversiones Repuestos Flash 3141, C.A"/>
        <s v="York Dick Mujica Andarcia"/>
        <s v="UBAG Services,c.a."/>
        <s v="July villasana"/>
        <s v="SUKAY MOTORS V.I.P C.A"/>
        <s v="Chaquiro Arteaga"/>
        <s v="Kevin Monsalve"/>
        <m/>
      </sharedItems>
    </cacheField>
    <cacheField name="Vendedor" numFmtId="0">
      <sharedItems containsBlank="1">
        <s v="VILLABONA CORREA ALBA ESTEFANIA"/>
        <s v="CALDERON TERAN ARGIMIRO ANTONIO"/>
        <s v="Marco Romero"/>
        <s v="OCANTO ZABALA ROSALVY DEL CARMEN"/>
        <s v="TORO ARDILES DAVID JOSE"/>
        <s v="MARTINEZ MONTES JEFFREY ENRIQUE"/>
        <s v="GRIMAN DIAZ HECTOR EDUARDO"/>
        <s v="CASERES GONZALEZ RONALD OSWALDO"/>
        <s v="REVERON DE CONTRERAS MELANI AUSMAR"/>
        <s v="BETANCOURT ROBRIGUEZ LUIS ENRRIQUE"/>
        <s v="PEREZ DIAZ ANGEL DE DIOS"/>
        <s v="QUEVEDO BASTIDAS NEYKEL DAVID"/>
        <s v="PACHECO RODRIGUEZ FRANCISCO JAVIER"/>
        <s v="Raúl David"/>
        <s v="LOPEZ ANTUNEZ ANDERSON JOSE"/>
        <s v="Frank Vasquez"/>
        <s v="VELASCO RODRIGUEZ MARCOS LEONCIO"/>
        <m/>
      </sharedItems>
    </cacheField>
    <cacheField name="Total" numFmtId="4">
      <sharedItems containsString="0" containsBlank="1" containsNumber="1">
        <n v="232.98"/>
        <n v="246.0"/>
        <n v="35.33"/>
        <n v="335.98"/>
        <n v="27781.08"/>
        <n v="63.77"/>
        <n v="82.24"/>
        <n v="954.79"/>
        <n v="104.36"/>
        <n v="96.0"/>
        <n v="78.25"/>
        <n v="472.53"/>
        <n v="212.72"/>
        <n v="90.44"/>
        <n v="72.48"/>
        <n v="510.0"/>
        <n v="69.28"/>
        <n v="261.98"/>
        <n v="146.08"/>
        <n v="289.16"/>
        <n v="101.0"/>
        <n v="243.01"/>
        <n v="185.04"/>
        <n v="434.83"/>
        <n v="75.0"/>
        <n v="90.02"/>
        <n v="28.88"/>
        <n v="1080.62"/>
        <n v="160.98"/>
        <n v="151.96"/>
        <n v="362.52"/>
        <n v="2421.89"/>
        <n v="55.34"/>
        <n v="129.99"/>
        <n v="1893.12"/>
        <n v="53.79"/>
        <n v="1033.52"/>
        <n v="64.99"/>
        <n v="120.02"/>
        <n v="259.99"/>
        <n v="792.33"/>
        <n v="582.77"/>
        <n v="72.0"/>
        <n v="133.99"/>
        <n v="84.29"/>
        <n v="241.81"/>
        <n v="2036.91"/>
        <n v="209.87"/>
        <n v="10739.61"/>
        <n v="3393.87"/>
        <n v="170.36"/>
        <n v="375.35"/>
        <n v="132.47"/>
        <n v="160.5"/>
        <n v="560.84"/>
        <n v="78.62"/>
        <n v="415.08"/>
        <n v="183.49"/>
        <n v="35.99"/>
        <n v="300.86"/>
        <n v="533.34"/>
        <n v="71.99"/>
        <n v="1633.07"/>
        <n v="970.07"/>
        <n v="67.37"/>
        <n v="173.65"/>
        <n v="392.65"/>
        <n v="286.51"/>
        <n v="89.99"/>
        <n v="171.0"/>
        <n v="126.0"/>
        <n v="191.1"/>
        <n v="368.51"/>
        <n v="434.94"/>
        <n v="530.98"/>
        <n v="1623.82"/>
        <n v="93.0"/>
        <n v="197.55"/>
        <n v="184.1"/>
        <n v="711.13"/>
        <n v="297.02"/>
        <n v="280.5"/>
        <n v="991.22"/>
        <n v="110.01"/>
        <n v="108.0"/>
        <n v="296.98"/>
        <n v="99.01"/>
        <n v="207.05"/>
        <n v="50.65"/>
        <n v="289.79"/>
        <n v="179.99"/>
        <n v="390.77"/>
        <n v="106.49"/>
        <n v="4655.88"/>
        <n v="199.49"/>
        <n v="2259.37"/>
        <n v="952.5"/>
        <n v="1947.24"/>
        <n v="850.5"/>
        <n v="51.01"/>
        <n v="94.01"/>
        <n v="20275.64"/>
        <n v="129.92"/>
        <n v="360.0"/>
        <n v="972.01"/>
        <n v="53.65"/>
        <n v="301.5"/>
        <n v="192.05"/>
        <n v="309.0"/>
        <n v="1105.53"/>
        <n v="1996.24"/>
        <n v="36.08"/>
        <n v="2625.01"/>
        <n v="249.0"/>
        <n v="288.0"/>
        <n v="152.99"/>
        <n v="1183.21"/>
        <n v="55.58"/>
        <n v="123.99"/>
        <n v="1092.0"/>
        <n v="2119.46"/>
        <n v="1881.84"/>
        <n v="712.48"/>
        <n v="345.1"/>
        <n v="354.77"/>
        <n v="721.47"/>
        <n v="201.0"/>
        <n v="164.98"/>
        <n v="373.5"/>
        <n v="24.0"/>
        <n v="247.88"/>
        <n v="259.98"/>
        <n v="543.01"/>
        <n v="162.0"/>
        <n v="159.99"/>
        <n v="372.0"/>
        <n v="941.99"/>
        <n v="1783.22"/>
        <n v="140.99"/>
        <n v="180.0"/>
        <n v="1177.4"/>
        <n v="107.96"/>
        <n v="157.76"/>
        <n v="164.72"/>
        <n v="180.96"/>
        <n v="143.52"/>
        <n v="140.02"/>
        <n v="533.46"/>
        <n v="112.3"/>
        <n v="680.77"/>
        <n v="214.6"/>
        <n v="258.01"/>
        <n v="315.52"/>
        <n v="580.0"/>
        <n v="199.52"/>
        <n v="183.0"/>
        <n v="104.4"/>
        <n v="721.52"/>
        <n v="429.2"/>
        <n v="361.92"/>
        <n v="756.32"/>
        <n v="227.03"/>
        <n v="539.4"/>
        <n v="183.28"/>
        <n v="98.6"/>
        <n v="371.2"/>
        <n v="431.52"/>
        <n v="10077.45"/>
        <n v="116.0"/>
        <n v="444.28"/>
        <n v="343.0"/>
        <n v="125.28"/>
        <n v="215.33"/>
        <n v="498.8"/>
        <n v="3991.56"/>
        <n v="406.14"/>
        <n v="676.28"/>
        <n v="295.8"/>
        <n v="514.93"/>
        <n v="1409.4"/>
        <n v="1057.92"/>
        <n v="251.99"/>
        <n v="5968.02"/>
        <n v="4875.25"/>
        <n v="445.44"/>
        <n v="74.99"/>
        <n v="161.0"/>
        <n v="1090.4"/>
        <n v="394.4"/>
        <n v="464.0"/>
        <n v="111.36"/>
        <n v="3853.52"/>
        <n v="453.59"/>
        <n v="777.2"/>
        <n v="163.56"/>
        <n v="329.44"/>
        <n v="313.2"/>
        <n v="231.72"/>
        <n v="5151.59"/>
        <n v="394.54"/>
        <n v="222.72"/>
        <n v="272.6"/>
        <n v="273.98"/>
        <n v="177.48"/>
        <n v="250.56"/>
        <n v="211.12"/>
        <n v="59.16"/>
        <n v="172.84"/>
        <n v="1073.0"/>
        <n v="120.59"/>
        <n v="599.72"/>
        <n v="64.96"/>
        <n v="306.24"/>
        <n v="3312.78"/>
        <n v="436.16"/>
        <n v="284.61"/>
        <n v="164.0"/>
        <n v="80.0"/>
        <n v="296.37"/>
        <n v="1211.07"/>
        <n v="80.04"/>
        <n v="98.41"/>
        <n v="197.2"/>
        <n v="100.92"/>
        <n v="362.42"/>
        <n v="807.96"/>
        <n v="83.52"/>
        <n v="357.28"/>
        <n v="81.2"/>
        <n v="499.96"/>
        <n v="774.88"/>
        <n v="146.16"/>
        <n v="215.54"/>
        <n v="241.04"/>
        <n v="79.96"/>
        <n v="74.24"/>
        <n v="954.71"/>
        <n v="6802.37"/>
        <n v="280.72"/>
        <n v="106.72"/>
        <n v="176.32"/>
        <n v="299.28"/>
        <n v="447.76"/>
        <n v="312.04"/>
        <n v="87.0"/>
        <n v="1223.8"/>
        <n v="225.04"/>
        <n v="382.8"/>
        <n v="148.48"/>
        <n v="1051.51"/>
        <n v="348.0"/>
        <n v="487.2"/>
        <n v="2308.4"/>
        <n v="162.4"/>
        <n v="406.0"/>
        <n v="334.08"/>
        <n v="646.49"/>
        <n v="115.86"/>
        <n v="3457.96"/>
        <n v="1077.51"/>
        <n v="324.41"/>
        <n v="318.61"/>
        <n v="770.48"/>
        <n v="1071.71"/>
        <n v="162.2"/>
        <n v="112.38"/>
        <n v="2128.45"/>
        <n v="76.0"/>
        <n v="644.13"/>
        <n v="472.01"/>
        <n v="0.0"/>
        <n v="249.66"/>
        <n v="102.6"/>
        <n v="476.55"/>
        <n v="134.52"/>
        <n v="220.13"/>
        <n v="52.22"/>
        <n v="100.0"/>
        <n v="425.0"/>
        <n v="266.16"/>
        <n v="255.0"/>
        <n v="116.93"/>
        <n v="306.16"/>
        <n v="341.55"/>
        <n v="81.54"/>
        <n v="163.08"/>
        <n v="130.77"/>
        <n v="244.61"/>
        <n v="252.31"/>
        <n v="215.39"/>
        <n v="53.85"/>
        <n v="104.62"/>
        <n v="68.44"/>
        <n v="110.77"/>
        <n v="224.62"/>
        <n v="192.31"/>
        <n v="406.16"/>
        <n v="1906.54"/>
        <n v="109.98"/>
        <n v="229.23"/>
        <n v="258.46"/>
        <n v="500.02"/>
        <n v="336.93"/>
        <n v="333.86"/>
        <n v="1073.85"/>
        <n v="193.85"/>
        <n v="721.55"/>
        <n v="1304.58"/>
        <n v="321.55"/>
        <n v="233.86"/>
        <n v="8147.67"/>
        <n v="216.93"/>
        <n v="395.38"/>
        <n v="1669.27"/>
        <n v="304.63"/>
        <n v="496.99"/>
        <n v="2858.47"/>
        <n v="58.46"/>
        <n v="1850.74"/>
        <n v="260.01"/>
        <n v="84.61"/>
        <n v="144.62"/>
        <n v="2020.77"/>
        <n v="224.56"/>
        <n v="495.39"/>
        <n v="497.48"/>
        <n v="40.0"/>
        <n v="273.85"/>
        <n v="1361.52"/>
        <n v="21143.12"/>
        <n v="263.09"/>
        <n v="315.12"/>
        <n v="283.08"/>
        <n v="576.93"/>
        <n v="1107.71"/>
        <n v="993.84"/>
        <n v="261.53"/>
        <n v="1630.73"/>
        <n v="75.39"/>
        <n v="260.0"/>
        <n v="227.7"/>
        <n v="1543.12"/>
        <n v="350.78"/>
        <n v="298.47"/>
        <n v="444.63"/>
        <n v="729.26"/>
        <n v="112.31"/>
        <n v="109.23"/>
        <n v="369.24"/>
        <n v="163.07"/>
        <n v="390.0"/>
        <n v="121.53"/>
        <n v="158.47"/>
        <n v="73.0"/>
        <n v="88.58"/>
        <n v="2684.62"/>
        <n v="69.92"/>
        <n v="119.99"/>
        <n v="444.61"/>
        <n v="221.55"/>
        <n v="3496.92"/>
        <n v="152.22"/>
        <n v="1429.24"/>
        <n v="421.34"/>
        <n v="99.23"/>
        <n v="116.02"/>
        <n v="143.5"/>
        <n v="55.0"/>
        <n v="103.81"/>
        <n v="757.17"/>
        <n v="1632.58"/>
        <n v="160.4"/>
        <n v="230.02"/>
        <n v="335.96"/>
        <n v="205.81"/>
        <n v="345.01"/>
        <n v="220.95"/>
        <n v="298.11"/>
        <n v="349.57"/>
        <n v="2049.11"/>
        <n v="80.2"/>
        <n v="441.86"/>
        <n v="118.02"/>
        <n v="399.14"/>
        <n v="114.04"/>
        <n v="363.13"/>
        <n v="519.17"/>
        <n v="424.63"/>
        <n v="373.62"/>
        <n v="349.62"/>
        <n v="117.05"/>
        <n v="21577.54"/>
        <n v="428.32"/>
        <n v="199.3"/>
        <n v="136.0"/>
        <n v="115.99"/>
        <n v="226.07"/>
        <n v="1023.22"/>
        <n v="1017.34"/>
        <n v="353.95"/>
        <n v="2841.41"/>
        <n v="359.98"/>
        <n v="346.7"/>
        <n v="36.66"/>
        <n v="20547.78"/>
        <n v="447.53"/>
        <n v="1860.43"/>
        <n v="222.32"/>
        <n v="94.39"/>
        <n v="148.11"/>
        <n v="173.68"/>
        <n v="387.73"/>
        <n v="109.35"/>
        <n v="614.35"/>
        <n v="338.12"/>
        <n v="54.22"/>
        <n v="325.29"/>
        <n v="21970.0"/>
        <n v="600.64"/>
        <n v="226.85"/>
        <n v="38.52"/>
        <n v="497.93"/>
        <n v="900.28"/>
        <n v="178.29"/>
        <n v="107.54"/>
        <n v="91.98"/>
        <m/>
      </sharedItems>
    </cacheField>
    <cacheField name="Terminos de pago" numFmtId="0">
      <sharedItems containsBlank="1">
        <s v="Pago inmediato"/>
        <s v="21 días"/>
        <s v="7 días"/>
        <s v="15 días"/>
        <s v="45 días"/>
        <s v="30 días"/>
        <m/>
      </sharedItems>
    </cacheField>
    <cacheField name="Descuento x Diferencial %" numFmtId="10">
      <sharedItems containsString="0" containsBlank="1" containsNumber="1">
        <n v="0.24886256331015533"/>
        <n v="0.0"/>
        <n v="0.005312316031665376"/>
        <n v="0.2442171158103672"/>
        <n v="5.476451259585069E-4"/>
        <n v="0.14156227374077768"/>
        <n v="0.19756388625982468"/>
        <n v="0.22666666666666668"/>
        <n v="0.2001777382803821"/>
        <n v="0.13793103906315762"/>
        <n v="0.11350226476016656"/>
        <n v="7.692899453815016E-5"/>
        <n v="0.004499250124979093"/>
        <n v="8.509119858723935E-7"/>
        <n v="0.09467765759756042"/>
        <n v="0.26573498690285724"/>
        <n v="0.013147168509631157"/>
        <n v="0.0031266394364918293"/>
        <n v="0.09067485632946704"/>
        <n v="0.13838151326513992"/>
        <n v="0.2345704715658239"/>
        <n v="0.15191646504520562"/>
        <n v="0.11382113821138207"/>
        <n v="0.137949764949031"/>
        <n v="7.55008310728722E-4"/>
        <n v="0.018374083241647243"/>
        <n v="0.33337822368864045"/>
        <n v="0.33333333333333337"/>
        <n v="0.323834822506641"/>
        <n v="0.32872655478775914"/>
        <n v="0.3201973843127782"/>
        <n v="0.050003812484141874"/>
        <n v="0.2863179641280871"/>
        <n v="0.33568489124044676"/>
        <n v="0.33346402666143893"/>
        <n v="1.063716625890887E-4"/>
        <n v="0.33665008291873966"/>
        <n v="0.2762301483988545"/>
        <n v="0.34627831715210355"/>
        <n v="0.027507641011392137"/>
        <n v="0.2983087441525728"/>
        <n v="0.32388438564540023"/>
        <n v="0.34511735728774273"/>
        <n v="0.18256898835865487"/>
        <n v="0.33065595716198126"/>
        <n v="8.819053413988698E-6"/>
        <n v="0.0019893063662671517"/>
        <n v="0.0036231884057971175"/>
        <n v="1.4283673760895343E-4"/>
        <n v="0.34843624699278275"/>
        <n v="0.33929436638329735"/>
        <n v="0.11398467432950188"/>
        <n v="0.10344909743428743"/>
        <n v="0.0060725111080197625"/>
        <n v="0.06246366189067476"/>
        <n v="0.0019349473360799063"/>
        <n v="0.13324118506630744"/>
        <n v="0.3448275862068966"/>
        <n v="0.1344311943636891"/>
        <n v="1.3494155992443968E-4"/>
        <n v="6.385825026019587E-4"/>
        <n v="0.002006398459725167"/>
        <n v="0.10452928163641884"/>
        <n v="0.12498663769691853"/>
        <n v="0.3283025126461564"/>
        <n v="0.3486590038314177"/>
        <n v="8.859487955481526E-6"/>
        <n v="0.005563549979734295"/>
        <n v="0.34729064039408875"/>
        <n v="0.006754032535118415"/>
        <n v="0.3496748374187093"/>
        <n v="0.339978448275862"/>
        <n v="0.08102583213477454"/>
        <n v="0.34843624699278264"/>
        <n v="0.1493706827021356"/>
        <n v="0.029461677329008173"/>
        <n v="0.10378716067372273"/>
        <n v="0.10345706717786651"/>
        <n v="0.346485819975339"/>
        <n v="0.09502876700265772"/>
        <n v="0.3440359054030727"/>
        <n v="0.1379205952113357"/>
        <n v="0.3469785575048733"/>
        <n v="0.14093687736116778"/>
        <n v="0.2640499553969671"/>
        <n v="0.0800572723542402"/>
        <n v="0.00635926618525795"/>
        <n v="0.0089107110383706"/>
        <n v="0.043414275202354746"/>
        <n v="0.10077797408627875"/>
        <n v="0.13793042831340674"/>
        <n v="0.34998973383619525"/>
        <n v="0.008606007948168237"/>
        <n v="0.3299583822008443"/>
        <n v="0.34999118632117043"/>
        <n v="4.0268424228440125E-6"/>
        <n v="0.13554168417122736"/>
        <n v="0.013157894736842146"/>
        <n v="0.11000523636774695"/>
        <n v="0.08000402783945593"/>
        <m/>
      </sharedItems>
    </cacheField>
    <cacheField name="Dcto Pronto Pago %" numFmtId="0">
      <sharedItems containsString="0" containsBlank="1" containsNumber="1">
        <m/>
        <n v="0.0509"/>
        <n v="0.08"/>
        <n v="0.02"/>
        <n v="0.05"/>
        <n v="0.06"/>
      </sharedItems>
    </cacheField>
    <cacheField name="Numero de Orden" numFmtId="0">
      <sharedItems containsSemiMixedTypes="0" containsString="0" containsNumber="1" containsInteger="1">
        <n v="4.0"/>
        <n v="7.0"/>
        <n v="8.0"/>
        <n v="9.0"/>
        <n v="10.0"/>
        <n v="11.0"/>
        <n v="14.0"/>
        <n v="15.0"/>
        <n v="17.0"/>
        <n v="18.0"/>
        <n v="19.0"/>
        <n v="20.0"/>
        <n v="21.0"/>
        <n v="22.0"/>
        <n v="23.0"/>
        <n v="24.0"/>
        <n v="26.0"/>
        <n v="27.0"/>
        <n v="28.0"/>
        <n v="29.0"/>
        <n v="30.0"/>
        <n v="31.0"/>
        <n v="32.0"/>
        <n v="33.0"/>
        <n v="34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9.0"/>
        <n v="72.0"/>
        <n v="73.0"/>
        <n v="74.0"/>
        <n v="77.0"/>
        <n v="78.0"/>
        <n v="79.0"/>
        <n v="81.0"/>
        <n v="82.0"/>
        <n v="83.0"/>
        <n v="84.0"/>
        <n v="86.0"/>
        <n v="87.0"/>
        <n v="88.0"/>
        <n v="89.0"/>
        <n v="90.0"/>
        <n v="92.0"/>
        <n v="93.0"/>
        <n v="94.0"/>
        <n v="95.0"/>
        <n v="96.0"/>
        <n v="97.0"/>
        <n v="98.0"/>
        <n v="99.0"/>
        <n v="100.0"/>
        <n v="101.0"/>
        <n v="103.0"/>
        <n v="104.0"/>
        <n v="105.0"/>
        <n v="106.0"/>
        <n v="108.0"/>
        <n v="113.0"/>
        <n v="114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6.0"/>
        <n v="137.0"/>
        <n v="138.0"/>
        <n v="139.0"/>
        <n v="140.0"/>
        <n v="141.0"/>
        <n v="142.0"/>
        <n v="143.0"/>
        <n v="144.0"/>
        <n v="145.0"/>
        <n v="146.0"/>
        <n v="148.0"/>
        <n v="149.0"/>
        <n v="150.0"/>
        <n v="151.0"/>
        <n v="152.0"/>
        <n v="153.0"/>
        <n v="154.0"/>
        <n v="156.0"/>
        <n v="157.0"/>
        <n v="158.0"/>
        <n v="159.0"/>
        <n v="160.0"/>
        <n v="161.0"/>
        <n v="163.0"/>
        <n v="164.0"/>
        <n v="165.0"/>
        <n v="166.0"/>
        <n v="167.0"/>
        <n v="168.0"/>
        <n v="169.0"/>
        <n v="170.0"/>
        <n v="171.0"/>
        <n v="174.0"/>
        <n v="175.0"/>
        <n v="176.0"/>
        <n v="177.0"/>
        <n v="178.0"/>
        <n v="179.0"/>
        <n v="181.0"/>
        <n v="182.0"/>
        <n v="183.0"/>
        <n v="184.0"/>
        <n v="185.0"/>
        <n v="186.0"/>
        <n v="187.0"/>
        <n v="188.0"/>
        <n v="189.0"/>
        <n v="190.0"/>
        <n v="192.0"/>
        <n v="195.0"/>
        <n v="196.0"/>
        <n v="197.0"/>
        <n v="198.0"/>
        <n v="199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8.0"/>
        <n v="219.0"/>
        <n v="220.0"/>
        <n v="221.0"/>
        <n v="222.0"/>
        <n v="223.0"/>
        <n v="225.0"/>
        <n v="226.0"/>
        <n v="227.0"/>
        <n v="228.0"/>
        <n v="229.0"/>
        <n v="230.0"/>
        <n v="231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7.0"/>
        <n v="258.0"/>
        <n v="259.0"/>
        <n v="260.0"/>
        <n v="261.0"/>
        <n v="262.0"/>
        <n v="263.0"/>
        <n v="264.0"/>
        <n v="265.0"/>
        <n v="274.0"/>
        <n v="279.0"/>
        <n v="280.0"/>
        <n v="282.0"/>
        <n v="283.0"/>
        <n v="284.0"/>
        <n v="285.0"/>
        <n v="286.0"/>
        <n v="287.0"/>
        <n v="289.0"/>
        <n v="291.0"/>
        <n v="292.0"/>
        <n v="293.0"/>
        <n v="294.0"/>
        <n v="295.0"/>
        <n v="296.0"/>
        <n v="298.0"/>
        <n v="300.0"/>
        <n v="301.0"/>
        <n v="302.0"/>
        <n v="303.0"/>
        <n v="304.0"/>
        <n v="305.0"/>
        <n v="306.0"/>
        <n v="308.0"/>
        <n v="309.0"/>
        <n v="310.0"/>
        <n v="311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30.0"/>
        <n v="331.0"/>
        <n v="332.0"/>
        <n v="334.0"/>
        <n v="335.0"/>
        <n v="336.0"/>
        <n v="337.0"/>
        <n v="338.0"/>
        <n v="339.0"/>
        <n v="340.0"/>
        <n v="341.0"/>
        <n v="343.0"/>
        <n v="344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1.0"/>
        <n v="362.0"/>
        <n v="363.0"/>
        <n v="364.0"/>
        <n v="365.0"/>
        <n v="366.0"/>
        <n v="368.0"/>
        <n v="369.0"/>
        <n v="372.0"/>
        <n v="373.0"/>
        <n v="374.0"/>
        <n v="375.0"/>
        <n v="376.0"/>
        <n v="378.0"/>
        <n v="379.0"/>
        <n v="380.0"/>
        <n v="381.0"/>
        <n v="382.0"/>
        <n v="384.0"/>
        <n v="386.0"/>
        <n v="387.0"/>
        <n v="388.0"/>
        <n v="389.0"/>
        <n v="392.0"/>
        <n v="393.0"/>
        <n v="394.0"/>
        <n v="395.0"/>
        <n v="396.0"/>
        <n v="397.0"/>
        <n v="398.0"/>
        <n v="399.0"/>
        <n v="400.0"/>
        <n v="401.0"/>
        <n v="402.0"/>
        <n v="404.0"/>
        <n v="405.0"/>
        <n v="407.0"/>
        <n v="408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9.0"/>
        <n v="440.0"/>
        <n v="441.0"/>
        <n v="442.0"/>
        <n v="443.0"/>
        <n v="444.0"/>
        <n v="446.0"/>
        <n v="447.0"/>
        <n v="449.0"/>
        <n v="450.0"/>
        <n v="451.0"/>
        <n v="452.0"/>
        <n v="454.0"/>
        <n v="456.0"/>
        <n v="457.0"/>
        <n v="458.0"/>
        <n v="462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2.0"/>
        <n v="483.0"/>
        <n v="484.0"/>
        <n v="485.0"/>
        <n v="486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2.0"/>
        <n v="523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0.0"/>
      </sharedItems>
    </cacheField>
    <cacheField name="Fecha" numFmtId="165">
      <sharedItems containsSemiMixedTypes="0" containsDate="1" containsString="0">
        <d v="2026-03-09T00:00:00Z"/>
        <d v="2026-02-26T00:00:00Z"/>
        <d v="2026-03-16T00:00:00Z"/>
        <d v="2026-03-13T00:00:00Z"/>
        <d v="2026-03-03T00:00:00Z"/>
        <d v="2026-03-04T00:00:00Z"/>
        <d v="2026-03-05T00:00:00Z"/>
        <d v="2026-03-06T00:00:00Z"/>
        <d v="2026-03-10T00:00:00Z"/>
        <d v="2026-03-11T00:00:00Z"/>
        <d v="2026-03-12T00:00:00Z"/>
        <d v="2026-03-17T00:00:00Z"/>
        <d v="2026-03-18T00:00:00Z"/>
        <d v="2026-03-19T00:00:00Z"/>
        <d v="2026-03-20T00:00:00Z"/>
        <d v="2026-03-24T00:00:00Z"/>
        <d v="2026-03-23T00:00:00Z"/>
        <d v="2026-03-25T00:00:00Z"/>
        <d v="2026-03-26T00:00:00Z"/>
        <d v="2026-03-27T00:00:00Z"/>
        <d v="2026-03-30T00:00:00Z"/>
        <d v="2026-03-31T00:00:00Z"/>
        <d v="2026-04-01T00:00:00Z"/>
        <d v="2026-04-06T00:00:00Z"/>
        <d v="2026-04-07T00:00:00Z"/>
        <d v="2026-04-08T00:00:00Z"/>
        <d v="2026-04-09T00:00:00Z"/>
        <d v="2026-04-10T00:00:00Z"/>
        <d v="2026-04-13T00:00:00Z"/>
        <d v="2026-04-11T00:00:00Z"/>
        <d v="2026-05-12T00:00:00Z"/>
        <d v="2026-04-14T00:00:00Z"/>
        <d v="2026-04-15T00:00:00Z"/>
        <d v="2026-04-16T00:00:00Z"/>
        <d v="2026-04-17T00:00:00Z"/>
        <d v="2026-04-20T00:00:00Z"/>
        <d v="2026-04-21T00:00:00Z"/>
        <d v="2026-04-24T00:00:00Z"/>
        <d v="2026-04-22T00:00:00Z"/>
        <d v="2026-04-23T00:00:00Z"/>
        <d v="2026-04-28T00:00:00Z"/>
        <d v="2026-05-18T00:00:00Z"/>
        <d v="2026-04-27T00:00:00Z"/>
        <d v="2026-04-29T00:00:00Z"/>
        <d v="2026-04-30T00:00:00Z"/>
        <d v="2026-05-04T00:00:00Z"/>
        <d v="2026-05-05T00:00:00Z"/>
        <d v="2026-05-13T00:00:00Z"/>
        <d v="2026-05-06T00:00:00Z"/>
        <d v="2026-05-07T00:00:00Z"/>
        <d v="2026-05-08T00:00:00Z"/>
        <d v="2026-05-11T00:00:00Z"/>
        <d v="2026-05-14T00:00:00Z"/>
        <d v="2026-05-15T00:00:00Z"/>
        <d v="2026-05-19T00:00:00Z"/>
        <d v="2026-05-21T00:00:00Z"/>
        <d v="2026-05-20T00:00:00Z"/>
        <d v="2026-05-26T00:00:00Z"/>
        <d v="2026-05-22T00:00:00Z"/>
        <d v="2026-05-25T00:00:00Z"/>
        <d v="2026-05-28T00:00:00Z"/>
        <d v="2026-05-27T00:00:00Z"/>
        <d v="2026-05-29T00:00:00Z"/>
        <d v="2026-06-01T00:00:00Z"/>
        <d v="2026-06-03T00:00:00Z"/>
        <d v="2026-06-02T00:00:00Z"/>
        <d v="2026-06-04T00:00:00Z"/>
        <d v="2026-06-05T00:00:00Z"/>
        <d v="2026-06-08T00:00:00Z"/>
        <d v="2026-06-09T00:00:00Z"/>
        <d v="2026-06-15T00:00:00Z"/>
        <d v="2026-06-10T00:00:00Z"/>
        <d v="2026-06-11T00:00:00Z"/>
        <d v="2026-06-19T00:00:00Z"/>
        <d v="2026-06-12T00:00:00Z"/>
        <d v="2026-06-13T00:00:00Z"/>
        <d v="2026-06-16T00:00:00Z"/>
        <d v="2026-06-17T00:00:00Z"/>
        <d v="2026-06-18T00:00:00Z"/>
        <d v="2026-06-22T00:00:00Z"/>
        <d v="1899-12-30T00:00:00Z"/>
      </sharedItems>
    </cacheField>
    <cacheField name="Dias de credito">
      <sharedItems containsMixedTypes="1" containsNumber="1" containsInteger="1">
        <n v="0.0"/>
        <n v="21.0"/>
        <n v="7.0"/>
        <n v="15.0"/>
        <n v="45.0"/>
        <n v="30.0"/>
        <s v=""/>
      </sharedItems>
    </cacheField>
    <cacheField name="Vencimiento" numFmtId="165">
      <sharedItems containsSemiMixedTypes="0" containsDate="1" containsString="0">
        <d v="2026-03-10T00:00:00Z"/>
        <d v="2026-02-27T00:00:00Z"/>
        <d v="2026-04-07T00:00:00Z"/>
        <d v="2026-03-14T00:00:00Z"/>
        <d v="2026-03-17T00:00:00Z"/>
        <d v="2026-03-11T00:00:00Z"/>
        <d v="2026-03-25T00:00:00Z"/>
        <d v="2026-03-20T00:00:00Z"/>
        <d v="2026-03-06T00:00:00Z"/>
        <d v="2026-03-22T00:00:00Z"/>
        <d v="2026-04-21T00:00:00Z"/>
        <d v="2026-03-26T00:00:00Z"/>
        <d v="2026-03-18T00:00:00Z"/>
        <d v="2026-03-27T00:00:00Z"/>
        <d v="2026-04-01T00:00:00Z"/>
        <d v="2026-04-26T00:00:00Z"/>
        <d v="2026-03-12T00:00:00Z"/>
        <d v="2026-03-19T00:00:00Z"/>
        <d v="2026-03-28T00:00:00Z"/>
        <d v="2026-03-13T00:00:00Z"/>
        <d v="2026-03-21T00:00:00Z"/>
        <d v="2026-04-13T00:00:00Z"/>
        <d v="2026-04-16T00:00:00Z"/>
        <d v="2026-04-17T00:00:00Z"/>
        <d v="2026-04-02T00:00:00Z"/>
        <d v="2026-04-18T00:00:00Z"/>
        <d v="2026-04-04T00:00:00Z"/>
        <d v="2026-04-05T00:00:00Z"/>
        <d v="2026-04-11T00:00:00Z"/>
        <d v="2026-05-09T00:00:00Z"/>
        <d v="2026-04-08T00:00:00Z"/>
        <d v="2026-03-24T00:00:00Z"/>
        <d v="2026-04-09T00:00:00Z"/>
        <d v="2026-05-10T00:00:00Z"/>
        <d v="2026-04-10T00:00:00Z"/>
        <d v="2026-05-11T00:00:00Z"/>
        <d v="2026-04-12T00:00:00Z"/>
        <d v="2026-03-31T00:00:00Z"/>
        <d v="2026-04-15T00:00:00Z"/>
        <d v="2026-04-14T00:00:00Z"/>
        <d v="2026-04-22T00:00:00Z"/>
        <d v="2026-04-23T00:00:00Z"/>
        <d v="2026-04-25T00:00:00Z"/>
        <d v="2026-05-20T00:00:00Z"/>
        <d v="2026-04-30T00:00:00Z"/>
        <d v="2026-05-01T00:00:00Z"/>
        <d v="2026-04-24T00:00:00Z"/>
        <d v="2026-05-02T00:00:00Z"/>
        <d v="2026-05-18T00:00:00Z"/>
        <d v="2026-04-28T00:00:00Z"/>
        <d v="2026-05-06T00:00:00Z"/>
        <d v="2026-04-29T00:00:00Z"/>
        <d v="2026-05-22T00:00:00Z"/>
        <d v="2026-05-29T00:00:00Z"/>
        <d v="2026-05-24T00:00:00Z"/>
        <d v="2026-05-26T00:00:00Z"/>
        <d v="2026-05-05T00:00:00Z"/>
        <d v="2026-05-14T00:00:00Z"/>
        <d v="2026-05-07T00:00:00Z"/>
        <d v="2026-05-08T00:00:00Z"/>
        <d v="2026-05-12T00:00:00Z"/>
        <d v="2026-06-19T00:00:00Z"/>
        <d v="2026-05-13T00:00:00Z"/>
        <d v="2026-05-28T00:00:00Z"/>
        <d v="2026-06-06T00:00:00Z"/>
        <d v="2026-05-15T00:00:00Z"/>
        <d v="2026-05-16T00:00:00Z"/>
        <d v="2026-06-23T00:00:00Z"/>
        <d v="2026-05-19T00:00:00Z"/>
        <d v="2026-06-12T00:00:00Z"/>
        <d v="2026-05-21T00:00:00Z"/>
        <d v="2026-06-05T00:00:00Z"/>
        <d v="2026-05-23T00:00:00Z"/>
        <d v="2026-06-30T00:00:00Z"/>
        <d v="2026-05-27T00:00:00Z"/>
        <d v="2026-07-05T00:00:00Z"/>
        <d v="2026-06-03T00:00:00Z"/>
        <d v="2026-05-30T00:00:00Z"/>
        <d v="2026-06-07T00:00:00Z"/>
        <d v="2026-06-02T00:00:00Z"/>
        <d v="2026-06-04T00:00:00Z"/>
        <d v="2026-06-29T00:00:00Z"/>
        <d v="2026-06-09T00:00:00Z"/>
        <d v="2026-06-11T00:00:00Z"/>
        <d v="2026-07-02T00:00:00Z"/>
        <d v="2026-06-17T00:00:00Z"/>
        <d v="2026-06-10T00:00:00Z"/>
        <d v="2026-06-18T00:00:00Z"/>
        <d v="2026-06-24T00:00:00Z"/>
        <d v="2026-06-25T00:00:00Z"/>
        <d v="2026-06-20T00:00:00Z"/>
        <d v="2026-06-13T00:00:00Z"/>
        <d v="2026-06-26T00:00:00Z"/>
        <d v="2026-06-27T00:00:00Z"/>
        <d v="2026-06-16T00:00:00Z"/>
        <d v="2026-07-11T00:00:00Z"/>
        <d v="2026-06-28T00:00:00Z"/>
        <d v="2026-07-13T00:00:00Z"/>
        <d v="2026-06-21T00:00:00Z"/>
        <d v="2026-07-03T00:00:00Z"/>
        <d v="2026-07-04T00:00:00Z"/>
        <d v="2026-07-10T00:00:00Z"/>
        <d v="2026-07-20T00:00:00Z"/>
        <d v="1899-12-31T00:00:00Z"/>
      </sharedItems>
    </cacheField>
    <cacheField name="Total C/Dcto" numFmtId="4">
      <sharedItems containsSemiMixedTypes="0" containsString="0" containsNumber="1">
        <n v="175.0"/>
        <n v="246.0"/>
        <n v="35.33"/>
        <n v="335.98"/>
        <n v="27781.08"/>
        <n v="63.77"/>
        <n v="82.24"/>
        <n v="954.79"/>
        <n v="104.36"/>
        <n v="96.0"/>
        <n v="78.25"/>
        <n v="472.53"/>
        <n v="212.72"/>
        <n v="90.44"/>
        <n v="72.48"/>
        <n v="510.0"/>
        <n v="68.91196274532622"/>
        <n v="198.0"/>
        <n v="146.0"/>
        <n v="289.16"/>
        <n v="86.70221035218145"/>
        <n v="195.0"/>
        <n v="185.04"/>
        <n v="434.83"/>
        <n v="58.0"/>
        <n v="72.0"/>
        <n v="28.88"/>
        <n v="1080.62"/>
        <n v="160.98"/>
        <n v="130.99999930396257"/>
        <n v="362.52"/>
        <n v="2147.0"/>
        <n v="55.34"/>
        <n v="129.98"/>
        <n v="1796.760192"/>
        <n v="53.79"/>
        <n v="1033.52"/>
        <n v="64.99"/>
        <n v="119.48"/>
        <n v="259.99"/>
        <n v="792.33"/>
        <n v="582.77"/>
        <n v="133.99"/>
        <n v="84.28992827662871"/>
        <n v="241.81"/>
        <n v="2036.91"/>
        <n v="190.0"/>
        <n v="10739.61"/>
        <n v="2492.0"/>
        <n v="154.49144837269924"/>
        <n v="375.35"/>
        <n v="132.47"/>
        <n v="159.99817437044305"/>
        <n v="560.84"/>
        <n v="78.62"/>
        <n v="415.08"/>
        <n v="166.8520706121061"/>
        <n v="35.99"/>
        <n v="300.86"/>
        <n v="459.5356037151703"/>
        <n v="71.99"/>
        <n v="1250.0"/>
        <n v="970.07"/>
        <n v="67.37"/>
        <n v="173.65"/>
        <n v="333.0"/>
        <n v="286.51"/>
        <n v="89.99"/>
        <n v="171.0"/>
        <n v="126.0"/>
        <n v="218.0"/>
        <n v="191.1"/>
        <n v="317.6741321186326"/>
        <n v="434.94"/>
        <n v="530.98"/>
        <n v="1623.82"/>
        <n v="92.92978422710223"/>
        <n v="193.9201998556126"/>
        <n v="184.1"/>
        <n v="711.13"/>
        <n v="280.5"/>
        <n v="991.22"/>
        <n v="110.01"/>
        <n v="296.98"/>
        <n v="99.01"/>
        <n v="140.0"/>
        <n v="34.0"/>
        <n v="197.0"/>
        <n v="179.99"/>
        <n v="371.2300101955719"/>
        <n v="76.0"/>
        <n v="4655.88"/>
        <n v="199.49"/>
        <n v="2259.37"/>
        <n v="952.5"/>
        <n v="1947.24"/>
        <n v="565.0"/>
        <n v="32.9798"/>
        <n v="94.0"/>
        <n v="20275.64"/>
        <n v="93.0"/>
        <n v="129.92"/>
        <n v="360.0"/>
        <n v="972.01"/>
        <n v="53.65"/>
        <n v="200.0"/>
        <n v="139.0"/>
        <n v="202.0"/>
        <n v="108.0"/>
        <n v="1105.53"/>
        <n v="1996.24"/>
        <n v="36.08"/>
        <n v="2625.01"/>
        <n v="249.0"/>
        <n v="288.0"/>
        <n v="35.0"/>
        <n v="152.99"/>
        <n v="1183.21"/>
        <n v="39.0"/>
        <n v="123.99"/>
        <n v="1092.0"/>
        <n v="1433.0"/>
        <n v="1881.84"/>
        <n v="712.48"/>
        <n v="226.0"/>
        <n v="290.0"/>
        <n v="721.47"/>
        <n v="201.0"/>
        <n v="164.98"/>
        <n v="250.0"/>
        <n v="24.0"/>
        <n v="247.88"/>
        <n v="259.98"/>
        <n v="543.01"/>
        <n v="159.99"/>
        <n v="372.0"/>
        <n v="941.99"/>
        <n v="1783.22"/>
        <n v="140.99"/>
        <n v="180.0"/>
        <n v="1177.3896164465104"/>
        <n v="107.96"/>
        <n v="157.44616702765768"/>
        <n v="164.72"/>
        <n v="180.96"/>
        <n v="143.0"/>
        <n v="533.46"/>
        <n v="112.3"/>
        <n v="680.77"/>
        <n v="214.6"/>
        <n v="258.01"/>
        <n v="315.52"/>
        <n v="580.0"/>
        <n v="130.0"/>
        <n v="183.0"/>
        <n v="104.4"/>
        <n v="721.52"/>
        <n v="429.2"/>
        <n v="361.92"/>
        <n v="756.32"/>
        <n v="150.0"/>
        <n v="539.4"/>
        <n v="183.28"/>
        <n v="98.6"/>
        <n v="371.2"/>
        <n v="431.52"/>
        <n v="10077.45"/>
        <n v="116.0"/>
        <n v="444.28"/>
        <n v="343.0"/>
        <n v="111.0"/>
        <n v="215.33"/>
        <n v="498.8"/>
        <n v="3991.56"/>
        <n v="406.14"/>
        <n v="606.31944438714"/>
        <n v="294.00375121424776"/>
        <n v="514.93"/>
        <n v="1321.363714931283"/>
        <n v="1057.92"/>
        <n v="164.4012754748009"/>
        <n v="239.3905"/>
        <n v="5968.02"/>
        <n v="4875.25"/>
        <n v="386.08904652406403"/>
        <n v="74.99"/>
        <n v="161.0"/>
        <n v="943.8162256658335"/>
        <n v="394.4"/>
        <n v="464.0"/>
        <n v="111.36"/>
        <n v="3853.0"/>
        <n v="453.59"/>
        <n v="777.2"/>
        <n v="163.56"/>
        <n v="329.44"/>
        <n v="312.99999596018506"/>
        <n v="231.72"/>
        <n v="5141.253857758865"/>
        <n v="394.54"/>
        <n v="222.72"/>
        <n v="272.6"/>
        <n v="273.98"/>
        <n v="158.92814309516837"/>
        <n v="250.56"/>
        <n v="211.12"/>
        <n v="51.7657905138503"/>
        <n v="172.84"/>
        <n v="1073.0"/>
        <n v="81.0"/>
        <n v="599.72"/>
        <n v="64.96"/>
        <n v="306.24"/>
        <n v="3312.78"/>
        <n v="436.16"/>
        <n v="284.61"/>
        <n v="164.0"/>
        <n v="80.0"/>
        <n v="68.0"/>
        <n v="296.37"/>
        <n v="1211.07"/>
        <n v="115.99897229939717"/>
        <n v="80.04"/>
        <n v="98.41"/>
        <n v="197.2"/>
        <n v="100.92"/>
        <n v="362.42"/>
        <n v="807.96"/>
        <n v="83.05533230569259"/>
        <n v="357.28"/>
        <n v="53.0"/>
        <n v="499.96"/>
        <n v="774.88"/>
        <n v="146.16"/>
        <n v="97.93405239203732"/>
        <n v="215.54"/>
        <n v="241.04"/>
        <n v="52.0"/>
        <n v="49.0"/>
        <n v="954.71"/>
        <n v="6802.37"/>
        <n v="257.9744284031261"/>
        <n v="106.72"/>
        <n v="176.32"/>
        <n v="447.76"/>
        <n v="312.04"/>
        <n v="87.0"/>
        <n v="1223.8"/>
        <n v="191.4256215647114"/>
        <n v="382.8"/>
        <n v="148.48"/>
        <n v="1051.51"/>
        <n v="348.0"/>
        <n v="472.8462708053072"/>
        <n v="74.24"/>
        <n v="2308.4"/>
        <n v="162.4"/>
        <n v="406.0"/>
        <n v="334.08"/>
        <n v="646.49"/>
        <n v="115.86"/>
        <n v="3457.96"/>
        <n v="965.678296502457"/>
        <n v="290.84749283682834"/>
        <n v="318.61"/>
        <n v="770.48"/>
        <n v="1071.71"/>
        <n v="106.0"/>
        <n v="101.70066716424132"/>
        <n v="2128.45"/>
        <n v="555.2912070065223"/>
        <n v="472.01"/>
        <n v="0.0"/>
        <n v="249.66"/>
        <n v="67.0"/>
        <n v="476.55"/>
        <n v="146.8997939712403"/>
        <n v="99.0"/>
        <n v="102.6"/>
        <n v="202.5069926366611"/>
        <n v="52.22"/>
        <n v="100.0"/>
        <n v="425.0"/>
        <n v="266.16"/>
        <n v="255.0"/>
        <n v="116.93"/>
        <n v="306.16"/>
        <n v="339.37799263442514"/>
        <n v="81.54"/>
        <n v="163.08"/>
        <n v="130.77"/>
        <n v="244.61"/>
        <n v="252.31"/>
        <n v="215.39"/>
        <n v="53.85"/>
        <n v="104.62"/>
        <n v="68.44"/>
        <n v="110.77"/>
        <n v="224.62"/>
        <n v="192.31"/>
        <n v="406.16"/>
        <n v="1906.54"/>
        <n v="109.0"/>
        <n v="229.23"/>
        <n v="258.46"/>
        <n v="500.02"/>
        <n v="78.0"/>
        <n v="336.93"/>
        <n v="333.86"/>
        <n v="1073.85"/>
        <n v="193.85"/>
        <n v="721.55"/>
        <n v="1304.58"/>
        <n v="321.55"/>
        <n v="233.86"/>
        <n v="8147.67"/>
        <n v="216.93"/>
        <n v="395.38"/>
        <n v="1669.27"/>
        <n v="273.9300057540969"/>
        <n v="496.99"/>
        <n v="2464.200008578976"/>
        <n v="58.46"/>
        <n v="1203.0"/>
        <n v="257.77235187339676"/>
        <n v="84.61"/>
        <n v="144.62"/>
        <n v="1354.0"/>
        <n v="224.56"/>
        <n v="495.39"/>
        <n v="487.53040000000004"/>
        <n v="37.6"/>
        <n v="273.85"/>
        <n v="885.0"/>
        <n v="21143.12"/>
        <n v="263.09"/>
        <n v="315.12"/>
        <n v="283.08"/>
        <n v="576.93"/>
        <n v="1107.71"/>
        <n v="993.84"/>
        <n v="261.53"/>
        <n v="1630.73"/>
        <n v="75.39"/>
        <n v="260.0"/>
        <n v="227.7"/>
        <n v="1543.12"/>
        <n v="350.78"/>
        <n v="298.47"/>
        <n v="444.62820954505355"/>
        <n v="729.26"/>
        <n v="112.31"/>
        <n v="40.0"/>
        <n v="109.23"/>
        <n v="369.24"/>
        <n v="163.07"/>
        <n v="390.0"/>
        <n v="121.53"/>
        <n v="101.08111086985839"/>
        <n v="75.0"/>
        <n v="141.03747019280314"/>
        <n v="73.0"/>
        <n v="88.58"/>
        <n v="2684.62"/>
        <n v="69.92"/>
        <n v="119.99"/>
        <n v="444.61"/>
        <n v="221.55"/>
        <n v="3496.92"/>
        <n v="152.22"/>
        <n v="1429.24"/>
        <n v="421.34"/>
        <n v="99.23"/>
        <n v="116.02"/>
        <n v="143.5"/>
        <n v="55.0"/>
        <n v="103.81"/>
        <n v="757.17"/>
        <n v="1632.58"/>
        <n v="160.4"/>
        <n v="230.02"/>
        <n v="335.96"/>
        <n v="205.81"/>
        <n v="345.01"/>
        <n v="220.95"/>
        <n v="274.2599992607798"/>
        <n v="349.57"/>
        <n v="2049.11"/>
        <n v="80.2"/>
        <n v="441.86"/>
        <n v="118.02"/>
        <n v="399.14"/>
        <n v="114.04"/>
        <n v="363.13"/>
        <n v="519.17"/>
        <n v="424.63"/>
        <n v="373.62"/>
        <n v="349.62"/>
        <n v="117.05"/>
        <n v="21577.54"/>
        <n v="428.32"/>
        <n v="199.3"/>
        <n v="136.0"/>
        <n v="115.99"/>
        <n v="226.07"/>
        <n v="1023.22"/>
        <n v="1017.34"/>
        <n v="353.95"/>
        <n v="2841.41"/>
        <n v="359.98"/>
        <n v="346.7"/>
        <n v="36.66"/>
        <n v="20547.78"/>
        <n v="447.53"/>
        <n v="1860.43"/>
        <n v="222.32"/>
        <n v="94.39"/>
        <n v="148.11"/>
        <n v="173.68"/>
        <n v="387.73"/>
        <n v="109.35"/>
        <n v="614.35"/>
        <n v="338.12"/>
        <n v="54.22"/>
        <n v="325.29"/>
        <n v="21970.0"/>
        <n v="600.64"/>
        <n v="226.85"/>
        <n v="38.52"/>
        <n v="497.93"/>
        <n v="900.28"/>
        <n v="178.29"/>
        <n v="107.54"/>
        <n v="91.98"/>
      </sharedItems>
    </cacheField>
    <cacheField name="Dias Vencido" numFmtId="0">
      <sharedItems containsSemiMixedTypes="0" containsString="0" containsNumber="1" containsInteger="1">
        <n v="0.0"/>
        <n v="102.0"/>
        <n v="94.0"/>
        <n v="93.0"/>
        <n v="92.0"/>
        <n v="87.0"/>
        <n v="62.0"/>
        <n v="91.0"/>
        <n v="106.0"/>
        <n v="99.0"/>
        <n v="98.0"/>
        <n v="72.0"/>
        <n v="71.0"/>
        <n v="70.0"/>
        <n v="84.0"/>
        <n v="83.0"/>
        <n v="49.0"/>
        <n v="80.0"/>
        <n v="79.0"/>
        <n v="48.0"/>
        <n v="78.0"/>
        <n v="77.0"/>
        <n v="86.0"/>
        <n v="74.0"/>
        <n v="81.0"/>
        <n v="66.0"/>
        <n v="65.0"/>
        <n v="63.0"/>
        <n v="76.0"/>
        <n v="38.0"/>
        <n v="73.0"/>
        <n v="58.0"/>
        <n v="57.0"/>
        <n v="64.0"/>
        <n v="56.0"/>
        <n v="40.0"/>
        <n v="60.0"/>
        <n v="59.0"/>
        <n v="36.0"/>
        <n v="53.0"/>
        <n v="44.0"/>
        <n v="51.0"/>
        <n v="50.0"/>
        <n v="46.0"/>
        <n v="8.0"/>
        <n v="45.0"/>
        <n v="30.0"/>
        <n v="43.0"/>
        <n v="29.0"/>
        <n v="42.0"/>
        <n v="4.0"/>
        <n v="39.0"/>
        <n v="15.0"/>
        <n v="37.0"/>
        <n v="22.0"/>
        <n v="35.0"/>
        <n v="32.0"/>
        <n v="31.0"/>
        <n v="24.0"/>
        <n v="28.0"/>
        <n v="20.0"/>
        <n v="25.0"/>
        <n v="23.0"/>
        <n v="21.0"/>
        <n v="18.0"/>
        <n v="16.0"/>
        <n v="10.0"/>
        <n v="17.0"/>
        <n v="9.0"/>
        <n v="3.0"/>
        <n v="2.0"/>
        <n v="7.0"/>
        <n v="14.0"/>
        <n v="11.0"/>
        <n v="1.0"/>
        <n v="6.0"/>
      </sharedItems>
    </cacheField>
    <cacheField name="Estado Vencimiento" numFmtId="0">
      <sharedItems>
        <s v="PAGADA"/>
        <s v="VENCIDA"/>
        <s v="EN TIEMPO"/>
      </sharedItems>
    </cacheField>
    <cacheField name="Monto Pagado USD" numFmtId="2">
      <sharedItems containsSemiMixedTypes="0" containsString="0" containsNumber="1">
        <n v="175.0"/>
        <n v="246.0"/>
        <n v="85.33"/>
        <n v="396.47317906993857"/>
        <n v="27781.08"/>
        <n v="74.96008846460224"/>
        <n v="86.57827478329567"/>
        <n v="713.0517045098114"/>
        <n v="1847.0"/>
        <n v="96.0"/>
        <n v="91.89855023431099"/>
        <n v="166.2406347195711"/>
        <n v="238.64989571606637"/>
        <n v="101.23959178648737"/>
        <n v="30.0"/>
        <n v="150.0"/>
        <n v="68.91196274532622"/>
        <n v="198.0"/>
        <n v="146.0"/>
        <n v="49.99999999999999"/>
        <n v="86.70221035218145"/>
        <n v="195.0"/>
        <n v="204.98768474833676"/>
        <n v="208.01027020652973"/>
        <n v="58.0"/>
        <n v="72.0"/>
        <n v="29.15730285384934"/>
        <n v="120.0"/>
        <n v="161.00050004287857"/>
        <n v="151.96000661699588"/>
        <n v="426.50749968791314"/>
        <n v="2147.0"/>
        <n v="0.0"/>
        <n v="129.98"/>
        <n v="1893.1200111550663"/>
        <n v="61.94126451808485"/>
        <n v="430.0"/>
        <n v="65.0"/>
        <n v="119.48"/>
        <n v="260.0"/>
        <n v="930.7020201949153"/>
        <n v="218.00235178206609"/>
        <n v="134.0"/>
        <n v="84.28992827662871"/>
        <n v="200.0"/>
        <n v="190.0"/>
        <n v="3498.0"/>
        <n v="2492.0"/>
        <n v="72.00074587599022"/>
        <n v="168.12024837269925"/>
        <n v="699.8626482778354"/>
        <n v="132.48"/>
        <n v="159.99817437044305"/>
        <n v="104.0"/>
        <n v="78.62019474738442"/>
        <n v="166.8520706121061"/>
        <n v="36.0"/>
        <n v="179.6674934264389"/>
        <n v="459.5356037151703"/>
        <n v="1250.0"/>
        <n v="470.4594610117201"/>
        <n v="49.48284845279499"/>
        <n v="226.93084447331103"/>
        <n v="333.0"/>
        <n v="278.1546575091378"/>
        <n v="90.0"/>
        <n v="171.0"/>
        <n v="126.0"/>
        <n v="218.0"/>
        <n v="204.9527236491361"/>
        <n v="317.6741321186326"/>
        <n v="553.8995151408834"/>
        <n v="129.27358900772364"/>
        <n v="92.92978422710223"/>
        <n v="193.9201998556126"/>
        <n v="115.0"/>
        <n v="100.0"/>
        <n v="280.9058335076449"/>
        <n v="1004.9404832091172"/>
        <n v="110.03"/>
        <n v="99.01"/>
        <n v="140.0"/>
        <n v="34.0"/>
        <n v="197.0"/>
        <n v="49.99952260466893"/>
        <n v="371.2300101955719"/>
        <n v="40.0"/>
        <n v="76.0"/>
        <n v="760.0"/>
        <n v="1060.0"/>
        <n v="66.0"/>
        <n v="340.0"/>
        <n v="565.0"/>
        <n v="94.0"/>
        <n v="2250.0"/>
        <n v="93.13711428276046"/>
        <n v="129.92"/>
        <n v="160.0"/>
        <n v="972.03"/>
        <n v="53.65001902310711"/>
        <n v="139.0"/>
        <n v="202.0"/>
        <n v="68.0"/>
        <n v="873.2251532449004"/>
        <n v="1220.0"/>
        <n v="36.08"/>
        <n v="1750.0"/>
        <n v="350.0"/>
        <n v="35.0"/>
        <n v="154.0"/>
        <n v="39.0"/>
        <n v="124.0"/>
        <n v="680.0"/>
        <n v="1433.0"/>
        <n v="226.0"/>
        <n v="290.0"/>
        <n v="299.99998955244996"/>
        <n v="49.99995874080229"/>
        <n v="250.0"/>
        <n v="24.0"/>
        <n v="247.88"/>
        <n v="181.45946467803017"/>
        <n v="108.0"/>
        <n v="490.8439698346676"/>
        <n v="141.0"/>
        <n v="115.92"/>
        <n v="64.8"/>
        <n v="157.44616702765768"/>
        <n v="117.0"/>
        <n v="143.0"/>
        <n v="345.6025942062502"/>
        <n v="70.0"/>
        <n v="681.0"/>
        <n v="217.99999793332705"/>
        <n v="167.0"/>
        <n v="201.0"/>
        <n v="430.1467444416737"/>
        <n v="130.0"/>
        <n v="107.0"/>
        <n v="460.0"/>
        <n v="278.0"/>
        <n v="400.0"/>
        <n v="301.0"/>
        <n v="119.0"/>
        <n v="99.00002319356113"/>
        <n v="78.98181390985013"/>
        <n v="75.0"/>
        <n v="282.0"/>
        <n v="170.0"/>
        <n v="111.0"/>
        <n v="133.0"/>
        <n v="240.0"/>
        <n v="275.0"/>
        <n v="3991.560009369363"/>
        <n v="88.0"/>
        <n v="606.31944438714"/>
        <n v="294.00375121424776"/>
        <n v="514.93"/>
        <n v="1321.363714931283"/>
        <n v="674.0"/>
        <n v="164.4012754748009"/>
        <n v="252.0"/>
        <n v="386.08904652406403"/>
        <n v="161.0"/>
        <n v="943.8162256658335"/>
        <n v="227.84392824309774"/>
        <n v="3853.0"/>
        <n v="67.0"/>
        <n v="300.0"/>
        <n v="125.63075283420564"/>
        <n v="312.99999596018506"/>
        <n v="5141.253857758865"/>
        <n v="255.0"/>
        <n v="274.0"/>
        <n v="85.0"/>
        <n v="309.86250181116026"/>
        <n v="158.92814309516837"/>
        <n v="92.99984324821058"/>
        <n v="51.7657905138503"/>
        <n v="81.0"/>
        <n v="600.0"/>
        <n v="42.99963604939886"/>
        <n v="436.16"/>
        <n v="180.0"/>
        <n v="127.23867747154877"/>
        <n v="51.0"/>
        <n v="188.0"/>
        <n v="115.99897229939717"/>
        <n v="80.10613240736942"/>
        <n v="199.29037442675545"/>
        <n v="83.05533230569259"/>
        <n v="53.0"/>
        <n v="97.93405239203732"/>
        <n v="135.0"/>
        <n v="52.0"/>
        <n v="49.0"/>
        <n v="602.0"/>
        <n v="6802.37"/>
        <n v="257.9744284031261"/>
        <n v="64.0"/>
        <n v="110.0"/>
        <n v="60.0"/>
        <n v="191.4256215647114"/>
        <n v="73.5"/>
        <n v="91.0"/>
        <n v="472.8462708053072"/>
        <n v="112.40046278050664"/>
        <n v="162.4"/>
        <n v="3457.96"/>
        <n v="965.678296502457"/>
        <n v="290.84749283682834"/>
        <n v="318.611889330559"/>
        <n v="106.0"/>
        <n v="101.70066716424132"/>
        <n v="555.2912070065223"/>
        <n v="146.8997939712403"/>
        <n v="99.0"/>
        <n v="202.5069926366611"/>
        <n v="339.37799263442514"/>
        <n v="51.94"/>
        <n v="273.60935701220956"/>
        <n v="141.38997861716132"/>
        <n v="29.76782104372371"/>
        <n v="32.0"/>
        <n v="50.0"/>
        <n v="3.0"/>
        <n v="43.0"/>
        <n v="105.0"/>
        <n v="406.16042037848337"/>
        <n v="109.0"/>
        <n v="23.0"/>
        <n v="130.0816348849812"/>
        <n v="78.0"/>
        <n v="213.0"/>
        <n v="743.3868313515263"/>
        <n v="191.0"/>
        <n v="2715.890000542556"/>
        <n v="358.0"/>
        <n v="155.0"/>
        <n v="273.9300057540969"/>
        <n v="2464.200008578976"/>
        <n v="1203.0"/>
        <n v="257.77235187339676"/>
        <n v="1354.0"/>
        <n v="249.0"/>
        <n v="320.0"/>
        <n v="24.10919014773099"/>
        <n v="885.0"/>
        <n v="200.23138708409584"/>
        <n v="879.6731765489762"/>
        <n v="28.060000000000002"/>
        <n v="444.62820954505355"/>
        <n v="73.0"/>
        <n v="101.08111086985839"/>
        <n v="141.03747019280314"/>
        <n v="103.0"/>
        <n v="56.0"/>
        <n v="274.26"/>
        <n v="274.2599992607798"/>
        <n v="700.0"/>
        <n v="21577.54"/>
        <n v="229.9733587271232"/>
        <n v="37.0"/>
        <n v="390.0"/>
      </sharedItems>
    </cacheField>
    <cacheField name="Moneda de pago">
      <sharedItems containsMixedTypes="1" containsNumber="1" containsInteger="1">
        <s v="USD"/>
        <s v="VES"/>
        <s v="Sin Pago"/>
        <s v="MIXTO"/>
        <n v="6.0"/>
      </sharedItems>
    </cacheField>
    <cacheField name="Saldo Orden" numFmtId="4">
      <sharedItems containsSemiMixedTypes="0" containsString="0" containsNumber="1">
        <n v="0.0"/>
        <n v="-50.0"/>
        <n v="-60.49317906993855"/>
        <n v="-11.190088464602233"/>
        <n v="-4.338274783295674"/>
        <n v="241.73829549018853"/>
        <n v="-13.648550234310989"/>
        <n v="306.2893652804289"/>
        <n v="-25.92989571606637"/>
        <n v="-10.799591786487369"/>
        <n v="42.480000000000004"/>
        <n v="360.0"/>
        <n v="239.16000000000003"/>
        <n v="-19.94768474833677"/>
        <n v="226.81972979347026"/>
        <n v="-0.27730285384934206"/>
        <n v="960.6199999999999"/>
        <n v="-0.02050004287858087"/>
        <n v="-20.960007313033316"/>
        <n v="-63.98749968791316"/>
        <n v="55.34"/>
        <n v="-96.35981915506636"/>
        <n v="-8.15126451808485"/>
        <n v="603.52"/>
        <n v="-0.010000000000005116"/>
        <n v="-0.009999999999990905"/>
        <n v="-138.3720201949153"/>
        <n v="364.7676482179339"/>
        <n v="241.81"/>
        <n v="1836.91"/>
        <n v="7241.610000000001"/>
        <n v="-7.458759902192469E-4"/>
        <n v="-13.628800000000012"/>
        <n v="-324.5126482778354"/>
        <n v="456.84000000000003"/>
        <n v="-1.9474738441260797E-4"/>
        <n v="415.08"/>
        <n v="-0.00999999999999801"/>
        <n v="121.1925065735611"/>
        <n v="499.6105389882799"/>
        <n v="17.887151547205015"/>
        <n v="-53.28084447331102"/>
        <n v="8.3553424908622"/>
        <n v="-13.852723649136095"/>
        <n v="-118.95951514088341"/>
        <n v="401.70641099227635"/>
        <n v="1623.82"/>
        <n v="69.1"/>
        <n v="611.13"/>
        <n v="-0.4058335076448998"/>
        <n v="-13.72048320911722"/>
        <n v="-0.01999999999999602"/>
        <n v="146.98000000000002"/>
        <n v="129.99047739533108"/>
        <n v="32.0"/>
        <n v="3895.88"/>
        <n v="134.49"/>
        <n v="1199.37"/>
        <n v="802.5"/>
        <n v="230.98000000000002"/>
        <n v="1607.24"/>
        <n v="-1.0202000000000027"/>
        <n v="18025.64"/>
        <n v="-0.13711428276046433"/>
        <n v="200.0"/>
        <n v="-0.01999999999998181"/>
        <n v="-1.9023107114435334E-5"/>
        <n v="40.0"/>
        <n v="232.30484675509956"/>
        <n v="776.24"/>
        <n v="875.0100000000002"/>
        <n v="-101.0"/>
        <n v="288.0"/>
        <n v="-1.009999999999991"/>
        <n v="1183.21"/>
        <n v="412.0"/>
        <n v="1881.84"/>
        <n v="712.48"/>
        <n v="421.47001044755007"/>
        <n v="201.0"/>
        <n v="114.98004125919769"/>
        <n v="361.55053532196985"/>
        <n v="272.0"/>
        <n v="451.14603016533243"/>
        <n v="1443.22"/>
        <n v="64.08"/>
        <n v="1112.5896164465105"/>
        <n v="43.16"/>
        <n v="68.72"/>
        <n v="63.96000000000001"/>
        <n v="187.85740579374982"/>
        <n v="42.3"/>
        <n v="-0.2300000000000182"/>
        <n v="-3.3999979333270574"/>
        <n v="91.00999999999999"/>
        <n v="114.51999999999998"/>
        <n v="149.85325555832628"/>
        <n v="76.0"/>
        <n v="-113.6"/>
        <n v="261.52"/>
        <n v="151.2"/>
        <n v="164.92000000000002"/>
        <n v="356.32000000000005"/>
        <n v="238.39999999999998"/>
        <n v="64.28"/>
        <n v="-0.4000231935611396"/>
        <n v="292.21818609014986"/>
        <n v="356.52"/>
        <n v="9795.45"/>
        <n v="116.0"/>
        <n v="274.28"/>
        <n v="143.0"/>
        <n v="82.33000000000001"/>
        <n v="258.8"/>
        <n v="156.51999999999998"/>
        <n v="-9.369362942379666E-6"/>
        <n v="318.14"/>
        <n v="383.9200000000001"/>
        <n v="-12.609499999999997"/>
        <n v="5968.02"/>
        <n v="4875.25"/>
        <n v="166.55607175690224"/>
        <n v="264.0"/>
        <n v="39.36"/>
        <n v="453.59"/>
        <n v="37.400000000000006"/>
        <n v="477.20000000000005"/>
        <n v="64.4"/>
        <n v="215.51999999999998"/>
        <n v="37.929247165794365"/>
        <n v="289.44"/>
        <n v="81.72"/>
        <n v="139.54000000000002"/>
        <n v="-51.28"/>
        <n v="187.60000000000002"/>
        <n v="-35.88250181116024"/>
        <n v="250.56"/>
        <n v="118.12015675178942"/>
        <n v="41.0"/>
        <n v="142.84"/>
        <n v="953.0"/>
        <n v="-0.2799999999999727"/>
        <n v="21.960363950601135"/>
        <n v="108.24000000000001"/>
        <n v="2876.6200000000003"/>
        <n v="436.16"/>
        <n v="104.61000000000001"/>
        <n v="36.76132252845123"/>
        <n v="29.0"/>
        <n v="108.37"/>
        <n v="1211.07"/>
        <n v="-0.06613240736940895"/>
        <n v="98.41"/>
        <n v="-2.09037442675546"/>
        <n v="65.92"/>
        <n v="-28.599999999999994"/>
        <n v="35.92"/>
        <n v="136.42000000000002"/>
        <n v="807.96"/>
        <n v="257.28"/>
        <n v="499.96"/>
        <n v="774.88"/>
        <n v="146.16"/>
        <n v="80.53999999999999"/>
        <n v="117.03999999999999"/>
        <n v="352.71000000000004"/>
        <n v="42.72"/>
        <n v="66.32"/>
        <n v="307.76"/>
        <n v="252.04000000000002"/>
        <n v="87.0"/>
        <n v="38.400000000000006"/>
        <n v="873.8"/>
        <n v="42.5"/>
        <n v="382.8"/>
        <n v="57.47999999999999"/>
        <n v="811.51"/>
        <n v="348.0"/>
        <n v="-38.16046278050665"/>
        <n v="2108.4"/>
        <n v="406.0"/>
        <n v="122.4"/>
        <n v="234.07999999999998"/>
        <n v="526.49"/>
        <n v="40.86"/>
        <n v="-0.001889330558981328"/>
        <n v="770.48"/>
        <n v="1071.71"/>
        <n v="2128.45"/>
        <n v="372.01"/>
        <n v="249.66"/>
        <n v="476.55"/>
        <n v="102.6"/>
        <n v="52.22"/>
        <n v="100.0"/>
        <n v="425.0"/>
        <n v="266.16"/>
        <n v="255.0"/>
        <n v="116.93"/>
        <n v="306.16"/>
        <n v="29.60000000000001"/>
        <n v="-110.52935701220954"/>
        <n v="45.77000000000001"/>
        <n v="103.2200213828387"/>
        <n v="252.31"/>
        <n v="185.6221789562763"/>
        <n v="21.85"/>
        <n v="54.620000000000005"/>
        <n v="65.44"/>
        <n v="42.769999999999996"/>
        <n v="181.62"/>
        <n v="87.31"/>
        <n v="-4.2037848334075534E-4"/>
        <n v="1756.54"/>
        <n v="58.540000000000006"/>
        <n v="99.14836511501878"/>
        <n v="258.46"/>
        <n v="123.93"/>
        <n v="333.86"/>
        <n v="1073.85"/>
        <n v="67.85"/>
        <n v="721.55"/>
        <n v="561.1931686484736"/>
        <n v="130.55"/>
        <n v="233.86"/>
        <n v="5431.779999457443"/>
        <n v="-141.07"/>
        <n v="240.38"/>
        <n v="1669.27"/>
        <n v="496.99"/>
        <n v="133.86"/>
        <n v="36.620000000000005"/>
        <n v="58.46"/>
        <n v="64.62"/>
        <n v="89.62"/>
        <n v="84.61"/>
        <n v="110.77"/>
        <n v="144.62"/>
        <n v="224.56"/>
        <n v="246.39"/>
        <n v="167.53040000000004"/>
        <n v="13.490809852269013"/>
        <n v="273.85"/>
        <n v="21143.12"/>
        <n v="263.09"/>
        <n v="315.12"/>
        <n v="283.08"/>
        <n v="51.540000000000006"/>
        <n v="426.92999999999995"/>
        <n v="1107.71"/>
        <n v="216.93"/>
        <n v="993.84"/>
        <n v="61.29861291590413"/>
        <n v="751.0568234510238"/>
        <n v="224.62"/>
        <n v="75.39"/>
        <n v="53.480000000000004"/>
        <n v="260.0"/>
        <n v="227.7"/>
        <n v="1543.12"/>
        <n v="350.78"/>
        <n v="298.47"/>
        <n v="729.26"/>
        <n v="39.31"/>
        <n v="179.99"/>
        <n v="109.23"/>
        <n v="369.24"/>
        <n v="163.07"/>
        <n v="390.0"/>
        <n v="121.53"/>
        <n v="46.93000000000001"/>
        <n v="73.0"/>
        <n v="88.58"/>
        <n v="2684.62"/>
        <n v="-0.0799999999999983"/>
        <n v="119.99"/>
        <n v="444.61"/>
        <n v="221.55"/>
        <n v="60.06999999999999"/>
        <n v="3496.92"/>
        <n v="152.22"/>
        <n v="1429.24"/>
        <n v="421.34"/>
        <n v="43.230000000000004"/>
        <n v="116.02"/>
        <n v="143.5"/>
        <n v="55.0"/>
        <n v="103.81"/>
        <n v="757.17"/>
        <n v="1632.58"/>
        <n v="160.4"/>
        <n v="230.02"/>
        <n v="335.96"/>
        <n v="205.81"/>
        <n v="70.75"/>
        <n v="220.95"/>
        <n v="349.57"/>
        <n v="1349.1100000000001"/>
        <n v="80.2"/>
        <n v="441.86"/>
        <n v="118.02"/>
        <n v="399.14"/>
        <n v="114.04"/>
        <n v="363.13"/>
        <n v="519.17"/>
        <n v="424.63"/>
        <n v="373.62"/>
        <n v="349.62"/>
        <n v="117.05"/>
        <n v="199.3"/>
        <n v="136.0"/>
        <n v="115.99"/>
        <n v="226.07"/>
        <n v="1023.22"/>
        <n v="787.3666412728768"/>
        <n v="353.95"/>
        <n v="2841.41"/>
        <n v="359.98"/>
        <n v="346.7"/>
        <n v="20547.78"/>
        <n v="447.53"/>
        <n v="1860.43"/>
        <n v="82.32"/>
        <n v="94.39"/>
        <n v="148.11"/>
        <n v="173.68"/>
        <n v="387.73"/>
        <n v="109.35"/>
        <n v="614.35"/>
        <n v="338.12"/>
        <n v="54.22"/>
        <n v="325.29"/>
        <n v="21970.0"/>
        <n v="210.64"/>
        <n v="226.85"/>
        <n v="38.52"/>
        <n v="497.93"/>
        <n v="900.28"/>
        <n v="178.29"/>
        <n v="107.54"/>
        <n v="91.98"/>
      </sharedItems>
    </cacheField>
    <cacheField name="Ultimo Pago">
      <sharedItems containsDate="1" containsMixedTypes="1">
        <d v="2026-03-19T00:00:00Z"/>
        <d v="2026-03-03T00:00:00Z"/>
        <d v="2026-06-01T00:00:00Z"/>
        <d v="2026-03-02T00:00:00Z"/>
        <d v="2026-06-08T00:00:00Z"/>
        <d v="2026-05-29T00:00:00Z"/>
        <d v="2026-05-14T00:00:00Z"/>
        <d v="2026-04-17T00:00:00Z"/>
        <d v="2026-04-21T00:00:00Z"/>
        <d v="2026-04-14T00:00:00Z"/>
        <d v="2026-04-28T00:00:00Z"/>
        <d v="2026-06-04T00:00:00Z"/>
        <d v="2026-05-11T00:00:00Z"/>
        <d v="2026-03-30T00:00:00Z"/>
        <d v="2026-03-17T00:00:00Z"/>
        <d v="2026-06-02T00:00:00Z"/>
        <d v="2026-06-19T00:00:00Z"/>
        <d v="2026-03-05T00:00:00Z"/>
        <d v="2026-04-22T00:00:00Z"/>
        <d v="2026-06-10T00:00:00Z"/>
        <d v="2026-06-23T00:00:00Z"/>
        <d v="2026-04-09T00:00:00Z"/>
        <d v="2026-03-06T00:00:00Z"/>
        <d v="2026-05-08T00:00:00Z"/>
        <s v="Sin Pago"/>
        <d v="2026-03-13T00:00:00Z"/>
        <d v="2026-03-09T00:00:00Z"/>
        <d v="2026-03-23T00:00:00Z"/>
        <d v="2026-03-27T00:00:00Z"/>
        <d v="2026-04-20T00:00:00Z"/>
        <d v="2026-04-10T00:00:00Z"/>
        <d v="2026-06-09T00:00:00Z"/>
        <d v="2026-05-05T00:00:00Z"/>
        <d v="2026-06-16T00:00:00Z"/>
        <d v="2026-05-04T00:00:00Z"/>
        <d v="2026-04-15T00:00:00Z"/>
        <d v="2026-03-11T00:00:00Z"/>
        <d v="2026-05-21T00:00:00Z"/>
        <d v="2026-04-13T00:00:00Z"/>
        <d v="2026-05-27T00:00:00Z"/>
        <d v="2026-03-12T00:00:00Z"/>
        <d v="2026-03-26T00:00:00Z"/>
        <d v="2026-05-18T00:00:00Z"/>
        <d v="2026-05-19T00:00:00Z"/>
        <d v="2026-06-17T00:00:00Z"/>
        <d v="2026-06-11T00:00:00Z"/>
        <d v="2026-05-26T00:00:00Z"/>
        <d v="2026-05-15T00:00:00Z"/>
        <d v="2026-04-24T00:00:00Z"/>
        <d v="2026-04-30T00:00:00Z"/>
        <d v="2026-05-12T00:00:00Z"/>
        <d v="2026-03-25T00:00:00Z"/>
        <d v="2026-06-03T00:00:00Z"/>
        <d v="2026-05-07T00:00:00Z"/>
        <d v="2026-04-29T00:00:00Z"/>
        <d v="2026-05-31T00:00:00Z"/>
        <d v="2026-03-31T00:00:00Z"/>
        <d v="2026-03-24T00:00:00Z"/>
        <d v="2026-05-22T00:00:00Z"/>
        <d v="2026-06-15T00:00:00Z"/>
        <d v="2026-06-05T00:00:00Z"/>
        <d v="2026-04-27T00:00:00Z"/>
        <d v="2026-04-23T00:00:00Z"/>
        <d v="2026-04-01T00:00:00Z"/>
        <d v="2026-06-13T00:00:00Z"/>
        <d v="2026-06-22T00:00:00Z"/>
        <d v="2026-04-07T00:00:00Z"/>
        <d v="2026-04-08T00:00:00Z"/>
        <d v="2026-05-28T00:00:00Z"/>
        <d v="2026-05-13T00:00:00Z"/>
        <d v="2026-06-12T00:00:00Z"/>
        <d v="2026-06-18T00:00:00Z"/>
        <d v="2026-05-25T00:00:00Z"/>
        <d v="2026-05-06T00:00:00Z"/>
        <d v="2026-05-20T00:00:00Z"/>
        <d v="1899-12-30T00:00:00Z"/>
      </sharedItems>
    </cacheField>
    <cacheField name="Status de Pago" numFmtId="0">
      <sharedItems>
        <s v="PAGADA"/>
        <s v="PAGO PARCIAL"/>
        <s v="PENDIENTE"/>
      </sharedItems>
    </cacheField>
    <cacheField name="Prioridad de Cobro" numFmtId="0">
      <sharedItems>
        <s v="SOLVENTE"/>
        <s v="CRÍTICO: VENCIDA"/>
        <s v="EN TIEMPO"/>
      </sharedItems>
    </cacheField>
    <cacheField name="Dias desde el ultimo Pago" numFmtId="0">
      <sharedItems containsSemiMixedTypes="0" containsString="0" containsNumber="1" containsInteger="1">
        <n v="0.0"/>
        <n v="71.0"/>
        <n v="23.0"/>
        <n v="25.0"/>
        <n v="8.0"/>
        <n v="17.0"/>
        <n v="4.0"/>
        <n v="44.0"/>
        <n v="18.0"/>
        <n v="11.0"/>
        <n v="37.0"/>
        <n v="75.0"/>
        <n v="106.0"/>
        <n v="32.0"/>
        <n v="58.0"/>
        <n v="46.0"/>
        <n v="54.0"/>
        <n v="19.0"/>
        <n v="24.0"/>
        <n v="51.0"/>
        <n v="73.0"/>
        <n v="50.0"/>
        <n v="12.0"/>
        <n v="61.0"/>
        <n v="14.0"/>
        <n v="5.0"/>
        <n v="81.0"/>
        <n v="78.0"/>
        <n v="39.0"/>
        <n v="79.0"/>
        <n v="26.0"/>
        <n v="40.0"/>
        <n v="30.0"/>
        <n v="64.0"/>
        <n v="22.0"/>
        <n v="15.0"/>
        <n v="16.0"/>
        <n v="10.0"/>
        <n v="31.0"/>
        <n v="9.0"/>
        <n v="60.0"/>
        <n v="36.0"/>
        <n v="53.0"/>
        <n v="47.0"/>
        <n v="43.0"/>
        <n v="38.0"/>
        <n v="46200.0"/>
      </sharedItems>
    </cacheField>
    <cacheField name="Validacion Descuento Diferencial" numFmtId="0">
      <sharedItems>
        <s v="OK"/>
        <s v="Sin Pago"/>
      </sharedItems>
    </cacheField>
    <cacheField name="Validacion Descuento Pronto Pago" numFmtId="0">
      <sharedItems>
        <s v=""/>
        <s v="OK"/>
        <s v="⚠️ REVISAR DESCUENTO"/>
      </sharedItems>
    </cacheField>
    <cacheField name="Cobrado" numFmtId="0">
      <sharedItems containsSemiMixedTypes="0" containsString="0" containsNumber="1">
        <n v="175.0"/>
        <n v="246.0"/>
        <n v="85.33"/>
        <n v="396.47317906993857"/>
        <n v="27781.08"/>
        <n v="74.96008846460224"/>
        <n v="86.57827478329567"/>
        <n v="713.0517045098114"/>
        <n v="116.81780880130722"/>
        <n v="96.0"/>
        <n v="91.89855023431099"/>
        <n v="166.2406347195711"/>
        <n v="238.64989571606637"/>
        <n v="101.23959178648737"/>
        <n v="30.0"/>
        <n v="150.0"/>
        <n v="68.91196274532622"/>
        <n v="198.0"/>
        <n v="146.0"/>
        <n v="49.99999999999999"/>
        <n v="86.70221035218145"/>
        <n v="195.0"/>
        <n v="204.98768474833676"/>
        <n v="208.01027020652973"/>
        <n v="58.0"/>
        <n v="72.0"/>
        <n v="29.15730285384934"/>
        <n v="120.0"/>
        <n v="161.00050004287857"/>
        <n v="130.99999930396257"/>
        <n v="426.50749968791314"/>
        <n v="2147.0"/>
        <n v="0.0"/>
        <n v="129.98"/>
        <n v="1893.1200111550663"/>
        <n v="61.94126451808485"/>
        <n v="430.0"/>
        <n v="65.0"/>
        <n v="119.48"/>
        <n v="260.0"/>
        <n v="930.7020201949153"/>
        <n v="218.00235178206609"/>
        <n v="134.0"/>
        <n v="84.28992827662871"/>
        <n v="200.0"/>
        <n v="190.0"/>
        <n v="3498.0"/>
        <n v="2492.0"/>
        <n v="72.00074587599022"/>
        <n v="168.12024837269925"/>
        <n v="699.8626482778354"/>
        <n v="132.48"/>
        <n v="159.99817437044305"/>
        <n v="104.0"/>
        <n v="78.62019474738442"/>
        <n v="166.8520706121061"/>
        <n v="36.0"/>
        <n v="179.6674934264389"/>
        <n v="459.5356037151703"/>
        <n v="1250.0"/>
        <n v="470.4594610117201"/>
        <n v="49.48284845279499"/>
        <n v="226.93084447331103"/>
        <n v="333.0"/>
        <n v="240.16602494209363"/>
        <n v="90.0"/>
        <n v="171.0"/>
        <n v="126.0"/>
        <n v="218.0"/>
        <n v="204.9527236491361"/>
        <n v="317.6741321186326"/>
        <n v="553.8995151408834"/>
        <n v="129.27358900772364"/>
        <n v="92.92978422710223"/>
        <n v="193.9201998556126"/>
        <n v="115.0"/>
        <n v="100.0"/>
        <n v="280.9058335076449"/>
        <n v="1004.9404832091172"/>
        <n v="110.03"/>
        <n v="99.01"/>
        <n v="140.0"/>
        <n v="34.0"/>
        <n v="197.0"/>
        <n v="49.99952260466893"/>
        <n v="371.2300101955719"/>
        <n v="40.0"/>
        <n v="76.0"/>
        <n v="760.0"/>
        <n v="1060.0"/>
        <n v="50.0"/>
        <n v="340.0"/>
        <n v="565.0"/>
        <n v="94.0"/>
        <n v="2250.0"/>
        <n v="93.13711428276046"/>
        <n v="129.92"/>
        <n v="160.0"/>
        <n v="972.03"/>
        <n v="53.65001902310711"/>
        <n v="139.0"/>
        <n v="202.0"/>
        <n v="68.0"/>
        <n v="873.2251532449004"/>
        <n v="1220.0"/>
        <n v="36.08"/>
        <n v="1861.852921624856"/>
        <n v="350.0"/>
        <n v="35.0"/>
        <n v="154.0"/>
        <n v="39.0"/>
        <n v="124.0"/>
        <n v="680.0"/>
        <n v="1433.0"/>
        <n v="226.0"/>
        <n v="290.0"/>
        <n v="299.99998955244996"/>
        <n v="49.99995874080229"/>
        <n v="250.0"/>
        <n v="24.0"/>
        <n v="247.88"/>
        <n v="181.45946467803017"/>
        <n v="108.0"/>
        <n v="490.8439698346676"/>
        <n v="141.0"/>
        <n v="115.92"/>
        <n v="1177.3896164465104"/>
        <n v="64.8"/>
        <n v="157.44616702765768"/>
        <n v="117.0"/>
        <n v="143.0"/>
        <n v="345.6025942062502"/>
        <n v="70.0"/>
        <n v="681.0"/>
        <n v="217.99999793332705"/>
        <n v="167.0"/>
        <n v="201.0"/>
        <n v="430.1467444416737"/>
        <n v="130.0"/>
        <n v="107.0"/>
        <n v="460.0"/>
        <n v="278.0"/>
        <n v="400.0"/>
        <n v="301.0"/>
        <n v="119.0"/>
        <n v="99.00002319356113"/>
        <n v="78.98181390985013"/>
        <n v="75.0"/>
        <n v="6561.31493769991"/>
        <n v="170.0"/>
        <n v="111.0"/>
        <n v="133.0"/>
        <n v="240.0"/>
        <n v="275.0"/>
        <n v="3991.560009369363"/>
        <n v="88.0"/>
        <n v="606.31944438714"/>
        <n v="294.00375121424776"/>
        <n v="514.93"/>
        <n v="1321.363714931283"/>
        <n v="674.0"/>
        <n v="164.4012754748009"/>
        <n v="252.0"/>
        <n v="386.08904652406403"/>
        <n v="161.0"/>
        <n v="943.8162256658335"/>
        <n v="227.84392824309774"/>
        <n v="3853.0"/>
        <n v="67.0"/>
        <n v="300.0"/>
        <n v="125.63075283420564"/>
        <n v="312.99999596018506"/>
        <n v="5141.253857758865"/>
        <n v="255.0"/>
        <n v="131.0"/>
        <n v="85.0"/>
        <n v="309.86250181116026"/>
        <n v="158.92814309516837"/>
        <n v="92.99984324821058"/>
        <n v="51.7657905138503"/>
        <n v="81.0"/>
        <n v="600.0"/>
        <n v="42.99963604939886"/>
        <n v="3312.786007365469"/>
        <n v="180.0"/>
        <n v="127.23867747154877"/>
        <n v="51.0"/>
        <n v="188.0"/>
        <n v="115.99897229939717"/>
        <n v="80.10613240736942"/>
        <n v="199.29037442675545"/>
        <n v="83.05533230569259"/>
        <n v="53.0"/>
        <n v="97.93405239203732"/>
        <n v="135.0"/>
        <n v="52.0"/>
        <n v="49.0"/>
        <n v="602.0"/>
        <n v="6802.37"/>
        <n v="257.9744284031261"/>
        <n v="64.0"/>
        <n v="110.0"/>
        <n v="60.0"/>
        <n v="66.0"/>
        <n v="191.4256215647114"/>
        <n v="73.5"/>
        <n v="91.0"/>
        <n v="472.8462708053072"/>
        <n v="112.40046278050664"/>
        <n v="99.99970875815205"/>
        <n v="3457.96"/>
        <n v="965.678296502457"/>
        <n v="290.84749283682834"/>
        <n v="318.611889330559"/>
        <n v="106.0"/>
        <n v="101.70066716424132"/>
        <n v="555.2912070065223"/>
        <n v="146.8997939712403"/>
        <n v="99.0"/>
        <n v="202.5069926366611"/>
        <n v="339.37799263442514"/>
        <n v="51.94"/>
        <n v="273.60935701220956"/>
        <n v="141.38997861716132"/>
        <n v="29.76782104372371"/>
        <n v="32.0"/>
        <n v="3.0"/>
        <n v="105.0"/>
        <n v="406.16042037848337"/>
        <n v="109.0"/>
        <n v="23.0"/>
        <n v="130.0816348849812"/>
        <n v="78.0"/>
        <n v="213.0"/>
        <n v="743.3868313515263"/>
        <n v="191.0"/>
        <n v="2715.890000542556"/>
        <n v="358.0"/>
        <n v="155.0"/>
        <n v="273.9300057540969"/>
        <n v="2464.200008578976"/>
        <n v="1203.0"/>
        <n v="257.77235187339676"/>
        <n v="1354.0"/>
        <n v="249.0"/>
        <n v="320.0"/>
        <n v="24.10919014773099"/>
        <n v="885.0"/>
        <n v="200.23138708409584"/>
        <n v="879.6731765489762"/>
        <n v="28.060000000000002"/>
        <n v="444.62820954505355"/>
        <n v="73.0"/>
        <n v="101.08111086985839"/>
        <n v="141.03747019280314"/>
        <n v="103.0"/>
        <n v="56.0"/>
        <n v="274.2599992607798"/>
        <n v="700.0"/>
        <n v="21577.54"/>
        <n v="229.9733587271232"/>
        <n v="390.0"/>
      </sharedItems>
    </cacheField>
    <cacheField name="Validación por Diferencial" numFmtId="0">
      <sharedItems>
        <s v="CUMPLE"/>
        <s v="NO CUMPLE"/>
        <s v="SIN MONEDA VÁLIDA"/>
        <s v="SIN TOTAL"/>
        <s v=""/>
      </sharedItems>
    </cacheField>
    <cacheField name="Columna 27" numFmtId="0">
      <sharedItems containsString="0" containsBlank="1">
        <m/>
      </sharedItems>
    </cacheField>
    <cacheField name="Columna 28" numFmtId="0">
      <sharedItems containsString="0" containsBlank="1">
        <m/>
      </sharedItems>
    </cacheField>
    <cacheField name="Columna 29" numFmtId="0">
      <sharedItems containsString="0" containsBlank="1">
        <m/>
      </sharedItems>
    </cacheField>
    <cacheField name="Columna 30" numFmtId="0">
      <sharedItems containsString="0" containsBlank="1">
        <m/>
      </sharedItems>
    </cacheField>
    <cacheField name="Columna 31" numFmtId="0">
      <sharedItems containsString="0" containsBlank="1">
        <m/>
      </sharedItems>
    </cacheField>
    <cacheField name="Columna 3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Antiguedad" cacheId="0" dataCaption="" rowGrandTotals="0" compact="0" compactData="0">
  <location ref="A3:D287" firstHeaderRow="0" firstDataRow="3" firstDataCol="0" rowPageCount="1" colPageCount="1"/>
  <pivotFields>
    <pivotField name="Referencia de la orden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Fecha de la orde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t="default"/>
      </items>
    </pivotField>
    <pivotField name="Cliente" axis="axisRow" compact="0" outline="0" multipleItemSelectionAllowed="1" showAll="0" sortType="de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Vend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otal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t="default"/>
      </items>
    </pivotField>
    <pivotField name="Terminos de pag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scuento x Diferencial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cto Pronto Pago %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Numero de Ord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t="default"/>
      </items>
    </pivotField>
    <pivotField name="Fech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Dias de credit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encimient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Total C/Dcto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Dias Vencid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Estado Vencimiento" axis="axisRow" compact="0" outline="0" multipleItemSelectionAllowed="1" showAll="0" sortType="descending" defaultSubtotal="0">
      <items>
        <item x="0"/>
        <item x="1"/>
        <item sd="0" x="2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Monto Pagado USD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t="default"/>
      </items>
    </pivotField>
    <pivotField name="Moneda de 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do Orden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t="default"/>
      </items>
    </pivotField>
    <pivotField name="Ultimo Pa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Status de Pago" axis="axisPage" compact="0" outline="0" multipleItemSelectionAllowed="1" showAll="0">
      <items>
        <item h="1" x="0"/>
        <item x="1"/>
        <item x="2"/>
        <item t="default"/>
      </items>
    </pivotField>
    <pivotField name="Prioridad de Cobro" compact="0" outline="0" multipleItemSelectionAllowed="1" showAll="0">
      <items>
        <item x="0"/>
        <item x="1"/>
        <item x="2"/>
        <item t="default"/>
      </items>
    </pivotField>
    <pivotField name="Dias desde el ultimo Pa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Validacion Descuento Diferencial" compact="0" outline="0" multipleItemSelectionAllowed="1" showAll="0">
      <items>
        <item x="0"/>
        <item x="1"/>
        <item t="default"/>
      </items>
    </pivotField>
    <pivotField name="Validacion Descuento Pronto Pago" compact="0" outline="0" multipleItemSelectionAllowed="1" showAll="0">
      <items>
        <item x="0"/>
        <item x="1"/>
        <item x="2"/>
        <item t="default"/>
      </items>
    </pivotField>
    <pivotField name="Cobr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t="default"/>
      </items>
    </pivotField>
    <pivotField name="Validación por Diferencia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lumna 27" compact="0" outline="0" multipleItemSelectionAllowed="1" showAll="0">
      <items>
        <item x="0"/>
        <item t="default"/>
      </items>
    </pivotField>
    <pivotField name="Columna 28" compact="0" outline="0" multipleItemSelectionAllowed="1" showAll="0">
      <items>
        <item x="0"/>
        <item t="default"/>
      </items>
    </pivotField>
    <pivotField name="Columna 29" compact="0" outline="0" multipleItemSelectionAllowed="1" showAll="0">
      <items>
        <item x="0"/>
        <item t="default"/>
      </items>
    </pivotField>
    <pivotField name="Columna 30" compact="0" outline="0" multipleItemSelectionAllowed="1" showAll="0">
      <items>
        <item x="0"/>
        <item t="default"/>
      </items>
    </pivotField>
    <pivotField name="Columna 31" compact="0" outline="0" multipleItemSelectionAllowed="1" showAll="0">
      <items>
        <item x="0"/>
        <item t="default"/>
      </items>
    </pivotField>
    <pivotField name="Columna 32" compact="0" outline="0" multipleItemSelectionAllowed="1" showAll="0">
      <items>
        <item x="0"/>
        <item t="default"/>
      </items>
    </pivotField>
  </pivotFields>
  <rowFields>
    <field x="14"/>
    <field x="2"/>
    <field x="0"/>
  </rowFields>
  <pageFields>
    <pageField fld="19"/>
  </pageFields>
  <dataFields>
    <dataField name="SUM of Dias Vencido" fld="13" baseField="0"/>
  </dataFields>
</pivotTableDefinition>
</file>

<file path=xl/pivotTables/pivotTable2.xml><?xml version="1.0" encoding="utf-8"?>
<pivotTableDefinition xmlns="http://schemas.openxmlformats.org/spreadsheetml/2006/main" name="Cuentas x Cobrar" cacheId="0" dataCaption="" rowGrandTotals="0" compact="0" compactData="0">
  <location ref="A3:F5" firstHeaderRow="0" firstDataRow="4" firstDataCol="0" rowPageCount="1" colPageCount="1"/>
  <pivotFields>
    <pivotField name="Referencia de la orden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Fecha de la orde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t="default"/>
      </items>
    </pivotField>
    <pivotField name="Cliente" axis="axisRow" compact="0" outline="0" multipleItemSelectionAllowed="1" showAll="0" sortType="descending" defaultSubtotal="0">
      <items>
        <item x="2"/>
        <item x="98"/>
        <item x="294"/>
        <item x="200"/>
        <item x="63"/>
        <item x="29"/>
        <item x="197"/>
        <item x="262"/>
        <item x="70"/>
        <item x="88"/>
        <item x="32"/>
        <item x="50"/>
        <item x="295"/>
        <item x="110"/>
        <item x="49"/>
        <item x="4"/>
        <item x="227"/>
        <item x="92"/>
        <item x="172"/>
        <item x="297"/>
        <item x="6"/>
        <item x="48"/>
        <item x="268"/>
        <item x="7"/>
        <item x="108"/>
        <item x="56"/>
        <item x="156"/>
        <item x="255"/>
        <item x="180"/>
        <item x="220"/>
        <item x="225"/>
        <item x="10"/>
        <item x="57"/>
        <item x="278"/>
        <item x="18"/>
        <item x="46"/>
        <item x="170"/>
        <item x="45"/>
        <item x="168"/>
        <item x="249"/>
        <item x="283"/>
        <item x="280"/>
        <item x="207"/>
        <item x="55"/>
        <item x="35"/>
        <item x="85"/>
        <item x="240"/>
        <item x="134"/>
        <item x="257"/>
        <item x="125"/>
        <item x="60"/>
        <item x="131"/>
        <item x="234"/>
        <item x="93"/>
        <item x="192"/>
        <item x="245"/>
        <item x="218"/>
        <item x="14"/>
        <item x="58"/>
        <item x="90"/>
        <item x="229"/>
        <item x="270"/>
        <item x="69"/>
        <item x="164"/>
        <item x="184"/>
        <item x="236"/>
        <item x="177"/>
        <item x="135"/>
        <item x="100"/>
        <item x="43"/>
        <item x="65"/>
        <item x="8"/>
        <item x="68"/>
        <item x="202"/>
        <item x="187"/>
        <item x="5"/>
        <item x="28"/>
        <item x="144"/>
        <item x="279"/>
        <item x="17"/>
        <item x="72"/>
        <item x="24"/>
        <item x="205"/>
        <item x="87"/>
        <item x="241"/>
        <item x="258"/>
        <item x="82"/>
        <item x="37"/>
        <item x="263"/>
        <item x="211"/>
        <item x="219"/>
        <item x="128"/>
        <item x="86"/>
        <item x="159"/>
        <item x="286"/>
        <item x="264"/>
        <item x="169"/>
        <item x="182"/>
        <item x="113"/>
        <item x="158"/>
        <item x="99"/>
        <item x="287"/>
        <item x="171"/>
        <item x="101"/>
        <item x="213"/>
        <item x="299"/>
        <item x="194"/>
        <item x="53"/>
        <item x="26"/>
        <item x="296"/>
        <item x="273"/>
        <item x="147"/>
        <item x="97"/>
        <item x="199"/>
        <item x="188"/>
        <item x="83"/>
        <item x="291"/>
        <item x="252"/>
        <item x="277"/>
        <item x="154"/>
        <item x="80"/>
        <item x="121"/>
        <item x="183"/>
        <item x="228"/>
        <item x="155"/>
        <item x="16"/>
        <item x="122"/>
        <item x="243"/>
        <item x="52"/>
        <item x="176"/>
        <item x="288"/>
        <item x="175"/>
        <item x="64"/>
        <item x="123"/>
        <item x="174"/>
        <item x="30"/>
        <item x="256"/>
        <item x="12"/>
        <item x="237"/>
        <item x="293"/>
        <item x="47"/>
        <item x="244"/>
        <item x="138"/>
        <item x="40"/>
        <item x="62"/>
        <item x="136"/>
        <item x="167"/>
        <item x="95"/>
        <item x="74"/>
        <item x="34"/>
        <item x="196"/>
        <item x="61"/>
        <item x="181"/>
        <item x="25"/>
        <item x="140"/>
        <item x="104"/>
        <item x="216"/>
        <item x="76"/>
        <item x="206"/>
        <item x="139"/>
        <item x="178"/>
        <item x="173"/>
        <item x="137"/>
        <item x="259"/>
        <item x="190"/>
        <item x="127"/>
        <item x="275"/>
        <item x="253"/>
        <item x="20"/>
        <item x="290"/>
        <item x="116"/>
        <item x="112"/>
        <item x="267"/>
        <item x="222"/>
        <item x="130"/>
        <item x="242"/>
        <item x="0"/>
        <item x="266"/>
        <item x="117"/>
        <item x="38"/>
        <item x="77"/>
        <item x="221"/>
        <item x="224"/>
        <item x="274"/>
        <item x="22"/>
        <item x="71"/>
        <item x="106"/>
        <item x="246"/>
        <item x="230"/>
        <item x="15"/>
        <item x="148"/>
        <item x="215"/>
        <item x="67"/>
        <item x="107"/>
        <item x="84"/>
        <item x="11"/>
        <item x="109"/>
        <item x="162"/>
        <item x="89"/>
        <item x="91"/>
        <item x="1"/>
        <item x="103"/>
        <item x="115"/>
        <item x="239"/>
        <item x="271"/>
        <item x="226"/>
        <item x="81"/>
        <item x="250"/>
        <item x="214"/>
        <item x="265"/>
        <item x="248"/>
        <item x="186"/>
        <item x="3"/>
        <item x="233"/>
        <item x="54"/>
        <item sd="0" x="94"/>
        <item x="114"/>
        <item x="163"/>
        <item x="120"/>
        <item x="105"/>
        <item x="111"/>
        <item x="73"/>
        <item x="208"/>
        <item x="217"/>
        <item x="150"/>
        <item x="166"/>
        <item x="269"/>
        <item x="41"/>
        <item x="143"/>
        <item x="141"/>
        <item x="151"/>
        <item x="254"/>
        <item x="33"/>
        <item x="209"/>
        <item x="193"/>
        <item x="161"/>
        <item x="247"/>
        <item x="44"/>
        <item x="21"/>
        <item x="132"/>
        <item x="232"/>
        <item x="59"/>
        <item x="204"/>
        <item x="298"/>
        <item x="179"/>
        <item x="126"/>
        <item x="149"/>
        <item x="212"/>
        <item x="153"/>
        <item x="157"/>
        <item x="261"/>
        <item x="223"/>
        <item x="285"/>
        <item x="238"/>
        <item x="185"/>
        <item x="145"/>
        <item x="276"/>
        <item x="96"/>
        <item x="42"/>
        <item x="210"/>
        <item x="19"/>
        <item x="133"/>
        <item x="13"/>
        <item x="146"/>
        <item x="251"/>
        <item x="203"/>
        <item x="165"/>
        <item x="260"/>
        <item x="201"/>
        <item x="281"/>
        <item x="292"/>
        <item x="36"/>
        <item x="78"/>
        <item x="51"/>
        <item x="27"/>
        <item x="289"/>
        <item x="39"/>
        <item x="152"/>
        <item x="284"/>
        <item x="282"/>
        <item x="9"/>
        <item x="198"/>
        <item x="124"/>
        <item x="235"/>
        <item x="129"/>
        <item x="189"/>
        <item x="191"/>
        <item x="23"/>
        <item x="231"/>
        <item x="31"/>
        <item x="119"/>
        <item x="75"/>
        <item x="102"/>
        <item x="142"/>
        <item x="272"/>
        <item x="195"/>
        <item x="79"/>
        <item x="118"/>
        <item x="66"/>
        <item x="160"/>
        <item x="300"/>
      </items>
    </pivotField>
    <pivotField name="Vend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otal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t="default"/>
      </items>
    </pivotField>
    <pivotField name="Terminos de pag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scuento x Diferencial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cto Pronto Pago %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Numero de Ord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t="default"/>
      </items>
    </pivotField>
    <pivotField name="Fech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Dias de credit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encimient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Total C/Dcto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Dias Vencid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Estado Vencimiento" axis="axisRow" compact="0" outline="0" multipleItemSelectionAllowed="1" showAll="0" sortType="descending" defaultSubtotal="0">
      <items>
        <item x="0"/>
        <item sd="0" x="1"/>
        <item sd="0" x="2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Monto Pagado USD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t="default"/>
      </items>
    </pivotField>
    <pivotField name="Moneda de 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do Orden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t="default"/>
      </items>
    </pivotField>
    <pivotField name="Ultimo Pa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Status de Pago" axis="axisPage" compact="0" outline="0" multipleItemSelectionAllowed="1" showAll="0">
      <items>
        <item h="1" x="0"/>
        <item x="1"/>
        <item x="2"/>
        <item t="default"/>
      </items>
    </pivotField>
    <pivotField name="Prioridad de Cobro" compact="0" outline="0" multipleItemSelectionAllowed="1" showAll="0">
      <items>
        <item x="0"/>
        <item x="1"/>
        <item x="2"/>
        <item t="default"/>
      </items>
    </pivotField>
    <pivotField name="Dias desde el ultimo Pag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Validacion Descuento Diferencial" compact="0" outline="0" multipleItemSelectionAllowed="1" showAll="0">
      <items>
        <item x="0"/>
        <item x="1"/>
        <item t="default"/>
      </items>
    </pivotField>
    <pivotField name="Validacion Descuento Pronto Pago" compact="0" outline="0" multipleItemSelectionAllowed="1" showAll="0">
      <items>
        <item x="0"/>
        <item x="1"/>
        <item x="2"/>
        <item t="default"/>
      </items>
    </pivotField>
    <pivotField name="Cobr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t="default"/>
      </items>
    </pivotField>
    <pivotField name="Validación por Diferencia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lumna 27" compact="0" outline="0" multipleItemSelectionAllowed="1" showAll="0">
      <items>
        <item x="0"/>
        <item t="default"/>
      </items>
    </pivotField>
    <pivotField name="Columna 28" compact="0" outline="0" multipleItemSelectionAllowed="1" showAll="0">
      <items>
        <item x="0"/>
        <item t="default"/>
      </items>
    </pivotField>
    <pivotField name="Columna 29" compact="0" outline="0" multipleItemSelectionAllowed="1" showAll="0">
      <items>
        <item x="0"/>
        <item t="default"/>
      </items>
    </pivotField>
    <pivotField name="Columna 30" compact="0" outline="0" multipleItemSelectionAllowed="1" showAll="0">
      <items>
        <item x="0"/>
        <item t="default"/>
      </items>
    </pivotField>
    <pivotField name="Columna 31" compact="0" outline="0" multipleItemSelectionAllowed="1" showAll="0">
      <items>
        <item x="0"/>
        <item t="default"/>
      </items>
    </pivotField>
    <pivotField name="Columna 32" compact="0" outline="0" multipleItemSelectionAllowed="1" showAll="0">
      <items>
        <item x="0"/>
        <item t="default"/>
      </items>
    </pivotField>
  </pivotFields>
  <rowFields>
    <field x="14"/>
    <field x="2"/>
    <field x="0"/>
  </rowFields>
  <colFields>
    <field x="-2"/>
  </colFields>
  <pageFields>
    <pageField fld="19"/>
  </pageFields>
  <dataFields>
    <dataField name="SUM of Saldo Orden" fld="17" baseField="0"/>
    <dataField name="SUM of Dias Vencido" fld="13" baseField="0"/>
    <dataField name="SUM of Dias desde el ultimo Pago" fld="21" baseField="0"/>
  </dataFields>
</pivotTableDefinition>
</file>

<file path=xl/pivotTables/pivotTable3.xml><?xml version="1.0" encoding="utf-8"?>
<pivotTableDefinition xmlns="http://schemas.openxmlformats.org/spreadsheetml/2006/main" name="Cuentas x Cobrar x Mes" cacheId="1" dataCaption="" compact="0" compactData="0">
  <location ref="A1:D9" firstHeaderRow="0" firstDataRow="3" firstDataCol="0"/>
  <pivotFields>
    <pivotField name="Referencia de la orden" axis="axisRow" compact="0" outline="0" multipleItemSelectionAllowed="1" showAll="0" sortType="ascending">
      <items>
        <item x="49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t="default"/>
      </items>
    </pivotField>
    <pivotField name="Fecha de la orden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Vend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otal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t="default"/>
      </items>
    </pivotField>
    <pivotField name="Terminos de pag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scuento x Diferencial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cto Pronto Pago %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Numero de Ord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t="default"/>
      </items>
    </pivotField>
    <pivotField name="Fech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Dias de credit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encimient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Total C/Dcto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Dias Venc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Estado Vencimiento" compact="0" outline="0" multipleItemSelectionAllowed="1" showAll="0">
      <items>
        <item x="0"/>
        <item x="1"/>
        <item x="2"/>
        <item t="default"/>
      </items>
    </pivotField>
    <pivotField name="Monto Pagado USD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t="default"/>
      </items>
    </pivotField>
    <pivotField name="Moneda de 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do Orden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t="default"/>
      </items>
    </pivotField>
    <pivotField name="Ultimo Pa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Status de Pago" compact="0" outline="0" multipleItemSelectionAllowed="1" showAll="0">
      <items>
        <item x="0"/>
        <item x="1"/>
        <item x="2"/>
        <item t="default"/>
      </items>
    </pivotField>
    <pivotField name="Prioridad de Cobro" compact="0" outline="0" multipleItemSelectionAllowed="1" showAll="0">
      <items>
        <item x="0"/>
        <item x="1"/>
        <item x="2"/>
        <item t="default"/>
      </items>
    </pivotField>
    <pivotField name="Dias desde el ultimo Pa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Validacion Descuento Diferencial" compact="0" outline="0" multipleItemSelectionAllowed="1" showAll="0">
      <items>
        <item x="0"/>
        <item x="1"/>
        <item t="default"/>
      </items>
    </pivotField>
    <pivotField name="Validacion Descuento Pronto Pago" compact="0" outline="0" multipleItemSelectionAllowed="1" showAll="0">
      <items>
        <item x="0"/>
        <item x="1"/>
        <item x="2"/>
        <item t="default"/>
      </items>
    </pivotField>
    <pivotField name="Cobrad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t="default"/>
      </items>
    </pivotField>
    <pivotField name="Validación por Diferencia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lumna 27" compact="0" outline="0" multipleItemSelectionAllowed="1" showAll="0">
      <items>
        <item x="0"/>
        <item t="default"/>
      </items>
    </pivotField>
    <pivotField name="Columna 28" compact="0" outline="0" multipleItemSelectionAllowed="1" showAll="0">
      <items>
        <item x="0"/>
        <item t="default"/>
      </items>
    </pivotField>
    <pivotField name="Columna 29" compact="0" outline="0" multipleItemSelectionAllowed="1" showAll="0">
      <items>
        <item x="0"/>
        <item t="default"/>
      </items>
    </pivotField>
    <pivotField name="Columna 30" compact="0" outline="0" multipleItemSelectionAllowed="1" showAll="0">
      <items>
        <item x="0"/>
        <item t="default"/>
      </items>
    </pivotField>
    <pivotField name="Columna 31" compact="0" outline="0" multipleItemSelectionAllowed="1" showAll="0">
      <items>
        <item x="0"/>
        <item t="default"/>
      </items>
    </pivotField>
    <pivotField name="Columna 32" compact="0" outline="0" multipleItemSelectionAllowed="1" showAll="0">
      <items>
        <item x="0"/>
        <item t="default"/>
      </items>
    </pivotField>
  </pivotFields>
  <rowFields>
    <field x="1"/>
    <field x="0"/>
  </rowFields>
  <colFields>
    <field x="-2"/>
  </colFields>
  <dataFields>
    <dataField name="SUM of Total C/Dcto" fld="12" baseField="0"/>
    <dataField name="SUM of Cobrado" fld="24" baseField="0"/>
  </dataFields>
</pivotTableDefinition>
</file>

<file path=xl/pivotTables/pivotTable4.xml><?xml version="1.0" encoding="utf-8"?>
<pivotTableDefinition xmlns="http://schemas.openxmlformats.org/spreadsheetml/2006/main" name="Cuentas x Dias Vencimiento" cacheId="2" dataCaption="" compact="0" compactData="0">
  <location ref="A3:C6" firstHeaderRow="0" firstDataRow="2" firstDataCol="0" rowPageCount="1" colPageCount="1"/>
  <pivotFields>
    <pivotField name="Referencia de la ord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t="default"/>
      </items>
    </pivotField>
    <pivotField name="Fecha de la orde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Vend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otal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t="default"/>
      </items>
    </pivotField>
    <pivotField name="Terminos de pag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scuento x Diferencial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cto Pronto Pago %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Numero de Orde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t="default"/>
      </items>
    </pivotField>
    <pivotField name="Fech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Dias de credit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encimient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Total C/Dcto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Dias Vencido" axis="axisRow" compact="0" outline="0" multipleItemSelectionAllowed="1" showAll="0" sortType="ascending">
      <items>
        <item x="0"/>
        <item x="1"/>
        <item x="2"/>
        <item t="default"/>
      </items>
    </pivotField>
    <pivotField name="Estado Vencimiento" axis="axisPage" compact="0" outline="0" multipleItemSelectionAllowed="1" showAll="0">
      <items>
        <item h="1" x="0"/>
        <item x="1"/>
        <item h="1" x="2"/>
        <item t="default"/>
      </items>
    </pivotField>
    <pivotField name="Monto Pagado USD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t="default"/>
      </items>
    </pivotField>
    <pivotField name="Moneda de 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do Orden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t="default"/>
      </items>
    </pivotField>
    <pivotField name="Ultimo Pa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Status de Pago" compact="0" outline="0" multipleItemSelectionAllowed="1" showAll="0">
      <items>
        <item x="0"/>
        <item x="1"/>
        <item x="2"/>
        <item t="default"/>
      </items>
    </pivotField>
    <pivotField name="Prioridad de Cobro" compact="0" outline="0" multipleItemSelectionAllowed="1" showAll="0">
      <items>
        <item x="0"/>
        <item x="1"/>
        <item x="2"/>
        <item t="default"/>
      </items>
    </pivotField>
    <pivotField name="Dias desde el ultimo Pa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Validacion Descuento Diferencial" compact="0" outline="0" multipleItemSelectionAllowed="1" showAll="0">
      <items>
        <item x="0"/>
        <item x="1"/>
        <item t="default"/>
      </items>
    </pivotField>
    <pivotField name="Validacion Descuento Pronto Pago" compact="0" outline="0" multipleItemSelectionAllowed="1" showAll="0">
      <items>
        <item x="0"/>
        <item x="1"/>
        <item x="2"/>
        <item t="default"/>
      </items>
    </pivotField>
    <pivotField name="Cobr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t="default"/>
      </items>
    </pivotField>
    <pivotField name="Validación por Diferencia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lumna 27" compact="0" outline="0" multipleItemSelectionAllowed="1" showAll="0">
      <items>
        <item x="0"/>
        <item t="default"/>
      </items>
    </pivotField>
    <pivotField name="Columna 28" compact="0" outline="0" multipleItemSelectionAllowed="1" showAll="0">
      <items>
        <item x="0"/>
        <item t="default"/>
      </items>
    </pivotField>
    <pivotField name="Columna 29" compact="0" outline="0" multipleItemSelectionAllowed="1" showAll="0">
      <items>
        <item x="0"/>
        <item t="default"/>
      </items>
    </pivotField>
    <pivotField name="Columna 30" compact="0" outline="0" multipleItemSelectionAllowed="1" showAll="0">
      <items>
        <item x="0"/>
        <item t="default"/>
      </items>
    </pivotField>
    <pivotField name="Columna 31" compact="0" outline="0" multipleItemSelectionAllowed="1" showAll="0">
      <items>
        <item x="0"/>
        <item t="default"/>
      </items>
    </pivotField>
    <pivotField name="Columna 32" compact="0" outline="0" multipleItemSelectionAllowed="1" showAll="0">
      <items>
        <item x="0"/>
        <item t="default"/>
      </items>
    </pivotField>
  </pivotFields>
  <rowFields>
    <field x="13"/>
  </rowFields>
  <colFields>
    <field x="-2"/>
  </colFields>
  <pageFields>
    <pageField fld="14"/>
  </pageFields>
  <dataFields>
    <dataField name="COUNT of Numero de Orden" fld="8" subtotal="countNums" baseField="0"/>
    <dataField name="SUM of Saldo Orden" fld="17" baseField="0"/>
  </dataFields>
</pivotTableDefinition>
</file>

<file path=xl/pivotTables/pivotTable5.xml><?xml version="1.0" encoding="utf-8"?>
<pivotTableDefinition xmlns="http://schemas.openxmlformats.org/spreadsheetml/2006/main" name="Cuentas x Vendedor" cacheId="0" dataCaption="" compact="0" compactData="0">
  <location ref="A4:E304" firstHeaderRow="0" firstDataRow="4" firstDataCol="0" rowPageCount="2" colPageCount="1"/>
  <pivotFields>
    <pivotField name="Referencia de la orden" axis="axisRow" compact="0" outline="0" multipleItemSelectionAllowed="1" showAll="0" sortType="descending" defaultSubtotal="0">
      <items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493"/>
      </items>
    </pivotField>
    <pivotField name="Fecha de la orde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t="default"/>
      </items>
    </pivotField>
    <pivotField name="Cliente" axis="axisRow" compact="0" outline="0" multipleItemSelectionAllowed="1" showAll="0" sortType="ascending" defaultSubtotal="0">
      <items>
        <item x="300"/>
        <item x="160"/>
        <item x="66"/>
        <item x="118"/>
        <item x="79"/>
        <item x="195"/>
        <item x="272"/>
        <item x="142"/>
        <item x="102"/>
        <item x="75"/>
        <item x="119"/>
        <item x="31"/>
        <item x="231"/>
        <item x="23"/>
        <item x="191"/>
        <item x="189"/>
        <item x="129"/>
        <item x="235"/>
        <item x="124"/>
        <item x="198"/>
        <item x="9"/>
        <item x="282"/>
        <item x="284"/>
        <item x="152"/>
        <item x="39"/>
        <item x="289"/>
        <item x="27"/>
        <item x="51"/>
        <item x="78"/>
        <item x="36"/>
        <item x="292"/>
        <item x="281"/>
        <item x="201"/>
        <item x="260"/>
        <item x="165"/>
        <item x="203"/>
        <item x="251"/>
        <item x="146"/>
        <item x="13"/>
        <item x="133"/>
        <item x="19"/>
        <item x="210"/>
        <item x="42"/>
        <item x="96"/>
        <item x="276"/>
        <item x="145"/>
        <item x="185"/>
        <item x="238"/>
        <item x="285"/>
        <item x="223"/>
        <item x="261"/>
        <item x="157"/>
        <item x="153"/>
        <item x="212"/>
        <item x="149"/>
        <item x="126"/>
        <item x="179"/>
        <item x="298"/>
        <item x="204"/>
        <item x="59"/>
        <item x="232"/>
        <item x="132"/>
        <item x="21"/>
        <item x="44"/>
        <item x="247"/>
        <item x="161"/>
        <item x="193"/>
        <item x="209"/>
        <item x="33"/>
        <item x="254"/>
        <item x="151"/>
        <item x="141"/>
        <item x="143"/>
        <item x="41"/>
        <item x="269"/>
        <item x="166"/>
        <item x="150"/>
        <item x="217"/>
        <item x="208"/>
        <item x="73"/>
        <item x="111"/>
        <item x="105"/>
        <item x="120"/>
        <item x="163"/>
        <item x="114"/>
        <item x="94"/>
        <item x="54"/>
        <item x="233"/>
        <item x="3"/>
        <item x="186"/>
        <item x="248"/>
        <item x="265"/>
        <item x="214"/>
        <item x="250"/>
        <item x="81"/>
        <item x="226"/>
        <item x="271"/>
        <item x="239"/>
        <item x="115"/>
        <item x="103"/>
        <item x="1"/>
        <item x="91"/>
        <item x="89"/>
        <item x="162"/>
        <item x="109"/>
        <item x="11"/>
        <item x="84"/>
        <item x="107"/>
        <item x="67"/>
        <item x="215"/>
        <item x="148"/>
        <item x="15"/>
        <item x="230"/>
        <item x="246"/>
        <item x="106"/>
        <item x="71"/>
        <item x="22"/>
        <item x="274"/>
        <item x="224"/>
        <item x="221"/>
        <item x="77"/>
        <item x="38"/>
        <item x="117"/>
        <item x="266"/>
        <item x="0"/>
        <item x="242"/>
        <item x="130"/>
        <item x="222"/>
        <item x="267"/>
        <item x="112"/>
        <item x="116"/>
        <item x="290"/>
        <item x="20"/>
        <item x="253"/>
        <item x="275"/>
        <item x="127"/>
        <item x="190"/>
        <item x="259"/>
        <item x="137"/>
        <item x="173"/>
        <item x="178"/>
        <item x="139"/>
        <item x="206"/>
        <item x="76"/>
        <item x="216"/>
        <item x="104"/>
        <item x="140"/>
        <item x="25"/>
        <item x="181"/>
        <item x="61"/>
        <item x="196"/>
        <item x="34"/>
        <item x="74"/>
        <item x="95"/>
        <item x="167"/>
        <item x="136"/>
        <item x="62"/>
        <item x="40"/>
        <item x="138"/>
        <item x="244"/>
        <item x="47"/>
        <item x="293"/>
        <item x="237"/>
        <item x="12"/>
        <item x="256"/>
        <item x="30"/>
        <item x="174"/>
        <item x="123"/>
        <item x="64"/>
        <item x="175"/>
        <item x="288"/>
        <item x="176"/>
        <item x="52"/>
        <item x="243"/>
        <item x="122"/>
        <item x="16"/>
        <item x="155"/>
        <item x="228"/>
        <item x="183"/>
        <item x="121"/>
        <item x="80"/>
        <item x="154"/>
        <item x="277"/>
        <item x="252"/>
        <item x="291"/>
        <item x="83"/>
        <item x="188"/>
        <item x="199"/>
        <item x="97"/>
        <item x="147"/>
        <item x="273"/>
        <item x="296"/>
        <item x="26"/>
        <item x="53"/>
        <item x="194"/>
        <item x="299"/>
        <item x="213"/>
        <item x="101"/>
        <item x="171"/>
        <item x="287"/>
        <item x="99"/>
        <item x="158"/>
        <item x="113"/>
        <item x="182"/>
        <item x="169"/>
        <item x="264"/>
        <item x="286"/>
        <item x="159"/>
        <item x="86"/>
        <item x="128"/>
        <item x="219"/>
        <item x="211"/>
        <item x="263"/>
        <item x="37"/>
        <item x="82"/>
        <item x="258"/>
        <item x="241"/>
        <item x="87"/>
        <item x="205"/>
        <item x="24"/>
        <item x="72"/>
        <item x="17"/>
        <item x="279"/>
        <item x="144"/>
        <item x="28"/>
        <item x="5"/>
        <item x="187"/>
        <item x="202"/>
        <item x="68"/>
        <item x="8"/>
        <item x="65"/>
        <item x="43"/>
        <item x="100"/>
        <item x="135"/>
        <item x="177"/>
        <item x="236"/>
        <item x="184"/>
        <item x="164"/>
        <item x="69"/>
        <item x="270"/>
        <item x="229"/>
        <item x="90"/>
        <item x="58"/>
        <item x="14"/>
        <item x="218"/>
        <item x="245"/>
        <item x="192"/>
        <item x="93"/>
        <item x="234"/>
        <item x="131"/>
        <item x="60"/>
        <item x="125"/>
        <item x="257"/>
        <item x="134"/>
        <item x="240"/>
        <item x="85"/>
        <item x="35"/>
        <item x="55"/>
        <item x="207"/>
        <item x="280"/>
        <item x="283"/>
        <item x="249"/>
        <item x="168"/>
        <item x="45"/>
        <item x="170"/>
        <item x="46"/>
        <item x="18"/>
        <item x="278"/>
        <item x="57"/>
        <item x="10"/>
        <item x="225"/>
        <item x="220"/>
        <item x="180"/>
        <item x="255"/>
        <item x="156"/>
        <item x="56"/>
        <item x="108"/>
        <item x="7"/>
        <item x="268"/>
        <item x="48"/>
        <item x="6"/>
        <item x="297"/>
        <item x="172"/>
        <item x="92"/>
        <item x="227"/>
        <item x="4"/>
        <item x="49"/>
        <item x="110"/>
        <item x="295"/>
        <item x="50"/>
        <item x="32"/>
        <item x="88"/>
        <item x="70"/>
        <item x="262"/>
        <item x="197"/>
        <item x="29"/>
        <item x="63"/>
        <item x="200"/>
        <item x="294"/>
        <item x="98"/>
        <item x="2"/>
      </items>
    </pivotField>
    <pivotField name="Vendedor" axis="axisRow" compact="0" outline="0" multipleItemSelectionAllowed="1" showAll="0" sortType="ascending">
      <items>
        <item x="17"/>
        <item x="9"/>
        <item x="1"/>
        <item x="7"/>
        <item x="15"/>
        <item x="6"/>
        <item x="14"/>
        <item x="2"/>
        <item x="5"/>
        <item x="3"/>
        <item x="12"/>
        <item x="10"/>
        <item x="11"/>
        <item x="13"/>
        <item x="8"/>
        <item x="4"/>
        <item x="16"/>
        <item x="0"/>
        <item t="default"/>
      </items>
    </pivotField>
    <pivotField name="Total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t="default"/>
      </items>
    </pivotField>
    <pivotField name="Terminos de pag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scuento x Diferencial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cto Pronto Pago %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Numero de Ord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t="default"/>
      </items>
    </pivotField>
    <pivotField name="Fech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Dias de credit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encimient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Total C/Dcto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Dias Vencido" axis="axisRow" compact="0" outline="0" multipleItemSelectionAllowed="1" showAll="0" sortType="ascending">
      <items>
        <item x="0"/>
        <item x="74"/>
        <item x="70"/>
        <item x="69"/>
        <item x="50"/>
        <item x="75"/>
        <item x="71"/>
        <item x="44"/>
        <item x="68"/>
        <item x="66"/>
        <item x="73"/>
        <item x="72"/>
        <item x="52"/>
        <item x="65"/>
        <item x="67"/>
        <item x="64"/>
        <item x="60"/>
        <item x="63"/>
        <item x="54"/>
        <item x="62"/>
        <item x="58"/>
        <item x="61"/>
        <item x="59"/>
        <item x="48"/>
        <item x="46"/>
        <item x="57"/>
        <item x="56"/>
        <item x="55"/>
        <item x="38"/>
        <item x="53"/>
        <item x="29"/>
        <item x="51"/>
        <item x="35"/>
        <item x="49"/>
        <item x="47"/>
        <item x="40"/>
        <item x="45"/>
        <item x="43"/>
        <item x="19"/>
        <item x="16"/>
        <item x="42"/>
        <item x="41"/>
        <item x="39"/>
        <item x="34"/>
        <item x="32"/>
        <item x="31"/>
        <item x="37"/>
        <item x="36"/>
        <item x="6"/>
        <item x="27"/>
        <item x="33"/>
        <item x="26"/>
        <item x="25"/>
        <item x="13"/>
        <item x="12"/>
        <item x="11"/>
        <item x="30"/>
        <item x="23"/>
        <item x="28"/>
        <item x="21"/>
        <item x="20"/>
        <item x="18"/>
        <item x="17"/>
        <item x="24"/>
        <item x="15"/>
        <item x="14"/>
        <item x="22"/>
        <item x="5"/>
        <item x="7"/>
        <item x="4"/>
        <item x="3"/>
        <item x="2"/>
        <item x="10"/>
        <item x="9"/>
        <item x="1"/>
        <item x="8"/>
        <item t="default"/>
      </items>
    </pivotField>
    <pivotField name="Estado Vencimiento" axis="axisPage" compact="0" outline="0" multipleItemSelectionAllowed="1" showAll="0">
      <items>
        <item h="1" x="0"/>
        <item x="1"/>
        <item h="1" x="2"/>
        <item t="default"/>
      </items>
    </pivotField>
    <pivotField name="Monto Pagado USD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t="default"/>
      </items>
    </pivotField>
    <pivotField name="Moneda de 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do Orden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t="default"/>
      </items>
    </pivotField>
    <pivotField name="Ultimo Pa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Status de Pago" axis="axisPage" compact="0" outline="0" multipleItemSelectionAllowed="1" showAll="0">
      <items>
        <item h="1" x="0"/>
        <item x="1"/>
        <item x="2"/>
        <item t="default"/>
      </items>
    </pivotField>
    <pivotField name="Prioridad de Cobro" compact="0" outline="0" multipleItemSelectionAllowed="1" showAll="0">
      <items>
        <item x="0"/>
        <item x="1"/>
        <item x="2"/>
        <item t="default"/>
      </items>
    </pivotField>
    <pivotField name="Dias desde el ultimo Pa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Validacion Descuento Diferencial" compact="0" outline="0" multipleItemSelectionAllowed="1" showAll="0">
      <items>
        <item x="0"/>
        <item x="1"/>
        <item t="default"/>
      </items>
    </pivotField>
    <pivotField name="Validacion Descuento Pronto Pago" compact="0" outline="0" multipleItemSelectionAllowed="1" showAll="0">
      <items>
        <item x="0"/>
        <item x="1"/>
        <item x="2"/>
        <item t="default"/>
      </items>
    </pivotField>
    <pivotField name="Cobr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t="default"/>
      </items>
    </pivotField>
    <pivotField name="Validación por Diferencia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lumna 27" compact="0" outline="0" multipleItemSelectionAllowed="1" showAll="0">
      <items>
        <item x="0"/>
        <item t="default"/>
      </items>
    </pivotField>
    <pivotField name="Columna 28" compact="0" outline="0" multipleItemSelectionAllowed="1" showAll="0">
      <items>
        <item x="0"/>
        <item t="default"/>
      </items>
    </pivotField>
    <pivotField name="Columna 29" compact="0" outline="0" multipleItemSelectionAllowed="1" showAll="0">
      <items>
        <item x="0"/>
        <item t="default"/>
      </items>
    </pivotField>
    <pivotField name="Columna 30" compact="0" outline="0" multipleItemSelectionAllowed="1" showAll="0">
      <items>
        <item x="0"/>
        <item t="default"/>
      </items>
    </pivotField>
    <pivotField name="Columna 31" compact="0" outline="0" multipleItemSelectionAllowed="1" showAll="0">
      <items>
        <item x="0"/>
        <item t="default"/>
      </items>
    </pivotField>
    <pivotField name="Columna 32" compact="0" outline="0" multipleItemSelectionAllowed="1" showAll="0">
      <items>
        <item x="0"/>
        <item t="default"/>
      </items>
    </pivotField>
  </pivotFields>
  <rowFields>
    <field x="3"/>
    <field x="2"/>
    <field x="0"/>
    <field x="13"/>
  </rowFields>
  <pageFields>
    <pageField fld="14"/>
    <pageField fld="19"/>
  </pageFields>
  <dataFields>
    <dataField name="SUM of Saldo Orden" fld="17" baseField="0"/>
  </dataFields>
</pivotTableDefinition>
</file>

<file path=xl/pivotTables/pivotTable6.xml><?xml version="1.0" encoding="utf-8"?>
<pivotTableDefinition xmlns="http://schemas.openxmlformats.org/spreadsheetml/2006/main" name="Resumen Ventas x Mes" cacheId="3" dataCaption="" compact="0" compactData="0">
  <location ref="A1:C8" firstHeaderRow="0" firstDataRow="2" firstDataCol="0"/>
  <pivotFields>
    <pivotField name="Referencia de la ord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t="default"/>
      </items>
    </pivotField>
    <pivotField name="Fecha de la orden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Vend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otal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t="default"/>
      </items>
    </pivotField>
    <pivotField name="Terminos de pag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scuento x Diferencial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cto Pronto Pago %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Numero de Ord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t="default"/>
      </items>
    </pivotField>
    <pivotField name="Fech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Dias de credit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encimient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Total C/Dcto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Dias Venc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Estado Vencimiento" compact="0" outline="0" multipleItemSelectionAllowed="1" showAll="0">
      <items>
        <item x="0"/>
        <item x="1"/>
        <item x="2"/>
        <item t="default"/>
      </items>
    </pivotField>
    <pivotField name="Monto Pagado USD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t="default"/>
      </items>
    </pivotField>
    <pivotField name="Moneda de 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do Orden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t="default"/>
      </items>
    </pivotField>
    <pivotField name="Ultimo Pa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Status de Pago" compact="0" outline="0" multipleItemSelectionAllowed="1" showAll="0">
      <items>
        <item x="0"/>
        <item x="1"/>
        <item x="2"/>
        <item t="default"/>
      </items>
    </pivotField>
    <pivotField name="Prioridad de Cobro" compact="0" outline="0" multipleItemSelectionAllowed="1" showAll="0">
      <items>
        <item x="0"/>
        <item x="1"/>
        <item x="2"/>
        <item t="default"/>
      </items>
    </pivotField>
    <pivotField name="Dias desde el ultimo Pa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Validacion Descuento Diferencial" compact="0" outline="0" multipleItemSelectionAllowed="1" showAll="0">
      <items>
        <item x="0"/>
        <item x="1"/>
        <item t="default"/>
      </items>
    </pivotField>
    <pivotField name="Validacion Descuento Pronto Pago" compact="0" outline="0" multipleItemSelectionAllowed="1" showAll="0">
      <items>
        <item x="0"/>
        <item x="1"/>
        <item x="2"/>
        <item t="default"/>
      </items>
    </pivotField>
    <pivotField name="Cobr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t="default"/>
      </items>
    </pivotField>
    <pivotField name="Validación por Diferencia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lumna 27" compact="0" outline="0" multipleItemSelectionAllowed="1" showAll="0">
      <items>
        <item x="0"/>
        <item t="default"/>
      </items>
    </pivotField>
    <pivotField name="Columna 28" compact="0" outline="0" multipleItemSelectionAllowed="1" showAll="0">
      <items>
        <item x="0"/>
        <item t="default"/>
      </items>
    </pivotField>
    <pivotField name="Columna 29" compact="0" outline="0" multipleItemSelectionAllowed="1" showAll="0">
      <items>
        <item x="0"/>
        <item t="default"/>
      </items>
    </pivotField>
    <pivotField name="Columna 30" compact="0" outline="0" multipleItemSelectionAllowed="1" showAll="0">
      <items>
        <item x="0"/>
        <item t="default"/>
      </items>
    </pivotField>
    <pivotField name="Columna 31" compact="0" outline="0" multipleItemSelectionAllowed="1" showAll="0">
      <items>
        <item x="0"/>
        <item t="default"/>
      </items>
    </pivotField>
    <pivotField name="Columna 32" compact="0" outline="0" multipleItemSelectionAllowed="1" showAll="0">
      <items>
        <item x="0"/>
        <item t="default"/>
      </items>
    </pivotField>
  </pivotFields>
  <rowFields>
    <field x="1"/>
  </rowFields>
  <colFields>
    <field x="-2"/>
  </colFields>
  <dataFields>
    <dataField name="SUM of Total" fld="4" baseField="0"/>
    <dataField name="SUM of Total C/Dcto" fld="12" baseField="0"/>
  </dataFields>
</pivotTableDefinition>
</file>

<file path=xl/tables/table1.xml><?xml version="1.0" encoding="utf-8"?>
<table xmlns="http://schemas.openxmlformats.org/spreadsheetml/2006/main" ref="A1:AF595" displayName="Tabla_1" name="Tabla_1" id="1">
  <autoFilter ref="$A$1:$AF$595"/>
  <tableColumns count="32">
    <tableColumn name="Referencia de la orden" id="1"/>
    <tableColumn name="Fecha de la orden" id="2"/>
    <tableColumn name="Cliente" id="3"/>
    <tableColumn name="Vendedor" id="4"/>
    <tableColumn name="Total" id="5"/>
    <tableColumn name="Terminos de pago" id="6"/>
    <tableColumn name="Descuento x Diferencial %" id="7"/>
    <tableColumn name="Dcto Pronto Pago %" id="8"/>
    <tableColumn name="Numero de Orden" id="9"/>
    <tableColumn name="Fecha" id="10"/>
    <tableColumn name="Dias de credito" id="11"/>
    <tableColumn name="Vencimiento" id="12"/>
    <tableColumn name="Total C/Dcto" id="13"/>
    <tableColumn name="Dias Vencido" id="14"/>
    <tableColumn name="Estado Vencimiento" id="15"/>
    <tableColumn name="Monto Pagado USD" id="16"/>
    <tableColumn name="Moneda de pago" id="17"/>
    <tableColumn name="Saldo Orden" id="18"/>
    <tableColumn name="Ultimo Pago" id="19"/>
    <tableColumn name="Status de Pago" id="20"/>
    <tableColumn name="Prioridad de Cobro" id="21"/>
    <tableColumn name="Dias desde el ultimo Pago" id="22"/>
    <tableColumn name="Validacion Descuento Diferencial" id="23"/>
    <tableColumn name="Validacion Descuento Pronto Pago" id="24"/>
    <tableColumn name="Cobrado" id="25"/>
    <tableColumn name="Validación por Diferencial" id="26"/>
    <tableColumn name="Columna 27" id="27"/>
    <tableColumn name="Columna 28" id="28"/>
    <tableColumn name="Columna 29" id="29"/>
    <tableColumn name="Columna 30" id="30"/>
    <tableColumn name="Columna 31" id="31"/>
    <tableColumn name="Columna 32" id="32"/>
  </tableColumns>
  <tableStyleInfo name="Vent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58.14"/>
    <col customWidth="1" min="4" max="4" width="22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</sheetData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2" max="2" width="58.14"/>
    <col customWidth="1" min="4" max="4" width="13.57"/>
    <col customWidth="1" min="5" max="5" width="14.14"/>
    <col customWidth="1" min="6" max="6" width="18.57"/>
  </cols>
  <sheetData>
    <row r="1"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/>
    <row r="3"/>
    <row r="61">
      <c r="B61" s="5"/>
      <c r="C61" s="6"/>
      <c r="D61" s="7"/>
      <c r="E61" s="8"/>
    </row>
    <row r="173">
      <c r="B173" s="9"/>
      <c r="C173" s="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7.29"/>
    <col customWidth="1" min="2" max="2" width="23.0"/>
    <col customWidth="1" min="3" max="3" width="21.14"/>
    <col customWidth="1" min="4" max="4" width="19.57"/>
  </cols>
  <sheetData>
    <row r="1"/>
    <row r="2"/>
    <row r="3"/>
    <row r="4"/>
    <row r="5"/>
    <row r="6"/>
    <row r="7"/>
    <row r="8"/>
    <row r="9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27.29"/>
    <col customWidth="1" min="2" max="2" width="23.0"/>
    <col customWidth="1" min="3" max="3" width="21.14"/>
    <col customWidth="1" min="4" max="4" width="19.57"/>
  </cols>
  <sheetData>
    <row r="1"/>
    <row r="2">
      <c r="D2" s="4"/>
    </row>
    <row r="3">
      <c r="D3" s="4"/>
    </row>
    <row r="4">
      <c r="D4" s="4"/>
    </row>
    <row r="5">
      <c r="C5" s="4"/>
      <c r="D5" s="4"/>
    </row>
    <row r="6">
      <c r="C6" s="4"/>
      <c r="D6" s="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1.71"/>
    <col customWidth="1" min="2" max="2" width="58.14"/>
    <col customWidth="1" min="4" max="4" width="22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4.14"/>
    <col customWidth="1" min="3" max="3" width="20.29"/>
  </cols>
  <sheetData>
    <row r="1"/>
    <row r="2"/>
    <row r="3"/>
    <row r="4"/>
    <row r="5"/>
    <row r="6"/>
    <row r="7"/>
    <row r="8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57"/>
    <col customWidth="1" min="2" max="2" width="19.43"/>
    <col customWidth="1" min="3" max="4" width="25.86"/>
    <col customWidth="1" min="6" max="6" width="16.14"/>
    <col customWidth="1" min="7" max="7" width="19.86"/>
    <col customWidth="1" min="8" max="8" width="17.43"/>
    <col customWidth="1" min="9" max="9" width="15.14"/>
    <col customWidth="1" min="10" max="10" width="19.0"/>
    <col customWidth="1" min="11" max="11" width="14.86"/>
    <col customWidth="1" min="12" max="12" width="20.86"/>
    <col customWidth="1" min="13" max="13" width="20.71"/>
    <col customWidth="1" min="15" max="15" width="15.86"/>
    <col customWidth="1" min="16" max="16" width="16.71"/>
    <col customWidth="1" min="19" max="19" width="21.57"/>
    <col customWidth="1" min="21" max="21" width="16.43"/>
    <col customWidth="1" min="22" max="22" width="19.43"/>
    <col customWidth="1" min="23" max="23" width="30.14"/>
    <col customWidth="1" min="24" max="24" width="18.86"/>
    <col customWidth="1" min="26" max="26" width="18.57"/>
  </cols>
  <sheetData>
    <row r="1" ht="22.5" customHeight="1">
      <c r="A1" s="15" t="s">
        <v>2</v>
      </c>
      <c r="B1" s="15" t="s">
        <v>564</v>
      </c>
      <c r="C1" s="15" t="s">
        <v>1</v>
      </c>
      <c r="D1" s="15" t="s">
        <v>527</v>
      </c>
      <c r="E1" s="15" t="s">
        <v>565</v>
      </c>
      <c r="F1" s="16" t="s">
        <v>566</v>
      </c>
      <c r="G1" s="17" t="s">
        <v>567</v>
      </c>
      <c r="H1" s="18" t="s">
        <v>568</v>
      </c>
      <c r="I1" s="18" t="s">
        <v>569</v>
      </c>
      <c r="J1" s="18" t="s">
        <v>570</v>
      </c>
      <c r="K1" s="18" t="s">
        <v>571</v>
      </c>
      <c r="L1" s="15" t="s">
        <v>572</v>
      </c>
      <c r="M1" s="16" t="s">
        <v>573</v>
      </c>
      <c r="N1" s="15" t="s">
        <v>528</v>
      </c>
      <c r="O1" s="15" t="s">
        <v>0</v>
      </c>
      <c r="P1" s="15" t="s">
        <v>574</v>
      </c>
      <c r="Q1" s="16" t="s">
        <v>575</v>
      </c>
      <c r="R1" s="15" t="s">
        <v>576</v>
      </c>
      <c r="S1" s="19" t="s">
        <v>577</v>
      </c>
      <c r="T1" s="19" t="s">
        <v>578</v>
      </c>
      <c r="U1" s="19" t="s">
        <v>579</v>
      </c>
      <c r="V1" s="20" t="s">
        <v>580</v>
      </c>
      <c r="W1" s="20" t="s">
        <v>581</v>
      </c>
      <c r="X1" s="20" t="s">
        <v>582</v>
      </c>
      <c r="Y1" s="21" t="s">
        <v>583</v>
      </c>
      <c r="Z1" s="22" t="s">
        <v>584</v>
      </c>
      <c r="AA1" s="22" t="s">
        <v>585</v>
      </c>
      <c r="AB1" s="22" t="s">
        <v>586</v>
      </c>
      <c r="AC1" s="22" t="s">
        <v>587</v>
      </c>
      <c r="AD1" s="22" t="s">
        <v>588</v>
      </c>
      <c r="AE1" s="22" t="s">
        <v>589</v>
      </c>
      <c r="AF1" s="22" t="s">
        <v>590</v>
      </c>
    </row>
    <row r="2" ht="22.5" customHeight="1">
      <c r="A2" s="23" t="s">
        <v>591</v>
      </c>
      <c r="B2" s="24">
        <v>46090.240335648145</v>
      </c>
      <c r="C2" s="23" t="s">
        <v>592</v>
      </c>
      <c r="D2" s="23" t="s">
        <v>556</v>
      </c>
      <c r="E2" s="25">
        <v>232.98</v>
      </c>
      <c r="F2" s="23" t="s">
        <v>593</v>
      </c>
      <c r="G2" s="26">
        <f>IF($E2=0,0,IF(SUMIF(Aux_Datos!$B:$B,$I2,Aux_Datos!$K:$K)/$E2&gt;=VLOOKUP(IF(COUNTIFS(Aux_Datos!$B:$B,$I2,Aux_Datos!$D:$D,"&lt;&gt;USD")=0,"USD","VES"),'Limites de Descuento'!$A$2:$D$4,4,FALSE),MAX(0,1-SUMIF(Aux_Datos!$B:$B,$I2,Aux_Datos!$K:$K)/$E2),0))</f>
        <v>0.2488625633</v>
      </c>
      <c r="H2" s="27"/>
      <c r="I2" s="28">
        <f t="shared" ref="I2:I140" si="1">VALUE(MID(A2,2,LEN(A2)))</f>
        <v>4</v>
      </c>
      <c r="J2" s="29">
        <f t="shared" ref="J2:J595" si="2">INT(B2)</f>
        <v>46090</v>
      </c>
      <c r="K2" s="30">
        <f t="shared" ref="K2:K595" si="3">IF(F2="Pago inmediato", 0, IF(F2="", "", IFERROR(VALUE(MID(F2, 1, SEARCH(" ", F2)-1)), "")))</f>
        <v>0</v>
      </c>
      <c r="L2" s="31">
        <f t="shared" ref="L2:L595" si="4">J2+K2+1</f>
        <v>46091</v>
      </c>
      <c r="M2" s="30">
        <f t="shared" ref="M2:M595" si="5">E2-(E2*G2)-(E2*H2)</f>
        <v>175</v>
      </c>
      <c r="N2" s="32">
        <f t="shared" ref="N2:N595" si="6">IF(T2="PAGADA", 0, IF(L2 &lt; TODAY(), TODAY() - L2, 0))</f>
        <v>0</v>
      </c>
      <c r="O2" s="33" t="str">
        <f t="shared" ref="O2:O595" si="7">IF(T2="PAGADA", "PAGADA", IF(L2 &lt; TODAY(), "VENCIDA", "EN TIEMPO"))</f>
        <v>PAGADA</v>
      </c>
      <c r="P2" s="34">
        <f>LET(
  idVenta, I2&amp;"",
  montoTotal, M2,
  pagos, IFERROR(SUMIF(Aux_Datos!$B:$B, idVenta, Aux_Datos!$K:$K), 0),
  retenciones, IFERROR(SUMIF(Aux_Datos!$N:$N, idVenta, Aux_Datos!$R:$R), 0),
  pagos + retenciones
)</f>
        <v>175</v>
      </c>
      <c r="Q2" s="30" t="str">
        <f>IF(P2=0, "Sin Pago", 
  LET(
    idVenta, I2&amp;"",
    montoTotalPagado, P2,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" s="30">
        <f t="shared" ref="R2:R9" si="8">M2-P2</f>
        <v>0</v>
      </c>
      <c r="S2" s="29">
        <f>IF(P2=0, "Sin Pago", 
  IFERROR(
    MAXIFS(Aux_Datos!$A:$A, Aux_Datos!$B:$B, I2&amp;""), 
    IFERROR(MAXIFS(Aux_Datos!$A:$A, Aux_Datos!$B:$B, VALUE(I2)), "Revisar ID")
  )
)</f>
        <v>46100</v>
      </c>
      <c r="T2" s="35" t="str">
        <f t="shared" ref="T2:T425" si="9">IF(R2&lt;=0, "PAGADA", IF(P2&gt;0, "PAGO PARCIAL", "PENDIENTE"))</f>
        <v>PAGADA</v>
      </c>
      <c r="U2" s="35" t="str">
        <f t="shared" ref="U2:U595" si="10">IF(AND(T2&lt;&gt;"PAGADA", L2&lt;TODAY()), "CRÍTICO: VENCIDA", IF(T2="PAGADA", "SOLVENTE", "EN TIEMPO"))</f>
        <v>SOLVENTE</v>
      </c>
      <c r="V2" s="32">
        <f t="shared" ref="V2:V595" si="11">IF(T2="PAGADA", 0, IF(S2 &lt; TODAY(), TODAY() - S2, 0))</f>
        <v>0</v>
      </c>
      <c r="W2" s="36" t="str">
        <f>IF(P2=0, "Sin Pago", 
  LET(
    monedaPago, Q2, 
    descuentoAplicado, G2,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" s="36" t="str">
        <f t="shared" ref="X2:X595" si="12">IF(OR(H2=0, S2="Sin Pago"), "", IF(AND(H2 &gt; 0, S2 &gt; (L2 + 2)), "⚠️ REVISAR DESCUENTO", "OK"))</f>
        <v/>
      </c>
      <c r="Y2" s="36">
        <f t="array" ref="Y2:Y595">IF(ISBLANK(I2:I595), , SUMIF(Aux_Datos!B:B, I2:I595, Aux_Datos!K:K))</f>
        <v>175</v>
      </c>
      <c r="Z2" s="33" t="str">
        <f t="array" ref="Z2:Z595">IF(E2:E595="","",IF(E2:E595=0,"SIN TOTAL",IFNA(IF(P2:P595/E2:E595&gt;=VLOOKUP(Q2:Q595,'Limites de Descuento'!$A$2:$D$4,4,FALSE),"CUMPLE","NO CUMPLE"),"SIN MONEDA VÁLIDA")))</f>
        <v>CUMPLE</v>
      </c>
      <c r="AA2" s="33"/>
      <c r="AB2" s="33"/>
      <c r="AC2" s="33"/>
      <c r="AD2" s="33"/>
      <c r="AE2" s="33"/>
      <c r="AF2" s="33"/>
    </row>
    <row r="3" ht="22.5" customHeight="1">
      <c r="A3" s="23" t="s">
        <v>594</v>
      </c>
      <c r="B3" s="24">
        <v>46079.460810185185</v>
      </c>
      <c r="C3" s="23" t="s">
        <v>5</v>
      </c>
      <c r="D3" s="23" t="s">
        <v>595</v>
      </c>
      <c r="E3" s="25">
        <v>246.0</v>
      </c>
      <c r="F3" s="23" t="s">
        <v>593</v>
      </c>
      <c r="G3" s="26">
        <f>IF($E3=0,0,IF(SUMIF(Aux_Datos!$B:$B,$I3,Aux_Datos!$K:$K)/$E3&gt;=VLOOKUP(IF(COUNTIFS(Aux_Datos!$B:$B,$I3,Aux_Datos!$D:$D,"&lt;&gt;USD")=0,"USD","VES"),'Limites de Descuento'!$A$2:$D$4,4,FALSE),MAX(0,1-SUMIF(Aux_Datos!$B:$B,$I3,Aux_Datos!$K:$K)/$E3),0))</f>
        <v>0</v>
      </c>
      <c r="H3" s="27"/>
      <c r="I3" s="28">
        <f t="shared" si="1"/>
        <v>7</v>
      </c>
      <c r="J3" s="29">
        <f t="shared" si="2"/>
        <v>46079</v>
      </c>
      <c r="K3" s="30">
        <f t="shared" si="3"/>
        <v>0</v>
      </c>
      <c r="L3" s="31">
        <f t="shared" si="4"/>
        <v>46080</v>
      </c>
      <c r="M3" s="30">
        <f t="shared" si="5"/>
        <v>246</v>
      </c>
      <c r="N3" s="32">
        <f t="shared" si="6"/>
        <v>0</v>
      </c>
      <c r="O3" s="33" t="str">
        <f t="shared" si="7"/>
        <v>PAGADA</v>
      </c>
      <c r="P3" s="34">
        <f>LET(
  idVenta, I3&amp;"",
  montoTotal, M3,
  pagos, IFERROR(SUMIF(Aux_Datos!$B:$B, idVenta, Aux_Datos!$K:$K), 0),
  retenciones, IFERROR(SUMIF(Aux_Datos!$N:$N, idVenta, Aux_Datos!$R:$R), 0),
  pagos + retenciones
)</f>
        <v>246</v>
      </c>
      <c r="Q3" s="30" t="str">
        <f>IF(P3=0, "Sin Pago", 
  LET(
    idVenta, I3&amp;"",
    montoTotalPagado, P3,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" s="30">
        <f t="shared" si="8"/>
        <v>0</v>
      </c>
      <c r="S3" s="29">
        <f>IF(P3=0, "Sin Pago", 
  IFERROR(
    MAXIFS(Aux_Datos!$A:$A, Aux_Datos!$B:$B, I3&amp;""), 
    IFERROR(MAXIFS(Aux_Datos!$A:$A, Aux_Datos!$B:$B, VALUE(I3)), "Revisar ID")
  )
)</f>
        <v>46084</v>
      </c>
      <c r="T3" s="35" t="str">
        <f t="shared" si="9"/>
        <v>PAGADA</v>
      </c>
      <c r="U3" s="35" t="str">
        <f t="shared" si="10"/>
        <v>SOLVENTE</v>
      </c>
      <c r="V3" s="32">
        <f t="shared" si="11"/>
        <v>0</v>
      </c>
      <c r="W3" s="36" t="str">
        <f>IF(P3=0, "Sin Pago", 
  LET(
    monedaPago, Q3, 
    descuentoAplicado, G3,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" s="36" t="str">
        <f t="shared" si="12"/>
        <v/>
      </c>
      <c r="Y3" s="36">
        <v>246.0</v>
      </c>
      <c r="Z3" s="33" t="s">
        <v>596</v>
      </c>
      <c r="AA3" s="33"/>
      <c r="AB3" s="33"/>
      <c r="AC3" s="33"/>
      <c r="AD3" s="33"/>
      <c r="AE3" s="33"/>
      <c r="AF3" s="33"/>
    </row>
    <row r="4" ht="22.5" customHeight="1">
      <c r="A4" s="23" t="s">
        <v>597</v>
      </c>
      <c r="B4" s="24">
        <v>46079.5028125</v>
      </c>
      <c r="C4" s="23" t="s">
        <v>598</v>
      </c>
      <c r="D4" s="23" t="s">
        <v>595</v>
      </c>
      <c r="E4" s="25">
        <v>35.33</v>
      </c>
      <c r="F4" s="23" t="s">
        <v>593</v>
      </c>
      <c r="G4" s="26">
        <f>IF($E4=0,0,IF(SUMIF(Aux_Datos!$B:$B,$I4,Aux_Datos!$K:$K)/$E4&gt;=VLOOKUP(IF(COUNTIFS(Aux_Datos!$B:$B,$I4,Aux_Datos!$D:$D,"&lt;&gt;USD")=0,"USD","VES"),'Limites de Descuento'!$A$2:$D$4,4,FALSE),MAX(0,1-SUMIF(Aux_Datos!$B:$B,$I4,Aux_Datos!$K:$K)/$E4),0))</f>
        <v>0</v>
      </c>
      <c r="H4" s="27"/>
      <c r="I4" s="28">
        <f t="shared" si="1"/>
        <v>8</v>
      </c>
      <c r="J4" s="29">
        <f t="shared" si="2"/>
        <v>46079</v>
      </c>
      <c r="K4" s="30">
        <f t="shared" si="3"/>
        <v>0</v>
      </c>
      <c r="L4" s="31">
        <f t="shared" si="4"/>
        <v>46080</v>
      </c>
      <c r="M4" s="30">
        <f t="shared" si="5"/>
        <v>35.33</v>
      </c>
      <c r="N4" s="32">
        <f t="shared" si="6"/>
        <v>0</v>
      </c>
      <c r="O4" s="33" t="str">
        <f t="shared" si="7"/>
        <v>PAGADA</v>
      </c>
      <c r="P4" s="34">
        <f>LET(
  idVenta, I4&amp;"",
  montoTotal, M4,
  pagos, IFERROR(SUMIF(Aux_Datos!$B:$B, idVenta, Aux_Datos!$K:$K), 0),
  retenciones, IFERROR(SUMIF(Aux_Datos!$N:$N, idVenta, Aux_Datos!$R:$R), 0),
  pagos + retenciones
)</f>
        <v>85.33</v>
      </c>
      <c r="Q4" s="30" t="str">
        <f>IF(P4=0, "Sin Pago", 
  LET(
    idVenta, I4&amp;"",
    montoTotalPagado, P4,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4" s="30">
        <f t="shared" si="8"/>
        <v>-50</v>
      </c>
      <c r="S4" s="29">
        <f>IF(P4=0, "Sin Pago", 
  IFERROR(
    MAXIFS(Aux_Datos!$A:$A, Aux_Datos!$B:$B, I4&amp;""), 
    IFERROR(MAXIFS(Aux_Datos!$A:$A, Aux_Datos!$B:$B, VALUE(I4)), "Revisar ID")
  )
)</f>
        <v>46174</v>
      </c>
      <c r="T4" s="35" t="str">
        <f t="shared" si="9"/>
        <v>PAGADA</v>
      </c>
      <c r="U4" s="35" t="str">
        <f t="shared" si="10"/>
        <v>SOLVENTE</v>
      </c>
      <c r="V4" s="32">
        <f t="shared" si="11"/>
        <v>0</v>
      </c>
      <c r="W4" s="36" t="str">
        <f>IF(P4=0, "Sin Pago", 
  LET(
    monedaPago, Q4, 
    descuentoAplicado, G4,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4" s="36" t="str">
        <f t="shared" si="12"/>
        <v/>
      </c>
      <c r="Y4" s="36">
        <v>85.33</v>
      </c>
      <c r="Z4" s="33" t="s">
        <v>596</v>
      </c>
      <c r="AA4" s="33"/>
      <c r="AB4" s="33"/>
      <c r="AC4" s="33"/>
      <c r="AD4" s="33"/>
      <c r="AE4" s="33"/>
      <c r="AF4" s="33"/>
    </row>
    <row r="5" ht="22.5" customHeight="1">
      <c r="A5" s="23" t="s">
        <v>599</v>
      </c>
      <c r="B5" s="24">
        <v>46079.508518518516</v>
      </c>
      <c r="C5" s="23" t="s">
        <v>600</v>
      </c>
      <c r="D5" s="23" t="s">
        <v>595</v>
      </c>
      <c r="E5" s="25">
        <v>335.98</v>
      </c>
      <c r="F5" s="23" t="s">
        <v>593</v>
      </c>
      <c r="G5" s="26">
        <f>IF($E5=0,0,IF(SUMIF(Aux_Datos!$B:$B,$I5,Aux_Datos!$K:$K)/$E5&gt;=VLOOKUP(IF(COUNTIFS(Aux_Datos!$B:$B,$I5,Aux_Datos!$D:$D,"&lt;&gt;USD")=0,"USD","VES"),'Limites de Descuento'!$A$2:$D$4,4,FALSE),MAX(0,1-SUMIF(Aux_Datos!$B:$B,$I5,Aux_Datos!$K:$K)/$E5),0))</f>
        <v>0</v>
      </c>
      <c r="H5" s="27"/>
      <c r="I5" s="28">
        <f t="shared" si="1"/>
        <v>9</v>
      </c>
      <c r="J5" s="29">
        <f t="shared" si="2"/>
        <v>46079</v>
      </c>
      <c r="K5" s="30">
        <f t="shared" si="3"/>
        <v>0</v>
      </c>
      <c r="L5" s="31">
        <f t="shared" si="4"/>
        <v>46080</v>
      </c>
      <c r="M5" s="30">
        <f t="shared" si="5"/>
        <v>335.98</v>
      </c>
      <c r="N5" s="32">
        <f t="shared" si="6"/>
        <v>0</v>
      </c>
      <c r="O5" s="33" t="str">
        <f t="shared" si="7"/>
        <v>PAGADA</v>
      </c>
      <c r="P5" s="34">
        <f>LET(
  idVenta, I5&amp;"",
  montoTotal, M5,
  pagos, IFERROR(SUMIF(Aux_Datos!$B:$B, idVenta, Aux_Datos!$K:$K), 0),
  retenciones, IFERROR(SUMIF(Aux_Datos!$N:$N, idVenta, Aux_Datos!$R:$R), 0),
  pagos + retenciones
)</f>
        <v>396.4731791</v>
      </c>
      <c r="Q5" s="30" t="str">
        <f>IF(P5=0, "Sin Pago", 
  LET(
    idVenta, I5&amp;"",
    montoTotalPagado, P5,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5" s="30">
        <f t="shared" si="8"/>
        <v>-60.49317907</v>
      </c>
      <c r="S5" s="29">
        <f>IF(P5=0, "Sin Pago", 
  IFERROR(
    MAXIFS(Aux_Datos!$A:$A, Aux_Datos!$B:$B, I5&amp;""), 
    IFERROR(MAXIFS(Aux_Datos!$A:$A, Aux_Datos!$B:$B, VALUE(I5)), "Revisar ID")
  )
)</f>
        <v>46083</v>
      </c>
      <c r="T5" s="35" t="str">
        <f t="shared" si="9"/>
        <v>PAGADA</v>
      </c>
      <c r="U5" s="35" t="str">
        <f t="shared" si="10"/>
        <v>SOLVENTE</v>
      </c>
      <c r="V5" s="32">
        <f t="shared" si="11"/>
        <v>0</v>
      </c>
      <c r="W5" s="36" t="str">
        <f>IF(P5=0, "Sin Pago", 
  LET(
    monedaPago, Q5, 
    descuentoAplicado, G5,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5" s="36" t="str">
        <f t="shared" si="12"/>
        <v/>
      </c>
      <c r="Y5" s="36">
        <v>396.47317906993857</v>
      </c>
      <c r="Z5" s="33" t="s">
        <v>596</v>
      </c>
      <c r="AA5" s="33"/>
      <c r="AB5" s="33"/>
      <c r="AC5" s="33"/>
      <c r="AD5" s="33"/>
      <c r="AE5" s="33"/>
      <c r="AF5" s="33"/>
    </row>
    <row r="6" ht="22.5" customHeight="1">
      <c r="A6" s="23" t="s">
        <v>601</v>
      </c>
      <c r="B6" s="24">
        <v>46097.35438657407</v>
      </c>
      <c r="C6" s="23" t="s">
        <v>602</v>
      </c>
      <c r="D6" s="23" t="s">
        <v>208</v>
      </c>
      <c r="E6" s="25">
        <v>27781.08</v>
      </c>
      <c r="F6" s="23" t="s">
        <v>603</v>
      </c>
      <c r="G6" s="26">
        <f>IF($E6=0,0,IF(SUMIF(Aux_Datos!$B:$B,$I6,Aux_Datos!$K:$K)/$E6&gt;=VLOOKUP(IF(COUNTIFS(Aux_Datos!$B:$B,$I6,Aux_Datos!$D:$D,"&lt;&gt;USD")=0,"USD","VES"),'Limites de Descuento'!$A$2:$D$4,4,FALSE),MAX(0,1-SUMIF(Aux_Datos!$B:$B,$I6,Aux_Datos!$K:$K)/$E6),0))</f>
        <v>0</v>
      </c>
      <c r="H6" s="27"/>
      <c r="I6" s="28">
        <f t="shared" si="1"/>
        <v>10</v>
      </c>
      <c r="J6" s="29">
        <f t="shared" si="2"/>
        <v>46097</v>
      </c>
      <c r="K6" s="30">
        <f t="shared" si="3"/>
        <v>21</v>
      </c>
      <c r="L6" s="31">
        <f t="shared" si="4"/>
        <v>46119</v>
      </c>
      <c r="M6" s="30">
        <f t="shared" si="5"/>
        <v>27781.08</v>
      </c>
      <c r="N6" s="32">
        <f t="shared" si="6"/>
        <v>0</v>
      </c>
      <c r="O6" s="33" t="str">
        <f t="shared" si="7"/>
        <v>PAGADA</v>
      </c>
      <c r="P6" s="34">
        <f>LET(
  idVenta, I6&amp;"",
  montoTotal, M6,
  pagos, IFERROR(SUMIF(Aux_Datos!$B:$B, idVenta, Aux_Datos!$K:$K), 0),
  retenciones, IFERROR(SUMIF(Aux_Datos!$N:$N, idVenta, Aux_Datos!$R:$R), 0),
  pagos + retenciones
)</f>
        <v>27781.08</v>
      </c>
      <c r="Q6" s="30" t="str">
        <f>IF(P6=0, "Sin Pago", 
  LET(
    idVenta, I6&amp;"",
    montoTotalPagado, P6,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6" s="30">
        <f t="shared" si="8"/>
        <v>0</v>
      </c>
      <c r="S6" s="29">
        <f>IF(P6=0, "Sin Pago", 
  IFERROR(
    MAXIFS(Aux_Datos!$A:$A, Aux_Datos!$B:$B, I6&amp;""), 
    IFERROR(MAXIFS(Aux_Datos!$A:$A, Aux_Datos!$B:$B, VALUE(I6)), "Revisar ID")
  )
)</f>
        <v>46181</v>
      </c>
      <c r="T6" s="35" t="str">
        <f t="shared" si="9"/>
        <v>PAGADA</v>
      </c>
      <c r="U6" s="35" t="str">
        <f t="shared" si="10"/>
        <v>SOLVENTE</v>
      </c>
      <c r="V6" s="32">
        <f t="shared" si="11"/>
        <v>0</v>
      </c>
      <c r="W6" s="36" t="str">
        <f>IF(P6=0, "Sin Pago", 
  LET(
    monedaPago, Q6, 
    descuentoAplicado, G6,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6" s="36" t="str">
        <f t="shared" si="12"/>
        <v/>
      </c>
      <c r="Y6" s="36">
        <v>27781.08</v>
      </c>
      <c r="Z6" s="33" t="s">
        <v>596</v>
      </c>
      <c r="AA6" s="33"/>
      <c r="AB6" s="33"/>
      <c r="AC6" s="33"/>
      <c r="AD6" s="33"/>
      <c r="AE6" s="33"/>
      <c r="AF6" s="33"/>
    </row>
    <row r="7" ht="22.5" customHeight="1">
      <c r="A7" s="23" t="s">
        <v>604</v>
      </c>
      <c r="B7" s="24">
        <v>46094.72488425926</v>
      </c>
      <c r="C7" s="23" t="s">
        <v>605</v>
      </c>
      <c r="D7" s="23" t="s">
        <v>595</v>
      </c>
      <c r="E7" s="25">
        <v>63.77</v>
      </c>
      <c r="F7" s="23" t="s">
        <v>593</v>
      </c>
      <c r="G7" s="26">
        <f>IF($E7=0,0,IF(SUMIF(Aux_Datos!$B:$B,$I7,Aux_Datos!$K:$K)/$E7&gt;=VLOOKUP(IF(COUNTIFS(Aux_Datos!$B:$B,$I7,Aux_Datos!$D:$D,"&lt;&gt;USD")=0,"USD","VES"),'Limites de Descuento'!$A$2:$D$4,4,FALSE),MAX(0,1-SUMIF(Aux_Datos!$B:$B,$I7,Aux_Datos!$K:$K)/$E7),0))</f>
        <v>0</v>
      </c>
      <c r="H7" s="27"/>
      <c r="I7" s="28">
        <f t="shared" si="1"/>
        <v>11</v>
      </c>
      <c r="J7" s="29">
        <f t="shared" si="2"/>
        <v>46094</v>
      </c>
      <c r="K7" s="30">
        <f t="shared" si="3"/>
        <v>0</v>
      </c>
      <c r="L7" s="31">
        <f t="shared" si="4"/>
        <v>46095</v>
      </c>
      <c r="M7" s="30">
        <f t="shared" si="5"/>
        <v>63.77</v>
      </c>
      <c r="N7" s="32">
        <f t="shared" si="6"/>
        <v>0</v>
      </c>
      <c r="O7" s="33" t="str">
        <f t="shared" si="7"/>
        <v>PAGADA</v>
      </c>
      <c r="P7" s="34">
        <f>LET(
  idVenta, I7&amp;"",
  montoTotal, M7,
  pagos, IFERROR(SUMIF(Aux_Datos!$B:$B, idVenta, Aux_Datos!$K:$K), 0),
  retenciones, IFERROR(SUMIF(Aux_Datos!$N:$N, idVenta, Aux_Datos!$R:$R), 0),
  pagos + retenciones
)</f>
        <v>74.96008846</v>
      </c>
      <c r="Q7" s="30" t="str">
        <f>IF(P7=0, "Sin Pago", 
  LET(
    idVenta, I7&amp;"",
    montoTotalPagado, P7,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7" s="30">
        <f t="shared" si="8"/>
        <v>-11.19008846</v>
      </c>
      <c r="S7" s="29">
        <f>IF(P7=0, "Sin Pago", 
  IFERROR(
    MAXIFS(Aux_Datos!$A:$A, Aux_Datos!$B:$B, I7&amp;""), 
    IFERROR(MAXIFS(Aux_Datos!$A:$A, Aux_Datos!$B:$B, VALUE(I7)), "Revisar ID")
  )
)</f>
        <v>46171</v>
      </c>
      <c r="T7" s="35" t="str">
        <f t="shared" si="9"/>
        <v>PAGADA</v>
      </c>
      <c r="U7" s="35" t="str">
        <f t="shared" si="10"/>
        <v>SOLVENTE</v>
      </c>
      <c r="V7" s="32">
        <f t="shared" si="11"/>
        <v>0</v>
      </c>
      <c r="W7" s="36" t="str">
        <f>IF(P7=0, "Sin Pago", 
  LET(
    monedaPago, Q7, 
    descuentoAplicado, G7,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7" s="36" t="str">
        <f t="shared" si="12"/>
        <v/>
      </c>
      <c r="Y7" s="36">
        <v>74.96008846460224</v>
      </c>
      <c r="Z7" s="33" t="s">
        <v>596</v>
      </c>
      <c r="AA7" s="33"/>
      <c r="AB7" s="33"/>
      <c r="AC7" s="33"/>
      <c r="AD7" s="33"/>
      <c r="AE7" s="33"/>
      <c r="AF7" s="33"/>
    </row>
    <row r="8" ht="22.5" customHeight="1">
      <c r="A8" s="23" t="s">
        <v>606</v>
      </c>
      <c r="B8" s="24">
        <v>46090.24120370371</v>
      </c>
      <c r="C8" s="23" t="s">
        <v>607</v>
      </c>
      <c r="D8" s="23" t="s">
        <v>540</v>
      </c>
      <c r="E8" s="25">
        <v>82.24</v>
      </c>
      <c r="F8" s="23" t="s">
        <v>608</v>
      </c>
      <c r="G8" s="26">
        <f>IF($E8=0,0,IF(SUMIF(Aux_Datos!$B:$B,$I8,Aux_Datos!$K:$K)/$E8&gt;=VLOOKUP(IF(COUNTIFS(Aux_Datos!$B:$B,$I8,Aux_Datos!$D:$D,"&lt;&gt;USD")=0,"USD","VES"),'Limites de Descuento'!$A$2:$D$4,4,FALSE),MAX(0,1-SUMIF(Aux_Datos!$B:$B,$I8,Aux_Datos!$K:$K)/$E8),0))</f>
        <v>0</v>
      </c>
      <c r="H8" s="27"/>
      <c r="I8" s="28">
        <f t="shared" si="1"/>
        <v>14</v>
      </c>
      <c r="J8" s="29">
        <f t="shared" si="2"/>
        <v>46090</v>
      </c>
      <c r="K8" s="30">
        <f t="shared" si="3"/>
        <v>7</v>
      </c>
      <c r="L8" s="31">
        <f t="shared" si="4"/>
        <v>46098</v>
      </c>
      <c r="M8" s="30">
        <f t="shared" si="5"/>
        <v>82.24</v>
      </c>
      <c r="N8" s="32">
        <f t="shared" si="6"/>
        <v>0</v>
      </c>
      <c r="O8" s="33" t="str">
        <f t="shared" si="7"/>
        <v>PAGADA</v>
      </c>
      <c r="P8" s="34">
        <f>LET(
  idVenta, I8&amp;"",
  montoTotal, M8,
  pagos, IFERROR(SUMIF(Aux_Datos!$B:$B, idVenta, Aux_Datos!$K:$K), 0),
  retenciones, IFERROR(SUMIF(Aux_Datos!$N:$N, idVenta, Aux_Datos!$R:$R), 0),
  pagos + retenciones
)</f>
        <v>86.57827478</v>
      </c>
      <c r="Q8" s="30" t="str">
        <f>IF(P8=0, "Sin Pago", 
  LET(
    idVenta, I8&amp;"",
    montoTotalPagado, P8,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8" s="30">
        <f t="shared" si="8"/>
        <v>-4.338274783</v>
      </c>
      <c r="S8" s="29">
        <f>IF(P8=0, "Sin Pago", 
  IFERROR(
    MAXIFS(Aux_Datos!$A:$A, Aux_Datos!$B:$B, I8&amp;""), 
    IFERROR(MAXIFS(Aux_Datos!$A:$A, Aux_Datos!$B:$B, VALUE(I8)), "Revisar ID")
  )
)</f>
        <v>46156</v>
      </c>
      <c r="T8" s="35" t="str">
        <f t="shared" si="9"/>
        <v>PAGADA</v>
      </c>
      <c r="U8" s="35" t="str">
        <f t="shared" si="10"/>
        <v>SOLVENTE</v>
      </c>
      <c r="V8" s="32">
        <f t="shared" si="11"/>
        <v>0</v>
      </c>
      <c r="W8" s="36" t="str">
        <f>IF(P8=0, "Sin Pago", 
  LET(
    monedaPago, Q8, 
    descuentoAplicado, G8,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8" s="36" t="str">
        <f t="shared" si="12"/>
        <v/>
      </c>
      <c r="Y8" s="36">
        <v>86.57827478329567</v>
      </c>
      <c r="Z8" s="33" t="s">
        <v>596</v>
      </c>
      <c r="AA8" s="33"/>
      <c r="AB8" s="33"/>
      <c r="AC8" s="33"/>
      <c r="AD8" s="33"/>
      <c r="AE8" s="33"/>
      <c r="AF8" s="33"/>
    </row>
    <row r="9" ht="22.5" customHeight="1">
      <c r="A9" s="23" t="s">
        <v>68</v>
      </c>
      <c r="B9" s="24">
        <v>46090.24136574074</v>
      </c>
      <c r="C9" s="23" t="s">
        <v>67</v>
      </c>
      <c r="D9" s="23" t="s">
        <v>552</v>
      </c>
      <c r="E9" s="25">
        <v>954.79</v>
      </c>
      <c r="F9" s="23" t="s">
        <v>608</v>
      </c>
      <c r="G9" s="26">
        <f>IF($E9=0,0,IF(SUMIF(Aux_Datos!$B:$B,$I9,Aux_Datos!$K:$K)/$E9&gt;=VLOOKUP(IF(COUNTIFS(Aux_Datos!$B:$B,$I9,Aux_Datos!$D:$D,"&lt;&gt;USD")=0,"USD","VES"),'Limites de Descuento'!$A$2:$D$4,4,FALSE),MAX(0,1-SUMIF(Aux_Datos!$B:$B,$I9,Aux_Datos!$K:$K)/$E9),0))</f>
        <v>0</v>
      </c>
      <c r="H9" s="27"/>
      <c r="I9" s="28">
        <f t="shared" si="1"/>
        <v>15</v>
      </c>
      <c r="J9" s="29">
        <f t="shared" si="2"/>
        <v>46090</v>
      </c>
      <c r="K9" s="30">
        <f t="shared" si="3"/>
        <v>7</v>
      </c>
      <c r="L9" s="31">
        <f t="shared" si="4"/>
        <v>46098</v>
      </c>
      <c r="M9" s="30">
        <f t="shared" si="5"/>
        <v>954.79</v>
      </c>
      <c r="N9" s="32">
        <f t="shared" si="6"/>
        <v>102</v>
      </c>
      <c r="O9" s="33" t="str">
        <f t="shared" si="7"/>
        <v>VENCIDA</v>
      </c>
      <c r="P9" s="34">
        <f>LET(
  idVenta, I9&amp;"",
  montoTotal, M9,
  pagos, IFERROR(SUMIF(Aux_Datos!$B:$B, idVenta, Aux_Datos!$K:$K), 0),
  retenciones, IFERROR(SUMIF(Aux_Datos!$N:$N, idVenta, Aux_Datos!$R:$R), 0),
  pagos + retenciones
)</f>
        <v>713.0517045</v>
      </c>
      <c r="Q9" s="30" t="str">
        <f>IF(P9=0, "Sin Pago", 
  LET(
    idVenta, I9&amp;"",
    montoTotalPagado, P9,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9" s="30">
        <f t="shared" si="8"/>
        <v>241.7382955</v>
      </c>
      <c r="S9" s="29">
        <f>IF(P9=0, "Sin Pago", 
  IFERROR(
    MAXIFS(Aux_Datos!$A:$A, Aux_Datos!$B:$B, I9&amp;""), 
    IFERROR(MAXIFS(Aux_Datos!$A:$A, Aux_Datos!$B:$B, VALUE(I9)), "Revisar ID")
  )
)</f>
        <v>46129</v>
      </c>
      <c r="T9" s="35" t="str">
        <f t="shared" si="9"/>
        <v>PAGO PARCIAL</v>
      </c>
      <c r="U9" s="35" t="str">
        <f t="shared" si="10"/>
        <v>CRÍTICO: VENCIDA</v>
      </c>
      <c r="V9" s="32">
        <f t="shared" si="11"/>
        <v>71</v>
      </c>
      <c r="W9" s="36" t="str">
        <f>IF(P9=0, "Sin Pago", 
  LET(
    monedaPago, Q9, 
    descuentoAplicado, G9,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9" s="36" t="str">
        <f t="shared" si="12"/>
        <v/>
      </c>
      <c r="Y9" s="36">
        <v>713.0517045098114</v>
      </c>
      <c r="Z9" s="33" t="s">
        <v>609</v>
      </c>
      <c r="AA9" s="33"/>
      <c r="AB9" s="33"/>
      <c r="AC9" s="33"/>
      <c r="AD9" s="33"/>
      <c r="AE9" s="33"/>
      <c r="AF9" s="33"/>
    </row>
    <row r="10" ht="22.5" customHeight="1">
      <c r="A10" s="23" t="s">
        <v>610</v>
      </c>
      <c r="B10" s="24">
        <v>46090.24155092592</v>
      </c>
      <c r="C10" s="23" t="s">
        <v>423</v>
      </c>
      <c r="D10" s="23" t="s">
        <v>552</v>
      </c>
      <c r="E10" s="25">
        <v>104.36</v>
      </c>
      <c r="F10" s="23" t="s">
        <v>608</v>
      </c>
      <c r="G10" s="26">
        <f>IF($E10=0,0,IF(SUMIF(Aux_Datos!$B:$B,$I10,Aux_Datos!$K:$K)/$E10&gt;=VLOOKUP(IF(COUNTIFS(Aux_Datos!$B:$B,$I10,Aux_Datos!$D:$D,"&lt;&gt;USD")=0,"USD","VES"),'Limites de Descuento'!$A$2:$D$4,4,FALSE),MAX(0,1-SUMIF(Aux_Datos!$B:$B,$I10,Aux_Datos!$K:$K)/$E10),0))</f>
        <v>0</v>
      </c>
      <c r="H10" s="27"/>
      <c r="I10" s="28">
        <f t="shared" si="1"/>
        <v>17</v>
      </c>
      <c r="J10" s="29">
        <f t="shared" si="2"/>
        <v>46090</v>
      </c>
      <c r="K10" s="30">
        <f t="shared" si="3"/>
        <v>7</v>
      </c>
      <c r="L10" s="31">
        <f t="shared" si="4"/>
        <v>46098</v>
      </c>
      <c r="M10" s="30">
        <f t="shared" si="5"/>
        <v>104.36</v>
      </c>
      <c r="N10" s="32">
        <f t="shared" si="6"/>
        <v>0</v>
      </c>
      <c r="O10" s="33" t="str">
        <f t="shared" si="7"/>
        <v>PAGADA</v>
      </c>
      <c r="P10" s="37">
        <v>1847.0</v>
      </c>
      <c r="Q10" s="30" t="str">
        <f>IF(P10=0, "Sin Pago", 
  LET(
    idVenta, I10&amp;"",
    montoTotalPagado, P10,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10" s="38">
        <v>0.0</v>
      </c>
      <c r="S10" s="29">
        <f>IF(P10=0, "Sin Pago", 
  IFERROR(
    MAXIFS(Aux_Datos!$A:$A, Aux_Datos!$B:$B, I10&amp;""), 
    IFERROR(MAXIFS(Aux_Datos!$A:$A, Aux_Datos!$B:$B, VALUE(I10)), "Revisar ID")
  )
)</f>
        <v>46133</v>
      </c>
      <c r="T10" s="35" t="str">
        <f t="shared" si="9"/>
        <v>PAGADA</v>
      </c>
      <c r="U10" s="35" t="str">
        <f t="shared" si="10"/>
        <v>SOLVENTE</v>
      </c>
      <c r="V10" s="32">
        <f t="shared" si="11"/>
        <v>0</v>
      </c>
      <c r="W10" s="36" t="str">
        <f>IF(P10=0, "Sin Pago", 
  LET(
    monedaPago, Q10, 
    descuentoAplicado, G10,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0" s="36" t="str">
        <f t="shared" si="12"/>
        <v/>
      </c>
      <c r="Y10" s="36">
        <v>116.81780880130722</v>
      </c>
      <c r="Z10" s="33" t="s">
        <v>596</v>
      </c>
      <c r="AA10" s="33"/>
      <c r="AB10" s="33"/>
      <c r="AC10" s="33"/>
      <c r="AD10" s="33"/>
      <c r="AE10" s="33"/>
      <c r="AF10" s="33"/>
    </row>
    <row r="11" ht="22.5" customHeight="1">
      <c r="A11" s="23" t="s">
        <v>611</v>
      </c>
      <c r="B11" s="24">
        <v>46090.241643518515</v>
      </c>
      <c r="C11" s="23" t="s">
        <v>612</v>
      </c>
      <c r="D11" s="23" t="s">
        <v>556</v>
      </c>
      <c r="E11" s="25">
        <v>96.0</v>
      </c>
      <c r="F11" s="23" t="s">
        <v>608</v>
      </c>
      <c r="G11" s="26">
        <f>IF($E11=0,0,IF(SUMIF(Aux_Datos!$B:$B,$I11,Aux_Datos!$K:$K)/$E11&gt;=VLOOKUP(IF(COUNTIFS(Aux_Datos!$B:$B,$I11,Aux_Datos!$D:$D,"&lt;&gt;USD")=0,"USD","VES"),'Limites de Descuento'!$A$2:$D$4,4,FALSE),MAX(0,1-SUMIF(Aux_Datos!$B:$B,$I11,Aux_Datos!$K:$K)/$E11),0))</f>
        <v>0</v>
      </c>
      <c r="H11" s="27"/>
      <c r="I11" s="28">
        <f t="shared" si="1"/>
        <v>18</v>
      </c>
      <c r="J11" s="29">
        <f t="shared" si="2"/>
        <v>46090</v>
      </c>
      <c r="K11" s="30">
        <f t="shared" si="3"/>
        <v>7</v>
      </c>
      <c r="L11" s="31">
        <f t="shared" si="4"/>
        <v>46098</v>
      </c>
      <c r="M11" s="30">
        <f t="shared" si="5"/>
        <v>96</v>
      </c>
      <c r="N11" s="32">
        <f t="shared" si="6"/>
        <v>0</v>
      </c>
      <c r="O11" s="33" t="str">
        <f t="shared" si="7"/>
        <v>PAGADA</v>
      </c>
      <c r="P11" s="34">
        <f>LET(
  idVenta, I11&amp;"",
  montoTotal, M11,
  pagos, IFERROR(SUMIF(Aux_Datos!$B:$B, idVenta, Aux_Datos!$K:$K), 0),
  retenciones, IFERROR(SUMIF(Aux_Datos!$N:$N, idVenta, Aux_Datos!$R:$R), 0),
  pagos + retenciones
)</f>
        <v>96</v>
      </c>
      <c r="Q11" s="30" t="str">
        <f>IF(P11=0, "Sin Pago", 
  LET(
    idVenta, I11&amp;"",
    montoTotalPagado, P11,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1" s="30">
        <f t="shared" ref="R11:R233" si="13">M11-P11</f>
        <v>0</v>
      </c>
      <c r="S11" s="29">
        <f>IF(P11=0, "Sin Pago", 
  IFERROR(
    MAXIFS(Aux_Datos!$A:$A, Aux_Datos!$B:$B, I11&amp;""), 
    IFERROR(MAXIFS(Aux_Datos!$A:$A, Aux_Datos!$B:$B, VALUE(I11)), "Revisar ID")
  )
)</f>
        <v>46126</v>
      </c>
      <c r="T11" s="35" t="str">
        <f t="shared" si="9"/>
        <v>PAGADA</v>
      </c>
      <c r="U11" s="35" t="str">
        <f t="shared" si="10"/>
        <v>SOLVENTE</v>
      </c>
      <c r="V11" s="32">
        <f t="shared" si="11"/>
        <v>0</v>
      </c>
      <c r="W11" s="36" t="str">
        <f>IF(P11=0, "Sin Pago", 
  LET(
    monedaPago, Q11, 
    descuentoAplicado, G11,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1" s="36" t="str">
        <f t="shared" si="12"/>
        <v/>
      </c>
      <c r="Y11" s="36">
        <v>96.0</v>
      </c>
      <c r="Z11" s="33" t="s">
        <v>596</v>
      </c>
      <c r="AA11" s="33"/>
      <c r="AB11" s="33"/>
      <c r="AC11" s="33"/>
      <c r="AD11" s="33"/>
      <c r="AE11" s="33"/>
      <c r="AF11" s="33"/>
    </row>
    <row r="12" ht="22.5" customHeight="1">
      <c r="A12" s="23" t="s">
        <v>613</v>
      </c>
      <c r="B12" s="24">
        <v>46084.64741898148</v>
      </c>
      <c r="C12" s="23" t="s">
        <v>419</v>
      </c>
      <c r="D12" s="23" t="s">
        <v>540</v>
      </c>
      <c r="E12" s="25">
        <v>78.25</v>
      </c>
      <c r="F12" s="23" t="s">
        <v>608</v>
      </c>
      <c r="G12" s="26">
        <f>IF($E12=0,0,IF(SUMIF(Aux_Datos!$B:$B,$I12,Aux_Datos!$K:$K)/$E12&gt;=VLOOKUP(IF(COUNTIFS(Aux_Datos!$B:$B,$I12,Aux_Datos!$D:$D,"&lt;&gt;USD")=0,"USD","VES"),'Limites de Descuento'!$A$2:$D$4,4,FALSE),MAX(0,1-SUMIF(Aux_Datos!$B:$B,$I12,Aux_Datos!$K:$K)/$E12),0))</f>
        <v>0</v>
      </c>
      <c r="H12" s="27"/>
      <c r="I12" s="28">
        <f t="shared" si="1"/>
        <v>19</v>
      </c>
      <c r="J12" s="29">
        <f t="shared" si="2"/>
        <v>46084</v>
      </c>
      <c r="K12" s="30">
        <f t="shared" si="3"/>
        <v>7</v>
      </c>
      <c r="L12" s="31">
        <f t="shared" si="4"/>
        <v>46092</v>
      </c>
      <c r="M12" s="30">
        <f t="shared" si="5"/>
        <v>78.25</v>
      </c>
      <c r="N12" s="32">
        <f t="shared" si="6"/>
        <v>0</v>
      </c>
      <c r="O12" s="33" t="str">
        <f t="shared" si="7"/>
        <v>PAGADA</v>
      </c>
      <c r="P12" s="34">
        <f>LET(
  idVenta, I12&amp;"",
  montoTotal, M12,
  pagos, IFERROR(SUMIF(Aux_Datos!$B:$B, idVenta, Aux_Datos!$K:$K), 0),
  retenciones, IFERROR(SUMIF(Aux_Datos!$N:$N, idVenta, Aux_Datos!$R:$R), 0),
  pagos + retenciones
)</f>
        <v>91.89855023</v>
      </c>
      <c r="Q12" s="30" t="str">
        <f>IF(P12=0, "Sin Pago", 
  LET(
    idVenta, I12&amp;"",
    montoTotalPagado, P12,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12" s="30">
        <f t="shared" si="13"/>
        <v>-13.64855023</v>
      </c>
      <c r="S12" s="29">
        <f>IF(P12=0, "Sin Pago", 
  IFERROR(
    MAXIFS(Aux_Datos!$A:$A, Aux_Datos!$B:$B, I12&amp;""), 
    IFERROR(MAXIFS(Aux_Datos!$A:$A, Aux_Datos!$B:$B, VALUE(I12)), "Revisar ID")
  )
)</f>
        <v>46140</v>
      </c>
      <c r="T12" s="35" t="str">
        <f t="shared" si="9"/>
        <v>PAGADA</v>
      </c>
      <c r="U12" s="35" t="str">
        <f t="shared" si="10"/>
        <v>SOLVENTE</v>
      </c>
      <c r="V12" s="32">
        <f t="shared" si="11"/>
        <v>0</v>
      </c>
      <c r="W12" s="36" t="str">
        <f>IF(P12=0, "Sin Pago", 
  LET(
    monedaPago, Q12, 
    descuentoAplicado, G12,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2" s="36" t="str">
        <f t="shared" si="12"/>
        <v/>
      </c>
      <c r="Y12" s="36">
        <v>91.89855023431099</v>
      </c>
      <c r="Z12" s="33" t="s">
        <v>596</v>
      </c>
      <c r="AA12" s="33"/>
      <c r="AB12" s="33"/>
      <c r="AC12" s="33"/>
      <c r="AD12" s="33"/>
      <c r="AE12" s="33"/>
      <c r="AF12" s="33"/>
    </row>
    <row r="13" ht="22.5" customHeight="1">
      <c r="A13" s="23" t="s">
        <v>74</v>
      </c>
      <c r="B13" s="24">
        <v>46090.242268518516</v>
      </c>
      <c r="C13" s="23" t="s">
        <v>73</v>
      </c>
      <c r="D13" s="23" t="s">
        <v>556</v>
      </c>
      <c r="E13" s="25">
        <v>472.53</v>
      </c>
      <c r="F13" s="23" t="s">
        <v>608</v>
      </c>
      <c r="G13" s="26">
        <f>IF($E13=0,0,IF(SUMIF(Aux_Datos!$B:$B,$I13,Aux_Datos!$K:$K)/$E13&gt;=VLOOKUP(IF(COUNTIFS(Aux_Datos!$B:$B,$I13,Aux_Datos!$D:$D,"&lt;&gt;USD")=0,"USD","VES"),'Limites de Descuento'!$A$2:$D$4,4,FALSE),MAX(0,1-SUMIF(Aux_Datos!$B:$B,$I13,Aux_Datos!$K:$K)/$E13),0))</f>
        <v>0</v>
      </c>
      <c r="H13" s="27"/>
      <c r="I13" s="28">
        <f t="shared" si="1"/>
        <v>20</v>
      </c>
      <c r="J13" s="29">
        <f t="shared" si="2"/>
        <v>46090</v>
      </c>
      <c r="K13" s="30">
        <f t="shared" si="3"/>
        <v>7</v>
      </c>
      <c r="L13" s="31">
        <f t="shared" si="4"/>
        <v>46098</v>
      </c>
      <c r="M13" s="30">
        <f t="shared" si="5"/>
        <v>472.53</v>
      </c>
      <c r="N13" s="32">
        <f t="shared" si="6"/>
        <v>102</v>
      </c>
      <c r="O13" s="33" t="str">
        <f t="shared" si="7"/>
        <v>VENCIDA</v>
      </c>
      <c r="P13" s="34">
        <f>LET(
  idVenta, I13&amp;"",
  montoTotal, M13,
  pagos, IFERROR(SUMIF(Aux_Datos!$B:$B, idVenta, Aux_Datos!$K:$K), 0),
  retenciones, IFERROR(SUMIF(Aux_Datos!$N:$N, idVenta, Aux_Datos!$R:$R), 0),
  pagos + retenciones
)</f>
        <v>166.2406347</v>
      </c>
      <c r="Q13" s="30" t="str">
        <f>IF(P13=0, "Sin Pago", 
  LET(
    idVenta, I13&amp;"",
    montoTotalPagado, P13,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13" s="30">
        <f t="shared" si="13"/>
        <v>306.2893653</v>
      </c>
      <c r="S13" s="29">
        <f>IF(P13=0, "Sin Pago", 
  IFERROR(
    MAXIFS(Aux_Datos!$A:$A, Aux_Datos!$B:$B, I13&amp;""), 
    IFERROR(MAXIFS(Aux_Datos!$A:$A, Aux_Datos!$B:$B, VALUE(I13)), "Revisar ID")
  )
)</f>
        <v>46177</v>
      </c>
      <c r="T13" s="35" t="str">
        <f t="shared" si="9"/>
        <v>PAGO PARCIAL</v>
      </c>
      <c r="U13" s="35" t="str">
        <f t="shared" si="10"/>
        <v>CRÍTICO: VENCIDA</v>
      </c>
      <c r="V13" s="32">
        <f t="shared" si="11"/>
        <v>23</v>
      </c>
      <c r="W13" s="36" t="str">
        <f>IF(P13=0, "Sin Pago", 
  LET(
    monedaPago, Q13, 
    descuentoAplicado, G13,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3" s="36" t="str">
        <f t="shared" si="12"/>
        <v/>
      </c>
      <c r="Y13" s="36">
        <v>166.2406347195711</v>
      </c>
      <c r="Z13" s="33" t="s">
        <v>609</v>
      </c>
      <c r="AA13" s="33"/>
      <c r="AB13" s="33"/>
      <c r="AC13" s="33"/>
      <c r="AD13" s="33"/>
      <c r="AE13" s="33"/>
      <c r="AF13" s="33"/>
    </row>
    <row r="14" ht="22.5" customHeight="1">
      <c r="A14" s="23" t="s">
        <v>614</v>
      </c>
      <c r="B14" s="24">
        <v>46090.24238425926</v>
      </c>
      <c r="C14" s="23" t="s">
        <v>449</v>
      </c>
      <c r="D14" s="23" t="s">
        <v>556</v>
      </c>
      <c r="E14" s="25">
        <v>212.72</v>
      </c>
      <c r="F14" s="23" t="s">
        <v>608</v>
      </c>
      <c r="G14" s="26">
        <f>IF($E14=0,0,IF(SUMIF(Aux_Datos!$B:$B,$I14,Aux_Datos!$K:$K)/$E14&gt;=VLOOKUP(IF(COUNTIFS(Aux_Datos!$B:$B,$I14,Aux_Datos!$D:$D,"&lt;&gt;USD")=0,"USD","VES"),'Limites de Descuento'!$A$2:$D$4,4,FALSE),MAX(0,1-SUMIF(Aux_Datos!$B:$B,$I14,Aux_Datos!$K:$K)/$E14),0))</f>
        <v>0</v>
      </c>
      <c r="H14" s="27"/>
      <c r="I14" s="28">
        <f t="shared" si="1"/>
        <v>21</v>
      </c>
      <c r="J14" s="29">
        <f t="shared" si="2"/>
        <v>46090</v>
      </c>
      <c r="K14" s="30">
        <f t="shared" si="3"/>
        <v>7</v>
      </c>
      <c r="L14" s="31">
        <f t="shared" si="4"/>
        <v>46098</v>
      </c>
      <c r="M14" s="30">
        <f t="shared" si="5"/>
        <v>212.72</v>
      </c>
      <c r="N14" s="32">
        <f t="shared" si="6"/>
        <v>0</v>
      </c>
      <c r="O14" s="33" t="str">
        <f t="shared" si="7"/>
        <v>PAGADA</v>
      </c>
      <c r="P14" s="34">
        <f>LET(
  idVenta, I14&amp;"",
  montoTotal, M14,
  pagos, IFERROR(SUMIF(Aux_Datos!$B:$B, idVenta, Aux_Datos!$K:$K), 0),
  retenciones, IFERROR(SUMIF(Aux_Datos!$N:$N, idVenta, Aux_Datos!$R:$R), 0),
  pagos + retenciones
)</f>
        <v>238.6498957</v>
      </c>
      <c r="Q14" s="30" t="str">
        <f>IF(P14=0, "Sin Pago", 
  LET(
    idVenta, I14&amp;"",
    montoTotalPagado, P14,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14" s="30">
        <f t="shared" si="13"/>
        <v>-25.92989572</v>
      </c>
      <c r="S14" s="29">
        <f>IF(P14=0, "Sin Pago", 
  IFERROR(
    MAXIFS(Aux_Datos!$A:$A, Aux_Datos!$B:$B, I14&amp;""), 
    IFERROR(MAXIFS(Aux_Datos!$A:$A, Aux_Datos!$B:$B, VALUE(I14)), "Revisar ID")
  )
)</f>
        <v>46153</v>
      </c>
      <c r="T14" s="35" t="str">
        <f t="shared" si="9"/>
        <v>PAGADA</v>
      </c>
      <c r="U14" s="35" t="str">
        <f t="shared" si="10"/>
        <v>SOLVENTE</v>
      </c>
      <c r="V14" s="32">
        <f t="shared" si="11"/>
        <v>0</v>
      </c>
      <c r="W14" s="36" t="str">
        <f>IF(P14=0, "Sin Pago", 
  LET(
    monedaPago, Q14, 
    descuentoAplicado, G14,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4" s="36" t="str">
        <f t="shared" si="12"/>
        <v/>
      </c>
      <c r="Y14" s="36">
        <v>238.64989571606637</v>
      </c>
      <c r="Z14" s="33" t="s">
        <v>596</v>
      </c>
      <c r="AA14" s="33"/>
      <c r="AB14" s="33"/>
      <c r="AC14" s="33"/>
      <c r="AD14" s="33"/>
      <c r="AE14" s="33"/>
      <c r="AF14" s="33"/>
    </row>
    <row r="15" ht="22.5" customHeight="1">
      <c r="A15" s="23" t="s">
        <v>615</v>
      </c>
      <c r="B15" s="24">
        <v>46090.24248842592</v>
      </c>
      <c r="C15" s="23" t="s">
        <v>616</v>
      </c>
      <c r="D15" s="23" t="s">
        <v>538</v>
      </c>
      <c r="E15" s="25">
        <v>96.0</v>
      </c>
      <c r="F15" s="23" t="s">
        <v>608</v>
      </c>
      <c r="G15" s="26">
        <f>IF($E15=0,0,IF(SUMIF(Aux_Datos!$B:$B,$I15,Aux_Datos!$K:$K)/$E15&gt;=VLOOKUP(IF(COUNTIFS(Aux_Datos!$B:$B,$I15,Aux_Datos!$D:$D,"&lt;&gt;USD")=0,"USD","VES"),'Limites de Descuento'!$A$2:$D$4,4,FALSE),MAX(0,1-SUMIF(Aux_Datos!$B:$B,$I15,Aux_Datos!$K:$K)/$E15),0))</f>
        <v>0</v>
      </c>
      <c r="H15" s="27"/>
      <c r="I15" s="28">
        <f t="shared" si="1"/>
        <v>22</v>
      </c>
      <c r="J15" s="29">
        <f t="shared" si="2"/>
        <v>46090</v>
      </c>
      <c r="K15" s="30">
        <f t="shared" si="3"/>
        <v>7</v>
      </c>
      <c r="L15" s="31">
        <f t="shared" si="4"/>
        <v>46098</v>
      </c>
      <c r="M15" s="30">
        <f t="shared" si="5"/>
        <v>96</v>
      </c>
      <c r="N15" s="32">
        <f t="shared" si="6"/>
        <v>0</v>
      </c>
      <c r="O15" s="33" t="str">
        <f t="shared" si="7"/>
        <v>PAGADA</v>
      </c>
      <c r="P15" s="34">
        <f>LET(
  idVenta, I15&amp;"",
  montoTotal, M15,
  pagos, IFERROR(SUMIF(Aux_Datos!$B:$B, idVenta, Aux_Datos!$K:$K), 0),
  retenciones, IFERROR(SUMIF(Aux_Datos!$N:$N, idVenta, Aux_Datos!$R:$R), 0),
  pagos + retenciones
)</f>
        <v>96</v>
      </c>
      <c r="Q15" s="30" t="str">
        <f>IF(P15=0, "Sin Pago", 
  LET(
    idVenta, I15&amp;"",
    montoTotalPagado, P15,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5" s="30">
        <f t="shared" si="13"/>
        <v>0</v>
      </c>
      <c r="S15" s="29">
        <f>IF(P15=0, "Sin Pago", 
  IFERROR(
    MAXIFS(Aux_Datos!$A:$A, Aux_Datos!$B:$B, I15&amp;""), 
    IFERROR(MAXIFS(Aux_Datos!$A:$A, Aux_Datos!$B:$B, VALUE(I15)), "Revisar ID")
  )
)</f>
        <v>46111</v>
      </c>
      <c r="T15" s="35" t="str">
        <f t="shared" si="9"/>
        <v>PAGADA</v>
      </c>
      <c r="U15" s="35" t="str">
        <f t="shared" si="10"/>
        <v>SOLVENTE</v>
      </c>
      <c r="V15" s="32">
        <f t="shared" si="11"/>
        <v>0</v>
      </c>
      <c r="W15" s="36" t="str">
        <f>IF(P15=0, "Sin Pago", 
  LET(
    monedaPago, Q15, 
    descuentoAplicado, G15,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5" s="36" t="str">
        <f t="shared" si="12"/>
        <v/>
      </c>
      <c r="Y15" s="36">
        <v>96.0</v>
      </c>
      <c r="Z15" s="33" t="s">
        <v>596</v>
      </c>
      <c r="AA15" s="33"/>
      <c r="AB15" s="33"/>
      <c r="AC15" s="33"/>
      <c r="AD15" s="33"/>
      <c r="AE15" s="33"/>
      <c r="AF15" s="33"/>
    </row>
    <row r="16" ht="22.5" customHeight="1">
      <c r="A16" s="23" t="s">
        <v>617</v>
      </c>
      <c r="B16" s="24">
        <v>46090.242627314816</v>
      </c>
      <c r="C16" s="23" t="s">
        <v>618</v>
      </c>
      <c r="D16" s="23" t="s">
        <v>353</v>
      </c>
      <c r="E16" s="25">
        <v>96.0</v>
      </c>
      <c r="F16" s="23" t="s">
        <v>619</v>
      </c>
      <c r="G16" s="26">
        <f>IF($E16=0,0,IF(SUMIF(Aux_Datos!$B:$B,$I16,Aux_Datos!$K:$K)/$E16&gt;=VLOOKUP(IF(COUNTIFS(Aux_Datos!$B:$B,$I16,Aux_Datos!$D:$D,"&lt;&gt;USD")=0,"USD","VES"),'Limites de Descuento'!$A$2:$D$4,4,FALSE),MAX(0,1-SUMIF(Aux_Datos!$B:$B,$I16,Aux_Datos!$K:$K)/$E16),0))</f>
        <v>0</v>
      </c>
      <c r="H16" s="27"/>
      <c r="I16" s="28">
        <f t="shared" si="1"/>
        <v>23</v>
      </c>
      <c r="J16" s="29">
        <f t="shared" si="2"/>
        <v>46090</v>
      </c>
      <c r="K16" s="30">
        <f t="shared" si="3"/>
        <v>15</v>
      </c>
      <c r="L16" s="31">
        <f t="shared" si="4"/>
        <v>46106</v>
      </c>
      <c r="M16" s="30">
        <f t="shared" si="5"/>
        <v>96</v>
      </c>
      <c r="N16" s="32">
        <f t="shared" si="6"/>
        <v>0</v>
      </c>
      <c r="O16" s="33" t="str">
        <f t="shared" si="7"/>
        <v>PAGADA</v>
      </c>
      <c r="P16" s="34">
        <f>LET(
  idVenta, I16&amp;"",
  montoTotal, M16,
  pagos, IFERROR(SUMIF(Aux_Datos!$B:$B, idVenta, Aux_Datos!$K:$K), 0),
  retenciones, IFERROR(SUMIF(Aux_Datos!$N:$N, idVenta, Aux_Datos!$R:$R), 0),
  pagos + retenciones
)</f>
        <v>96</v>
      </c>
      <c r="Q16" s="30" t="str">
        <f>IF(P16=0, "Sin Pago", 
  LET(
    idVenta, I16&amp;"",
    montoTotalPagado, P16,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6" s="30">
        <f t="shared" si="13"/>
        <v>0</v>
      </c>
      <c r="S16" s="29">
        <f>IF(P16=0, "Sin Pago", 
  IFERROR(
    MAXIFS(Aux_Datos!$A:$A, Aux_Datos!$B:$B, I16&amp;""), 
    IFERROR(MAXIFS(Aux_Datos!$A:$A, Aux_Datos!$B:$B, VALUE(I16)), "Revisar ID")
  )
)</f>
        <v>46098</v>
      </c>
      <c r="T16" s="35" t="str">
        <f t="shared" si="9"/>
        <v>PAGADA</v>
      </c>
      <c r="U16" s="35" t="str">
        <f t="shared" si="10"/>
        <v>SOLVENTE</v>
      </c>
      <c r="V16" s="32">
        <f t="shared" si="11"/>
        <v>0</v>
      </c>
      <c r="W16" s="36" t="str">
        <f>IF(P16=0, "Sin Pago", 
  LET(
    monedaPago, Q16, 
    descuentoAplicado, G16,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6" s="36" t="str">
        <f t="shared" si="12"/>
        <v/>
      </c>
      <c r="Y16" s="36">
        <v>96.0</v>
      </c>
      <c r="Z16" s="33" t="s">
        <v>596</v>
      </c>
      <c r="AA16" s="33"/>
      <c r="AB16" s="33"/>
      <c r="AC16" s="33"/>
      <c r="AD16" s="33"/>
      <c r="AE16" s="33"/>
      <c r="AF16" s="33"/>
    </row>
    <row r="17" ht="22.5" customHeight="1">
      <c r="A17" s="23" t="s">
        <v>620</v>
      </c>
      <c r="B17" s="24">
        <v>46090.24275462963</v>
      </c>
      <c r="C17" s="23" t="s">
        <v>621</v>
      </c>
      <c r="D17" s="23" t="s">
        <v>353</v>
      </c>
      <c r="E17" s="25">
        <v>90.44</v>
      </c>
      <c r="F17" s="23" t="s">
        <v>619</v>
      </c>
      <c r="G17" s="26">
        <f>IF($E17=0,0,IF(SUMIF(Aux_Datos!$B:$B,$I17,Aux_Datos!$K:$K)/$E17&gt;=VLOOKUP(IF(COUNTIFS(Aux_Datos!$B:$B,$I17,Aux_Datos!$D:$D,"&lt;&gt;USD")=0,"USD","VES"),'Limites de Descuento'!$A$2:$D$4,4,FALSE),MAX(0,1-SUMIF(Aux_Datos!$B:$B,$I17,Aux_Datos!$K:$K)/$E17),0))</f>
        <v>0</v>
      </c>
      <c r="H17" s="27"/>
      <c r="I17" s="28">
        <f t="shared" si="1"/>
        <v>24</v>
      </c>
      <c r="J17" s="29">
        <f t="shared" si="2"/>
        <v>46090</v>
      </c>
      <c r="K17" s="30">
        <f t="shared" si="3"/>
        <v>15</v>
      </c>
      <c r="L17" s="31">
        <f t="shared" si="4"/>
        <v>46106</v>
      </c>
      <c r="M17" s="30">
        <f t="shared" si="5"/>
        <v>90.44</v>
      </c>
      <c r="N17" s="32">
        <f t="shared" si="6"/>
        <v>0</v>
      </c>
      <c r="O17" s="33" t="str">
        <f t="shared" si="7"/>
        <v>PAGADA</v>
      </c>
      <c r="P17" s="34">
        <f>LET(
  idVenta, I17&amp;"",
  montoTotal, M17,
  pagos, IFERROR(SUMIF(Aux_Datos!$B:$B, idVenta, Aux_Datos!$K:$K), 0),
  retenciones, IFERROR(SUMIF(Aux_Datos!$N:$N, idVenta, Aux_Datos!$R:$R), 0),
  pagos + retenciones
)</f>
        <v>101.2395918</v>
      </c>
      <c r="Q17" s="30" t="str">
        <f>IF(P17=0, "Sin Pago", 
  LET(
    idVenta, I17&amp;"",
    montoTotalPagado, P17,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17" s="30">
        <f t="shared" si="13"/>
        <v>-10.79959179</v>
      </c>
      <c r="S17" s="29">
        <f>IF(P17=0, "Sin Pago", 
  IFERROR(
    MAXIFS(Aux_Datos!$A:$A, Aux_Datos!$B:$B, I17&amp;""), 
    IFERROR(MAXIFS(Aux_Datos!$A:$A, Aux_Datos!$B:$B, VALUE(I17)), "Revisar ID")
  )
)</f>
        <v>46133</v>
      </c>
      <c r="T17" s="35" t="str">
        <f t="shared" si="9"/>
        <v>PAGADA</v>
      </c>
      <c r="U17" s="35" t="str">
        <f t="shared" si="10"/>
        <v>SOLVENTE</v>
      </c>
      <c r="V17" s="32">
        <f t="shared" si="11"/>
        <v>0</v>
      </c>
      <c r="W17" s="36" t="str">
        <f>IF(P17=0, "Sin Pago", 
  LET(
    monedaPago, Q17, 
    descuentoAplicado, G17,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7" s="36" t="str">
        <f t="shared" si="12"/>
        <v/>
      </c>
      <c r="Y17" s="36">
        <v>101.23959178648737</v>
      </c>
      <c r="Z17" s="33" t="s">
        <v>596</v>
      </c>
      <c r="AA17" s="33"/>
      <c r="AB17" s="33"/>
      <c r="AC17" s="33"/>
      <c r="AD17" s="33"/>
      <c r="AE17" s="33"/>
      <c r="AF17" s="33"/>
    </row>
    <row r="18" ht="22.5" customHeight="1">
      <c r="A18" s="23" t="s">
        <v>93</v>
      </c>
      <c r="B18" s="24">
        <v>46090.24296296296</v>
      </c>
      <c r="C18" s="23" t="s">
        <v>92</v>
      </c>
      <c r="D18" s="23" t="s">
        <v>323</v>
      </c>
      <c r="E18" s="25">
        <v>72.48</v>
      </c>
      <c r="F18" s="23" t="s">
        <v>619</v>
      </c>
      <c r="G18" s="26">
        <f>IF($E18=0,0,IF(SUMIF(Aux_Datos!$B:$B,$I18,Aux_Datos!$K:$K)/$E18&gt;=VLOOKUP(IF(COUNTIFS(Aux_Datos!$B:$B,$I18,Aux_Datos!$D:$D,"&lt;&gt;USD")=0,"USD","VES"),'Limites de Descuento'!$A$2:$D$4,4,FALSE),MAX(0,1-SUMIF(Aux_Datos!$B:$B,$I18,Aux_Datos!$K:$K)/$E18),0))</f>
        <v>0</v>
      </c>
      <c r="H18" s="27"/>
      <c r="I18" s="28">
        <f t="shared" si="1"/>
        <v>26</v>
      </c>
      <c r="J18" s="29">
        <f t="shared" si="2"/>
        <v>46090</v>
      </c>
      <c r="K18" s="30">
        <f t="shared" si="3"/>
        <v>15</v>
      </c>
      <c r="L18" s="31">
        <f t="shared" si="4"/>
        <v>46106</v>
      </c>
      <c r="M18" s="30">
        <f t="shared" si="5"/>
        <v>72.48</v>
      </c>
      <c r="N18" s="32">
        <f t="shared" si="6"/>
        <v>94</v>
      </c>
      <c r="O18" s="33" t="str">
        <f t="shared" si="7"/>
        <v>VENCIDA</v>
      </c>
      <c r="P18" s="34">
        <f>LET(
  idVenta, I18&amp;"",
  montoTotal, M18,
  pagos, IFERROR(SUMIF(Aux_Datos!$B:$B, idVenta, Aux_Datos!$K:$K), 0),
  retenciones, IFERROR(SUMIF(Aux_Datos!$N:$N, idVenta, Aux_Datos!$R:$R), 0),
  pagos + retenciones
)</f>
        <v>30</v>
      </c>
      <c r="Q18" s="30" t="str">
        <f>IF(P18=0, "Sin Pago", 
  LET(
    idVenta, I18&amp;"",
    montoTotalPagado, P18,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8" s="30">
        <f t="shared" si="13"/>
        <v>42.48</v>
      </c>
      <c r="S18" s="29">
        <f>IF(P18=0, "Sin Pago", 
  IFERROR(
    MAXIFS(Aux_Datos!$A:$A, Aux_Datos!$B:$B, I18&amp;""), 
    IFERROR(MAXIFS(Aux_Datos!$A:$A, Aux_Datos!$B:$B, VALUE(I18)), "Revisar ID")
  )
)</f>
        <v>46175</v>
      </c>
      <c r="T18" s="35" t="str">
        <f t="shared" si="9"/>
        <v>PAGO PARCIAL</v>
      </c>
      <c r="U18" s="35" t="str">
        <f t="shared" si="10"/>
        <v>CRÍTICO: VENCIDA</v>
      </c>
      <c r="V18" s="32">
        <f t="shared" si="11"/>
        <v>25</v>
      </c>
      <c r="W18" s="36" t="str">
        <f>IF(P18=0, "Sin Pago", 
  LET(
    monedaPago, Q18, 
    descuentoAplicado, G18,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8" s="36" t="str">
        <f t="shared" si="12"/>
        <v/>
      </c>
      <c r="Y18" s="36">
        <v>30.0</v>
      </c>
      <c r="Z18" s="33" t="s">
        <v>609</v>
      </c>
      <c r="AA18" s="33"/>
      <c r="AB18" s="33"/>
      <c r="AC18" s="33"/>
      <c r="AD18" s="33"/>
      <c r="AE18" s="33"/>
      <c r="AF18" s="33"/>
    </row>
    <row r="19" ht="22.5" customHeight="1">
      <c r="A19" s="23" t="s">
        <v>88</v>
      </c>
      <c r="B19" s="24">
        <v>46090.24385416666</v>
      </c>
      <c r="C19" s="23" t="s">
        <v>87</v>
      </c>
      <c r="D19" s="23" t="s">
        <v>353</v>
      </c>
      <c r="E19" s="25">
        <v>510.0</v>
      </c>
      <c r="F19" s="23" t="s">
        <v>619</v>
      </c>
      <c r="G19" s="26">
        <f>IF($E19=0,0,IF(SUMIF(Aux_Datos!$B:$B,$I19,Aux_Datos!$K:$K)/$E19&gt;=VLOOKUP(IF(COUNTIFS(Aux_Datos!$B:$B,$I19,Aux_Datos!$D:$D,"&lt;&gt;USD")=0,"USD","VES"),'Limites de Descuento'!$A$2:$D$4,4,FALSE),MAX(0,1-SUMIF(Aux_Datos!$B:$B,$I19,Aux_Datos!$K:$K)/$E19),0))</f>
        <v>0</v>
      </c>
      <c r="H19" s="27"/>
      <c r="I19" s="28">
        <f t="shared" si="1"/>
        <v>27</v>
      </c>
      <c r="J19" s="29">
        <f t="shared" si="2"/>
        <v>46090</v>
      </c>
      <c r="K19" s="30">
        <f t="shared" si="3"/>
        <v>15</v>
      </c>
      <c r="L19" s="31">
        <f t="shared" si="4"/>
        <v>46106</v>
      </c>
      <c r="M19" s="30">
        <f t="shared" si="5"/>
        <v>510</v>
      </c>
      <c r="N19" s="32">
        <f t="shared" si="6"/>
        <v>94</v>
      </c>
      <c r="O19" s="33" t="str">
        <f t="shared" si="7"/>
        <v>VENCIDA</v>
      </c>
      <c r="P19" s="34">
        <f>LET(
  idVenta, I19&amp;"",
  montoTotal, M19,
  pagos, IFERROR(SUMIF(Aux_Datos!$B:$B, idVenta, Aux_Datos!$K:$K), 0),
  retenciones, IFERROR(SUMIF(Aux_Datos!$N:$N, idVenta, Aux_Datos!$R:$R), 0),
  pagos + retenciones
)</f>
        <v>150</v>
      </c>
      <c r="Q19" s="30" t="str">
        <f>IF(P19=0, "Sin Pago", 
  LET(
    idVenta, I19&amp;"",
    montoTotalPagado, P19,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9" s="30">
        <f t="shared" si="13"/>
        <v>360</v>
      </c>
      <c r="S19" s="29">
        <f>IF(P19=0, "Sin Pago", 
  IFERROR(
    MAXIFS(Aux_Datos!$A:$A, Aux_Datos!$B:$B, I19&amp;""), 
    IFERROR(MAXIFS(Aux_Datos!$A:$A, Aux_Datos!$B:$B, VALUE(I19)), "Revisar ID")
  )
)</f>
        <v>46192</v>
      </c>
      <c r="T19" s="35" t="str">
        <f t="shared" si="9"/>
        <v>PAGO PARCIAL</v>
      </c>
      <c r="U19" s="35" t="str">
        <f t="shared" si="10"/>
        <v>CRÍTICO: VENCIDA</v>
      </c>
      <c r="V19" s="32">
        <f t="shared" si="11"/>
        <v>8</v>
      </c>
      <c r="W19" s="36" t="str">
        <f>IF(P19=0, "Sin Pago", 
  LET(
    monedaPago, Q19, 
    descuentoAplicado, G19,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9" s="36" t="str">
        <f t="shared" si="12"/>
        <v/>
      </c>
      <c r="Y19" s="36">
        <v>150.0</v>
      </c>
      <c r="Z19" s="33" t="s">
        <v>609</v>
      </c>
      <c r="AA19" s="33"/>
      <c r="AB19" s="33"/>
      <c r="AC19" s="33"/>
      <c r="AD19" s="33"/>
      <c r="AE19" s="33"/>
      <c r="AF19" s="33"/>
    </row>
    <row r="20" ht="22.5" customHeight="1">
      <c r="A20" s="23" t="s">
        <v>622</v>
      </c>
      <c r="B20" s="24">
        <v>46085.5878125</v>
      </c>
      <c r="C20" s="23" t="s">
        <v>315</v>
      </c>
      <c r="D20" s="23" t="s">
        <v>538</v>
      </c>
      <c r="E20" s="25">
        <v>69.28</v>
      </c>
      <c r="F20" s="23" t="s">
        <v>619</v>
      </c>
      <c r="G20" s="26">
        <f>IF($E20=0,0,IF(SUMIF(Aux_Datos!$B:$B,$I20,Aux_Datos!$K:$K)/$E20&gt;=VLOOKUP(IF(COUNTIFS(Aux_Datos!$B:$B,$I20,Aux_Datos!$D:$D,"&lt;&gt;USD")=0,"USD","VES"),'Limites de Descuento'!$A$2:$D$4,4,FALSE),MAX(0,1-SUMIF(Aux_Datos!$B:$B,$I20,Aux_Datos!$K:$K)/$E20),0))</f>
        <v>0.005312316032</v>
      </c>
      <c r="H20" s="27"/>
      <c r="I20" s="28">
        <f t="shared" si="1"/>
        <v>28</v>
      </c>
      <c r="J20" s="29">
        <f t="shared" si="2"/>
        <v>46085</v>
      </c>
      <c r="K20" s="30">
        <f t="shared" si="3"/>
        <v>15</v>
      </c>
      <c r="L20" s="31">
        <f t="shared" si="4"/>
        <v>46101</v>
      </c>
      <c r="M20" s="30">
        <f t="shared" si="5"/>
        <v>68.91196275</v>
      </c>
      <c r="N20" s="32">
        <f t="shared" si="6"/>
        <v>0</v>
      </c>
      <c r="O20" s="33" t="str">
        <f t="shared" si="7"/>
        <v>PAGADA</v>
      </c>
      <c r="P20" s="34">
        <f>LET(
  idVenta, I20&amp;"",
  montoTotal, M20,
  pagos, IFERROR(SUMIF(Aux_Datos!$B:$B, idVenta, Aux_Datos!$K:$K), 0),
  retenciones, IFERROR(SUMIF(Aux_Datos!$N:$N, idVenta, Aux_Datos!$R:$R), 0),
  pagos + retenciones
)</f>
        <v>68.91196275</v>
      </c>
      <c r="Q20" s="30" t="str">
        <f>IF(P20=0, "Sin Pago", 
  LET(
    idVenta, I20&amp;"",
    montoTotalPagado, P20,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20" s="30">
        <f t="shared" si="13"/>
        <v>0</v>
      </c>
      <c r="S20" s="29">
        <f>IF(P20=0, "Sin Pago", 
  IFERROR(
    MAXIFS(Aux_Datos!$A:$A, Aux_Datos!$B:$B, I20&amp;""), 
    IFERROR(MAXIFS(Aux_Datos!$A:$A, Aux_Datos!$B:$B, VALUE(I20)), "Revisar ID")
  )
)</f>
        <v>46086</v>
      </c>
      <c r="T20" s="35" t="str">
        <f t="shared" si="9"/>
        <v>PAGADA</v>
      </c>
      <c r="U20" s="35" t="str">
        <f t="shared" si="10"/>
        <v>SOLVENTE</v>
      </c>
      <c r="V20" s="32">
        <f t="shared" si="11"/>
        <v>0</v>
      </c>
      <c r="W20" s="36" t="str">
        <f>IF(P20=0, "Sin Pago", 
  LET(
    monedaPago, Q20, 
    descuentoAplicado, G20,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0" s="36" t="str">
        <f t="shared" si="12"/>
        <v/>
      </c>
      <c r="Y20" s="36">
        <v>68.91196274532622</v>
      </c>
      <c r="Z20" s="33" t="s">
        <v>596</v>
      </c>
      <c r="AA20" s="33"/>
      <c r="AB20" s="33"/>
      <c r="AC20" s="33"/>
      <c r="AD20" s="33"/>
      <c r="AE20" s="33"/>
      <c r="AF20" s="33"/>
    </row>
    <row r="21" ht="22.5" customHeight="1">
      <c r="A21" s="23" t="s">
        <v>623</v>
      </c>
      <c r="B21" s="24">
        <v>46090.24318287037</v>
      </c>
      <c r="C21" s="23" t="s">
        <v>234</v>
      </c>
      <c r="D21" s="23" t="s">
        <v>552</v>
      </c>
      <c r="E21" s="25">
        <v>261.98</v>
      </c>
      <c r="F21" s="23" t="s">
        <v>608</v>
      </c>
      <c r="G21" s="26">
        <f>IF($E21=0,0,IF(SUMIF(Aux_Datos!$B:$B,$I21,Aux_Datos!$K:$K)/$E21&gt;=VLOOKUP(IF(COUNTIFS(Aux_Datos!$B:$B,$I21,Aux_Datos!$D:$D,"&lt;&gt;USD")=0,"USD","VES"),'Limites de Descuento'!$A$2:$D$4,4,FALSE),MAX(0,1-SUMIF(Aux_Datos!$B:$B,$I21,Aux_Datos!$K:$K)/$E21),0))</f>
        <v>0.2442171158</v>
      </c>
      <c r="H21" s="27"/>
      <c r="I21" s="28">
        <f t="shared" si="1"/>
        <v>29</v>
      </c>
      <c r="J21" s="29">
        <f t="shared" si="2"/>
        <v>46090</v>
      </c>
      <c r="K21" s="30">
        <f t="shared" si="3"/>
        <v>7</v>
      </c>
      <c r="L21" s="29">
        <f t="shared" si="4"/>
        <v>46098</v>
      </c>
      <c r="M21" s="30">
        <f t="shared" si="5"/>
        <v>198</v>
      </c>
      <c r="N21" s="32">
        <f t="shared" si="6"/>
        <v>0</v>
      </c>
      <c r="O21" s="33" t="str">
        <f t="shared" si="7"/>
        <v>PAGADA</v>
      </c>
      <c r="P21" s="34">
        <f>LET(
  idVenta, I21&amp;"",
  montoTotal, M21,
  pagos, IFERROR(SUMIF(Aux_Datos!$B:$B, idVenta, Aux_Datos!$K:$K), 0),
  retenciones, IFERROR(SUMIF(Aux_Datos!$N:$N, idVenta, Aux_Datos!$R:$R), 0),
  pagos + retenciones
)</f>
        <v>198</v>
      </c>
      <c r="Q21" s="30" t="str">
        <f>IF(P21=0, "Sin Pago", 
  LET(
    idVenta, I21&amp;"",
    montoTotalPagado, P21,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1" s="30">
        <f t="shared" si="13"/>
        <v>0</v>
      </c>
      <c r="S21" s="29">
        <f>IF(P21=0, "Sin Pago", 
  IFERROR(
    MAXIFS(Aux_Datos!$A:$A, Aux_Datos!$B:$B, I21&amp;""), 
    IFERROR(MAXIFS(Aux_Datos!$A:$A, Aux_Datos!$B:$B, VALUE(I21)), "Revisar ID")
  )
)</f>
        <v>46134</v>
      </c>
      <c r="T21" s="35" t="str">
        <f t="shared" si="9"/>
        <v>PAGADA</v>
      </c>
      <c r="U21" s="35" t="str">
        <f t="shared" si="10"/>
        <v>SOLVENTE</v>
      </c>
      <c r="V21" s="32">
        <f t="shared" si="11"/>
        <v>0</v>
      </c>
      <c r="W21" s="36" t="str">
        <f>IF(P21=0, "Sin Pago", 
  LET(
    monedaPago, Q21, 
    descuentoAplicado, G21,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1" s="36" t="str">
        <f t="shared" si="12"/>
        <v/>
      </c>
      <c r="Y21" s="36">
        <v>198.0</v>
      </c>
      <c r="Z21" s="33" t="s">
        <v>596</v>
      </c>
      <c r="AA21" s="33"/>
      <c r="AB21" s="33"/>
      <c r="AC21" s="33"/>
      <c r="AD21" s="33"/>
      <c r="AE21" s="33"/>
      <c r="AF21" s="33"/>
    </row>
    <row r="22" ht="22.5" customHeight="1">
      <c r="A22" s="23" t="s">
        <v>624</v>
      </c>
      <c r="B22" s="24">
        <v>46090.243935185186</v>
      </c>
      <c r="C22" s="23" t="s">
        <v>28</v>
      </c>
      <c r="D22" s="23" t="s">
        <v>556</v>
      </c>
      <c r="E22" s="25">
        <v>146.08</v>
      </c>
      <c r="F22" s="23" t="s">
        <v>608</v>
      </c>
      <c r="G22" s="26">
        <f>IF($E22=0,0,IF(SUMIF(Aux_Datos!$B:$B,$I22,Aux_Datos!$K:$K)/$E22&gt;=VLOOKUP(IF(COUNTIFS(Aux_Datos!$B:$B,$I22,Aux_Datos!$D:$D,"&lt;&gt;USD")=0,"USD","VES"),'Limites de Descuento'!$A$2:$D$4,4,FALSE),MAX(0,1-SUMIF(Aux_Datos!$B:$B,$I22,Aux_Datos!$K:$K)/$E22),0))</f>
        <v>0.000547645126</v>
      </c>
      <c r="H22" s="27"/>
      <c r="I22" s="28">
        <f t="shared" si="1"/>
        <v>30</v>
      </c>
      <c r="J22" s="29">
        <f t="shared" si="2"/>
        <v>46090</v>
      </c>
      <c r="K22" s="30">
        <f t="shared" si="3"/>
        <v>7</v>
      </c>
      <c r="L22" s="29">
        <f t="shared" si="4"/>
        <v>46098</v>
      </c>
      <c r="M22" s="30">
        <f t="shared" si="5"/>
        <v>146</v>
      </c>
      <c r="N22" s="32">
        <f t="shared" si="6"/>
        <v>0</v>
      </c>
      <c r="O22" s="33" t="str">
        <f t="shared" si="7"/>
        <v>PAGADA</v>
      </c>
      <c r="P22" s="34">
        <f>LET(
  idVenta, I22&amp;"",
  montoTotal, M22,
  pagos, IFERROR(SUMIF(Aux_Datos!$B:$B, idVenta, Aux_Datos!$K:$K), 0),
  retenciones, IFERROR(SUMIF(Aux_Datos!$N:$N, idVenta, Aux_Datos!$R:$R), 0),
  pagos + retenciones
)</f>
        <v>146</v>
      </c>
      <c r="Q22" s="30" t="str">
        <f>IF(P22=0, "Sin Pago", 
  LET(
    idVenta, I22&amp;"",
    montoTotalPagado, P22,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2" s="30">
        <f t="shared" si="13"/>
        <v>0</v>
      </c>
      <c r="S22" s="29">
        <f>IF(P22=0, "Sin Pago", 
  IFERROR(
    MAXIFS(Aux_Datos!$A:$A, Aux_Datos!$B:$B, I22&amp;""), 
    IFERROR(MAXIFS(Aux_Datos!$A:$A, Aux_Datos!$B:$B, VALUE(I22)), "Revisar ID")
  )
)</f>
        <v>46098</v>
      </c>
      <c r="T22" s="35" t="str">
        <f t="shared" si="9"/>
        <v>PAGADA</v>
      </c>
      <c r="U22" s="35" t="str">
        <f t="shared" si="10"/>
        <v>SOLVENTE</v>
      </c>
      <c r="V22" s="32">
        <f t="shared" si="11"/>
        <v>0</v>
      </c>
      <c r="W22" s="36" t="str">
        <f>IF(P22=0, "Sin Pago", 
  LET(
    monedaPago, Q22, 
    descuentoAplicado, G22,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2" s="36" t="str">
        <f t="shared" si="12"/>
        <v/>
      </c>
      <c r="Y22" s="36">
        <v>146.0</v>
      </c>
      <c r="Z22" s="33" t="s">
        <v>596</v>
      </c>
      <c r="AA22" s="33"/>
      <c r="AB22" s="33"/>
      <c r="AC22" s="33"/>
      <c r="AD22" s="33"/>
      <c r="AE22" s="33"/>
      <c r="AF22" s="33"/>
    </row>
    <row r="23" ht="22.5" customHeight="1">
      <c r="A23" s="23" t="s">
        <v>76</v>
      </c>
      <c r="B23" s="24">
        <v>46090.24329861111</v>
      </c>
      <c r="C23" s="23" t="s">
        <v>75</v>
      </c>
      <c r="D23" s="23" t="s">
        <v>552</v>
      </c>
      <c r="E23" s="25">
        <v>289.16</v>
      </c>
      <c r="F23" s="23" t="s">
        <v>608</v>
      </c>
      <c r="G23" s="26">
        <f>IF($E23=0,0,IF(SUMIF(Aux_Datos!$B:$B,$I23,Aux_Datos!$K:$K)/$E23&gt;=VLOOKUP(IF(COUNTIFS(Aux_Datos!$B:$B,$I23,Aux_Datos!$D:$D,"&lt;&gt;USD")=0,"USD","VES"),'Limites de Descuento'!$A$2:$D$4,4,FALSE),MAX(0,1-SUMIF(Aux_Datos!$B:$B,$I23,Aux_Datos!$K:$K)/$E23),0))</f>
        <v>0</v>
      </c>
      <c r="H23" s="27"/>
      <c r="I23" s="28">
        <f t="shared" si="1"/>
        <v>31</v>
      </c>
      <c r="J23" s="29">
        <f t="shared" si="2"/>
        <v>46090</v>
      </c>
      <c r="K23" s="30">
        <f t="shared" si="3"/>
        <v>7</v>
      </c>
      <c r="L23" s="29">
        <f t="shared" si="4"/>
        <v>46098</v>
      </c>
      <c r="M23" s="30">
        <f t="shared" si="5"/>
        <v>289.16</v>
      </c>
      <c r="N23" s="32">
        <f t="shared" si="6"/>
        <v>102</v>
      </c>
      <c r="O23" s="33" t="str">
        <f t="shared" si="7"/>
        <v>VENCIDA</v>
      </c>
      <c r="P23" s="34">
        <f>LET(
  idVenta, I23&amp;"",
  montoTotal, M23,
  pagos, IFERROR(SUMIF(Aux_Datos!$B:$B, idVenta, Aux_Datos!$K:$K), 0),
  retenciones, IFERROR(SUMIF(Aux_Datos!$N:$N, idVenta, Aux_Datos!$R:$R), 0),
  pagos + retenciones
)</f>
        <v>50</v>
      </c>
      <c r="Q23" s="30" t="str">
        <f>IF(P23=0, "Sin Pago", 
  LET(
    idVenta, I23&amp;"",
    montoTotalPagado, P23,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23" s="30">
        <f t="shared" si="13"/>
        <v>239.16</v>
      </c>
      <c r="S23" s="29">
        <f>IF(P23=0, "Sin Pago", 
  IFERROR(
    MAXIFS(Aux_Datos!$A:$A, Aux_Datos!$B:$B, I23&amp;""), 
    IFERROR(MAXIFS(Aux_Datos!$A:$A, Aux_Datos!$B:$B, VALUE(I23)), "Revisar ID")
  )
)</f>
        <v>46183</v>
      </c>
      <c r="T23" s="35" t="str">
        <f t="shared" si="9"/>
        <v>PAGO PARCIAL</v>
      </c>
      <c r="U23" s="35" t="str">
        <f t="shared" si="10"/>
        <v>CRÍTICO: VENCIDA</v>
      </c>
      <c r="V23" s="32">
        <f t="shared" si="11"/>
        <v>17</v>
      </c>
      <c r="W23" s="36" t="str">
        <f>IF(P23=0, "Sin Pago", 
  LET(
    monedaPago, Q23, 
    descuentoAplicado, G23,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3" s="36" t="str">
        <f t="shared" si="12"/>
        <v/>
      </c>
      <c r="Y23" s="36">
        <v>49.99999999999999</v>
      </c>
      <c r="Z23" s="33" t="s">
        <v>609</v>
      </c>
      <c r="AA23" s="33"/>
      <c r="AB23" s="33"/>
      <c r="AC23" s="33"/>
      <c r="AD23" s="33"/>
      <c r="AE23" s="33"/>
      <c r="AF23" s="33"/>
    </row>
    <row r="24" ht="22.5" customHeight="1">
      <c r="A24" s="23" t="s">
        <v>625</v>
      </c>
      <c r="B24" s="24">
        <v>46090.24337962963</v>
      </c>
      <c r="C24" s="23" t="s">
        <v>626</v>
      </c>
      <c r="D24" s="23" t="s">
        <v>552</v>
      </c>
      <c r="E24" s="25">
        <v>101.0</v>
      </c>
      <c r="F24" s="23" t="s">
        <v>608</v>
      </c>
      <c r="G24" s="26">
        <f>IF($E24=0,0,IF(SUMIF(Aux_Datos!$B:$B,$I24,Aux_Datos!$K:$K)/$E24&gt;=VLOOKUP(IF(COUNTIFS(Aux_Datos!$B:$B,$I24,Aux_Datos!$D:$D,"&lt;&gt;USD")=0,"USD","VES"),'Limites de Descuento'!$A$2:$D$4,4,FALSE),MAX(0,1-SUMIF(Aux_Datos!$B:$B,$I24,Aux_Datos!$K:$K)/$E24),0))</f>
        <v>0.1415622737</v>
      </c>
      <c r="H24" s="27"/>
      <c r="I24" s="28">
        <f t="shared" si="1"/>
        <v>32</v>
      </c>
      <c r="J24" s="29">
        <f t="shared" si="2"/>
        <v>46090</v>
      </c>
      <c r="K24" s="30">
        <f t="shared" si="3"/>
        <v>7</v>
      </c>
      <c r="L24" s="29">
        <f t="shared" si="4"/>
        <v>46098</v>
      </c>
      <c r="M24" s="30">
        <f t="shared" si="5"/>
        <v>86.70221035</v>
      </c>
      <c r="N24" s="32">
        <f t="shared" si="6"/>
        <v>0</v>
      </c>
      <c r="O24" s="33" t="str">
        <f t="shared" si="7"/>
        <v>PAGADA</v>
      </c>
      <c r="P24" s="34">
        <f>LET(
  idVenta, I24&amp;"",
  montoTotal, M24,
  pagos, IFERROR(SUMIF(Aux_Datos!$B:$B, idVenta, Aux_Datos!$K:$K), 0),
  retenciones, IFERROR(SUMIF(Aux_Datos!$N:$N, idVenta, Aux_Datos!$R:$R), 0),
  pagos + retenciones
)</f>
        <v>86.70221035</v>
      </c>
      <c r="Q24" s="30" t="str">
        <f>IF(P24=0, "Sin Pago", 
  LET(
    idVenta, I24&amp;"",
    montoTotalPagado, P24,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24" s="30">
        <f t="shared" si="13"/>
        <v>0</v>
      </c>
      <c r="S24" s="29">
        <f>IF(P24=0, "Sin Pago", 
  IFERROR(
    MAXIFS(Aux_Datos!$A:$A, Aux_Datos!$B:$B, I24&amp;""), 
    IFERROR(MAXIFS(Aux_Datos!$A:$A, Aux_Datos!$B:$B, VALUE(I24)), "Revisar ID")
  )
)</f>
        <v>46086</v>
      </c>
      <c r="T24" s="35" t="str">
        <f t="shared" si="9"/>
        <v>PAGADA</v>
      </c>
      <c r="U24" s="35" t="str">
        <f t="shared" si="10"/>
        <v>SOLVENTE</v>
      </c>
      <c r="V24" s="32">
        <f t="shared" si="11"/>
        <v>0</v>
      </c>
      <c r="W24" s="36" t="str">
        <f>IF(P24=0, "Sin Pago", 
  LET(
    monedaPago, Q24, 
    descuentoAplicado, G24,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4" s="36" t="str">
        <f t="shared" si="12"/>
        <v/>
      </c>
      <c r="Y24" s="36">
        <v>86.70221035218145</v>
      </c>
      <c r="Z24" s="33" t="s">
        <v>596</v>
      </c>
      <c r="AA24" s="33"/>
      <c r="AB24" s="33"/>
      <c r="AC24" s="33"/>
      <c r="AD24" s="33"/>
      <c r="AE24" s="33"/>
      <c r="AF24" s="33"/>
    </row>
    <row r="25" ht="22.5" customHeight="1">
      <c r="A25" s="23" t="s">
        <v>627</v>
      </c>
      <c r="B25" s="24">
        <v>46086.36420138889</v>
      </c>
      <c r="C25" s="23" t="s">
        <v>139</v>
      </c>
      <c r="D25" s="23" t="s">
        <v>550</v>
      </c>
      <c r="E25" s="25">
        <v>243.01</v>
      </c>
      <c r="F25" s="23" t="s">
        <v>593</v>
      </c>
      <c r="G25" s="26">
        <f>IF($E25=0,0,IF(SUMIF(Aux_Datos!$B:$B,$I25,Aux_Datos!$K:$K)/$E25&gt;=VLOOKUP(IF(COUNTIFS(Aux_Datos!$B:$B,$I25,Aux_Datos!$D:$D,"&lt;&gt;USD")=0,"USD","VES"),'Limites de Descuento'!$A$2:$D$4,4,FALSE),MAX(0,1-SUMIF(Aux_Datos!$B:$B,$I25,Aux_Datos!$K:$K)/$E25),0))</f>
        <v>0.1975638863</v>
      </c>
      <c r="H25" s="27"/>
      <c r="I25" s="28">
        <f t="shared" si="1"/>
        <v>33</v>
      </c>
      <c r="J25" s="29">
        <f t="shared" si="2"/>
        <v>46086</v>
      </c>
      <c r="K25" s="30">
        <f t="shared" si="3"/>
        <v>0</v>
      </c>
      <c r="L25" s="29">
        <f t="shared" si="4"/>
        <v>46087</v>
      </c>
      <c r="M25" s="30">
        <f t="shared" si="5"/>
        <v>195</v>
      </c>
      <c r="N25" s="32">
        <f t="shared" si="6"/>
        <v>0</v>
      </c>
      <c r="O25" s="33" t="str">
        <f t="shared" si="7"/>
        <v>PAGADA</v>
      </c>
      <c r="P25" s="34">
        <f>LET(
  idVenta, I25&amp;"",
  montoTotal, M25,
  pagos, IFERROR(SUMIF(Aux_Datos!$B:$B, idVenta, Aux_Datos!$K:$K), 0),
  retenciones, IFERROR(SUMIF(Aux_Datos!$N:$N, idVenta, Aux_Datos!$R:$R), 0),
  pagos + retenciones
)</f>
        <v>195</v>
      </c>
      <c r="Q25" s="30" t="str">
        <f>IF(P25=0, "Sin Pago", 
  LET(
    idVenta, I25&amp;"",
    montoTotalPagado, P25,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5" s="30">
        <f t="shared" si="13"/>
        <v>0</v>
      </c>
      <c r="S25" s="29">
        <f>IF(P25=0, "Sin Pago", 
  IFERROR(
    MAXIFS(Aux_Datos!$A:$A, Aux_Datos!$B:$B, I25&amp;""), 
    IFERROR(MAXIFS(Aux_Datos!$A:$A, Aux_Datos!$B:$B, VALUE(I25)), "Revisar ID")
  )
)</f>
        <v>46086</v>
      </c>
      <c r="T25" s="35" t="str">
        <f t="shared" si="9"/>
        <v>PAGADA</v>
      </c>
      <c r="U25" s="35" t="str">
        <f t="shared" si="10"/>
        <v>SOLVENTE</v>
      </c>
      <c r="V25" s="32">
        <f t="shared" si="11"/>
        <v>0</v>
      </c>
      <c r="W25" s="36" t="str">
        <f>IF(P25=0, "Sin Pago", 
  LET(
    monedaPago, Q25, 
    descuentoAplicado, G25,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5" s="36" t="str">
        <f t="shared" si="12"/>
        <v/>
      </c>
      <c r="Y25" s="36">
        <v>195.0</v>
      </c>
      <c r="Z25" s="33" t="s">
        <v>596</v>
      </c>
      <c r="AA25" s="33"/>
      <c r="AB25" s="33"/>
      <c r="AC25" s="33"/>
      <c r="AD25" s="33"/>
      <c r="AE25" s="33"/>
      <c r="AF25" s="33"/>
    </row>
    <row r="26" ht="22.5" customHeight="1">
      <c r="A26" s="23" t="s">
        <v>628</v>
      </c>
      <c r="B26" s="24">
        <v>46090.24351851852</v>
      </c>
      <c r="C26" s="23" t="s">
        <v>433</v>
      </c>
      <c r="D26" s="23" t="s">
        <v>353</v>
      </c>
      <c r="E26" s="25">
        <v>185.04</v>
      </c>
      <c r="F26" s="23" t="s">
        <v>619</v>
      </c>
      <c r="G26" s="26">
        <f>IF($E26=0,0,IF(SUMIF(Aux_Datos!$B:$B,$I26,Aux_Datos!$K:$K)/$E26&gt;=VLOOKUP(IF(COUNTIFS(Aux_Datos!$B:$B,$I26,Aux_Datos!$D:$D,"&lt;&gt;USD")=0,"USD","VES"),'Limites de Descuento'!$A$2:$D$4,4,FALSE),MAX(0,1-SUMIF(Aux_Datos!$B:$B,$I26,Aux_Datos!$K:$K)/$E26),0))</f>
        <v>0</v>
      </c>
      <c r="H26" s="27"/>
      <c r="I26" s="28">
        <f t="shared" si="1"/>
        <v>34</v>
      </c>
      <c r="J26" s="29">
        <f t="shared" si="2"/>
        <v>46090</v>
      </c>
      <c r="K26" s="30">
        <f t="shared" si="3"/>
        <v>15</v>
      </c>
      <c r="L26" s="29">
        <f t="shared" si="4"/>
        <v>46106</v>
      </c>
      <c r="M26" s="30">
        <f t="shared" si="5"/>
        <v>185.04</v>
      </c>
      <c r="N26" s="32">
        <f t="shared" si="6"/>
        <v>0</v>
      </c>
      <c r="O26" s="33" t="str">
        <f t="shared" si="7"/>
        <v>PAGADA</v>
      </c>
      <c r="P26" s="34">
        <f>LET(
  idVenta, I26&amp;"",
  montoTotal, M26,
  pagos, IFERROR(SUMIF(Aux_Datos!$B:$B, idVenta, Aux_Datos!$K:$K), 0),
  retenciones, IFERROR(SUMIF(Aux_Datos!$N:$N, idVenta, Aux_Datos!$R:$R), 0),
  pagos + retenciones
)</f>
        <v>204.9876847</v>
      </c>
      <c r="Q26" s="30" t="str">
        <f>IF(P26=0, "Sin Pago", 
  LET(
    idVenta, I26&amp;"",
    montoTotalPagado, P26,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26" s="30">
        <f t="shared" si="13"/>
        <v>-19.94768475</v>
      </c>
      <c r="S26" s="29">
        <f>IF(P26=0, "Sin Pago", 
  IFERROR(
    MAXIFS(Aux_Datos!$A:$A, Aux_Datos!$B:$B, I26&amp;""), 
    IFERROR(MAXIFS(Aux_Datos!$A:$A, Aux_Datos!$B:$B, VALUE(I26)), "Revisar ID")
  )
)</f>
        <v>46140</v>
      </c>
      <c r="T26" s="35" t="str">
        <f t="shared" si="9"/>
        <v>PAGADA</v>
      </c>
      <c r="U26" s="35" t="str">
        <f t="shared" si="10"/>
        <v>SOLVENTE</v>
      </c>
      <c r="V26" s="32">
        <f t="shared" si="11"/>
        <v>0</v>
      </c>
      <c r="W26" s="36" t="str">
        <f>IF(P26=0, "Sin Pago", 
  LET(
    monedaPago, Q26, 
    descuentoAplicado, G26,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6" s="36" t="str">
        <f t="shared" si="12"/>
        <v/>
      </c>
      <c r="Y26" s="36">
        <v>204.98768474833676</v>
      </c>
      <c r="Z26" s="33" t="s">
        <v>596</v>
      </c>
      <c r="AA26" s="33"/>
      <c r="AB26" s="33"/>
      <c r="AC26" s="33"/>
      <c r="AD26" s="33"/>
      <c r="AE26" s="33"/>
      <c r="AF26" s="33"/>
    </row>
    <row r="27" ht="22.5" customHeight="1">
      <c r="A27" s="23" t="s">
        <v>95</v>
      </c>
      <c r="B27" s="24">
        <v>46090.243622685186</v>
      </c>
      <c r="C27" s="23" t="s">
        <v>94</v>
      </c>
      <c r="D27" s="23" t="s">
        <v>353</v>
      </c>
      <c r="E27" s="25">
        <v>434.83</v>
      </c>
      <c r="F27" s="23" t="s">
        <v>619</v>
      </c>
      <c r="G27" s="26">
        <f>IF($E27=0,0,IF(SUMIF(Aux_Datos!$B:$B,$I27,Aux_Datos!$K:$K)/$E27&gt;=VLOOKUP(IF(COUNTIFS(Aux_Datos!$B:$B,$I27,Aux_Datos!$D:$D,"&lt;&gt;USD")=0,"USD","VES"),'Limites de Descuento'!$A$2:$D$4,4,FALSE),MAX(0,1-SUMIF(Aux_Datos!$B:$B,$I27,Aux_Datos!$K:$K)/$E27),0))</f>
        <v>0</v>
      </c>
      <c r="H27" s="27"/>
      <c r="I27" s="28">
        <f t="shared" si="1"/>
        <v>36</v>
      </c>
      <c r="J27" s="29">
        <f t="shared" si="2"/>
        <v>46090</v>
      </c>
      <c r="K27" s="30">
        <f t="shared" si="3"/>
        <v>15</v>
      </c>
      <c r="L27" s="29">
        <f t="shared" si="4"/>
        <v>46106</v>
      </c>
      <c r="M27" s="30">
        <f t="shared" si="5"/>
        <v>434.83</v>
      </c>
      <c r="N27" s="32">
        <f t="shared" si="6"/>
        <v>94</v>
      </c>
      <c r="O27" s="33" t="str">
        <f t="shared" si="7"/>
        <v>VENCIDA</v>
      </c>
      <c r="P27" s="34">
        <f>LET(
  idVenta, I27&amp;"",
  montoTotal, M27,
  pagos, IFERROR(SUMIF(Aux_Datos!$B:$B, idVenta, Aux_Datos!$K:$K), 0),
  retenciones, IFERROR(SUMIF(Aux_Datos!$N:$N, idVenta, Aux_Datos!$R:$R), 0),
  pagos + retenciones
)</f>
        <v>208.0102702</v>
      </c>
      <c r="Q27" s="30" t="str">
        <f>IF(P27=0, "Sin Pago", 
  LET(
    idVenta, I27&amp;"",
    montoTotalPagado, P27,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27" s="30">
        <f t="shared" si="13"/>
        <v>226.8197298</v>
      </c>
      <c r="S27" s="29">
        <f>IF(P27=0, "Sin Pago", 
  IFERROR(
    MAXIFS(Aux_Datos!$A:$A, Aux_Datos!$B:$B, I27&amp;""), 
    IFERROR(MAXIFS(Aux_Datos!$A:$A, Aux_Datos!$B:$B, VALUE(I27)), "Revisar ID")
  )
)</f>
        <v>46196</v>
      </c>
      <c r="T27" s="35" t="str">
        <f t="shared" si="9"/>
        <v>PAGO PARCIAL</v>
      </c>
      <c r="U27" s="35" t="str">
        <f t="shared" si="10"/>
        <v>CRÍTICO: VENCIDA</v>
      </c>
      <c r="V27" s="32">
        <f t="shared" si="11"/>
        <v>4</v>
      </c>
      <c r="W27" s="36" t="str">
        <f>IF(P27=0, "Sin Pago", 
  LET(
    monedaPago, Q27, 
    descuentoAplicado, G27,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7" s="36" t="str">
        <f t="shared" si="12"/>
        <v/>
      </c>
      <c r="Y27" s="36">
        <v>208.01027020652973</v>
      </c>
      <c r="Z27" s="33" t="s">
        <v>609</v>
      </c>
      <c r="AA27" s="33"/>
      <c r="AB27" s="33"/>
      <c r="AC27" s="33"/>
      <c r="AD27" s="33"/>
      <c r="AE27" s="33"/>
      <c r="AF27" s="33"/>
    </row>
    <row r="28" ht="22.5" customHeight="1">
      <c r="A28" s="23" t="s">
        <v>629</v>
      </c>
      <c r="B28" s="24">
        <v>46090.255219907405</v>
      </c>
      <c r="C28" s="23" t="s">
        <v>630</v>
      </c>
      <c r="D28" s="23" t="s">
        <v>552</v>
      </c>
      <c r="E28" s="25">
        <v>75.0</v>
      </c>
      <c r="F28" s="23" t="s">
        <v>608</v>
      </c>
      <c r="G28" s="26">
        <f>IF($E28=0,0,IF(SUMIF(Aux_Datos!$B:$B,$I28,Aux_Datos!$K:$K)/$E28&gt;=VLOOKUP(IF(COUNTIFS(Aux_Datos!$B:$B,$I28,Aux_Datos!$D:$D,"&lt;&gt;USD")=0,"USD","VES"),'Limites de Descuento'!$A$2:$D$4,4,FALSE),MAX(0,1-SUMIF(Aux_Datos!$B:$B,$I28,Aux_Datos!$K:$K)/$E28),0))</f>
        <v>0.2266666667</v>
      </c>
      <c r="H28" s="27"/>
      <c r="I28" s="28">
        <f t="shared" si="1"/>
        <v>37</v>
      </c>
      <c r="J28" s="29">
        <f t="shared" si="2"/>
        <v>46090</v>
      </c>
      <c r="K28" s="30">
        <f t="shared" si="3"/>
        <v>7</v>
      </c>
      <c r="L28" s="29">
        <f t="shared" si="4"/>
        <v>46098</v>
      </c>
      <c r="M28" s="30">
        <f t="shared" si="5"/>
        <v>58</v>
      </c>
      <c r="N28" s="32">
        <f t="shared" si="6"/>
        <v>0</v>
      </c>
      <c r="O28" s="33" t="str">
        <f t="shared" si="7"/>
        <v>PAGADA</v>
      </c>
      <c r="P28" s="34">
        <f>LET(
  idVenta, I28&amp;"",
  montoTotal, M28,
  pagos, IFERROR(SUMIF(Aux_Datos!$B:$B, idVenta, Aux_Datos!$K:$K), 0),
  retenciones, IFERROR(SUMIF(Aux_Datos!$N:$N, idVenta, Aux_Datos!$R:$R), 0),
  pagos + retenciones
)</f>
        <v>58</v>
      </c>
      <c r="Q28" s="30" t="str">
        <f>IF(P28=0, "Sin Pago", 
  LET(
    idVenta, I28&amp;"",
    montoTotalPagado, P28,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8" s="30">
        <f t="shared" si="13"/>
        <v>0</v>
      </c>
      <c r="S28" s="29">
        <f>IF(P28=0, "Sin Pago", 
  IFERROR(
    MAXIFS(Aux_Datos!$A:$A, Aux_Datos!$B:$B, I28&amp;""), 
    IFERROR(MAXIFS(Aux_Datos!$A:$A, Aux_Datos!$B:$B, VALUE(I28)), "Revisar ID")
  )
)</f>
        <v>46121</v>
      </c>
      <c r="T28" s="35" t="str">
        <f t="shared" si="9"/>
        <v>PAGADA</v>
      </c>
      <c r="U28" s="35" t="str">
        <f t="shared" si="10"/>
        <v>SOLVENTE</v>
      </c>
      <c r="V28" s="32">
        <f t="shared" si="11"/>
        <v>0</v>
      </c>
      <c r="W28" s="36" t="str">
        <f>IF(P28=0, "Sin Pago", 
  LET(
    monedaPago, Q28, 
    descuentoAplicado, G28,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8" s="36" t="str">
        <f t="shared" si="12"/>
        <v/>
      </c>
      <c r="Y28" s="36">
        <v>58.0</v>
      </c>
      <c r="Z28" s="33" t="s">
        <v>596</v>
      </c>
      <c r="AA28" s="33"/>
      <c r="AB28" s="33"/>
      <c r="AC28" s="33"/>
      <c r="AD28" s="33"/>
      <c r="AE28" s="33"/>
      <c r="AF28" s="33"/>
    </row>
    <row r="29" ht="22.5" customHeight="1">
      <c r="A29" s="23" t="s">
        <v>631</v>
      </c>
      <c r="B29" s="24">
        <v>46090.25530092593</v>
      </c>
      <c r="C29" s="23" t="s">
        <v>441</v>
      </c>
      <c r="D29" s="23" t="s">
        <v>538</v>
      </c>
      <c r="E29" s="25">
        <v>90.02</v>
      </c>
      <c r="F29" s="23" t="s">
        <v>619</v>
      </c>
      <c r="G29" s="26">
        <f>IF($E29=0,0,IF(SUMIF(Aux_Datos!$B:$B,$I29,Aux_Datos!$K:$K)/$E29&gt;=VLOOKUP(IF(COUNTIFS(Aux_Datos!$B:$B,$I29,Aux_Datos!$D:$D,"&lt;&gt;USD")=0,"USD","VES"),'Limites de Descuento'!$A$2:$D$4,4,FALSE),MAX(0,1-SUMIF(Aux_Datos!$B:$B,$I29,Aux_Datos!$K:$K)/$E29),0))</f>
        <v>0.2001777383</v>
      </c>
      <c r="H29" s="27"/>
      <c r="I29" s="28">
        <f t="shared" si="1"/>
        <v>38</v>
      </c>
      <c r="J29" s="29">
        <f t="shared" si="2"/>
        <v>46090</v>
      </c>
      <c r="K29" s="30">
        <f t="shared" si="3"/>
        <v>15</v>
      </c>
      <c r="L29" s="29">
        <f t="shared" si="4"/>
        <v>46106</v>
      </c>
      <c r="M29" s="30">
        <f t="shared" si="5"/>
        <v>72</v>
      </c>
      <c r="N29" s="32">
        <f t="shared" si="6"/>
        <v>0</v>
      </c>
      <c r="O29" s="33" t="str">
        <f t="shared" si="7"/>
        <v>PAGADA</v>
      </c>
      <c r="P29" s="34">
        <f>LET(
  idVenta, I29&amp;"",
  montoTotal, M29,
  pagos, IFERROR(SUMIF(Aux_Datos!$B:$B, idVenta, Aux_Datos!$K:$K), 0),
  retenciones, IFERROR(SUMIF(Aux_Datos!$N:$N, idVenta, Aux_Datos!$R:$R), 0),
  pagos + retenciones
)</f>
        <v>72</v>
      </c>
      <c r="Q29" s="30" t="str">
        <f>IF(P29=0, "Sin Pago", 
  LET(
    idVenta, I29&amp;"",
    montoTotalPagado, P29,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9" s="30">
        <f t="shared" si="13"/>
        <v>0</v>
      </c>
      <c r="S29" s="29">
        <f>IF(P29=0, "Sin Pago", 
  IFERROR(
    MAXIFS(Aux_Datos!$A:$A, Aux_Datos!$B:$B, I29&amp;""), 
    IFERROR(MAXIFS(Aux_Datos!$A:$A, Aux_Datos!$B:$B, VALUE(I29)), "Revisar ID")
  )
)</f>
        <v>46129</v>
      </c>
      <c r="T29" s="35" t="str">
        <f t="shared" si="9"/>
        <v>PAGADA</v>
      </c>
      <c r="U29" s="35" t="str">
        <f t="shared" si="10"/>
        <v>SOLVENTE</v>
      </c>
      <c r="V29" s="32">
        <f t="shared" si="11"/>
        <v>0</v>
      </c>
      <c r="W29" s="36" t="str">
        <f>IF(P29=0, "Sin Pago", 
  LET(
    monedaPago, Q29, 
    descuentoAplicado, G29,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9" s="36" t="str">
        <f t="shared" si="12"/>
        <v/>
      </c>
      <c r="Y29" s="36">
        <v>72.0</v>
      </c>
      <c r="Z29" s="33" t="s">
        <v>596</v>
      </c>
      <c r="AA29" s="33"/>
      <c r="AB29" s="33"/>
      <c r="AC29" s="33"/>
      <c r="AD29" s="33"/>
      <c r="AE29" s="33"/>
      <c r="AF29" s="33"/>
    </row>
    <row r="30" ht="22.5" customHeight="1">
      <c r="A30" s="23" t="s">
        <v>632</v>
      </c>
      <c r="B30" s="24">
        <v>46090.255324074074</v>
      </c>
      <c r="C30" s="23" t="s">
        <v>633</v>
      </c>
      <c r="D30" s="23" t="s">
        <v>540</v>
      </c>
      <c r="E30" s="25">
        <v>28.88</v>
      </c>
      <c r="F30" s="23" t="s">
        <v>608</v>
      </c>
      <c r="G30" s="26">
        <f>IF($E30=0,0,IF(SUMIF(Aux_Datos!$B:$B,$I30,Aux_Datos!$K:$K)/$E30&gt;=VLOOKUP(IF(COUNTIFS(Aux_Datos!$B:$B,$I30,Aux_Datos!$D:$D,"&lt;&gt;USD")=0,"USD","VES"),'Limites de Descuento'!$A$2:$D$4,4,FALSE),MAX(0,1-SUMIF(Aux_Datos!$B:$B,$I30,Aux_Datos!$K:$K)/$E30),0))</f>
        <v>0</v>
      </c>
      <c r="H30" s="27"/>
      <c r="I30" s="28">
        <f t="shared" si="1"/>
        <v>39</v>
      </c>
      <c r="J30" s="29">
        <f t="shared" si="2"/>
        <v>46090</v>
      </c>
      <c r="K30" s="30">
        <f t="shared" si="3"/>
        <v>7</v>
      </c>
      <c r="L30" s="29">
        <f t="shared" si="4"/>
        <v>46098</v>
      </c>
      <c r="M30" s="30">
        <f t="shared" si="5"/>
        <v>28.88</v>
      </c>
      <c r="N30" s="32">
        <f t="shared" si="6"/>
        <v>0</v>
      </c>
      <c r="O30" s="33" t="str">
        <f t="shared" si="7"/>
        <v>PAGADA</v>
      </c>
      <c r="P30" s="34">
        <f>LET(
  idVenta, I30&amp;"",
  montoTotal, M30,
  pagos, IFERROR(SUMIF(Aux_Datos!$B:$B, idVenta, Aux_Datos!$K:$K), 0),
  retenciones, IFERROR(SUMIF(Aux_Datos!$N:$N, idVenta, Aux_Datos!$R:$R), 0),
  pagos + retenciones
)</f>
        <v>29.15730285</v>
      </c>
      <c r="Q30" s="30" t="str">
        <f>IF(P30=0, "Sin Pago", 
  LET(
    idVenta, I30&amp;"",
    montoTotalPagado, P30,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30" s="30">
        <f t="shared" si="13"/>
        <v>-0.2773028538</v>
      </c>
      <c r="S30" s="29">
        <f>IF(P30=0, "Sin Pago", 
  IFERROR(
    MAXIFS(Aux_Datos!$A:$A, Aux_Datos!$B:$B, I30&amp;""), 
    IFERROR(MAXIFS(Aux_Datos!$A:$A, Aux_Datos!$B:$B, VALUE(I30)), "Revisar ID")
  )
)</f>
        <v>46156</v>
      </c>
      <c r="T30" s="35" t="str">
        <f t="shared" si="9"/>
        <v>PAGADA</v>
      </c>
      <c r="U30" s="35" t="str">
        <f t="shared" si="10"/>
        <v>SOLVENTE</v>
      </c>
      <c r="V30" s="32">
        <f t="shared" si="11"/>
        <v>0</v>
      </c>
      <c r="W30" s="36" t="str">
        <f>IF(P30=0, "Sin Pago", 
  LET(
    monedaPago, Q30, 
    descuentoAplicado, G30,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0" s="36" t="str">
        <f t="shared" si="12"/>
        <v/>
      </c>
      <c r="Y30" s="36">
        <v>29.15730285384934</v>
      </c>
      <c r="Z30" s="33" t="s">
        <v>596</v>
      </c>
      <c r="AA30" s="33"/>
      <c r="AB30" s="33"/>
      <c r="AC30" s="33"/>
      <c r="AD30" s="33"/>
      <c r="AE30" s="33"/>
      <c r="AF30" s="33"/>
    </row>
    <row r="31" ht="22.5" customHeight="1">
      <c r="A31" s="23" t="s">
        <v>66</v>
      </c>
      <c r="B31" s="24">
        <v>46090.2553587963</v>
      </c>
      <c r="C31" s="23" t="s">
        <v>65</v>
      </c>
      <c r="D31" s="23" t="s">
        <v>556</v>
      </c>
      <c r="E31" s="25">
        <v>1080.62</v>
      </c>
      <c r="F31" s="23" t="s">
        <v>608</v>
      </c>
      <c r="G31" s="26">
        <f>IF($E31=0,0,IF(SUMIF(Aux_Datos!$B:$B,$I31,Aux_Datos!$K:$K)/$E31&gt;=VLOOKUP(IF(COUNTIFS(Aux_Datos!$B:$B,$I31,Aux_Datos!$D:$D,"&lt;&gt;USD")=0,"USD","VES"),'Limites de Descuento'!$A$2:$D$4,4,FALSE),MAX(0,1-SUMIF(Aux_Datos!$B:$B,$I31,Aux_Datos!$K:$K)/$E31),0))</f>
        <v>0</v>
      </c>
      <c r="H31" s="27"/>
      <c r="I31" s="28">
        <f t="shared" si="1"/>
        <v>40</v>
      </c>
      <c r="J31" s="29">
        <f t="shared" si="2"/>
        <v>46090</v>
      </c>
      <c r="K31" s="30">
        <f t="shared" si="3"/>
        <v>7</v>
      </c>
      <c r="L31" s="29">
        <f t="shared" si="4"/>
        <v>46098</v>
      </c>
      <c r="M31" s="30">
        <f t="shared" si="5"/>
        <v>1080.62</v>
      </c>
      <c r="N31" s="32">
        <f t="shared" si="6"/>
        <v>102</v>
      </c>
      <c r="O31" s="33" t="str">
        <f t="shared" si="7"/>
        <v>VENCIDA</v>
      </c>
      <c r="P31" s="34">
        <f>LET(
  idVenta, I31&amp;"",
  montoTotal, M31,
  pagos, IFERROR(SUMIF(Aux_Datos!$B:$B, idVenta, Aux_Datos!$K:$K), 0),
  retenciones, IFERROR(SUMIF(Aux_Datos!$N:$N, idVenta, Aux_Datos!$R:$R), 0),
  pagos + retenciones
)</f>
        <v>120</v>
      </c>
      <c r="Q31" s="30" t="str">
        <f>IF(P31=0, "Sin Pago", 
  LET(
    idVenta, I31&amp;"",
    montoTotalPagado, P31,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1" s="30">
        <f t="shared" si="13"/>
        <v>960.62</v>
      </c>
      <c r="S31" s="29">
        <f>IF(P31=0, "Sin Pago", 
  IFERROR(
    MAXIFS(Aux_Datos!$A:$A, Aux_Datos!$B:$B, I31&amp;""), 
    IFERROR(MAXIFS(Aux_Datos!$A:$A, Aux_Datos!$B:$B, VALUE(I31)), "Revisar ID")
  )
)</f>
        <v>46156</v>
      </c>
      <c r="T31" s="35" t="str">
        <f t="shared" si="9"/>
        <v>PAGO PARCIAL</v>
      </c>
      <c r="U31" s="35" t="str">
        <f t="shared" si="10"/>
        <v>CRÍTICO: VENCIDA</v>
      </c>
      <c r="V31" s="32">
        <f t="shared" si="11"/>
        <v>44</v>
      </c>
      <c r="W31" s="36" t="str">
        <f>IF(P31=0, "Sin Pago", 
  LET(
    monedaPago, Q31, 
    descuentoAplicado, G31,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1" s="36" t="str">
        <f t="shared" si="12"/>
        <v/>
      </c>
      <c r="Y31" s="36">
        <v>120.0</v>
      </c>
      <c r="Z31" s="33" t="s">
        <v>609</v>
      </c>
      <c r="AA31" s="33"/>
      <c r="AB31" s="33"/>
      <c r="AC31" s="33"/>
      <c r="AD31" s="33"/>
      <c r="AE31" s="33"/>
      <c r="AF31" s="33"/>
    </row>
    <row r="32" ht="22.5" customHeight="1">
      <c r="A32" s="23" t="s">
        <v>634</v>
      </c>
      <c r="B32" s="24">
        <v>46090.25541666667</v>
      </c>
      <c r="C32" s="23" t="s">
        <v>635</v>
      </c>
      <c r="D32" s="23" t="s">
        <v>556</v>
      </c>
      <c r="E32" s="25">
        <v>160.98</v>
      </c>
      <c r="F32" s="23" t="s">
        <v>593</v>
      </c>
      <c r="G32" s="26">
        <f>IF($E32=0,0,IF(SUMIF(Aux_Datos!$B:$B,$I32,Aux_Datos!$K:$K)/$E32&gt;=VLOOKUP(IF(COUNTIFS(Aux_Datos!$B:$B,$I32,Aux_Datos!$D:$D,"&lt;&gt;USD")=0,"USD","VES"),'Limites de Descuento'!$A$2:$D$4,4,FALSE),MAX(0,1-SUMIF(Aux_Datos!$B:$B,$I32,Aux_Datos!$K:$K)/$E32),0))</f>
        <v>0</v>
      </c>
      <c r="H32" s="27"/>
      <c r="I32" s="28">
        <f t="shared" si="1"/>
        <v>41</v>
      </c>
      <c r="J32" s="29">
        <f t="shared" si="2"/>
        <v>46090</v>
      </c>
      <c r="K32" s="30">
        <f t="shared" si="3"/>
        <v>0</v>
      </c>
      <c r="L32" s="29">
        <f t="shared" si="4"/>
        <v>46091</v>
      </c>
      <c r="M32" s="30">
        <f t="shared" si="5"/>
        <v>160.98</v>
      </c>
      <c r="N32" s="32">
        <f t="shared" si="6"/>
        <v>0</v>
      </c>
      <c r="O32" s="33" t="str">
        <f t="shared" si="7"/>
        <v>PAGADA</v>
      </c>
      <c r="P32" s="34">
        <f>LET(
  idVenta, I32&amp;"",
  montoTotal, M32,
  pagos, IFERROR(SUMIF(Aux_Datos!$B:$B, idVenta, Aux_Datos!$K:$K), 0),
  retenciones, IFERROR(SUMIF(Aux_Datos!$N:$N, idVenta, Aux_Datos!$R:$R), 0),
  pagos + retenciones
)</f>
        <v>161.0005</v>
      </c>
      <c r="Q32" s="30" t="str">
        <f>IF(P32=0, "Sin Pago", 
  LET(
    idVenta, I32&amp;"",
    montoTotalPagado, P32,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2" s="30">
        <f t="shared" si="13"/>
        <v>-0.02050004288</v>
      </c>
      <c r="S32" s="29">
        <f>IF(P32=0, "Sin Pago", 
  IFERROR(
    MAXIFS(Aux_Datos!$A:$A, Aux_Datos!$B:$B, I32&amp;""), 
    IFERROR(MAXIFS(Aux_Datos!$A:$A, Aux_Datos!$B:$B, VALUE(I32)), "Revisar ID")
  )
)</f>
        <v>46134</v>
      </c>
      <c r="T32" s="35" t="str">
        <f t="shared" si="9"/>
        <v>PAGADA</v>
      </c>
      <c r="U32" s="35" t="str">
        <f t="shared" si="10"/>
        <v>SOLVENTE</v>
      </c>
      <c r="V32" s="32">
        <f t="shared" si="11"/>
        <v>0</v>
      </c>
      <c r="W32" s="36" t="str">
        <f>IF(P32=0, "Sin Pago", 
  LET(
    monedaPago, Q32, 
    descuentoAplicado, G32,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2" s="36" t="str">
        <f t="shared" si="12"/>
        <v/>
      </c>
      <c r="Y32" s="36">
        <v>161.00050004287857</v>
      </c>
      <c r="Z32" s="33" t="s">
        <v>596</v>
      </c>
      <c r="AA32" s="33"/>
      <c r="AB32" s="33"/>
      <c r="AC32" s="33"/>
      <c r="AD32" s="33"/>
      <c r="AE32" s="33"/>
      <c r="AF32" s="33"/>
    </row>
    <row r="33" ht="22.5" customHeight="1">
      <c r="A33" s="23" t="s">
        <v>636</v>
      </c>
      <c r="B33" s="24">
        <v>46087.58636574074</v>
      </c>
      <c r="C33" s="23" t="s">
        <v>82</v>
      </c>
      <c r="D33" s="23" t="s">
        <v>208</v>
      </c>
      <c r="E33" s="25">
        <v>151.96</v>
      </c>
      <c r="F33" s="23" t="s">
        <v>608</v>
      </c>
      <c r="G33" s="26">
        <f>IF($E33=0,0,IF(SUMIF(Aux_Datos!$B:$B,$I33,Aux_Datos!$K:$K)/$E33&gt;=VLOOKUP(IF(COUNTIFS(Aux_Datos!$B:$B,$I33,Aux_Datos!$D:$D,"&lt;&gt;USD")=0,"USD","VES"),'Limites de Descuento'!$A$2:$D$4,4,FALSE),MAX(0,1-SUMIF(Aux_Datos!$B:$B,$I33,Aux_Datos!$K:$K)/$E33),0))</f>
        <v>0.1379310391</v>
      </c>
      <c r="H33" s="27"/>
      <c r="I33" s="28">
        <f t="shared" si="1"/>
        <v>42</v>
      </c>
      <c r="J33" s="29">
        <f t="shared" si="2"/>
        <v>46087</v>
      </c>
      <c r="K33" s="30">
        <f t="shared" si="3"/>
        <v>7</v>
      </c>
      <c r="L33" s="29">
        <f t="shared" si="4"/>
        <v>46095</v>
      </c>
      <c r="M33" s="30">
        <f t="shared" si="5"/>
        <v>130.9999993</v>
      </c>
      <c r="N33" s="32">
        <f t="shared" si="6"/>
        <v>0</v>
      </c>
      <c r="O33" s="33" t="str">
        <f t="shared" si="7"/>
        <v>PAGADA</v>
      </c>
      <c r="P33" s="34">
        <f>LET(
  idVenta, I33&amp;"",
  montoTotal, M33,
  pagos, IFERROR(SUMIF(Aux_Datos!$B:$B, idVenta, Aux_Datos!$K:$K), 0),
  retenciones, IFERROR(SUMIF(Aux_Datos!$N:$N, idVenta, Aux_Datos!$R:$R), 0),
  pagos + retenciones
)</f>
        <v>151.9600066</v>
      </c>
      <c r="Q33" s="30" t="str">
        <f>IF(P33=0, "Sin Pago", 
  LET(
    idVenta, I33&amp;"",
    montoTotalPagado, P33,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33" s="30">
        <f t="shared" si="13"/>
        <v>-20.96000731</v>
      </c>
      <c r="S33" s="29">
        <f>IF(P33=0, "Sin Pago", 
  IFERROR(
    MAXIFS(Aux_Datos!$A:$A, Aux_Datos!$B:$B, I33&amp;""), 
    IFERROR(MAXIFS(Aux_Datos!$A:$A, Aux_Datos!$B:$B, VALUE(I33)), "Revisar ID")
  )
)</f>
        <v>46087</v>
      </c>
      <c r="T33" s="35" t="str">
        <f t="shared" si="9"/>
        <v>PAGADA</v>
      </c>
      <c r="U33" s="35" t="str">
        <f t="shared" si="10"/>
        <v>SOLVENTE</v>
      </c>
      <c r="V33" s="32">
        <f t="shared" si="11"/>
        <v>0</v>
      </c>
      <c r="W33" s="36" t="str">
        <f>IF(P33=0, "Sin Pago", 
  LET(
    monedaPago, Q33, 
    descuentoAplicado, G33,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3" s="36" t="str">
        <f t="shared" si="12"/>
        <v/>
      </c>
      <c r="Y33" s="36">
        <v>130.99999930396257</v>
      </c>
      <c r="Z33" s="33" t="s">
        <v>596</v>
      </c>
      <c r="AA33" s="33"/>
      <c r="AB33" s="33"/>
      <c r="AC33" s="33"/>
      <c r="AD33" s="33"/>
      <c r="AE33" s="33"/>
      <c r="AF33" s="33"/>
    </row>
    <row r="34" ht="22.5" customHeight="1">
      <c r="A34" s="23" t="s">
        <v>637</v>
      </c>
      <c r="B34" s="24">
        <v>46087.67890046296</v>
      </c>
      <c r="C34" s="23" t="s">
        <v>638</v>
      </c>
      <c r="D34" s="23" t="s">
        <v>529</v>
      </c>
      <c r="E34" s="25">
        <v>362.52</v>
      </c>
      <c r="F34" s="23" t="s">
        <v>619</v>
      </c>
      <c r="G34" s="26">
        <f>IF($E34=0,0,IF(SUMIF(Aux_Datos!$B:$B,$I34,Aux_Datos!$K:$K)/$E34&gt;=VLOOKUP(IF(COUNTIFS(Aux_Datos!$B:$B,$I34,Aux_Datos!$D:$D,"&lt;&gt;USD")=0,"USD","VES"),'Limites de Descuento'!$A$2:$D$4,4,FALSE),MAX(0,1-SUMIF(Aux_Datos!$B:$B,$I34,Aux_Datos!$K:$K)/$E34),0))</f>
        <v>0</v>
      </c>
      <c r="H34" s="27"/>
      <c r="I34" s="28">
        <f t="shared" si="1"/>
        <v>43</v>
      </c>
      <c r="J34" s="29">
        <f t="shared" si="2"/>
        <v>46087</v>
      </c>
      <c r="K34" s="30">
        <f t="shared" si="3"/>
        <v>15</v>
      </c>
      <c r="L34" s="29">
        <f t="shared" si="4"/>
        <v>46103</v>
      </c>
      <c r="M34" s="30">
        <f t="shared" si="5"/>
        <v>362.52</v>
      </c>
      <c r="N34" s="32">
        <f t="shared" si="6"/>
        <v>0</v>
      </c>
      <c r="O34" s="33" t="str">
        <f t="shared" si="7"/>
        <v>PAGADA</v>
      </c>
      <c r="P34" s="34">
        <f>LET(
  idVenta, I34&amp;"",
  montoTotal, M34,
  pagos, IFERROR(SUMIF(Aux_Datos!$B:$B, idVenta, Aux_Datos!$K:$K), 0),
  retenciones, IFERROR(SUMIF(Aux_Datos!$N:$N, idVenta, Aux_Datos!$R:$R), 0),
  pagos + retenciones
)</f>
        <v>426.5074997</v>
      </c>
      <c r="Q34" s="30" t="str">
        <f>IF(P34=0, "Sin Pago", 
  LET(
    idVenta, I34&amp;"",
    montoTotalPagado, P34,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34" s="30">
        <f t="shared" si="13"/>
        <v>-63.98749969</v>
      </c>
      <c r="S34" s="29">
        <f>IF(P34=0, "Sin Pago", 
  IFERROR(
    MAXIFS(Aux_Datos!$A:$A, Aux_Datos!$B:$B, I34&amp;""), 
    IFERROR(MAXIFS(Aux_Datos!$A:$A, Aux_Datos!$B:$B, VALUE(I34)), "Revisar ID")
  )
)</f>
        <v>46150</v>
      </c>
      <c r="T34" s="35" t="str">
        <f t="shared" si="9"/>
        <v>PAGADA</v>
      </c>
      <c r="U34" s="35" t="str">
        <f t="shared" si="10"/>
        <v>SOLVENTE</v>
      </c>
      <c r="V34" s="32">
        <f t="shared" si="11"/>
        <v>0</v>
      </c>
      <c r="W34" s="36" t="str">
        <f>IF(P34=0, "Sin Pago", 
  LET(
    monedaPago, Q34, 
    descuentoAplicado, G34,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4" s="36" t="str">
        <f t="shared" si="12"/>
        <v/>
      </c>
      <c r="Y34" s="36">
        <v>426.50749968791314</v>
      </c>
      <c r="Z34" s="33" t="s">
        <v>596</v>
      </c>
      <c r="AA34" s="33"/>
      <c r="AB34" s="33"/>
      <c r="AC34" s="33"/>
      <c r="AD34" s="33"/>
      <c r="AE34" s="33"/>
      <c r="AF34" s="33"/>
    </row>
    <row r="35" ht="22.5" customHeight="1">
      <c r="A35" s="23" t="s">
        <v>639</v>
      </c>
      <c r="B35" s="24">
        <v>46087.68325231481</v>
      </c>
      <c r="C35" s="23" t="s">
        <v>439</v>
      </c>
      <c r="D35" s="23" t="s">
        <v>544</v>
      </c>
      <c r="E35" s="25">
        <v>2421.89</v>
      </c>
      <c r="F35" s="23" t="s">
        <v>640</v>
      </c>
      <c r="G35" s="26">
        <f>IF($E35=0,0,IF(SUMIF(Aux_Datos!$B:$B,$I35,Aux_Datos!$K:$K)/$E35&gt;=VLOOKUP(IF(COUNTIFS(Aux_Datos!$B:$B,$I35,Aux_Datos!$D:$D,"&lt;&gt;USD")=0,"USD","VES"),'Limites de Descuento'!$A$2:$D$4,4,FALSE),MAX(0,1-SUMIF(Aux_Datos!$B:$B,$I35,Aux_Datos!$K:$K)/$E35),0))</f>
        <v>0.1135022648</v>
      </c>
      <c r="H35" s="27"/>
      <c r="I35" s="28">
        <f t="shared" si="1"/>
        <v>44</v>
      </c>
      <c r="J35" s="29">
        <f t="shared" si="2"/>
        <v>46087</v>
      </c>
      <c r="K35" s="30">
        <f t="shared" si="3"/>
        <v>45</v>
      </c>
      <c r="L35" s="29">
        <f t="shared" si="4"/>
        <v>46133</v>
      </c>
      <c r="M35" s="30">
        <f t="shared" si="5"/>
        <v>2147</v>
      </c>
      <c r="N35" s="32">
        <f t="shared" si="6"/>
        <v>0</v>
      </c>
      <c r="O35" s="33" t="str">
        <f t="shared" si="7"/>
        <v>PAGADA</v>
      </c>
      <c r="P35" s="34">
        <f>LET(
  idVenta, I35&amp;"",
  montoTotal, M35,
  pagos, IFERROR(SUMIF(Aux_Datos!$B:$B, idVenta, Aux_Datos!$K:$K), 0),
  retenciones, IFERROR(SUMIF(Aux_Datos!$N:$N, idVenta, Aux_Datos!$R:$R), 0),
  pagos + retenciones
)</f>
        <v>2147</v>
      </c>
      <c r="Q35" s="30" t="str">
        <f>IF(P35=0, "Sin Pago", 
  LET(
    idVenta, I35&amp;"",
    montoTotalPagado, P35,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5" s="30">
        <f t="shared" si="13"/>
        <v>0</v>
      </c>
      <c r="S35" s="29">
        <f>IF(P35=0, "Sin Pago", 
  IFERROR(
    MAXIFS(Aux_Datos!$A:$A, Aux_Datos!$B:$B, I35&amp;""), 
    IFERROR(MAXIFS(Aux_Datos!$A:$A, Aux_Datos!$B:$B, VALUE(I35)), "Revisar ID")
  )
)</f>
        <v>46196</v>
      </c>
      <c r="T35" s="35" t="str">
        <f t="shared" si="9"/>
        <v>PAGADA</v>
      </c>
      <c r="U35" s="35" t="str">
        <f t="shared" si="10"/>
        <v>SOLVENTE</v>
      </c>
      <c r="V35" s="32">
        <f t="shared" si="11"/>
        <v>0</v>
      </c>
      <c r="W35" s="36" t="str">
        <f>IF(P35=0, "Sin Pago", 
  LET(
    monedaPago, Q35, 
    descuentoAplicado, G35,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5" s="36" t="str">
        <f t="shared" si="12"/>
        <v/>
      </c>
      <c r="Y35" s="36">
        <v>2147.0</v>
      </c>
      <c r="Z35" s="33" t="s">
        <v>596</v>
      </c>
      <c r="AA35" s="33"/>
      <c r="AB35" s="33"/>
      <c r="AC35" s="33"/>
      <c r="AD35" s="33"/>
      <c r="AE35" s="33"/>
      <c r="AF35" s="33"/>
    </row>
    <row r="36" ht="22.5" customHeight="1">
      <c r="A36" s="23" t="s">
        <v>42</v>
      </c>
      <c r="B36" s="24">
        <v>46090.24017361111</v>
      </c>
      <c r="C36" s="23" t="s">
        <v>41</v>
      </c>
      <c r="D36" s="23" t="s">
        <v>556</v>
      </c>
      <c r="E36" s="25">
        <v>55.34</v>
      </c>
      <c r="F36" s="23" t="s">
        <v>608</v>
      </c>
      <c r="G36" s="26">
        <f>IF($E36=0,0,IF(SUMIF(Aux_Datos!$B:$B,$I36,Aux_Datos!$K:$K)/$E36&gt;=VLOOKUP(IF(COUNTIFS(Aux_Datos!$B:$B,$I36,Aux_Datos!$D:$D,"&lt;&gt;USD")=0,"USD","VES"),'Limites de Descuento'!$A$2:$D$4,4,FALSE),MAX(0,1-SUMIF(Aux_Datos!$B:$B,$I36,Aux_Datos!$K:$K)/$E36),0))</f>
        <v>0</v>
      </c>
      <c r="H36" s="27"/>
      <c r="I36" s="28">
        <f t="shared" si="1"/>
        <v>45</v>
      </c>
      <c r="J36" s="29">
        <f t="shared" si="2"/>
        <v>46090</v>
      </c>
      <c r="K36" s="30">
        <f t="shared" si="3"/>
        <v>7</v>
      </c>
      <c r="L36" s="29">
        <f t="shared" si="4"/>
        <v>46098</v>
      </c>
      <c r="M36" s="30">
        <f t="shared" si="5"/>
        <v>55.34</v>
      </c>
      <c r="N36" s="32">
        <f t="shared" si="6"/>
        <v>102</v>
      </c>
      <c r="O36" s="33" t="str">
        <f t="shared" si="7"/>
        <v>VENCIDA</v>
      </c>
      <c r="P36" s="34">
        <f>LET(
  idVenta, I36&amp;"",
  montoTotal, M36,
  pagos, IFERROR(SUMIF(Aux_Datos!$B:$B, idVenta, Aux_Datos!$K:$K), 0),
  retenciones, IFERROR(SUMIF(Aux_Datos!$N:$N, idVenta, Aux_Datos!$R:$R), 0),
  pagos + retenciones
)</f>
        <v>0</v>
      </c>
      <c r="Q36" s="30" t="str">
        <f>IF(P36=0, "Sin Pago", 
  LET(
    idVenta, I36&amp;"",
    montoTotalPagado, P36,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6" s="30">
        <f t="shared" si="13"/>
        <v>55.34</v>
      </c>
      <c r="S36" s="29" t="str">
        <f>IF(P36=0, "Sin Pago", 
  IFERROR(
    MAXIFS(Aux_Datos!$A:$A, Aux_Datos!$B:$B, I36&amp;""), 
    IFERROR(MAXIFS(Aux_Datos!$A:$A, Aux_Datos!$B:$B, VALUE(I36)), "Revisar ID")
  )
)</f>
        <v>Sin Pago</v>
      </c>
      <c r="T36" s="35" t="str">
        <f t="shared" si="9"/>
        <v>PENDIENTE</v>
      </c>
      <c r="U36" s="35" t="str">
        <f t="shared" si="10"/>
        <v>CRÍTICO: VENCIDA</v>
      </c>
      <c r="V36" s="32">
        <f t="shared" si="11"/>
        <v>0</v>
      </c>
      <c r="W36" s="36" t="str">
        <f>IF(P36=0, "Sin Pago", 
  LET(
    monedaPago, Q36, 
    descuentoAplicado, G36,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6" s="36" t="str">
        <f t="shared" si="12"/>
        <v/>
      </c>
      <c r="Y36" s="36">
        <v>0.0</v>
      </c>
      <c r="Z36" s="33" t="s">
        <v>641</v>
      </c>
      <c r="AA36" s="33"/>
      <c r="AB36" s="33"/>
      <c r="AC36" s="33"/>
      <c r="AD36" s="33"/>
      <c r="AE36" s="33"/>
      <c r="AF36" s="33"/>
    </row>
    <row r="37" ht="22.5" customHeight="1">
      <c r="A37" s="23" t="s">
        <v>642</v>
      </c>
      <c r="B37" s="24">
        <v>46091.44188657407</v>
      </c>
      <c r="C37" s="23" t="s">
        <v>5</v>
      </c>
      <c r="D37" s="23" t="s">
        <v>552</v>
      </c>
      <c r="E37" s="25">
        <v>129.99</v>
      </c>
      <c r="F37" s="23" t="s">
        <v>593</v>
      </c>
      <c r="G37" s="26">
        <f>IF($E37=0,0,IF(SUMIF(Aux_Datos!$B:$B,$I37,Aux_Datos!$K:$K)/$E37&gt;=VLOOKUP(IF(COUNTIFS(Aux_Datos!$B:$B,$I37,Aux_Datos!$D:$D,"&lt;&gt;USD")=0,"USD","VES"),'Limites de Descuento'!$A$2:$D$4,4,FALSE),MAX(0,1-SUMIF(Aux_Datos!$B:$B,$I37,Aux_Datos!$K:$K)/$E37),0))</f>
        <v>0.00007692899454</v>
      </c>
      <c r="H37" s="26"/>
      <c r="I37" s="28">
        <f t="shared" si="1"/>
        <v>46</v>
      </c>
      <c r="J37" s="29">
        <f t="shared" si="2"/>
        <v>46091</v>
      </c>
      <c r="K37" s="30">
        <f t="shared" si="3"/>
        <v>0</v>
      </c>
      <c r="L37" s="29">
        <f t="shared" si="4"/>
        <v>46092</v>
      </c>
      <c r="M37" s="30">
        <f t="shared" si="5"/>
        <v>129.98</v>
      </c>
      <c r="N37" s="32">
        <f t="shared" si="6"/>
        <v>0</v>
      </c>
      <c r="O37" s="33" t="str">
        <f t="shared" si="7"/>
        <v>PAGADA</v>
      </c>
      <c r="P37" s="34">
        <f>LET(
  idVenta, I37&amp;"",
  montoTotal, M37,
  pagos, IFERROR(SUMIF(Aux_Datos!$B:$B, idVenta, Aux_Datos!$K:$K), 0),
  retenciones, IFERROR(SUMIF(Aux_Datos!$N:$N, idVenta, Aux_Datos!$R:$R), 0),
  pagos + retenciones
)</f>
        <v>129.98</v>
      </c>
      <c r="Q37" s="30" t="str">
        <f>IF(P37=0, "Sin Pago", 
  LET(
    idVenta, I37&amp;"",
    montoTotalPagado, P37,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7" s="30">
        <f t="shared" si="13"/>
        <v>0</v>
      </c>
      <c r="S37" s="29">
        <f>IF(P37=0, "Sin Pago", 
  IFERROR(
    MAXIFS(Aux_Datos!$A:$A, Aux_Datos!$B:$B, I37&amp;""), 
    IFERROR(MAXIFS(Aux_Datos!$A:$A, Aux_Datos!$B:$B, VALUE(I37)), "Revisar ID")
  )
)</f>
        <v>46094</v>
      </c>
      <c r="T37" s="35" t="str">
        <f t="shared" si="9"/>
        <v>PAGADA</v>
      </c>
      <c r="U37" s="35" t="str">
        <f t="shared" si="10"/>
        <v>SOLVENTE</v>
      </c>
      <c r="V37" s="32">
        <f t="shared" si="11"/>
        <v>0</v>
      </c>
      <c r="W37" s="36" t="str">
        <f>IF(P37=0, "Sin Pago", 
  LET(
    monedaPago, Q37, 
    descuentoAplicado, G37,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7" s="36" t="str">
        <f t="shared" si="12"/>
        <v/>
      </c>
      <c r="Y37" s="36">
        <v>129.98</v>
      </c>
      <c r="Z37" s="33" t="s">
        <v>596</v>
      </c>
      <c r="AA37" s="33"/>
      <c r="AB37" s="33"/>
      <c r="AC37" s="33"/>
      <c r="AD37" s="33"/>
      <c r="AE37" s="33"/>
      <c r="AF37" s="33"/>
    </row>
    <row r="38" ht="22.5" customHeight="1">
      <c r="A38" s="23" t="s">
        <v>643</v>
      </c>
      <c r="B38" s="24">
        <v>46090.551469907405</v>
      </c>
      <c r="C38" s="23" t="s">
        <v>644</v>
      </c>
      <c r="D38" s="23" t="s">
        <v>323</v>
      </c>
      <c r="E38" s="25">
        <v>1893.12</v>
      </c>
      <c r="F38" s="23" t="s">
        <v>608</v>
      </c>
      <c r="G38" s="26">
        <f>IF($E38=0,0,IF(SUMIF(Aux_Datos!$B:$B,$I38,Aux_Datos!$K:$K)/$E38&gt;=VLOOKUP(IF(COUNTIFS(Aux_Datos!$B:$B,$I38,Aux_Datos!$D:$D,"&lt;&gt;USD")=0,"USD","VES"),'Limites de Descuento'!$A$2:$D$4,4,FALSE),MAX(0,1-SUMIF(Aux_Datos!$B:$B,$I38,Aux_Datos!$K:$K)/$E38),0))</f>
        <v>0</v>
      </c>
      <c r="H38" s="26">
        <v>0.0509</v>
      </c>
      <c r="I38" s="28">
        <f t="shared" si="1"/>
        <v>47</v>
      </c>
      <c r="J38" s="29">
        <f t="shared" si="2"/>
        <v>46090</v>
      </c>
      <c r="K38" s="30">
        <f t="shared" si="3"/>
        <v>7</v>
      </c>
      <c r="L38" s="29">
        <f t="shared" si="4"/>
        <v>46098</v>
      </c>
      <c r="M38" s="30">
        <f t="shared" si="5"/>
        <v>1796.760192</v>
      </c>
      <c r="N38" s="32">
        <f t="shared" si="6"/>
        <v>0</v>
      </c>
      <c r="O38" s="33" t="str">
        <f t="shared" si="7"/>
        <v>PAGADA</v>
      </c>
      <c r="P38" s="34">
        <f>LET(
  idVenta, I38&amp;"",
  montoTotal, M38,
  pagos, IFERROR(SUMIF(Aux_Datos!$B:$B, idVenta, Aux_Datos!$K:$K), 0),
  retenciones, IFERROR(SUMIF(Aux_Datos!$N:$N, idVenta, Aux_Datos!$R:$R), 0),
  pagos + retenciones
)</f>
        <v>1893.120011</v>
      </c>
      <c r="Q38" s="30" t="str">
        <f>IF(P38=0, "Sin Pago", 
  LET(
    idVenta, I38&amp;"",
    montoTotalPagado, P38,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38" s="30">
        <f t="shared" si="13"/>
        <v>-96.35981916</v>
      </c>
      <c r="S38" s="29">
        <f>IF(P38=0, "Sin Pago", 
  IFERROR(
    MAXIFS(Aux_Datos!$A:$A, Aux_Datos!$B:$B, I38&amp;""), 
    IFERROR(MAXIFS(Aux_Datos!$A:$A, Aux_Datos!$B:$B, VALUE(I38)), "Revisar ID")
  )
)</f>
        <v>46090</v>
      </c>
      <c r="T38" s="35" t="str">
        <f t="shared" si="9"/>
        <v>PAGADA</v>
      </c>
      <c r="U38" s="35" t="str">
        <f t="shared" si="10"/>
        <v>SOLVENTE</v>
      </c>
      <c r="V38" s="32">
        <f t="shared" si="11"/>
        <v>0</v>
      </c>
      <c r="W38" s="36" t="str">
        <f>IF(P38=0, "Sin Pago", 
  LET(
    monedaPago, Q38, 
    descuentoAplicado, G38,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8" s="36" t="str">
        <f t="shared" si="12"/>
        <v>OK</v>
      </c>
      <c r="Y38" s="36">
        <v>1893.1200111550663</v>
      </c>
      <c r="Z38" s="33" t="s">
        <v>596</v>
      </c>
      <c r="AA38" s="33"/>
      <c r="AB38" s="33"/>
      <c r="AC38" s="33"/>
      <c r="AD38" s="33"/>
      <c r="AE38" s="33"/>
      <c r="AF38" s="33"/>
    </row>
    <row r="39" ht="22.5" customHeight="1">
      <c r="A39" s="23" t="s">
        <v>645</v>
      </c>
      <c r="B39" s="24">
        <v>46090.656018518515</v>
      </c>
      <c r="C39" s="23" t="s">
        <v>646</v>
      </c>
      <c r="D39" s="23" t="s">
        <v>540</v>
      </c>
      <c r="E39" s="25">
        <v>53.79</v>
      </c>
      <c r="F39" s="23" t="s">
        <v>608</v>
      </c>
      <c r="G39" s="26">
        <f>IF($E39=0,0,IF(SUMIF(Aux_Datos!$B:$B,$I39,Aux_Datos!$K:$K)/$E39&gt;=VLOOKUP(IF(COUNTIFS(Aux_Datos!$B:$B,$I39,Aux_Datos!$D:$D,"&lt;&gt;USD")=0,"USD","VES"),'Limites de Descuento'!$A$2:$D$4,4,FALSE),MAX(0,1-SUMIF(Aux_Datos!$B:$B,$I39,Aux_Datos!$K:$K)/$E39),0))</f>
        <v>0</v>
      </c>
      <c r="H39" s="26"/>
      <c r="I39" s="28">
        <f t="shared" si="1"/>
        <v>48</v>
      </c>
      <c r="J39" s="29">
        <f t="shared" si="2"/>
        <v>46090</v>
      </c>
      <c r="K39" s="30">
        <f t="shared" si="3"/>
        <v>7</v>
      </c>
      <c r="L39" s="29">
        <f t="shared" si="4"/>
        <v>46098</v>
      </c>
      <c r="M39" s="30">
        <f t="shared" si="5"/>
        <v>53.79</v>
      </c>
      <c r="N39" s="32">
        <f t="shared" si="6"/>
        <v>0</v>
      </c>
      <c r="O39" s="33" t="str">
        <f t="shared" si="7"/>
        <v>PAGADA</v>
      </c>
      <c r="P39" s="34">
        <f>LET(
  idVenta, I39&amp;"",
  montoTotal, M39,
  pagos, IFERROR(SUMIF(Aux_Datos!$B:$B, idVenta, Aux_Datos!$K:$K), 0),
  retenciones, IFERROR(SUMIF(Aux_Datos!$N:$N, idVenta, Aux_Datos!$R:$R), 0),
  pagos + retenciones
)</f>
        <v>61.94126452</v>
      </c>
      <c r="Q39" s="30" t="str">
        <f>IF(P39=0, "Sin Pago", 
  LET(
    idVenta, I39&amp;"",
    montoTotalPagado, P39,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39" s="30">
        <f t="shared" si="13"/>
        <v>-8.151264518</v>
      </c>
      <c r="S39" s="29">
        <f>IF(P39=0, "Sin Pago", 
  IFERROR(
    MAXIFS(Aux_Datos!$A:$A, Aux_Datos!$B:$B, I39&amp;""), 
    IFERROR(MAXIFS(Aux_Datos!$A:$A, Aux_Datos!$B:$B, VALUE(I39)), "Revisar ID")
  )
)</f>
        <v>46104</v>
      </c>
      <c r="T39" s="35" t="str">
        <f t="shared" si="9"/>
        <v>PAGADA</v>
      </c>
      <c r="U39" s="35" t="str">
        <f t="shared" si="10"/>
        <v>SOLVENTE</v>
      </c>
      <c r="V39" s="32">
        <f t="shared" si="11"/>
        <v>0</v>
      </c>
      <c r="W39" s="36" t="str">
        <f>IF(P39=0, "Sin Pago", 
  LET(
    monedaPago, Q39, 
    descuentoAplicado, G39,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9" s="36" t="str">
        <f t="shared" si="12"/>
        <v/>
      </c>
      <c r="Y39" s="36">
        <v>61.94126451808485</v>
      </c>
      <c r="Z39" s="33" t="s">
        <v>596</v>
      </c>
      <c r="AA39" s="33"/>
      <c r="AB39" s="33"/>
      <c r="AC39" s="33"/>
      <c r="AD39" s="33"/>
      <c r="AE39" s="33"/>
      <c r="AF39" s="33"/>
    </row>
    <row r="40" ht="22.5" customHeight="1">
      <c r="A40" s="23" t="s">
        <v>101</v>
      </c>
      <c r="B40" s="24">
        <v>46091.460335648146</v>
      </c>
      <c r="C40" s="23" t="s">
        <v>100</v>
      </c>
      <c r="D40" s="23" t="s">
        <v>544</v>
      </c>
      <c r="E40" s="25">
        <v>1033.52</v>
      </c>
      <c r="F40" s="23" t="s">
        <v>619</v>
      </c>
      <c r="G40" s="26">
        <f>IF($E40=0,0,IF(SUMIF(Aux_Datos!$B:$B,$I40,Aux_Datos!$K:$K)/$E40&gt;=VLOOKUP(IF(COUNTIFS(Aux_Datos!$B:$B,$I40,Aux_Datos!$D:$D,"&lt;&gt;USD")=0,"USD","VES"),'Limites de Descuento'!$A$2:$D$4,4,FALSE),MAX(0,1-SUMIF(Aux_Datos!$B:$B,$I40,Aux_Datos!$K:$K)/$E40),0))</f>
        <v>0</v>
      </c>
      <c r="H40" s="27"/>
      <c r="I40" s="28">
        <f t="shared" si="1"/>
        <v>49</v>
      </c>
      <c r="J40" s="29">
        <f t="shared" si="2"/>
        <v>46091</v>
      </c>
      <c r="K40" s="30">
        <f t="shared" si="3"/>
        <v>15</v>
      </c>
      <c r="L40" s="29">
        <f t="shared" si="4"/>
        <v>46107</v>
      </c>
      <c r="M40" s="30">
        <f t="shared" si="5"/>
        <v>1033.52</v>
      </c>
      <c r="N40" s="32">
        <f t="shared" si="6"/>
        <v>93</v>
      </c>
      <c r="O40" s="33" t="str">
        <f t="shared" si="7"/>
        <v>VENCIDA</v>
      </c>
      <c r="P40" s="34">
        <f>LET(
  idVenta, I40&amp;"",
  montoTotal, M40,
  pagos, IFERROR(SUMIF(Aux_Datos!$B:$B, idVenta, Aux_Datos!$K:$K), 0),
  retenciones, IFERROR(SUMIF(Aux_Datos!$N:$N, idVenta, Aux_Datos!$R:$R), 0),
  pagos + retenciones
)</f>
        <v>430</v>
      </c>
      <c r="Q40" s="30" t="str">
        <f>IF(P40=0, "Sin Pago", 
  LET(
    idVenta, I40&amp;"",
    montoTotalPagado, P40,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40" s="30">
        <f t="shared" si="13"/>
        <v>603.52</v>
      </c>
      <c r="S40" s="29">
        <f>IF(P40=0, "Sin Pago", 
  IFERROR(
    MAXIFS(Aux_Datos!$A:$A, Aux_Datos!$B:$B, I40&amp;""), 
    IFERROR(MAXIFS(Aux_Datos!$A:$A, Aux_Datos!$B:$B, VALUE(I40)), "Revisar ID")
  )
)</f>
        <v>46196</v>
      </c>
      <c r="T40" s="35" t="str">
        <f t="shared" si="9"/>
        <v>PAGO PARCIAL</v>
      </c>
      <c r="U40" s="35" t="str">
        <f t="shared" si="10"/>
        <v>CRÍTICO: VENCIDA</v>
      </c>
      <c r="V40" s="32">
        <f t="shared" si="11"/>
        <v>4</v>
      </c>
      <c r="W40" s="36" t="str">
        <f>IF(P40=0, "Sin Pago", 
  LET(
    monedaPago, Q40, 
    descuentoAplicado, G40,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40" s="36" t="str">
        <f t="shared" si="12"/>
        <v/>
      </c>
      <c r="Y40" s="36">
        <v>430.0</v>
      </c>
      <c r="Z40" s="33" t="s">
        <v>609</v>
      </c>
      <c r="AA40" s="33"/>
      <c r="AB40" s="33"/>
      <c r="AC40" s="33"/>
      <c r="AD40" s="33"/>
      <c r="AE40" s="33"/>
      <c r="AF40" s="33"/>
    </row>
    <row r="41" ht="22.5" customHeight="1">
      <c r="A41" s="23" t="s">
        <v>647</v>
      </c>
      <c r="B41" s="24">
        <v>46090.67369212963</v>
      </c>
      <c r="C41" s="23" t="s">
        <v>69</v>
      </c>
      <c r="D41" s="23" t="s">
        <v>544</v>
      </c>
      <c r="E41" s="25">
        <v>64.99</v>
      </c>
      <c r="F41" s="23" t="s">
        <v>619</v>
      </c>
      <c r="G41" s="26">
        <f>IF($E41=0,0,IF(SUMIF(Aux_Datos!$B:$B,$I41,Aux_Datos!$K:$K)/$E41&gt;=VLOOKUP(IF(COUNTIFS(Aux_Datos!$B:$B,$I41,Aux_Datos!$D:$D,"&lt;&gt;USD")=0,"USD","VES"),'Limites de Descuento'!$A$2:$D$4,4,FALSE),MAX(0,1-SUMIF(Aux_Datos!$B:$B,$I41,Aux_Datos!$K:$K)/$E41),0))</f>
        <v>0</v>
      </c>
      <c r="H41" s="27"/>
      <c r="I41" s="28">
        <f t="shared" si="1"/>
        <v>50</v>
      </c>
      <c r="J41" s="29">
        <f t="shared" si="2"/>
        <v>46090</v>
      </c>
      <c r="K41" s="30">
        <f t="shared" si="3"/>
        <v>15</v>
      </c>
      <c r="L41" s="29">
        <f t="shared" si="4"/>
        <v>46106</v>
      </c>
      <c r="M41" s="30">
        <f t="shared" si="5"/>
        <v>64.99</v>
      </c>
      <c r="N41" s="32">
        <f t="shared" si="6"/>
        <v>0</v>
      </c>
      <c r="O41" s="33" t="str">
        <f t="shared" si="7"/>
        <v>PAGADA</v>
      </c>
      <c r="P41" s="34">
        <f>LET(
  idVenta, I41&amp;"",
  montoTotal, M41,
  pagos, IFERROR(SUMIF(Aux_Datos!$B:$B, idVenta, Aux_Datos!$K:$K), 0),
  retenciones, IFERROR(SUMIF(Aux_Datos!$N:$N, idVenta, Aux_Datos!$R:$R), 0),
  pagos + retenciones
)</f>
        <v>65</v>
      </c>
      <c r="Q41" s="30" t="str">
        <f>IF(P41=0, "Sin Pago", 
  LET(
    idVenta, I41&amp;"",
    montoTotalPagado, P41,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41" s="30">
        <f t="shared" si="13"/>
        <v>-0.01</v>
      </c>
      <c r="S41" s="29">
        <f>IF(P41=0, "Sin Pago", 
  IFERROR(
    MAXIFS(Aux_Datos!$A:$A, Aux_Datos!$B:$B, I41&amp;""), 
    IFERROR(MAXIFS(Aux_Datos!$A:$A, Aux_Datos!$B:$B, VALUE(I41)), "Revisar ID")
  )
)</f>
        <v>46090</v>
      </c>
      <c r="T41" s="35" t="str">
        <f t="shared" si="9"/>
        <v>PAGADA</v>
      </c>
      <c r="U41" s="35" t="str">
        <f t="shared" si="10"/>
        <v>SOLVENTE</v>
      </c>
      <c r="V41" s="32">
        <f t="shared" si="11"/>
        <v>0</v>
      </c>
      <c r="W41" s="36" t="str">
        <f>IF(P41=0, "Sin Pago", 
  LET(
    monedaPago, Q41, 
    descuentoAplicado, G41,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41" s="36" t="str">
        <f t="shared" si="12"/>
        <v/>
      </c>
      <c r="Y41" s="36">
        <v>65.0</v>
      </c>
      <c r="Z41" s="33" t="s">
        <v>596</v>
      </c>
      <c r="AA41" s="33"/>
      <c r="AB41" s="33"/>
      <c r="AC41" s="33"/>
      <c r="AD41" s="33"/>
      <c r="AE41" s="33"/>
      <c r="AF41" s="33"/>
    </row>
    <row r="42" ht="22.5" customHeight="1">
      <c r="A42" s="23" t="s">
        <v>648</v>
      </c>
      <c r="B42" s="24">
        <v>46091.4600462963</v>
      </c>
      <c r="C42" s="23" t="s">
        <v>154</v>
      </c>
      <c r="D42" s="23" t="s">
        <v>546</v>
      </c>
      <c r="E42" s="25">
        <v>120.02</v>
      </c>
      <c r="F42" s="23" t="s">
        <v>619</v>
      </c>
      <c r="G42" s="26">
        <f>IF($E42=0,0,IF(SUMIF(Aux_Datos!$B:$B,$I42,Aux_Datos!$K:$K)/$E42&gt;=VLOOKUP(IF(COUNTIFS(Aux_Datos!$B:$B,$I42,Aux_Datos!$D:$D,"&lt;&gt;USD")=0,"USD","VES"),'Limites de Descuento'!$A$2:$D$4,4,FALSE),MAX(0,1-SUMIF(Aux_Datos!$B:$B,$I42,Aux_Datos!$K:$K)/$E42),0))</f>
        <v>0.004499250125</v>
      </c>
      <c r="H42" s="27"/>
      <c r="I42" s="28">
        <f t="shared" si="1"/>
        <v>51</v>
      </c>
      <c r="J42" s="29">
        <f t="shared" si="2"/>
        <v>46091</v>
      </c>
      <c r="K42" s="30">
        <f t="shared" si="3"/>
        <v>15</v>
      </c>
      <c r="L42" s="29">
        <f t="shared" si="4"/>
        <v>46107</v>
      </c>
      <c r="M42" s="30">
        <f t="shared" si="5"/>
        <v>119.48</v>
      </c>
      <c r="N42" s="32">
        <f t="shared" si="6"/>
        <v>0</v>
      </c>
      <c r="O42" s="33" t="str">
        <f t="shared" si="7"/>
        <v>PAGADA</v>
      </c>
      <c r="P42" s="34">
        <f>LET(
  idVenta, I42&amp;"",
  montoTotal, M42,
  pagos, IFERROR(SUMIF(Aux_Datos!$B:$B, idVenta, Aux_Datos!$K:$K), 0),
  retenciones, IFERROR(SUMIF(Aux_Datos!$N:$N, idVenta, Aux_Datos!$R:$R), 0),
  pagos + retenciones
)</f>
        <v>119.48</v>
      </c>
      <c r="Q42" s="30" t="str">
        <f>IF(P42=0, "Sin Pago", 
  LET(
    idVenta, I42&amp;"",
    montoTotalPagado, P42,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42" s="30">
        <f t="shared" si="13"/>
        <v>0</v>
      </c>
      <c r="S42" s="29">
        <f>IF(P42=0, "Sin Pago", 
  IFERROR(
    MAXIFS(Aux_Datos!$A:$A, Aux_Datos!$B:$B, I42&amp;""), 
    IFERROR(MAXIFS(Aux_Datos!$A:$A, Aux_Datos!$B:$B, VALUE(I42)), "Revisar ID")
  )
)</f>
        <v>46108</v>
      </c>
      <c r="T42" s="35" t="str">
        <f t="shared" si="9"/>
        <v>PAGADA</v>
      </c>
      <c r="U42" s="35" t="str">
        <f t="shared" si="10"/>
        <v>SOLVENTE</v>
      </c>
      <c r="V42" s="32">
        <f t="shared" si="11"/>
        <v>0</v>
      </c>
      <c r="W42" s="36" t="str">
        <f>IF(P42=0, "Sin Pago", 
  LET(
    monedaPago, Q42, 
    descuentoAplicado, G42,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42" s="36" t="str">
        <f t="shared" si="12"/>
        <v/>
      </c>
      <c r="Y42" s="36">
        <v>119.48</v>
      </c>
      <c r="Z42" s="33" t="s">
        <v>596</v>
      </c>
      <c r="AA42" s="33"/>
      <c r="AB42" s="33"/>
      <c r="AC42" s="33"/>
      <c r="AD42" s="33"/>
      <c r="AE42" s="33"/>
      <c r="AF42" s="33"/>
    </row>
    <row r="43" ht="22.5" customHeight="1">
      <c r="A43" s="23" t="s">
        <v>649</v>
      </c>
      <c r="B43" s="24">
        <v>46091.32833333333</v>
      </c>
      <c r="C43" s="23" t="s">
        <v>69</v>
      </c>
      <c r="D43" s="23" t="s">
        <v>544</v>
      </c>
      <c r="E43" s="25">
        <v>259.99</v>
      </c>
      <c r="F43" s="23" t="s">
        <v>619</v>
      </c>
      <c r="G43" s="26">
        <f>IF($E43=0,0,IF(SUMIF(Aux_Datos!$B:$B,$I43,Aux_Datos!$K:$K)/$E43&gt;=VLOOKUP(IF(COUNTIFS(Aux_Datos!$B:$B,$I43,Aux_Datos!$D:$D,"&lt;&gt;USD")=0,"USD","VES"),'Limites de Descuento'!$A$2:$D$4,4,FALSE),MAX(0,1-SUMIF(Aux_Datos!$B:$B,$I43,Aux_Datos!$K:$K)/$E43),0))</f>
        <v>0</v>
      </c>
      <c r="H43" s="27"/>
      <c r="I43" s="28">
        <f t="shared" si="1"/>
        <v>52</v>
      </c>
      <c r="J43" s="29">
        <f t="shared" si="2"/>
        <v>46091</v>
      </c>
      <c r="K43" s="30">
        <f t="shared" si="3"/>
        <v>15</v>
      </c>
      <c r="L43" s="29">
        <f t="shared" si="4"/>
        <v>46107</v>
      </c>
      <c r="M43" s="30">
        <f t="shared" si="5"/>
        <v>259.99</v>
      </c>
      <c r="N43" s="32">
        <f t="shared" si="6"/>
        <v>0</v>
      </c>
      <c r="O43" s="33" t="str">
        <f t="shared" si="7"/>
        <v>PAGADA</v>
      </c>
      <c r="P43" s="34">
        <f>LET(
  idVenta, I43&amp;"",
  montoTotal, M43,
  pagos, IFERROR(SUMIF(Aux_Datos!$B:$B, idVenta, Aux_Datos!$K:$K), 0),
  retenciones, IFERROR(SUMIF(Aux_Datos!$N:$N, idVenta, Aux_Datos!$R:$R), 0),
  pagos + retenciones
)</f>
        <v>260</v>
      </c>
      <c r="Q43" s="30" t="str">
        <f>IF(P43=0, "Sin Pago", 
  LET(
    idVenta, I43&amp;"",
    montoTotalPagado, P43,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43" s="30">
        <f t="shared" si="13"/>
        <v>-0.01</v>
      </c>
      <c r="S43" s="29">
        <f>IF(P43=0, "Sin Pago", 
  IFERROR(
    MAXIFS(Aux_Datos!$A:$A, Aux_Datos!$B:$B, I43&amp;""), 
    IFERROR(MAXIFS(Aux_Datos!$A:$A, Aux_Datos!$B:$B, VALUE(I43)), "Revisar ID")
  )
)</f>
        <v>46083</v>
      </c>
      <c r="T43" s="35" t="str">
        <f t="shared" si="9"/>
        <v>PAGADA</v>
      </c>
      <c r="U43" s="35" t="str">
        <f t="shared" si="10"/>
        <v>SOLVENTE</v>
      </c>
      <c r="V43" s="32">
        <f t="shared" si="11"/>
        <v>0</v>
      </c>
      <c r="W43" s="36" t="str">
        <f>IF(P43=0, "Sin Pago", 
  LET(
    monedaPago, Q43, 
    descuentoAplicado, G43,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43" s="36" t="str">
        <f t="shared" si="12"/>
        <v/>
      </c>
      <c r="Y43" s="36">
        <v>260.0</v>
      </c>
      <c r="Z43" s="33" t="s">
        <v>596</v>
      </c>
      <c r="AA43" s="33"/>
      <c r="AB43" s="33"/>
      <c r="AC43" s="33"/>
      <c r="AD43" s="33"/>
      <c r="AE43" s="33"/>
      <c r="AF43" s="33"/>
    </row>
    <row r="44" ht="22.5" customHeight="1">
      <c r="A44" s="23" t="s">
        <v>650</v>
      </c>
      <c r="B44" s="24">
        <v>46091.45979166667</v>
      </c>
      <c r="C44" s="23" t="s">
        <v>651</v>
      </c>
      <c r="D44" s="23" t="s">
        <v>556</v>
      </c>
      <c r="E44" s="25">
        <v>792.33</v>
      </c>
      <c r="F44" s="23" t="s">
        <v>608</v>
      </c>
      <c r="G44" s="26">
        <f>IF($E44=0,0,IF(SUMIF(Aux_Datos!$B:$B,$I44,Aux_Datos!$K:$K)/$E44&gt;=VLOOKUP(IF(COUNTIFS(Aux_Datos!$B:$B,$I44,Aux_Datos!$D:$D,"&lt;&gt;USD")=0,"USD","VES"),'Limites de Descuento'!$A$2:$D$4,4,FALSE),MAX(0,1-SUMIF(Aux_Datos!$B:$B,$I44,Aux_Datos!$K:$K)/$E44),0))</f>
        <v>0</v>
      </c>
      <c r="H44" s="27"/>
      <c r="I44" s="28">
        <f t="shared" si="1"/>
        <v>53</v>
      </c>
      <c r="J44" s="29">
        <f t="shared" si="2"/>
        <v>46091</v>
      </c>
      <c r="K44" s="30">
        <f t="shared" si="3"/>
        <v>7</v>
      </c>
      <c r="L44" s="29">
        <f t="shared" si="4"/>
        <v>46099</v>
      </c>
      <c r="M44" s="30">
        <f t="shared" si="5"/>
        <v>792.33</v>
      </c>
      <c r="N44" s="32">
        <f t="shared" si="6"/>
        <v>0</v>
      </c>
      <c r="O44" s="33" t="str">
        <f t="shared" si="7"/>
        <v>PAGADA</v>
      </c>
      <c r="P44" s="34">
        <f>LET(
  idVenta, I44&amp;"",
  montoTotal, M44,
  pagos, IFERROR(SUMIF(Aux_Datos!$B:$B, idVenta, Aux_Datos!$K:$K), 0),
  retenciones, IFERROR(SUMIF(Aux_Datos!$N:$N, idVenta, Aux_Datos!$R:$R), 0),
  pagos + retenciones
)</f>
        <v>930.7020202</v>
      </c>
      <c r="Q44" s="30" t="str">
        <f>IF(P44=0, "Sin Pago", 
  LET(
    idVenta, I44&amp;"",
    montoTotalPagado, P44,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44" s="30">
        <f t="shared" si="13"/>
        <v>-138.3720202</v>
      </c>
      <c r="S44" s="29">
        <f>IF(P44=0, "Sin Pago", 
  IFERROR(
    MAXIFS(Aux_Datos!$A:$A, Aux_Datos!$B:$B, I44&amp;""), 
    IFERROR(MAXIFS(Aux_Datos!$A:$A, Aux_Datos!$B:$B, VALUE(I44)), "Revisar ID")
  )
)</f>
        <v>46174</v>
      </c>
      <c r="T44" s="35" t="str">
        <f t="shared" si="9"/>
        <v>PAGADA</v>
      </c>
      <c r="U44" s="35" t="str">
        <f t="shared" si="10"/>
        <v>SOLVENTE</v>
      </c>
      <c r="V44" s="32">
        <f t="shared" si="11"/>
        <v>0</v>
      </c>
      <c r="W44" s="36" t="str">
        <f>IF(P44=0, "Sin Pago", 
  LET(
    monedaPago, Q44, 
    descuentoAplicado, G44,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44" s="36" t="str">
        <f t="shared" si="12"/>
        <v/>
      </c>
      <c r="Y44" s="36">
        <v>930.7020201949153</v>
      </c>
      <c r="Z44" s="33" t="s">
        <v>596</v>
      </c>
      <c r="AA44" s="33"/>
      <c r="AB44" s="33"/>
      <c r="AC44" s="33"/>
      <c r="AD44" s="33"/>
      <c r="AE44" s="33"/>
      <c r="AF44" s="33"/>
    </row>
    <row r="45" ht="22.5" customHeight="1">
      <c r="A45" s="23" t="s">
        <v>105</v>
      </c>
      <c r="B45" s="24">
        <v>46092.37354166667</v>
      </c>
      <c r="C45" s="23" t="s">
        <v>104</v>
      </c>
      <c r="D45" s="23" t="s">
        <v>353</v>
      </c>
      <c r="E45" s="25">
        <v>582.77</v>
      </c>
      <c r="F45" s="23" t="s">
        <v>619</v>
      </c>
      <c r="G45" s="26">
        <f>IF($E45=0,0,IF(SUMIF(Aux_Datos!$B:$B,$I45,Aux_Datos!$K:$K)/$E45&gt;=VLOOKUP(IF(COUNTIFS(Aux_Datos!$B:$B,$I45,Aux_Datos!$D:$D,"&lt;&gt;USD")=0,"USD","VES"),'Limites de Descuento'!$A$2:$D$4,4,FALSE),MAX(0,1-SUMIF(Aux_Datos!$B:$B,$I45,Aux_Datos!$K:$K)/$E45),0))</f>
        <v>0</v>
      </c>
      <c r="H45" s="27"/>
      <c r="I45" s="28">
        <f t="shared" si="1"/>
        <v>54</v>
      </c>
      <c r="J45" s="29">
        <f t="shared" si="2"/>
        <v>46092</v>
      </c>
      <c r="K45" s="30">
        <f t="shared" si="3"/>
        <v>15</v>
      </c>
      <c r="L45" s="29">
        <f t="shared" si="4"/>
        <v>46108</v>
      </c>
      <c r="M45" s="30">
        <f t="shared" si="5"/>
        <v>582.77</v>
      </c>
      <c r="N45" s="32">
        <f t="shared" si="6"/>
        <v>92</v>
      </c>
      <c r="O45" s="33" t="str">
        <f t="shared" si="7"/>
        <v>VENCIDA</v>
      </c>
      <c r="P45" s="34">
        <f>LET(
  idVenta, I45&amp;"",
  montoTotal, M45,
  pagos, IFERROR(SUMIF(Aux_Datos!$B:$B, idVenta, Aux_Datos!$K:$K), 0),
  retenciones, IFERROR(SUMIF(Aux_Datos!$N:$N, idVenta, Aux_Datos!$R:$R), 0),
  pagos + retenciones
)</f>
        <v>218.0023518</v>
      </c>
      <c r="Q45" s="30" t="str">
        <f>IF(P45=0, "Sin Pago", 
  LET(
    idVenta, I45&amp;"",
    montoTotalPagado, P45,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45" s="30">
        <f t="shared" si="13"/>
        <v>364.7676482</v>
      </c>
      <c r="S45" s="29">
        <f>IF(P45=0, "Sin Pago", 
  IFERROR(
    MAXIFS(Aux_Datos!$A:$A, Aux_Datos!$B:$B, I45&amp;""), 
    IFERROR(MAXIFS(Aux_Datos!$A:$A, Aux_Datos!$B:$B, VALUE(I45)), "Revisar ID")
  )
)</f>
        <v>46175</v>
      </c>
      <c r="T45" s="35" t="str">
        <f t="shared" si="9"/>
        <v>PAGO PARCIAL</v>
      </c>
      <c r="U45" s="35" t="str">
        <f t="shared" si="10"/>
        <v>CRÍTICO: VENCIDA</v>
      </c>
      <c r="V45" s="32">
        <f t="shared" si="11"/>
        <v>25</v>
      </c>
      <c r="W45" s="36" t="str">
        <f>IF(P45=0, "Sin Pago", 
  LET(
    monedaPago, Q45, 
    descuentoAplicado, G45,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45" s="36" t="str">
        <f t="shared" si="12"/>
        <v/>
      </c>
      <c r="Y45" s="36">
        <v>218.00235178206609</v>
      </c>
      <c r="Z45" s="33" t="s">
        <v>609</v>
      </c>
      <c r="AA45" s="33"/>
      <c r="AB45" s="33"/>
      <c r="AC45" s="33"/>
      <c r="AD45" s="33"/>
      <c r="AE45" s="33"/>
      <c r="AF45" s="33"/>
    </row>
    <row r="46" ht="22.5" customHeight="1">
      <c r="A46" s="23" t="s">
        <v>652</v>
      </c>
      <c r="B46" s="24">
        <v>46091.48417824074</v>
      </c>
      <c r="C46" s="23" t="s">
        <v>226</v>
      </c>
      <c r="D46" s="23" t="s">
        <v>552</v>
      </c>
      <c r="E46" s="25">
        <v>72.0</v>
      </c>
      <c r="F46" s="23" t="s">
        <v>608</v>
      </c>
      <c r="G46" s="26">
        <f>IF($E46=0,0,IF(SUMIF(Aux_Datos!$B:$B,$I46,Aux_Datos!$K:$K)/$E46&gt;=VLOOKUP(IF(COUNTIFS(Aux_Datos!$B:$B,$I46,Aux_Datos!$D:$D,"&lt;&gt;USD")=0,"USD","VES"),'Limites de Descuento'!$A$2:$D$4,4,FALSE),MAX(0,1-SUMIF(Aux_Datos!$B:$B,$I46,Aux_Datos!$K:$K)/$E46),0))</f>
        <v>0</v>
      </c>
      <c r="H46" s="27"/>
      <c r="I46" s="28">
        <f t="shared" si="1"/>
        <v>55</v>
      </c>
      <c r="J46" s="29">
        <f t="shared" si="2"/>
        <v>46091</v>
      </c>
      <c r="K46" s="30">
        <f t="shared" si="3"/>
        <v>7</v>
      </c>
      <c r="L46" s="29">
        <f t="shared" si="4"/>
        <v>46099</v>
      </c>
      <c r="M46" s="30">
        <f t="shared" si="5"/>
        <v>72</v>
      </c>
      <c r="N46" s="32">
        <f t="shared" si="6"/>
        <v>0</v>
      </c>
      <c r="O46" s="33" t="str">
        <f t="shared" si="7"/>
        <v>PAGADA</v>
      </c>
      <c r="P46" s="34">
        <f>LET(
  idVenta, I46&amp;"",
  montoTotal, M46,
  pagos, IFERROR(SUMIF(Aux_Datos!$B:$B, idVenta, Aux_Datos!$K:$K), 0),
  retenciones, IFERROR(SUMIF(Aux_Datos!$N:$N, idVenta, Aux_Datos!$R:$R), 0),
  pagos + retenciones
)</f>
        <v>72</v>
      </c>
      <c r="Q46" s="30" t="str">
        <f>IF(P46=0, "Sin Pago", 
  LET(
    idVenta, I46&amp;"",
    montoTotalPagado, P46,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46" s="30">
        <f t="shared" si="13"/>
        <v>0</v>
      </c>
      <c r="S46" s="29">
        <f>IF(P46=0, "Sin Pago", 
  IFERROR(
    MAXIFS(Aux_Datos!$A:$A, Aux_Datos!$B:$B, I46&amp;""), 
    IFERROR(MAXIFS(Aux_Datos!$A:$A, Aux_Datos!$B:$B, VALUE(I46)), "Revisar ID")
  )
)</f>
        <v>46132</v>
      </c>
      <c r="T46" s="35" t="str">
        <f t="shared" si="9"/>
        <v>PAGADA</v>
      </c>
      <c r="U46" s="35" t="str">
        <f t="shared" si="10"/>
        <v>SOLVENTE</v>
      </c>
      <c r="V46" s="32">
        <f t="shared" si="11"/>
        <v>0</v>
      </c>
      <c r="W46" s="36" t="str">
        <f>IF(P46=0, "Sin Pago", 
  LET(
    monedaPago, Q46, 
    descuentoAplicado, G46,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46" s="36" t="str">
        <f t="shared" si="12"/>
        <v/>
      </c>
      <c r="Y46" s="36">
        <v>72.0</v>
      </c>
      <c r="Z46" s="33" t="s">
        <v>596</v>
      </c>
      <c r="AA46" s="33"/>
      <c r="AB46" s="33"/>
      <c r="AC46" s="33"/>
      <c r="AD46" s="33"/>
      <c r="AE46" s="33"/>
      <c r="AF46" s="33"/>
    </row>
    <row r="47" ht="22.5" customHeight="1">
      <c r="A47" s="23" t="s">
        <v>653</v>
      </c>
      <c r="B47" s="24">
        <v>46091.66494212963</v>
      </c>
      <c r="C47" s="23" t="s">
        <v>128</v>
      </c>
      <c r="D47" s="23" t="s">
        <v>353</v>
      </c>
      <c r="E47" s="25">
        <v>133.99</v>
      </c>
      <c r="F47" s="23" t="s">
        <v>619</v>
      </c>
      <c r="G47" s="26">
        <f>IF($E47=0,0,IF(SUMIF(Aux_Datos!$B:$B,$I47,Aux_Datos!$K:$K)/$E47&gt;=VLOOKUP(IF(COUNTIFS(Aux_Datos!$B:$B,$I47,Aux_Datos!$D:$D,"&lt;&gt;USD")=0,"USD","VES"),'Limites de Descuento'!$A$2:$D$4,4,FALSE),MAX(0,1-SUMIF(Aux_Datos!$B:$B,$I47,Aux_Datos!$K:$K)/$E47),0))</f>
        <v>0</v>
      </c>
      <c r="H47" s="27"/>
      <c r="I47" s="28">
        <f t="shared" si="1"/>
        <v>56</v>
      </c>
      <c r="J47" s="29">
        <f t="shared" si="2"/>
        <v>46091</v>
      </c>
      <c r="K47" s="30">
        <f t="shared" si="3"/>
        <v>15</v>
      </c>
      <c r="L47" s="29">
        <f t="shared" si="4"/>
        <v>46107</v>
      </c>
      <c r="M47" s="30">
        <f t="shared" si="5"/>
        <v>133.99</v>
      </c>
      <c r="N47" s="32">
        <f t="shared" si="6"/>
        <v>0</v>
      </c>
      <c r="O47" s="33" t="str">
        <f t="shared" si="7"/>
        <v>PAGADA</v>
      </c>
      <c r="P47" s="34">
        <f>LET(
  idVenta, I47&amp;"",
  montoTotal, M47,
  pagos, IFERROR(SUMIF(Aux_Datos!$B:$B, idVenta, Aux_Datos!$K:$K), 0),
  retenciones, IFERROR(SUMIF(Aux_Datos!$N:$N, idVenta, Aux_Datos!$R:$R), 0),
  pagos + retenciones
)</f>
        <v>134</v>
      </c>
      <c r="Q47" s="30" t="str">
        <f>IF(P47=0, "Sin Pago", 
  LET(
    idVenta, I47&amp;"",
    montoTotalPagado, P47,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47" s="30">
        <f t="shared" si="13"/>
        <v>-0.01</v>
      </c>
      <c r="S47" s="29">
        <f>IF(P47=0, "Sin Pago", 
  IFERROR(
    MAXIFS(Aux_Datos!$A:$A, Aux_Datos!$B:$B, I47&amp;""), 
    IFERROR(MAXIFS(Aux_Datos!$A:$A, Aux_Datos!$B:$B, VALUE(I47)), "Revisar ID")
  )
)</f>
        <v>46122</v>
      </c>
      <c r="T47" s="35" t="str">
        <f t="shared" si="9"/>
        <v>PAGADA</v>
      </c>
      <c r="U47" s="35" t="str">
        <f t="shared" si="10"/>
        <v>SOLVENTE</v>
      </c>
      <c r="V47" s="32">
        <f t="shared" si="11"/>
        <v>0</v>
      </c>
      <c r="W47" s="36" t="str">
        <f>IF(P47=0, "Sin Pago", 
  LET(
    monedaPago, Q47, 
    descuentoAplicado, G47,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47" s="36" t="str">
        <f t="shared" si="12"/>
        <v/>
      </c>
      <c r="Y47" s="36">
        <v>134.0</v>
      </c>
      <c r="Z47" s="33" t="s">
        <v>596</v>
      </c>
      <c r="AA47" s="33"/>
      <c r="AB47" s="33"/>
      <c r="AC47" s="33"/>
      <c r="AD47" s="33"/>
      <c r="AE47" s="33"/>
      <c r="AF47" s="33"/>
    </row>
    <row r="48" ht="22.5" customHeight="1">
      <c r="A48" s="23" t="s">
        <v>654</v>
      </c>
      <c r="B48" s="24">
        <v>46091.69572916667</v>
      </c>
      <c r="C48" s="23" t="s">
        <v>475</v>
      </c>
      <c r="D48" s="23" t="s">
        <v>546</v>
      </c>
      <c r="E48" s="25">
        <v>84.29</v>
      </c>
      <c r="F48" s="23" t="s">
        <v>619</v>
      </c>
      <c r="G48" s="26">
        <f>IF($E48=0,0,IF(SUMIF(Aux_Datos!$B:$B,$I48,Aux_Datos!$K:$K)/$E48&gt;=VLOOKUP(IF(COUNTIFS(Aux_Datos!$B:$B,$I48,Aux_Datos!$D:$D,"&lt;&gt;USD")=0,"USD","VES"),'Limites de Descuento'!$A$2:$D$4,4,FALSE),MAX(0,1-SUMIF(Aux_Datos!$B:$B,$I48,Aux_Datos!$K:$K)/$E48),0))</f>
        <v>0.0000008509119859</v>
      </c>
      <c r="H48" s="27"/>
      <c r="I48" s="28">
        <f t="shared" si="1"/>
        <v>57</v>
      </c>
      <c r="J48" s="29">
        <f t="shared" si="2"/>
        <v>46091</v>
      </c>
      <c r="K48" s="30">
        <f t="shared" si="3"/>
        <v>15</v>
      </c>
      <c r="L48" s="29">
        <f t="shared" si="4"/>
        <v>46107</v>
      </c>
      <c r="M48" s="30">
        <f t="shared" si="5"/>
        <v>84.28992828</v>
      </c>
      <c r="N48" s="32">
        <f t="shared" si="6"/>
        <v>0</v>
      </c>
      <c r="O48" s="33" t="str">
        <f t="shared" si="7"/>
        <v>PAGADA</v>
      </c>
      <c r="P48" s="34">
        <f>LET(
  idVenta, I48&amp;"",
  montoTotal, M48,
  pagos, IFERROR(SUMIF(Aux_Datos!$B:$B, idVenta, Aux_Datos!$K:$K), 0),
  retenciones, IFERROR(SUMIF(Aux_Datos!$N:$N, idVenta, Aux_Datos!$R:$R), 0),
  pagos + retenciones
)</f>
        <v>84.28992828</v>
      </c>
      <c r="Q48" s="30" t="str">
        <f>IF(P48=0, "Sin Pago", 
  LET(
    idVenta, I48&amp;"",
    montoTotalPagado, P48,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48" s="30">
        <f t="shared" si="13"/>
        <v>0</v>
      </c>
      <c r="S48" s="29">
        <f>IF(P48=0, "Sin Pago", 
  IFERROR(
    MAXIFS(Aux_Datos!$A:$A, Aux_Datos!$B:$B, I48&amp;""), 
    IFERROR(MAXIFS(Aux_Datos!$A:$A, Aux_Datos!$B:$B, VALUE(I48)), "Revisar ID")
  )
)</f>
        <v>46108</v>
      </c>
      <c r="T48" s="35" t="str">
        <f t="shared" si="9"/>
        <v>PAGADA</v>
      </c>
      <c r="U48" s="35" t="str">
        <f t="shared" si="10"/>
        <v>SOLVENTE</v>
      </c>
      <c r="V48" s="32">
        <f t="shared" si="11"/>
        <v>0</v>
      </c>
      <c r="W48" s="36" t="str">
        <f>IF(P48=0, "Sin Pago", 
  LET(
    monedaPago, Q48, 
    descuentoAplicado, G48,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48" s="36" t="str">
        <f t="shared" si="12"/>
        <v/>
      </c>
      <c r="Y48" s="36">
        <v>84.28992827662871</v>
      </c>
      <c r="Z48" s="33" t="s">
        <v>596</v>
      </c>
      <c r="AA48" s="33"/>
      <c r="AB48" s="33"/>
      <c r="AC48" s="33"/>
      <c r="AD48" s="33"/>
      <c r="AE48" s="33"/>
      <c r="AF48" s="33"/>
    </row>
    <row r="49" ht="22.5" customHeight="1">
      <c r="A49" s="23" t="s">
        <v>97</v>
      </c>
      <c r="B49" s="24">
        <v>46091.69545138889</v>
      </c>
      <c r="C49" s="23" t="s">
        <v>96</v>
      </c>
      <c r="D49" s="23" t="s">
        <v>538</v>
      </c>
      <c r="E49" s="25">
        <v>241.81</v>
      </c>
      <c r="F49" s="23" t="s">
        <v>619</v>
      </c>
      <c r="G49" s="26">
        <f>IF($E49=0,0,IF(SUMIF(Aux_Datos!$B:$B,$I49,Aux_Datos!$K:$K)/$E49&gt;=VLOOKUP(IF(COUNTIFS(Aux_Datos!$B:$B,$I49,Aux_Datos!$D:$D,"&lt;&gt;USD")=0,"USD","VES"),'Limites de Descuento'!$A$2:$D$4,4,FALSE),MAX(0,1-SUMIF(Aux_Datos!$B:$B,$I49,Aux_Datos!$K:$K)/$E49),0))</f>
        <v>0</v>
      </c>
      <c r="H49" s="27"/>
      <c r="I49" s="28">
        <f t="shared" si="1"/>
        <v>58</v>
      </c>
      <c r="J49" s="29">
        <f t="shared" si="2"/>
        <v>46091</v>
      </c>
      <c r="K49" s="30">
        <f t="shared" si="3"/>
        <v>15</v>
      </c>
      <c r="L49" s="29">
        <f t="shared" si="4"/>
        <v>46107</v>
      </c>
      <c r="M49" s="30">
        <f t="shared" si="5"/>
        <v>241.81</v>
      </c>
      <c r="N49" s="32">
        <f t="shared" si="6"/>
        <v>93</v>
      </c>
      <c r="O49" s="33" t="str">
        <f t="shared" si="7"/>
        <v>VENCIDA</v>
      </c>
      <c r="P49" s="34">
        <f>LET(
  idVenta, I49&amp;"",
  montoTotal, M49,
  pagos, IFERROR(SUMIF(Aux_Datos!$B:$B, idVenta, Aux_Datos!$K:$K), 0),
  retenciones, IFERROR(SUMIF(Aux_Datos!$N:$N, idVenta, Aux_Datos!$R:$R), 0),
  pagos + retenciones
)</f>
        <v>0</v>
      </c>
      <c r="Q49" s="30" t="str">
        <f>IF(P49=0, "Sin Pago", 
  LET(
    idVenta, I49&amp;"",
    montoTotalPagado, P49,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9" s="30">
        <f t="shared" si="13"/>
        <v>241.81</v>
      </c>
      <c r="S49" s="29" t="str">
        <f>IF(P49=0, "Sin Pago", 
  IFERROR(
    MAXIFS(Aux_Datos!$A:$A, Aux_Datos!$B:$B, I49&amp;""), 
    IFERROR(MAXIFS(Aux_Datos!$A:$A, Aux_Datos!$B:$B, VALUE(I49)), "Revisar ID")
  )
)</f>
        <v>Sin Pago</v>
      </c>
      <c r="T49" s="35" t="str">
        <f t="shared" si="9"/>
        <v>PENDIENTE</v>
      </c>
      <c r="U49" s="35" t="str">
        <f t="shared" si="10"/>
        <v>CRÍTICO: VENCIDA</v>
      </c>
      <c r="V49" s="32">
        <f t="shared" si="11"/>
        <v>0</v>
      </c>
      <c r="W49" s="36" t="str">
        <f>IF(P49=0, "Sin Pago", 
  LET(
    monedaPago, Q49, 
    descuentoAplicado, G49,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9" s="36" t="str">
        <f t="shared" si="12"/>
        <v/>
      </c>
      <c r="Y49" s="36">
        <v>0.0</v>
      </c>
      <c r="Z49" s="33" t="s">
        <v>641</v>
      </c>
      <c r="AA49" s="33"/>
      <c r="AB49" s="33"/>
      <c r="AC49" s="33"/>
      <c r="AD49" s="33"/>
      <c r="AE49" s="33"/>
      <c r="AF49" s="33"/>
    </row>
    <row r="50" ht="22.5" customHeight="1">
      <c r="A50" s="23" t="s">
        <v>116</v>
      </c>
      <c r="B50" s="24">
        <v>46091.696018518516</v>
      </c>
      <c r="C50" s="23" t="s">
        <v>115</v>
      </c>
      <c r="D50" s="23" t="s">
        <v>540</v>
      </c>
      <c r="E50" s="25">
        <v>2036.91</v>
      </c>
      <c r="F50" s="23" t="s">
        <v>603</v>
      </c>
      <c r="G50" s="26">
        <f>IF($E50=0,0,IF(SUMIF(Aux_Datos!$B:$B,$I50,Aux_Datos!$K:$K)/$E50&gt;=VLOOKUP(IF(COUNTIFS(Aux_Datos!$B:$B,$I50,Aux_Datos!$D:$D,"&lt;&gt;USD")=0,"USD","VES"),'Limites de Descuento'!$A$2:$D$4,4,FALSE),MAX(0,1-SUMIF(Aux_Datos!$B:$B,$I50,Aux_Datos!$K:$K)/$E50),0))</f>
        <v>0</v>
      </c>
      <c r="H50" s="27"/>
      <c r="I50" s="28">
        <f t="shared" si="1"/>
        <v>59</v>
      </c>
      <c r="J50" s="29">
        <f t="shared" si="2"/>
        <v>46091</v>
      </c>
      <c r="K50" s="30">
        <f t="shared" si="3"/>
        <v>21</v>
      </c>
      <c r="L50" s="29">
        <f t="shared" si="4"/>
        <v>46113</v>
      </c>
      <c r="M50" s="30">
        <f t="shared" si="5"/>
        <v>2036.91</v>
      </c>
      <c r="N50" s="32">
        <f t="shared" si="6"/>
        <v>87</v>
      </c>
      <c r="O50" s="33" t="str">
        <f t="shared" si="7"/>
        <v>VENCIDA</v>
      </c>
      <c r="P50" s="34">
        <f>LET(
  idVenta, I50&amp;"",
  montoTotal, M50,
  pagos, IFERROR(SUMIF(Aux_Datos!$B:$B, idVenta, Aux_Datos!$K:$K), 0),
  retenciones, IFERROR(SUMIF(Aux_Datos!$N:$N, idVenta, Aux_Datos!$R:$R), 0),
  pagos + retenciones
)</f>
        <v>200</v>
      </c>
      <c r="Q50" s="30" t="str">
        <f>IF(P50=0, "Sin Pago", 
  LET(
    idVenta, I50&amp;"",
    montoTotalPagado, P50,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50" s="30">
        <f t="shared" si="13"/>
        <v>1836.91</v>
      </c>
      <c r="S50" s="29">
        <f>IF(P50=0, "Sin Pago", 
  IFERROR(
    MAXIFS(Aux_Datos!$A:$A, Aux_Datos!$B:$B, I50&amp;""), 
    IFERROR(MAXIFS(Aux_Datos!$A:$A, Aux_Datos!$B:$B, VALUE(I50)), "Revisar ID")
  )
)</f>
        <v>46182</v>
      </c>
      <c r="T50" s="35" t="str">
        <f t="shared" si="9"/>
        <v>PAGO PARCIAL</v>
      </c>
      <c r="U50" s="35" t="str">
        <f t="shared" si="10"/>
        <v>CRÍTICO: VENCIDA</v>
      </c>
      <c r="V50" s="32">
        <f t="shared" si="11"/>
        <v>18</v>
      </c>
      <c r="W50" s="36" t="str">
        <f>IF(P50=0, "Sin Pago", 
  LET(
    monedaPago, Q50, 
    descuentoAplicado, G50,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50" s="36" t="str">
        <f t="shared" si="12"/>
        <v/>
      </c>
      <c r="Y50" s="36">
        <v>200.0</v>
      </c>
      <c r="Z50" s="33" t="s">
        <v>609</v>
      </c>
      <c r="AA50" s="33"/>
      <c r="AB50" s="33"/>
      <c r="AC50" s="33"/>
      <c r="AD50" s="33"/>
      <c r="AE50" s="33"/>
      <c r="AF50" s="33"/>
    </row>
    <row r="51" ht="22.5" customHeight="1">
      <c r="A51" s="23" t="s">
        <v>655</v>
      </c>
      <c r="B51" s="24">
        <v>46091.695289351854</v>
      </c>
      <c r="C51" s="23" t="s">
        <v>295</v>
      </c>
      <c r="D51" s="23" t="s">
        <v>556</v>
      </c>
      <c r="E51" s="25">
        <v>209.87</v>
      </c>
      <c r="F51" s="23" t="s">
        <v>608</v>
      </c>
      <c r="G51" s="26">
        <f>IF($E51=0,0,IF(SUMIF(Aux_Datos!$B:$B,$I51,Aux_Datos!$K:$K)/$E51&gt;=VLOOKUP(IF(COUNTIFS(Aux_Datos!$B:$B,$I51,Aux_Datos!$D:$D,"&lt;&gt;USD")=0,"USD","VES"),'Limites de Descuento'!$A$2:$D$4,4,FALSE),MAX(0,1-SUMIF(Aux_Datos!$B:$B,$I51,Aux_Datos!$K:$K)/$E51),0))</f>
        <v>0.0946776576</v>
      </c>
      <c r="H51" s="27"/>
      <c r="I51" s="28">
        <f t="shared" si="1"/>
        <v>60</v>
      </c>
      <c r="J51" s="29">
        <f t="shared" si="2"/>
        <v>46091</v>
      </c>
      <c r="K51" s="30">
        <f t="shared" si="3"/>
        <v>7</v>
      </c>
      <c r="L51" s="29">
        <f t="shared" si="4"/>
        <v>46099</v>
      </c>
      <c r="M51" s="30">
        <f t="shared" si="5"/>
        <v>190</v>
      </c>
      <c r="N51" s="32">
        <f t="shared" si="6"/>
        <v>0</v>
      </c>
      <c r="O51" s="33" t="str">
        <f t="shared" si="7"/>
        <v>PAGADA</v>
      </c>
      <c r="P51" s="34">
        <f>LET(
  idVenta, I51&amp;"",
  montoTotal, M51,
  pagos, IFERROR(SUMIF(Aux_Datos!$B:$B, idVenta, Aux_Datos!$K:$K), 0),
  retenciones, IFERROR(SUMIF(Aux_Datos!$N:$N, idVenta, Aux_Datos!$R:$R), 0),
  pagos + retenciones
)</f>
        <v>190</v>
      </c>
      <c r="Q51" s="30" t="str">
        <f>IF(P51=0, "Sin Pago", 
  LET(
    idVenta, I51&amp;"",
    montoTotalPagado, P51,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51" s="30">
        <f t="shared" si="13"/>
        <v>0</v>
      </c>
      <c r="S51" s="29">
        <f>IF(P51=0, "Sin Pago", 
  IFERROR(
    MAXIFS(Aux_Datos!$A:$A, Aux_Datos!$B:$B, I51&amp;""), 
    IFERROR(MAXIFS(Aux_Datos!$A:$A, Aux_Datos!$B:$B, VALUE(I51)), "Revisar ID")
  )
)</f>
        <v>46147</v>
      </c>
      <c r="T51" s="35" t="str">
        <f t="shared" si="9"/>
        <v>PAGADA</v>
      </c>
      <c r="U51" s="35" t="str">
        <f t="shared" si="10"/>
        <v>SOLVENTE</v>
      </c>
      <c r="V51" s="32">
        <f t="shared" si="11"/>
        <v>0</v>
      </c>
      <c r="W51" s="36" t="str">
        <f>IF(P51=0, "Sin Pago", 
  LET(
    monedaPago, Q51, 
    descuentoAplicado, G51,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51" s="36" t="str">
        <f t="shared" si="12"/>
        <v/>
      </c>
      <c r="Y51" s="36">
        <v>190.0</v>
      </c>
      <c r="Z51" s="33" t="s">
        <v>596</v>
      </c>
      <c r="AA51" s="33"/>
      <c r="AB51" s="33"/>
      <c r="AC51" s="33"/>
      <c r="AD51" s="33"/>
      <c r="AE51" s="33"/>
      <c r="AF51" s="33"/>
    </row>
    <row r="52" ht="22.5" customHeight="1">
      <c r="A52" s="23" t="s">
        <v>193</v>
      </c>
      <c r="B52" s="24">
        <v>46092.70009259259</v>
      </c>
      <c r="C52" s="23" t="s">
        <v>192</v>
      </c>
      <c r="D52" s="23" t="s">
        <v>353</v>
      </c>
      <c r="E52" s="25">
        <v>10739.61</v>
      </c>
      <c r="F52" s="23" t="s">
        <v>640</v>
      </c>
      <c r="G52" s="26">
        <f>IF($E52=0,0,IF(SUMIF(Aux_Datos!$B:$B,$I52,Aux_Datos!$K:$K)/$E52&gt;=VLOOKUP(IF(COUNTIFS(Aux_Datos!$B:$B,$I52,Aux_Datos!$D:$D,"&lt;&gt;USD")=0,"USD","VES"),'Limites de Descuento'!$A$2:$D$4,4,FALSE),MAX(0,1-SUMIF(Aux_Datos!$B:$B,$I52,Aux_Datos!$K:$K)/$E52),0))</f>
        <v>0</v>
      </c>
      <c r="H52" s="27"/>
      <c r="I52" s="28">
        <f t="shared" si="1"/>
        <v>61</v>
      </c>
      <c r="J52" s="29">
        <f t="shared" si="2"/>
        <v>46092</v>
      </c>
      <c r="K52" s="30">
        <f t="shared" si="3"/>
        <v>45</v>
      </c>
      <c r="L52" s="29">
        <f t="shared" si="4"/>
        <v>46138</v>
      </c>
      <c r="M52" s="30">
        <f t="shared" si="5"/>
        <v>10739.61</v>
      </c>
      <c r="N52" s="32">
        <f t="shared" si="6"/>
        <v>62</v>
      </c>
      <c r="O52" s="33" t="str">
        <f t="shared" si="7"/>
        <v>VENCIDA</v>
      </c>
      <c r="P52" s="34">
        <f>LET(
  idVenta, I52&amp;"",
  montoTotal, M52,
  pagos, IFERROR(SUMIF(Aux_Datos!$B:$B, idVenta, Aux_Datos!$K:$K), 0),
  retenciones, IFERROR(SUMIF(Aux_Datos!$N:$N, idVenta, Aux_Datos!$R:$R), 0),
  pagos + retenciones
)</f>
        <v>3498</v>
      </c>
      <c r="Q52" s="30" t="str">
        <f>IF(P52=0, "Sin Pago", 
  LET(
    idVenta, I52&amp;"",
    montoTotalPagado, P52,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52" s="30">
        <f t="shared" si="13"/>
        <v>7241.61</v>
      </c>
      <c r="S52" s="29">
        <f>IF(P52=0, "Sin Pago", 
  IFERROR(
    MAXIFS(Aux_Datos!$A:$A, Aux_Datos!$B:$B, I52&amp;""), 
    IFERROR(MAXIFS(Aux_Datos!$A:$A, Aux_Datos!$B:$B, VALUE(I52)), "Revisar ID")
  )
)</f>
        <v>46189</v>
      </c>
      <c r="T52" s="35" t="str">
        <f t="shared" si="9"/>
        <v>PAGO PARCIAL</v>
      </c>
      <c r="U52" s="35" t="str">
        <f t="shared" si="10"/>
        <v>CRÍTICO: VENCIDA</v>
      </c>
      <c r="V52" s="32">
        <f t="shared" si="11"/>
        <v>11</v>
      </c>
      <c r="W52" s="36" t="str">
        <f>IF(P52=0, "Sin Pago", 
  LET(
    monedaPago, Q52, 
    descuentoAplicado, G52,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52" s="36" t="str">
        <f t="shared" si="12"/>
        <v/>
      </c>
      <c r="Y52" s="36">
        <v>3498.0</v>
      </c>
      <c r="Z52" s="33" t="s">
        <v>609</v>
      </c>
      <c r="AA52" s="33"/>
      <c r="AB52" s="33"/>
      <c r="AC52" s="33"/>
      <c r="AD52" s="33"/>
      <c r="AE52" s="33"/>
      <c r="AF52" s="33"/>
    </row>
    <row r="53" ht="22.5" customHeight="1">
      <c r="A53" s="23" t="s">
        <v>656</v>
      </c>
      <c r="B53" s="24">
        <v>46092.66675925926</v>
      </c>
      <c r="C53" s="23" t="s">
        <v>192</v>
      </c>
      <c r="D53" s="23" t="s">
        <v>353</v>
      </c>
      <c r="E53" s="25">
        <v>3393.87</v>
      </c>
      <c r="F53" s="23" t="s">
        <v>640</v>
      </c>
      <c r="G53" s="26">
        <f>IF($E53=0,0,IF(SUMIF(Aux_Datos!$B:$B,$I53,Aux_Datos!$K:$K)/$E53&gt;=VLOOKUP(IF(COUNTIFS(Aux_Datos!$B:$B,$I53,Aux_Datos!$D:$D,"&lt;&gt;USD")=0,"USD","VES"),'Limites de Descuento'!$A$2:$D$4,4,FALSE),MAX(0,1-SUMIF(Aux_Datos!$B:$B,$I53,Aux_Datos!$K:$K)/$E53),0))</f>
        <v>0.2657349869</v>
      </c>
      <c r="H53" s="27"/>
      <c r="I53" s="28">
        <f t="shared" si="1"/>
        <v>62</v>
      </c>
      <c r="J53" s="29">
        <f t="shared" si="2"/>
        <v>46092</v>
      </c>
      <c r="K53" s="30">
        <f t="shared" si="3"/>
        <v>45</v>
      </c>
      <c r="L53" s="29">
        <f t="shared" si="4"/>
        <v>46138</v>
      </c>
      <c r="M53" s="30">
        <f t="shared" si="5"/>
        <v>2492</v>
      </c>
      <c r="N53" s="32">
        <f t="shared" si="6"/>
        <v>0</v>
      </c>
      <c r="O53" s="33" t="str">
        <f t="shared" si="7"/>
        <v>PAGADA</v>
      </c>
      <c r="P53" s="34">
        <f>LET(
  idVenta, I53&amp;"",
  montoTotal, M53,
  pagos, IFERROR(SUMIF(Aux_Datos!$B:$B, idVenta, Aux_Datos!$K:$K), 0),
  retenciones, IFERROR(SUMIF(Aux_Datos!$N:$N, idVenta, Aux_Datos!$R:$R), 0),
  pagos + retenciones
)</f>
        <v>2492</v>
      </c>
      <c r="Q53" s="30" t="str">
        <f>IF(P53=0, "Sin Pago", 
  LET(
    idVenta, I53&amp;"",
    montoTotalPagado, P53,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53" s="30">
        <f t="shared" si="13"/>
        <v>0</v>
      </c>
      <c r="S53" s="29">
        <f>IF(P53=0, "Sin Pago", 
  IFERROR(
    MAXIFS(Aux_Datos!$A:$A, Aux_Datos!$B:$B, I53&amp;""), 
    IFERROR(MAXIFS(Aux_Datos!$A:$A, Aux_Datos!$B:$B, VALUE(I53)), "Revisar ID")
  )
)</f>
        <v>46146</v>
      </c>
      <c r="T53" s="35" t="str">
        <f t="shared" si="9"/>
        <v>PAGADA</v>
      </c>
      <c r="U53" s="35" t="str">
        <f t="shared" si="10"/>
        <v>SOLVENTE</v>
      </c>
      <c r="V53" s="32">
        <f t="shared" si="11"/>
        <v>0</v>
      </c>
      <c r="W53" s="36" t="str">
        <f>IF(P53=0, "Sin Pago", 
  LET(
    monedaPago, Q53, 
    descuentoAplicado, G53,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53" s="36" t="str">
        <f t="shared" si="12"/>
        <v/>
      </c>
      <c r="Y53" s="36">
        <v>2492.0</v>
      </c>
      <c r="Z53" s="33" t="s">
        <v>596</v>
      </c>
      <c r="AA53" s="33"/>
      <c r="AB53" s="33"/>
      <c r="AC53" s="33"/>
      <c r="AD53" s="33"/>
      <c r="AE53" s="33"/>
      <c r="AF53" s="33"/>
    </row>
    <row r="54" ht="22.5" customHeight="1">
      <c r="A54" s="23" t="s">
        <v>657</v>
      </c>
      <c r="B54" s="24">
        <v>46092.373194444444</v>
      </c>
      <c r="C54" s="23" t="s">
        <v>282</v>
      </c>
      <c r="D54" s="23" t="s">
        <v>546</v>
      </c>
      <c r="E54" s="25">
        <v>72.0</v>
      </c>
      <c r="F54" s="23" t="s">
        <v>619</v>
      </c>
      <c r="G54" s="26">
        <f>IF($E54=0,0,IF(SUMIF(Aux_Datos!$B:$B,$I54,Aux_Datos!$K:$K)/$E54&gt;=VLOOKUP(IF(COUNTIFS(Aux_Datos!$B:$B,$I54,Aux_Datos!$D:$D,"&lt;&gt;USD")=0,"USD","VES"),'Limites de Descuento'!$A$2:$D$4,4,FALSE),MAX(0,1-SUMIF(Aux_Datos!$B:$B,$I54,Aux_Datos!$K:$K)/$E54),0))</f>
        <v>0</v>
      </c>
      <c r="H54" s="27"/>
      <c r="I54" s="28">
        <f t="shared" si="1"/>
        <v>63</v>
      </c>
      <c r="J54" s="29">
        <f t="shared" si="2"/>
        <v>46092</v>
      </c>
      <c r="K54" s="30">
        <f t="shared" si="3"/>
        <v>15</v>
      </c>
      <c r="L54" s="29">
        <f t="shared" si="4"/>
        <v>46108</v>
      </c>
      <c r="M54" s="30">
        <f t="shared" si="5"/>
        <v>72</v>
      </c>
      <c r="N54" s="32">
        <f t="shared" si="6"/>
        <v>0</v>
      </c>
      <c r="O54" s="33" t="str">
        <f t="shared" si="7"/>
        <v>PAGADA</v>
      </c>
      <c r="P54" s="34">
        <f>LET(
  idVenta, I54&amp;"",
  montoTotal, M54,
  pagos, IFERROR(SUMIF(Aux_Datos!$B:$B, idVenta, Aux_Datos!$K:$K), 0),
  retenciones, IFERROR(SUMIF(Aux_Datos!$N:$N, idVenta, Aux_Datos!$R:$R), 0),
  pagos + retenciones
)</f>
        <v>72.00074588</v>
      </c>
      <c r="Q54" s="30" t="str">
        <f>IF(P54=0, "Sin Pago", 
  LET(
    idVenta, I54&amp;"",
    montoTotalPagado, P54,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54" s="30">
        <f t="shared" si="13"/>
        <v>-0.0007458759902</v>
      </c>
      <c r="S54" s="29">
        <f>IF(P54=0, "Sin Pago", 
  IFERROR(
    MAXIFS(Aux_Datos!$A:$A, Aux_Datos!$B:$B, I54&amp;""), 
    IFERROR(MAXIFS(Aux_Datos!$A:$A, Aux_Datos!$B:$B, VALUE(I54)), "Revisar ID")
  )
)</f>
        <v>46122</v>
      </c>
      <c r="T54" s="35" t="str">
        <f t="shared" si="9"/>
        <v>PAGADA</v>
      </c>
      <c r="U54" s="35" t="str">
        <f t="shared" si="10"/>
        <v>SOLVENTE</v>
      </c>
      <c r="V54" s="32">
        <f t="shared" si="11"/>
        <v>0</v>
      </c>
      <c r="W54" s="36" t="str">
        <f>IF(P54=0, "Sin Pago", 
  LET(
    monedaPago, Q54, 
    descuentoAplicado, G54,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54" s="36" t="str">
        <f t="shared" si="12"/>
        <v/>
      </c>
      <c r="Y54" s="36">
        <v>72.00074587599022</v>
      </c>
      <c r="Z54" s="33" t="s">
        <v>596</v>
      </c>
      <c r="AA54" s="33"/>
      <c r="AB54" s="33"/>
      <c r="AC54" s="33"/>
      <c r="AD54" s="33"/>
      <c r="AE54" s="33"/>
      <c r="AF54" s="33"/>
    </row>
    <row r="55" ht="22.5" customHeight="1">
      <c r="A55" s="23" t="s">
        <v>658</v>
      </c>
      <c r="B55" s="24">
        <v>46092.35086805555</v>
      </c>
      <c r="C55" s="23" t="s">
        <v>659</v>
      </c>
      <c r="D55" s="23" t="s">
        <v>546</v>
      </c>
      <c r="E55" s="25">
        <v>170.36</v>
      </c>
      <c r="F55" s="23" t="s">
        <v>619</v>
      </c>
      <c r="G55" s="26">
        <f>IF($E55=0,0,IF(SUMIF(Aux_Datos!$B:$B,$I55,Aux_Datos!$K:$K)/$E55&gt;=VLOOKUP(IF(COUNTIFS(Aux_Datos!$B:$B,$I55,Aux_Datos!$D:$D,"&lt;&gt;USD")=0,"USD","VES"),'Limites de Descuento'!$A$2:$D$4,4,FALSE),MAX(0,1-SUMIF(Aux_Datos!$B:$B,$I55,Aux_Datos!$K:$K)/$E55),0))</f>
        <v>0.01314716851</v>
      </c>
      <c r="H55" s="26">
        <v>0.08</v>
      </c>
      <c r="I55" s="28">
        <f t="shared" si="1"/>
        <v>64</v>
      </c>
      <c r="J55" s="29">
        <f t="shared" si="2"/>
        <v>46092</v>
      </c>
      <c r="K55" s="30">
        <f t="shared" si="3"/>
        <v>15</v>
      </c>
      <c r="L55" s="29">
        <f t="shared" si="4"/>
        <v>46108</v>
      </c>
      <c r="M55" s="30">
        <f t="shared" si="5"/>
        <v>154.4914484</v>
      </c>
      <c r="N55" s="32">
        <f t="shared" si="6"/>
        <v>0</v>
      </c>
      <c r="O55" s="33" t="str">
        <f t="shared" si="7"/>
        <v>PAGADA</v>
      </c>
      <c r="P55" s="34">
        <f>LET(
  idVenta, I55&amp;"",
  montoTotal, M55,
  pagos, IFERROR(SUMIF(Aux_Datos!$B:$B, idVenta, Aux_Datos!$K:$K), 0),
  retenciones, IFERROR(SUMIF(Aux_Datos!$N:$N, idVenta, Aux_Datos!$R:$R), 0),
  pagos + retenciones
)</f>
        <v>168.1202484</v>
      </c>
      <c r="Q55" s="30" t="str">
        <f>IF(P55=0, "Sin Pago", 
  LET(
    idVenta, I55&amp;"",
    montoTotalPagado, P55,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55" s="30">
        <f t="shared" si="13"/>
        <v>-13.6288</v>
      </c>
      <c r="S55" s="29">
        <f>IF(P55=0, "Sin Pago", 
  IFERROR(
    MAXIFS(Aux_Datos!$A:$A, Aux_Datos!$B:$B, I55&amp;""), 
    IFERROR(MAXIFS(Aux_Datos!$A:$A, Aux_Datos!$B:$B, VALUE(I55)), "Revisar ID")
  )
)</f>
        <v>46127</v>
      </c>
      <c r="T55" s="35" t="str">
        <f t="shared" si="9"/>
        <v>PAGADA</v>
      </c>
      <c r="U55" s="35" t="str">
        <f t="shared" si="10"/>
        <v>SOLVENTE</v>
      </c>
      <c r="V55" s="32">
        <f t="shared" si="11"/>
        <v>0</v>
      </c>
      <c r="W55" s="36" t="str">
        <f>IF(P55=0, "Sin Pago", 
  LET(
    monedaPago, Q55, 
    descuentoAplicado, G55,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55" s="36" t="str">
        <f t="shared" si="12"/>
        <v>⚠️ REVISAR DESCUENTO</v>
      </c>
      <c r="Y55" s="36">
        <v>168.12024837269925</v>
      </c>
      <c r="Z55" s="33" t="s">
        <v>596</v>
      </c>
      <c r="AA55" s="33"/>
      <c r="AB55" s="33"/>
      <c r="AC55" s="33"/>
      <c r="AD55" s="33"/>
      <c r="AE55" s="33"/>
      <c r="AF55" s="33"/>
    </row>
    <row r="56" ht="22.5" customHeight="1">
      <c r="A56" s="23" t="s">
        <v>660</v>
      </c>
      <c r="B56" s="24">
        <v>46092.37034722222</v>
      </c>
      <c r="C56" s="23" t="s">
        <v>291</v>
      </c>
      <c r="D56" s="23" t="s">
        <v>546</v>
      </c>
      <c r="E56" s="25">
        <v>375.35</v>
      </c>
      <c r="F56" s="23" t="s">
        <v>619</v>
      </c>
      <c r="G56" s="26">
        <f>IF($E56=0,0,IF(SUMIF(Aux_Datos!$B:$B,$I56,Aux_Datos!$K:$K)/$E56&gt;=VLOOKUP(IF(COUNTIFS(Aux_Datos!$B:$B,$I56,Aux_Datos!$D:$D,"&lt;&gt;USD")=0,"USD","VES"),'Limites de Descuento'!$A$2:$D$4,4,FALSE),MAX(0,1-SUMIF(Aux_Datos!$B:$B,$I56,Aux_Datos!$K:$K)/$E56),0))</f>
        <v>0</v>
      </c>
      <c r="H56" s="27"/>
      <c r="I56" s="28">
        <f t="shared" si="1"/>
        <v>65</v>
      </c>
      <c r="J56" s="29">
        <f t="shared" si="2"/>
        <v>46092</v>
      </c>
      <c r="K56" s="30">
        <f t="shared" si="3"/>
        <v>15</v>
      </c>
      <c r="L56" s="29">
        <f t="shared" si="4"/>
        <v>46108</v>
      </c>
      <c r="M56" s="30">
        <f t="shared" si="5"/>
        <v>375.35</v>
      </c>
      <c r="N56" s="32">
        <f t="shared" si="6"/>
        <v>0</v>
      </c>
      <c r="O56" s="33" t="str">
        <f t="shared" si="7"/>
        <v>PAGADA</v>
      </c>
      <c r="P56" s="34">
        <f>LET(
  idVenta, I56&amp;"",
  montoTotal, M56,
  pagos, IFERROR(SUMIF(Aux_Datos!$B:$B, idVenta, Aux_Datos!$K:$K), 0),
  retenciones, IFERROR(SUMIF(Aux_Datos!$N:$N, idVenta, Aux_Datos!$R:$R), 0),
  pagos + retenciones
)</f>
        <v>699.8626483</v>
      </c>
      <c r="Q56" s="30" t="str">
        <f>IF(P56=0, "Sin Pago", 
  LET(
    idVenta, I56&amp;"",
    montoTotalPagado, P56,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56" s="30">
        <f t="shared" si="13"/>
        <v>-324.5126483</v>
      </c>
      <c r="S56" s="29">
        <f>IF(P56=0, "Sin Pago", 
  IFERROR(
    MAXIFS(Aux_Datos!$A:$A, Aux_Datos!$B:$B, I56&amp;""), 
    IFERROR(MAXIFS(Aux_Datos!$A:$A, Aux_Datos!$B:$B, VALUE(I56)), "Revisar ID")
  )
)</f>
        <v>46146</v>
      </c>
      <c r="T56" s="35" t="str">
        <f t="shared" si="9"/>
        <v>PAGADA</v>
      </c>
      <c r="U56" s="35" t="str">
        <f t="shared" si="10"/>
        <v>SOLVENTE</v>
      </c>
      <c r="V56" s="32">
        <f t="shared" si="11"/>
        <v>0</v>
      </c>
      <c r="W56" s="36" t="str">
        <f>IF(P56=0, "Sin Pago", 
  LET(
    monedaPago, Q56, 
    descuentoAplicado, G56,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56" s="36" t="str">
        <f t="shared" si="12"/>
        <v/>
      </c>
      <c r="Y56" s="36">
        <v>699.8626482778354</v>
      </c>
      <c r="Z56" s="33" t="s">
        <v>596</v>
      </c>
      <c r="AA56" s="33"/>
      <c r="AB56" s="33"/>
      <c r="AC56" s="33"/>
      <c r="AD56" s="33"/>
      <c r="AE56" s="33"/>
      <c r="AF56" s="33"/>
    </row>
    <row r="57" ht="22.5" customHeight="1">
      <c r="A57" s="23" t="s">
        <v>661</v>
      </c>
      <c r="B57" s="24">
        <v>46092.66599537037</v>
      </c>
      <c r="C57" s="23" t="s">
        <v>5</v>
      </c>
      <c r="D57" s="23" t="s">
        <v>552</v>
      </c>
      <c r="E57" s="25">
        <v>132.47</v>
      </c>
      <c r="F57" s="23" t="s">
        <v>593</v>
      </c>
      <c r="G57" s="26">
        <f>IF($E57=0,0,IF(SUMIF(Aux_Datos!$B:$B,$I57,Aux_Datos!$K:$K)/$E57&gt;=VLOOKUP(IF(COUNTIFS(Aux_Datos!$B:$B,$I57,Aux_Datos!$D:$D,"&lt;&gt;USD")=0,"USD","VES"),'Limites de Descuento'!$A$2:$D$4,4,FALSE),MAX(0,1-SUMIF(Aux_Datos!$B:$B,$I57,Aux_Datos!$K:$K)/$E57),0))</f>
        <v>0</v>
      </c>
      <c r="H57" s="27"/>
      <c r="I57" s="28">
        <f t="shared" si="1"/>
        <v>66</v>
      </c>
      <c r="J57" s="29">
        <f t="shared" si="2"/>
        <v>46092</v>
      </c>
      <c r="K57" s="30">
        <f t="shared" si="3"/>
        <v>0</v>
      </c>
      <c r="L57" s="29">
        <f t="shared" si="4"/>
        <v>46093</v>
      </c>
      <c r="M57" s="30">
        <f t="shared" si="5"/>
        <v>132.47</v>
      </c>
      <c r="N57" s="32">
        <f t="shared" si="6"/>
        <v>0</v>
      </c>
      <c r="O57" s="33" t="str">
        <f t="shared" si="7"/>
        <v>PAGADA</v>
      </c>
      <c r="P57" s="34">
        <f>LET(
  idVenta, I57&amp;"",
  montoTotal, M57,
  pagos, IFERROR(SUMIF(Aux_Datos!$B:$B, idVenta, Aux_Datos!$K:$K), 0),
  retenciones, IFERROR(SUMIF(Aux_Datos!$N:$N, idVenta, Aux_Datos!$R:$R), 0),
  pagos + retenciones
)</f>
        <v>132.48</v>
      </c>
      <c r="Q57" s="30" t="str">
        <f>IF(P57=0, "Sin Pago", 
  LET(
    idVenta, I57&amp;"",
    montoTotalPagado, P57,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57" s="30">
        <f t="shared" si="13"/>
        <v>-0.01</v>
      </c>
      <c r="S57" s="29">
        <f>IF(P57=0, "Sin Pago", 
  IFERROR(
    MAXIFS(Aux_Datos!$A:$A, Aux_Datos!$B:$B, I57&amp;""), 
    IFERROR(MAXIFS(Aux_Datos!$A:$A, Aux_Datos!$B:$B, VALUE(I57)), "Revisar ID")
  )
)</f>
        <v>46094</v>
      </c>
      <c r="T57" s="35" t="str">
        <f t="shared" si="9"/>
        <v>PAGADA</v>
      </c>
      <c r="U57" s="35" t="str">
        <f t="shared" si="10"/>
        <v>SOLVENTE</v>
      </c>
      <c r="V57" s="32">
        <f t="shared" si="11"/>
        <v>0</v>
      </c>
      <c r="W57" s="36" t="str">
        <f>IF(P57=0, "Sin Pago", 
  LET(
    monedaPago, Q57, 
    descuentoAplicado, G57,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57" s="36" t="str">
        <f t="shared" si="12"/>
        <v/>
      </c>
      <c r="Y57" s="36">
        <v>132.48</v>
      </c>
      <c r="Z57" s="33" t="s">
        <v>596</v>
      </c>
      <c r="AA57" s="33"/>
      <c r="AB57" s="33"/>
      <c r="AC57" s="33"/>
      <c r="AD57" s="33"/>
      <c r="AE57" s="33"/>
      <c r="AF57" s="33"/>
    </row>
    <row r="58" ht="22.5" customHeight="1">
      <c r="A58" s="23" t="s">
        <v>662</v>
      </c>
      <c r="B58" s="24">
        <v>46092.494942129626</v>
      </c>
      <c r="C58" s="23" t="s">
        <v>663</v>
      </c>
      <c r="D58" s="23" t="s">
        <v>323</v>
      </c>
      <c r="E58" s="25">
        <v>160.5</v>
      </c>
      <c r="F58" s="23" t="s">
        <v>608</v>
      </c>
      <c r="G58" s="26">
        <f>IF($E58=0,0,IF(SUMIF(Aux_Datos!$B:$B,$I58,Aux_Datos!$K:$K)/$E58&gt;=VLOOKUP(IF(COUNTIFS(Aux_Datos!$B:$B,$I58,Aux_Datos!$D:$D,"&lt;&gt;USD")=0,"USD","VES"),'Limites de Descuento'!$A$2:$D$4,4,FALSE),MAX(0,1-SUMIF(Aux_Datos!$B:$B,$I58,Aux_Datos!$K:$K)/$E58),0))</f>
        <v>0.003126639436</v>
      </c>
      <c r="H58" s="27"/>
      <c r="I58" s="28">
        <f t="shared" si="1"/>
        <v>67</v>
      </c>
      <c r="J58" s="29">
        <f t="shared" si="2"/>
        <v>46092</v>
      </c>
      <c r="K58" s="30">
        <f t="shared" si="3"/>
        <v>7</v>
      </c>
      <c r="L58" s="29">
        <f t="shared" si="4"/>
        <v>46100</v>
      </c>
      <c r="M58" s="30">
        <f t="shared" si="5"/>
        <v>159.9981744</v>
      </c>
      <c r="N58" s="32">
        <f t="shared" si="6"/>
        <v>0</v>
      </c>
      <c r="O58" s="33" t="str">
        <f t="shared" si="7"/>
        <v>PAGADA</v>
      </c>
      <c r="P58" s="34">
        <f>LET(
  idVenta, I58&amp;"",
  montoTotal, M58,
  pagos, IFERROR(SUMIF(Aux_Datos!$B:$B, idVenta, Aux_Datos!$K:$K), 0),
  retenciones, IFERROR(SUMIF(Aux_Datos!$N:$N, idVenta, Aux_Datos!$R:$R), 0),
  pagos + retenciones
)</f>
        <v>159.9981744</v>
      </c>
      <c r="Q58" s="30" t="str">
        <f>IF(P58=0, "Sin Pago", 
  LET(
    idVenta, I58&amp;"",
    montoTotalPagado, P58,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58" s="30">
        <f t="shared" si="13"/>
        <v>0</v>
      </c>
      <c r="S58" s="29">
        <f>IF(P58=0, "Sin Pago", 
  IFERROR(
    MAXIFS(Aux_Datos!$A:$A, Aux_Datos!$B:$B, I58&amp;""), 
    IFERROR(MAXIFS(Aux_Datos!$A:$A, Aux_Datos!$B:$B, VALUE(I58)), "Revisar ID")
  )
)</f>
        <v>46092</v>
      </c>
      <c r="T58" s="35" t="str">
        <f t="shared" si="9"/>
        <v>PAGADA</v>
      </c>
      <c r="U58" s="35" t="str">
        <f t="shared" si="10"/>
        <v>SOLVENTE</v>
      </c>
      <c r="V58" s="32">
        <f t="shared" si="11"/>
        <v>0</v>
      </c>
      <c r="W58" s="36" t="str">
        <f>IF(P58=0, "Sin Pago", 
  LET(
    monedaPago, Q58, 
    descuentoAplicado, G58,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58" s="36" t="str">
        <f t="shared" si="12"/>
        <v/>
      </c>
      <c r="Y58" s="36">
        <v>159.99817437044305</v>
      </c>
      <c r="Z58" s="33" t="s">
        <v>596</v>
      </c>
      <c r="AA58" s="33"/>
      <c r="AB58" s="33"/>
      <c r="AC58" s="33"/>
      <c r="AD58" s="33"/>
      <c r="AE58" s="33"/>
      <c r="AF58" s="33"/>
    </row>
    <row r="59" ht="22.5" customHeight="1">
      <c r="A59" s="23" t="s">
        <v>15</v>
      </c>
      <c r="B59" s="24">
        <v>46092.6643287037</v>
      </c>
      <c r="C59" s="23" t="s">
        <v>14</v>
      </c>
      <c r="D59" s="23" t="s">
        <v>353</v>
      </c>
      <c r="E59" s="25">
        <v>560.84</v>
      </c>
      <c r="F59" s="23" t="s">
        <v>619</v>
      </c>
      <c r="G59" s="26">
        <f>IF($E59=0,0,IF(SUMIF(Aux_Datos!$B:$B,$I59,Aux_Datos!$K:$K)/$E59&gt;=VLOOKUP(IF(COUNTIFS(Aux_Datos!$B:$B,$I59,Aux_Datos!$D:$D,"&lt;&gt;USD")=0,"USD","VES"),'Limites de Descuento'!$A$2:$D$4,4,FALSE),MAX(0,1-SUMIF(Aux_Datos!$B:$B,$I59,Aux_Datos!$K:$K)/$E59),0))</f>
        <v>0</v>
      </c>
      <c r="H59" s="27"/>
      <c r="I59" s="28">
        <f t="shared" si="1"/>
        <v>69</v>
      </c>
      <c r="J59" s="29">
        <f t="shared" si="2"/>
        <v>46092</v>
      </c>
      <c r="K59" s="30">
        <f t="shared" si="3"/>
        <v>15</v>
      </c>
      <c r="L59" s="29">
        <f t="shared" si="4"/>
        <v>46108</v>
      </c>
      <c r="M59" s="30">
        <f t="shared" si="5"/>
        <v>560.84</v>
      </c>
      <c r="N59" s="32">
        <f t="shared" si="6"/>
        <v>92</v>
      </c>
      <c r="O59" s="33" t="str">
        <f t="shared" si="7"/>
        <v>VENCIDA</v>
      </c>
      <c r="P59" s="34">
        <f>LET(
  idVenta, I59&amp;"",
  montoTotal, M59,
  pagos, IFERROR(SUMIF(Aux_Datos!$B:$B, idVenta, Aux_Datos!$K:$K), 0),
  retenciones, IFERROR(SUMIF(Aux_Datos!$N:$N, idVenta, Aux_Datos!$R:$R), 0),
  pagos + retenciones
)</f>
        <v>104</v>
      </c>
      <c r="Q59" s="30" t="str">
        <f>IF(P59=0, "Sin Pago", 
  LET(
    idVenta, I59&amp;"",
    montoTotalPagado, P59,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59" s="30">
        <f t="shared" si="13"/>
        <v>456.84</v>
      </c>
      <c r="S59" s="29">
        <f>IF(P59=0, "Sin Pago", 
  IFERROR(
    MAXIFS(Aux_Datos!$A:$A, Aux_Datos!$B:$B, I59&amp;""), 
    IFERROR(MAXIFS(Aux_Datos!$A:$A, Aux_Datos!$B:$B, VALUE(I59)), "Revisar ID")
  )
)</f>
        <v>46163</v>
      </c>
      <c r="T59" s="35" t="str">
        <f t="shared" si="9"/>
        <v>PAGO PARCIAL</v>
      </c>
      <c r="U59" s="35" t="str">
        <f t="shared" si="10"/>
        <v>CRÍTICO: VENCIDA</v>
      </c>
      <c r="V59" s="32">
        <f t="shared" si="11"/>
        <v>37</v>
      </c>
      <c r="W59" s="36" t="str">
        <f>IF(P59=0, "Sin Pago", 
  LET(
    monedaPago, Q59, 
    descuentoAplicado, G59,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59" s="36" t="str">
        <f t="shared" si="12"/>
        <v/>
      </c>
      <c r="Y59" s="36">
        <v>104.0</v>
      </c>
      <c r="Z59" s="33" t="s">
        <v>609</v>
      </c>
      <c r="AA59" s="33"/>
      <c r="AB59" s="33"/>
      <c r="AC59" s="33"/>
      <c r="AD59" s="33"/>
      <c r="AE59" s="33"/>
      <c r="AF59" s="33"/>
    </row>
    <row r="60" ht="22.5" customHeight="1">
      <c r="A60" s="23" t="s">
        <v>664</v>
      </c>
      <c r="B60" s="24">
        <v>46092.699895833335</v>
      </c>
      <c r="C60" s="23" t="s">
        <v>453</v>
      </c>
      <c r="D60" s="23" t="s">
        <v>546</v>
      </c>
      <c r="E60" s="25">
        <v>78.62</v>
      </c>
      <c r="F60" s="23" t="s">
        <v>619</v>
      </c>
      <c r="G60" s="26">
        <f>IF($E60=0,0,IF(SUMIF(Aux_Datos!$B:$B,$I60,Aux_Datos!$K:$K)/$E60&gt;=VLOOKUP(IF(COUNTIFS(Aux_Datos!$B:$B,$I60,Aux_Datos!$D:$D,"&lt;&gt;USD")=0,"USD","VES"),'Limites de Descuento'!$A$2:$D$4,4,FALSE),MAX(0,1-SUMIF(Aux_Datos!$B:$B,$I60,Aux_Datos!$K:$K)/$E60),0))</f>
        <v>0</v>
      </c>
      <c r="H60" s="27"/>
      <c r="I60" s="28">
        <f t="shared" si="1"/>
        <v>72</v>
      </c>
      <c r="J60" s="29">
        <f t="shared" si="2"/>
        <v>46092</v>
      </c>
      <c r="K60" s="30">
        <f t="shared" si="3"/>
        <v>15</v>
      </c>
      <c r="L60" s="29">
        <f t="shared" si="4"/>
        <v>46108</v>
      </c>
      <c r="M60" s="30">
        <f t="shared" si="5"/>
        <v>78.62</v>
      </c>
      <c r="N60" s="32">
        <f t="shared" si="6"/>
        <v>0</v>
      </c>
      <c r="O60" s="33" t="str">
        <f t="shared" si="7"/>
        <v>PAGADA</v>
      </c>
      <c r="P60" s="34">
        <f>LET(
  idVenta, I60&amp;"",
  montoTotal, M60,
  pagos, IFERROR(SUMIF(Aux_Datos!$B:$B, idVenta, Aux_Datos!$K:$K), 0),
  retenciones, IFERROR(SUMIF(Aux_Datos!$N:$N, idVenta, Aux_Datos!$R:$R), 0),
  pagos + retenciones
)</f>
        <v>78.62019475</v>
      </c>
      <c r="Q60" s="30" t="str">
        <f>IF(P60=0, "Sin Pago", 
  LET(
    idVenta, I60&amp;"",
    montoTotalPagado, P60,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60" s="30">
        <f t="shared" si="13"/>
        <v>-0.0001947473844</v>
      </c>
      <c r="S60" s="29">
        <f>IF(P60=0, "Sin Pago", 
  IFERROR(
    MAXIFS(Aux_Datos!$A:$A, Aux_Datos!$B:$B, I60&amp;""), 
    IFERROR(MAXIFS(Aux_Datos!$A:$A, Aux_Datos!$B:$B, VALUE(I60)), "Revisar ID")
  )
)</f>
        <v>46125</v>
      </c>
      <c r="T60" s="35" t="str">
        <f t="shared" si="9"/>
        <v>PAGADA</v>
      </c>
      <c r="U60" s="35" t="str">
        <f t="shared" si="10"/>
        <v>SOLVENTE</v>
      </c>
      <c r="V60" s="32">
        <f t="shared" si="11"/>
        <v>0</v>
      </c>
      <c r="W60" s="36" t="str">
        <f>IF(P60=0, "Sin Pago", 
  LET(
    monedaPago, Q60, 
    descuentoAplicado, G60,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60" s="36" t="str">
        <f t="shared" si="12"/>
        <v/>
      </c>
      <c r="Y60" s="36">
        <v>78.62019474738442</v>
      </c>
      <c r="Z60" s="33" t="s">
        <v>596</v>
      </c>
      <c r="AA60" s="33"/>
      <c r="AB60" s="33"/>
      <c r="AC60" s="33"/>
      <c r="AD60" s="33"/>
      <c r="AE60" s="33"/>
      <c r="AF60" s="33"/>
    </row>
    <row r="61" ht="22.5" customHeight="1">
      <c r="A61" s="23" t="s">
        <v>107</v>
      </c>
      <c r="B61" s="24">
        <v>46093.373506944445</v>
      </c>
      <c r="C61" s="23" t="s">
        <v>106</v>
      </c>
      <c r="D61" s="23" t="s">
        <v>546</v>
      </c>
      <c r="E61" s="25">
        <v>415.08</v>
      </c>
      <c r="F61" s="23" t="s">
        <v>619</v>
      </c>
      <c r="G61" s="26">
        <f>IF($E61=0,0,IF(SUMIF(Aux_Datos!$B:$B,$I61,Aux_Datos!$K:$K)/$E61&gt;=VLOOKUP(IF(COUNTIFS(Aux_Datos!$B:$B,$I61,Aux_Datos!$D:$D,"&lt;&gt;USD")=0,"USD","VES"),'Limites de Descuento'!$A$2:$D$4,4,FALSE),MAX(0,1-SUMIF(Aux_Datos!$B:$B,$I61,Aux_Datos!$K:$K)/$E61),0))</f>
        <v>0</v>
      </c>
      <c r="H61" s="27"/>
      <c r="I61" s="28">
        <f t="shared" si="1"/>
        <v>73</v>
      </c>
      <c r="J61" s="29">
        <f t="shared" si="2"/>
        <v>46093</v>
      </c>
      <c r="K61" s="30">
        <f t="shared" si="3"/>
        <v>15</v>
      </c>
      <c r="L61" s="29">
        <f t="shared" si="4"/>
        <v>46109</v>
      </c>
      <c r="M61" s="30">
        <f t="shared" si="5"/>
        <v>415.08</v>
      </c>
      <c r="N61" s="32">
        <f t="shared" si="6"/>
        <v>91</v>
      </c>
      <c r="O61" s="33" t="str">
        <f t="shared" si="7"/>
        <v>VENCIDA</v>
      </c>
      <c r="P61" s="34">
        <f>LET(
  idVenta, I61&amp;"",
  montoTotal, M61,
  pagos, IFERROR(SUMIF(Aux_Datos!$B:$B, idVenta, Aux_Datos!$K:$K), 0),
  retenciones, IFERROR(SUMIF(Aux_Datos!$N:$N, idVenta, Aux_Datos!$R:$R), 0),
  pagos + retenciones
)</f>
        <v>0</v>
      </c>
      <c r="Q61" s="30" t="str">
        <f>IF(P61=0, "Sin Pago", 
  LET(
    idVenta, I61&amp;"",
    montoTotalPagado, P61,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61" s="30">
        <f t="shared" si="13"/>
        <v>415.08</v>
      </c>
      <c r="S61" s="29" t="str">
        <f>IF(P61=0, "Sin Pago", 
  IFERROR(
    MAXIFS(Aux_Datos!$A:$A, Aux_Datos!$B:$B, I61&amp;""), 
    IFERROR(MAXIFS(Aux_Datos!$A:$A, Aux_Datos!$B:$B, VALUE(I61)), "Revisar ID")
  )
)</f>
        <v>Sin Pago</v>
      </c>
      <c r="T61" s="35" t="str">
        <f t="shared" si="9"/>
        <v>PENDIENTE</v>
      </c>
      <c r="U61" s="35" t="str">
        <f t="shared" si="10"/>
        <v>CRÍTICO: VENCIDA</v>
      </c>
      <c r="V61" s="32">
        <f t="shared" si="11"/>
        <v>0</v>
      </c>
      <c r="W61" s="36" t="str">
        <f>IF(P61=0, "Sin Pago", 
  LET(
    monedaPago, Q61, 
    descuentoAplicado, G61,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61" s="36" t="str">
        <f t="shared" si="12"/>
        <v/>
      </c>
      <c r="Y61" s="36">
        <v>0.0</v>
      </c>
      <c r="Z61" s="33" t="s">
        <v>641</v>
      </c>
      <c r="AA61" s="33"/>
      <c r="AB61" s="33"/>
      <c r="AC61" s="33"/>
      <c r="AD61" s="33"/>
      <c r="AE61" s="33"/>
      <c r="AF61" s="33"/>
    </row>
    <row r="62" ht="22.5" customHeight="1">
      <c r="A62" s="23" t="s">
        <v>665</v>
      </c>
      <c r="B62" s="24">
        <v>46093.37329861111</v>
      </c>
      <c r="C62" s="23" t="s">
        <v>666</v>
      </c>
      <c r="D62" s="23" t="s">
        <v>546</v>
      </c>
      <c r="E62" s="25">
        <v>183.49</v>
      </c>
      <c r="F62" s="23" t="s">
        <v>619</v>
      </c>
      <c r="G62" s="26">
        <f>IF($E62=0,0,IF(SUMIF(Aux_Datos!$B:$B,$I62,Aux_Datos!$K:$K)/$E62&gt;=VLOOKUP(IF(COUNTIFS(Aux_Datos!$B:$B,$I62,Aux_Datos!$D:$D,"&lt;&gt;USD")=0,"USD","VES"),'Limites de Descuento'!$A$2:$D$4,4,FALSE),MAX(0,1-SUMIF(Aux_Datos!$B:$B,$I62,Aux_Datos!$K:$K)/$E62),0))</f>
        <v>0.09067485633</v>
      </c>
      <c r="H62" s="27"/>
      <c r="I62" s="28">
        <f t="shared" si="1"/>
        <v>74</v>
      </c>
      <c r="J62" s="29">
        <f t="shared" si="2"/>
        <v>46093</v>
      </c>
      <c r="K62" s="30">
        <f t="shared" si="3"/>
        <v>15</v>
      </c>
      <c r="L62" s="29">
        <f t="shared" si="4"/>
        <v>46109</v>
      </c>
      <c r="M62" s="30">
        <f t="shared" si="5"/>
        <v>166.8520706</v>
      </c>
      <c r="N62" s="32">
        <f t="shared" si="6"/>
        <v>0</v>
      </c>
      <c r="O62" s="33" t="str">
        <f t="shared" si="7"/>
        <v>PAGADA</v>
      </c>
      <c r="P62" s="34">
        <f>LET(
  idVenta, I62&amp;"",
  montoTotal, M62,
  pagos, IFERROR(SUMIF(Aux_Datos!$B:$B, idVenta, Aux_Datos!$K:$K), 0),
  retenciones, IFERROR(SUMIF(Aux_Datos!$N:$N, idVenta, Aux_Datos!$R:$R), 0),
  pagos + retenciones
)</f>
        <v>166.8520706</v>
      </c>
      <c r="Q62" s="30" t="str">
        <f>IF(P62=0, "Sin Pago", 
  LET(
    idVenta, I62&amp;"",
    montoTotalPagado, P62,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62" s="30">
        <f t="shared" si="13"/>
        <v>0</v>
      </c>
      <c r="S62" s="29">
        <f>IF(P62=0, "Sin Pago", 
  IFERROR(
    MAXIFS(Aux_Datos!$A:$A, Aux_Datos!$B:$B, I62&amp;""), 
    IFERROR(MAXIFS(Aux_Datos!$A:$A, Aux_Datos!$B:$B, VALUE(I62)), "Revisar ID")
  )
)</f>
        <v>46169</v>
      </c>
      <c r="T62" s="35" t="str">
        <f t="shared" si="9"/>
        <v>PAGADA</v>
      </c>
      <c r="U62" s="35" t="str">
        <f t="shared" si="10"/>
        <v>SOLVENTE</v>
      </c>
      <c r="V62" s="32">
        <f t="shared" si="11"/>
        <v>0</v>
      </c>
      <c r="W62" s="36" t="str">
        <f>IF(P62=0, "Sin Pago", 
  LET(
    monedaPago, Q62, 
    descuentoAplicado, G62,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62" s="36" t="str">
        <f t="shared" si="12"/>
        <v/>
      </c>
      <c r="Y62" s="36">
        <v>166.8520706121061</v>
      </c>
      <c r="Z62" s="33" t="s">
        <v>596</v>
      </c>
      <c r="AA62" s="33"/>
      <c r="AB62" s="33"/>
      <c r="AC62" s="33"/>
      <c r="AD62" s="33"/>
      <c r="AE62" s="33"/>
      <c r="AF62" s="33"/>
    </row>
    <row r="63" ht="22.5" customHeight="1">
      <c r="A63" s="23" t="s">
        <v>667</v>
      </c>
      <c r="B63" s="24">
        <v>46093.41244212963</v>
      </c>
      <c r="C63" s="23" t="s">
        <v>668</v>
      </c>
      <c r="D63" s="23" t="s">
        <v>323</v>
      </c>
      <c r="E63" s="25">
        <v>35.99</v>
      </c>
      <c r="F63" s="23" t="s">
        <v>619</v>
      </c>
      <c r="G63" s="26">
        <f>IF($E63=0,0,IF(SUMIF(Aux_Datos!$B:$B,$I63,Aux_Datos!$K:$K)/$E63&gt;=VLOOKUP(IF(COUNTIFS(Aux_Datos!$B:$B,$I63,Aux_Datos!$D:$D,"&lt;&gt;USD")=0,"USD","VES"),'Limites de Descuento'!$A$2:$D$4,4,FALSE),MAX(0,1-SUMIF(Aux_Datos!$B:$B,$I63,Aux_Datos!$K:$K)/$E63),0))</f>
        <v>0</v>
      </c>
      <c r="H63" s="27"/>
      <c r="I63" s="28">
        <f t="shared" si="1"/>
        <v>77</v>
      </c>
      <c r="J63" s="29">
        <f t="shared" si="2"/>
        <v>46093</v>
      </c>
      <c r="K63" s="30">
        <f t="shared" si="3"/>
        <v>15</v>
      </c>
      <c r="L63" s="29">
        <f t="shared" si="4"/>
        <v>46109</v>
      </c>
      <c r="M63" s="30">
        <f t="shared" si="5"/>
        <v>35.99</v>
      </c>
      <c r="N63" s="32">
        <f t="shared" si="6"/>
        <v>0</v>
      </c>
      <c r="O63" s="33" t="str">
        <f t="shared" si="7"/>
        <v>PAGADA</v>
      </c>
      <c r="P63" s="34">
        <f>LET(
  idVenta, I63&amp;"",
  montoTotal, M63,
  pagos, IFERROR(SUMIF(Aux_Datos!$B:$B, idVenta, Aux_Datos!$K:$K), 0),
  retenciones, IFERROR(SUMIF(Aux_Datos!$N:$N, idVenta, Aux_Datos!$R:$R), 0),
  pagos + retenciones
)</f>
        <v>36</v>
      </c>
      <c r="Q63" s="30" t="str">
        <f>IF(P63=0, "Sin Pago", 
  LET(
    idVenta, I63&amp;"",
    montoTotalPagado, P63,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63" s="30">
        <f t="shared" si="13"/>
        <v>-0.01</v>
      </c>
      <c r="S63" s="29">
        <f>IF(P63=0, "Sin Pago", 
  IFERROR(
    MAXIFS(Aux_Datos!$A:$A, Aux_Datos!$B:$B, I63&amp;""), 
    IFERROR(MAXIFS(Aux_Datos!$A:$A, Aux_Datos!$B:$B, VALUE(I63)), "Revisar ID")
  )
)</f>
        <v>46093</v>
      </c>
      <c r="T63" s="35" t="str">
        <f t="shared" si="9"/>
        <v>PAGADA</v>
      </c>
      <c r="U63" s="35" t="str">
        <f t="shared" si="10"/>
        <v>SOLVENTE</v>
      </c>
      <c r="V63" s="32">
        <f t="shared" si="11"/>
        <v>0</v>
      </c>
      <c r="W63" s="36" t="str">
        <f>IF(P63=0, "Sin Pago", 
  LET(
    monedaPago, Q63, 
    descuentoAplicado, G63,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63" s="36" t="str">
        <f t="shared" si="12"/>
        <v/>
      </c>
      <c r="Y63" s="36">
        <v>36.0</v>
      </c>
      <c r="Z63" s="33" t="s">
        <v>596</v>
      </c>
      <c r="AA63" s="33"/>
      <c r="AB63" s="33"/>
      <c r="AC63" s="33"/>
      <c r="AD63" s="33"/>
      <c r="AE63" s="33"/>
      <c r="AF63" s="33"/>
    </row>
    <row r="64" ht="22.5" customHeight="1">
      <c r="A64" s="23" t="s">
        <v>51</v>
      </c>
      <c r="B64" s="24">
        <v>46093.523206018515</v>
      </c>
      <c r="C64" s="23" t="s">
        <v>50</v>
      </c>
      <c r="D64" s="23" t="s">
        <v>552</v>
      </c>
      <c r="E64" s="25">
        <v>300.86</v>
      </c>
      <c r="F64" s="23" t="s">
        <v>593</v>
      </c>
      <c r="G64" s="26">
        <f>IF($E64=0,0,IF(SUMIF(Aux_Datos!$B:$B,$I64,Aux_Datos!$K:$K)/$E64&gt;=VLOOKUP(IF(COUNTIFS(Aux_Datos!$B:$B,$I64,Aux_Datos!$D:$D,"&lt;&gt;USD")=0,"USD","VES"),'Limites de Descuento'!$A$2:$D$4,4,FALSE),MAX(0,1-SUMIF(Aux_Datos!$B:$B,$I64,Aux_Datos!$K:$K)/$E64),0))</f>
        <v>0</v>
      </c>
      <c r="H64" s="27"/>
      <c r="I64" s="28">
        <f t="shared" si="1"/>
        <v>78</v>
      </c>
      <c r="J64" s="29">
        <f t="shared" si="2"/>
        <v>46093</v>
      </c>
      <c r="K64" s="30">
        <f t="shared" si="3"/>
        <v>0</v>
      </c>
      <c r="L64" s="29">
        <f t="shared" si="4"/>
        <v>46094</v>
      </c>
      <c r="M64" s="30">
        <f t="shared" si="5"/>
        <v>300.86</v>
      </c>
      <c r="N64" s="32">
        <f t="shared" si="6"/>
        <v>106</v>
      </c>
      <c r="O64" s="33" t="str">
        <f t="shared" si="7"/>
        <v>VENCIDA</v>
      </c>
      <c r="P64" s="34">
        <f>LET(
  idVenta, I64&amp;"",
  montoTotal, M64,
  pagos, IFERROR(SUMIF(Aux_Datos!$B:$B, idVenta, Aux_Datos!$K:$K), 0),
  retenciones, IFERROR(SUMIF(Aux_Datos!$N:$N, idVenta, Aux_Datos!$R:$R), 0),
  pagos + retenciones
)</f>
        <v>179.6674934</v>
      </c>
      <c r="Q64" s="30" t="str">
        <f>IF(P64=0, "Sin Pago", 
  LET(
    idVenta, I64&amp;"",
    montoTotalPagado, P64,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64" s="30">
        <f t="shared" si="13"/>
        <v>121.1925066</v>
      </c>
      <c r="S64" s="29">
        <f>IF(P64=0, "Sin Pago", 
  IFERROR(
    MAXIFS(Aux_Datos!$A:$A, Aux_Datos!$B:$B, I64&amp;""), 
    IFERROR(MAXIFS(Aux_Datos!$A:$A, Aux_Datos!$B:$B, VALUE(I64)), "Revisar ID")
  )
)</f>
        <v>46196</v>
      </c>
      <c r="T64" s="35" t="str">
        <f t="shared" si="9"/>
        <v>PAGO PARCIAL</v>
      </c>
      <c r="U64" s="35" t="str">
        <f t="shared" si="10"/>
        <v>CRÍTICO: VENCIDA</v>
      </c>
      <c r="V64" s="32">
        <f t="shared" si="11"/>
        <v>4</v>
      </c>
      <c r="W64" s="36" t="str">
        <f>IF(P64=0, "Sin Pago", 
  LET(
    monedaPago, Q64, 
    descuentoAplicado, G64,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64" s="36" t="str">
        <f t="shared" si="12"/>
        <v/>
      </c>
      <c r="Y64" s="36">
        <v>179.6674934264389</v>
      </c>
      <c r="Z64" s="33" t="s">
        <v>609</v>
      </c>
      <c r="AA64" s="33"/>
      <c r="AB64" s="33"/>
      <c r="AC64" s="33"/>
      <c r="AD64" s="33"/>
      <c r="AE64" s="33"/>
      <c r="AF64" s="33"/>
    </row>
    <row r="65" ht="22.5" customHeight="1">
      <c r="A65" s="23" t="s">
        <v>669</v>
      </c>
      <c r="B65" s="24">
        <v>46093.64162037037</v>
      </c>
      <c r="C65" s="23" t="s">
        <v>600</v>
      </c>
      <c r="D65" s="23" t="s">
        <v>529</v>
      </c>
      <c r="E65" s="25">
        <v>533.34</v>
      </c>
      <c r="F65" s="23" t="s">
        <v>619</v>
      </c>
      <c r="G65" s="26">
        <f>IF($E65=0,0,IF(SUMIF(Aux_Datos!$B:$B,$I65,Aux_Datos!$K:$K)/$E65&gt;=VLOOKUP(IF(COUNTIFS(Aux_Datos!$B:$B,$I65,Aux_Datos!$D:$D,"&lt;&gt;USD")=0,"USD","VES"),'Limites de Descuento'!$A$2:$D$4,4,FALSE),MAX(0,1-SUMIF(Aux_Datos!$B:$B,$I65,Aux_Datos!$K:$K)/$E65),0))</f>
        <v>0.1383815133</v>
      </c>
      <c r="H65" s="26"/>
      <c r="I65" s="28">
        <f t="shared" si="1"/>
        <v>79</v>
      </c>
      <c r="J65" s="29">
        <f t="shared" si="2"/>
        <v>46093</v>
      </c>
      <c r="K65" s="30">
        <f t="shared" si="3"/>
        <v>15</v>
      </c>
      <c r="L65" s="29">
        <f t="shared" si="4"/>
        <v>46109</v>
      </c>
      <c r="M65" s="30">
        <f t="shared" si="5"/>
        <v>459.5356037</v>
      </c>
      <c r="N65" s="32">
        <f t="shared" si="6"/>
        <v>0</v>
      </c>
      <c r="O65" s="33" t="str">
        <f t="shared" si="7"/>
        <v>PAGADA</v>
      </c>
      <c r="P65" s="34">
        <f>LET(
  idVenta, I65&amp;"",
  montoTotal, M65,
  pagos, IFERROR(SUMIF(Aux_Datos!$B:$B, idVenta, Aux_Datos!$K:$K), 0),
  retenciones, IFERROR(SUMIF(Aux_Datos!$N:$N, idVenta, Aux_Datos!$R:$R), 0),
  pagos + retenciones
)</f>
        <v>459.5356037</v>
      </c>
      <c r="Q65" s="30" t="str">
        <f>IF(P65=0, "Sin Pago", 
  LET(
    idVenta, I65&amp;"",
    montoTotalPagado, P65,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65" s="30">
        <f t="shared" si="13"/>
        <v>0</v>
      </c>
      <c r="S65" s="29">
        <f>IF(P65=0, "Sin Pago", 
  IFERROR(
    MAXIFS(Aux_Datos!$A:$A, Aux_Datos!$B:$B, I65&amp;""), 
    IFERROR(MAXIFS(Aux_Datos!$A:$A, Aux_Datos!$B:$B, VALUE(I65)), "Revisar ID")
  )
)</f>
        <v>46140</v>
      </c>
      <c r="T65" s="35" t="str">
        <f t="shared" si="9"/>
        <v>PAGADA</v>
      </c>
      <c r="U65" s="35" t="str">
        <f t="shared" si="10"/>
        <v>SOLVENTE</v>
      </c>
      <c r="V65" s="32">
        <f t="shared" si="11"/>
        <v>0</v>
      </c>
      <c r="W65" s="36" t="str">
        <f>IF(P65=0, "Sin Pago", 
  LET(
    monedaPago, Q65, 
    descuentoAplicado, G65,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65" s="36" t="str">
        <f t="shared" si="12"/>
        <v/>
      </c>
      <c r="Y65" s="36">
        <v>459.5356037151703</v>
      </c>
      <c r="Z65" s="33" t="s">
        <v>596</v>
      </c>
      <c r="AA65" s="33"/>
      <c r="AB65" s="33"/>
      <c r="AC65" s="33"/>
      <c r="AD65" s="33"/>
      <c r="AE65" s="33"/>
      <c r="AF65" s="33"/>
    </row>
    <row r="66" ht="22.5" customHeight="1">
      <c r="A66" s="23" t="s">
        <v>670</v>
      </c>
      <c r="B66" s="24">
        <v>46093.71266203704</v>
      </c>
      <c r="C66" s="23" t="s">
        <v>671</v>
      </c>
      <c r="D66" s="23" t="s">
        <v>540</v>
      </c>
      <c r="E66" s="25">
        <v>71.99</v>
      </c>
      <c r="F66" s="23" t="s">
        <v>608</v>
      </c>
      <c r="G66" s="26">
        <f>IF($E66=0,0,IF(SUMIF(Aux_Datos!$B:$B,$I66,Aux_Datos!$K:$K)/$E66&gt;=VLOOKUP(IF(COUNTIFS(Aux_Datos!$B:$B,$I66,Aux_Datos!$D:$D,"&lt;&gt;USD")=0,"USD","VES"),'Limites de Descuento'!$A$2:$D$4,4,FALSE),MAX(0,1-SUMIF(Aux_Datos!$B:$B,$I66,Aux_Datos!$K:$K)/$E66),0))</f>
        <v>0</v>
      </c>
      <c r="H66" s="27"/>
      <c r="I66" s="28">
        <f t="shared" si="1"/>
        <v>81</v>
      </c>
      <c r="J66" s="29">
        <f t="shared" si="2"/>
        <v>46093</v>
      </c>
      <c r="K66" s="30">
        <f t="shared" si="3"/>
        <v>7</v>
      </c>
      <c r="L66" s="29">
        <f t="shared" si="4"/>
        <v>46101</v>
      </c>
      <c r="M66" s="30">
        <f t="shared" si="5"/>
        <v>71.99</v>
      </c>
      <c r="N66" s="32">
        <f t="shared" si="6"/>
        <v>0</v>
      </c>
      <c r="O66" s="33" t="str">
        <f t="shared" si="7"/>
        <v>PAGADA</v>
      </c>
      <c r="P66" s="34">
        <f>LET(
  idVenta, I66&amp;"",
  montoTotal, M66,
  pagos, IFERROR(SUMIF(Aux_Datos!$B:$B, idVenta, Aux_Datos!$K:$K), 0),
  retenciones, IFERROR(SUMIF(Aux_Datos!$N:$N, idVenta, Aux_Datos!$R:$R), 0),
  pagos + retenciones
)</f>
        <v>72</v>
      </c>
      <c r="Q66" s="30" t="str">
        <f>IF(P66=0, "Sin Pago", 
  LET(
    idVenta, I66&amp;"",
    montoTotalPagado, P66,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66" s="30">
        <f t="shared" si="13"/>
        <v>-0.01</v>
      </c>
      <c r="S66" s="29">
        <f>IF(P66=0, "Sin Pago", 
  IFERROR(
    MAXIFS(Aux_Datos!$A:$A, Aux_Datos!$B:$B, I66&amp;""), 
    IFERROR(MAXIFS(Aux_Datos!$A:$A, Aux_Datos!$B:$B, VALUE(I66)), "Revisar ID")
  )
)</f>
        <v>46107</v>
      </c>
      <c r="T66" s="35" t="str">
        <f t="shared" si="9"/>
        <v>PAGADA</v>
      </c>
      <c r="U66" s="35" t="str">
        <f t="shared" si="10"/>
        <v>SOLVENTE</v>
      </c>
      <c r="V66" s="32">
        <f t="shared" si="11"/>
        <v>0</v>
      </c>
      <c r="W66" s="36" t="str">
        <f>IF(P66=0, "Sin Pago", 
  LET(
    monedaPago, Q66, 
    descuentoAplicado, G66,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66" s="36" t="str">
        <f t="shared" si="12"/>
        <v/>
      </c>
      <c r="Y66" s="36">
        <v>72.0</v>
      </c>
      <c r="Z66" s="33" t="s">
        <v>596</v>
      </c>
      <c r="AA66" s="33"/>
      <c r="AB66" s="33"/>
      <c r="AC66" s="33"/>
      <c r="AD66" s="33"/>
      <c r="AE66" s="33"/>
      <c r="AF66" s="33"/>
    </row>
    <row r="67" ht="22.5" customHeight="1">
      <c r="A67" s="23" t="s">
        <v>672</v>
      </c>
      <c r="B67" s="24">
        <v>46093.66247685185</v>
      </c>
      <c r="C67" s="23" t="s">
        <v>337</v>
      </c>
      <c r="D67" s="23" t="s">
        <v>529</v>
      </c>
      <c r="E67" s="25">
        <v>1633.07</v>
      </c>
      <c r="F67" s="23" t="s">
        <v>619</v>
      </c>
      <c r="G67" s="26">
        <f>IF($E67=0,0,IF(SUMIF(Aux_Datos!$B:$B,$I67,Aux_Datos!$K:$K)/$E67&gt;=VLOOKUP(IF(COUNTIFS(Aux_Datos!$B:$B,$I67,Aux_Datos!$D:$D,"&lt;&gt;USD")=0,"USD","VES"),'Limites de Descuento'!$A$2:$D$4,4,FALSE),MAX(0,1-SUMIF(Aux_Datos!$B:$B,$I67,Aux_Datos!$K:$K)/$E67),0))</f>
        <v>0.2345704716</v>
      </c>
      <c r="H67" s="27"/>
      <c r="I67" s="28">
        <f t="shared" si="1"/>
        <v>82</v>
      </c>
      <c r="J67" s="29">
        <f t="shared" si="2"/>
        <v>46093</v>
      </c>
      <c r="K67" s="30">
        <f t="shared" si="3"/>
        <v>15</v>
      </c>
      <c r="L67" s="29">
        <f t="shared" si="4"/>
        <v>46109</v>
      </c>
      <c r="M67" s="30">
        <f t="shared" si="5"/>
        <v>1250</v>
      </c>
      <c r="N67" s="32">
        <f t="shared" si="6"/>
        <v>0</v>
      </c>
      <c r="O67" s="33" t="str">
        <f t="shared" si="7"/>
        <v>PAGADA</v>
      </c>
      <c r="P67" s="34">
        <f>LET(
  idVenta, I67&amp;"",
  montoTotal, M67,
  pagos, IFERROR(SUMIF(Aux_Datos!$B:$B, idVenta, Aux_Datos!$K:$K), 0),
  retenciones, IFERROR(SUMIF(Aux_Datos!$N:$N, idVenta, Aux_Datos!$R:$R), 0),
  pagos + retenciones
)</f>
        <v>1250</v>
      </c>
      <c r="Q67" s="30" t="str">
        <f>IF(P67=0, "Sin Pago", 
  LET(
    idVenta, I67&amp;"",
    montoTotalPagado, P67,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67" s="30">
        <f t="shared" si="13"/>
        <v>0</v>
      </c>
      <c r="S67" s="29">
        <f>IF(P67=0, "Sin Pago", 
  IFERROR(
    MAXIFS(Aux_Datos!$A:$A, Aux_Datos!$B:$B, I67&amp;""), 
    IFERROR(MAXIFS(Aux_Datos!$A:$A, Aux_Datos!$B:$B, VALUE(I67)), "Revisar ID")
  )
)</f>
        <v>46160</v>
      </c>
      <c r="T67" s="35" t="str">
        <f t="shared" si="9"/>
        <v>PAGADA</v>
      </c>
      <c r="U67" s="35" t="str">
        <f t="shared" si="10"/>
        <v>SOLVENTE</v>
      </c>
      <c r="V67" s="32">
        <f t="shared" si="11"/>
        <v>0</v>
      </c>
      <c r="W67" s="36" t="str">
        <f>IF(P67=0, "Sin Pago", 
  LET(
    monedaPago, Q67, 
    descuentoAplicado, G67,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67" s="36" t="str">
        <f t="shared" si="12"/>
        <v/>
      </c>
      <c r="Y67" s="36">
        <v>1250.0</v>
      </c>
      <c r="Z67" s="33" t="s">
        <v>596</v>
      </c>
      <c r="AA67" s="33"/>
      <c r="AB67" s="33"/>
      <c r="AC67" s="33"/>
      <c r="AD67" s="33"/>
      <c r="AE67" s="33"/>
      <c r="AF67" s="33"/>
    </row>
    <row r="68" ht="22.5" customHeight="1">
      <c r="A68" s="23" t="s">
        <v>109</v>
      </c>
      <c r="B68" s="24">
        <v>46093.72982638889</v>
      </c>
      <c r="C68" s="23" t="s">
        <v>108</v>
      </c>
      <c r="D68" s="23" t="s">
        <v>538</v>
      </c>
      <c r="E68" s="25">
        <v>970.07</v>
      </c>
      <c r="F68" s="23" t="s">
        <v>619</v>
      </c>
      <c r="G68" s="26">
        <f>IF($E68=0,0,IF(SUMIF(Aux_Datos!$B:$B,$I68,Aux_Datos!$K:$K)/$E68&gt;=VLOOKUP(IF(COUNTIFS(Aux_Datos!$B:$B,$I68,Aux_Datos!$D:$D,"&lt;&gt;USD")=0,"USD","VES"),'Limites de Descuento'!$A$2:$D$4,4,FALSE),MAX(0,1-SUMIF(Aux_Datos!$B:$B,$I68,Aux_Datos!$K:$K)/$E68),0))</f>
        <v>0</v>
      </c>
      <c r="H68" s="27"/>
      <c r="I68" s="28">
        <f t="shared" si="1"/>
        <v>83</v>
      </c>
      <c r="J68" s="29">
        <f t="shared" si="2"/>
        <v>46093</v>
      </c>
      <c r="K68" s="30">
        <f t="shared" si="3"/>
        <v>15</v>
      </c>
      <c r="L68" s="29">
        <f t="shared" si="4"/>
        <v>46109</v>
      </c>
      <c r="M68" s="30">
        <f t="shared" si="5"/>
        <v>970.07</v>
      </c>
      <c r="N68" s="32">
        <f t="shared" si="6"/>
        <v>91</v>
      </c>
      <c r="O68" s="33" t="str">
        <f t="shared" si="7"/>
        <v>VENCIDA</v>
      </c>
      <c r="P68" s="34">
        <f>LET(
  idVenta, I68&amp;"",
  montoTotal, M68,
  pagos, IFERROR(SUMIF(Aux_Datos!$B:$B, idVenta, Aux_Datos!$K:$K), 0),
  retenciones, IFERROR(SUMIF(Aux_Datos!$N:$N, idVenta, Aux_Datos!$R:$R), 0),
  pagos + retenciones
)</f>
        <v>470.459461</v>
      </c>
      <c r="Q68" s="30" t="str">
        <f>IF(P68=0, "Sin Pago", 
  LET(
    idVenta, I68&amp;"",
    montoTotalPagado, P68,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68" s="30">
        <f t="shared" si="13"/>
        <v>499.610539</v>
      </c>
      <c r="S68" s="29">
        <f>IF(P68=0, "Sin Pago", 
  IFERROR(
    MAXIFS(Aux_Datos!$A:$A, Aux_Datos!$B:$B, I68&amp;""), 
    IFERROR(MAXIFS(Aux_Datos!$A:$A, Aux_Datos!$B:$B, VALUE(I68)), "Revisar ID")
  )
)</f>
        <v>46175</v>
      </c>
      <c r="T68" s="35" t="str">
        <f t="shared" si="9"/>
        <v>PAGO PARCIAL</v>
      </c>
      <c r="U68" s="35" t="str">
        <f t="shared" si="10"/>
        <v>CRÍTICO: VENCIDA</v>
      </c>
      <c r="V68" s="32">
        <f t="shared" si="11"/>
        <v>25</v>
      </c>
      <c r="W68" s="36" t="str">
        <f>IF(P68=0, "Sin Pago", 
  LET(
    monedaPago, Q68, 
    descuentoAplicado, G68,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68" s="36" t="str">
        <f t="shared" si="12"/>
        <v/>
      </c>
      <c r="Y68" s="36">
        <v>470.4594610117201</v>
      </c>
      <c r="Z68" s="33" t="s">
        <v>609</v>
      </c>
      <c r="AA68" s="33"/>
      <c r="AB68" s="33"/>
      <c r="AC68" s="33"/>
      <c r="AD68" s="33"/>
      <c r="AE68" s="33"/>
      <c r="AF68" s="33"/>
    </row>
    <row r="69" ht="22.5" customHeight="1">
      <c r="A69" s="23" t="s">
        <v>78</v>
      </c>
      <c r="B69" s="24">
        <v>46093.74505787037</v>
      </c>
      <c r="C69" s="23" t="s">
        <v>77</v>
      </c>
      <c r="D69" s="23" t="s">
        <v>544</v>
      </c>
      <c r="E69" s="25">
        <v>67.37</v>
      </c>
      <c r="F69" s="23" t="s">
        <v>608</v>
      </c>
      <c r="G69" s="26">
        <f>IF($E69=0,0,IF(SUMIF(Aux_Datos!$B:$B,$I69,Aux_Datos!$K:$K)/$E69&gt;=VLOOKUP(IF(COUNTIFS(Aux_Datos!$B:$B,$I69,Aux_Datos!$D:$D,"&lt;&gt;USD")=0,"USD","VES"),'Limites de Descuento'!$A$2:$D$4,4,FALSE),MAX(0,1-SUMIF(Aux_Datos!$B:$B,$I69,Aux_Datos!$K:$K)/$E69),0))</f>
        <v>0</v>
      </c>
      <c r="H69" s="27"/>
      <c r="I69" s="28">
        <f t="shared" si="1"/>
        <v>84</v>
      </c>
      <c r="J69" s="29">
        <f t="shared" si="2"/>
        <v>46093</v>
      </c>
      <c r="K69" s="30">
        <f t="shared" si="3"/>
        <v>7</v>
      </c>
      <c r="L69" s="29">
        <f t="shared" si="4"/>
        <v>46101</v>
      </c>
      <c r="M69" s="30">
        <f t="shared" si="5"/>
        <v>67.37</v>
      </c>
      <c r="N69" s="32">
        <f t="shared" si="6"/>
        <v>99</v>
      </c>
      <c r="O69" s="33" t="str">
        <f t="shared" si="7"/>
        <v>VENCIDA</v>
      </c>
      <c r="P69" s="34">
        <f>LET(
  idVenta, I69&amp;"",
  montoTotal, M69,
  pagos, IFERROR(SUMIF(Aux_Datos!$B:$B, idVenta, Aux_Datos!$K:$K), 0),
  retenciones, IFERROR(SUMIF(Aux_Datos!$N:$N, idVenta, Aux_Datos!$R:$R), 0),
  pagos + retenciones
)</f>
        <v>49.48284845</v>
      </c>
      <c r="Q69" s="30" t="str">
        <f>IF(P69=0, "Sin Pago", 
  LET(
    idVenta, I69&amp;"",
    montoTotalPagado, P69,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69" s="30">
        <f t="shared" si="13"/>
        <v>17.88715155</v>
      </c>
      <c r="S69" s="29">
        <f>IF(P69=0, "Sin Pago", 
  IFERROR(
    MAXIFS(Aux_Datos!$A:$A, Aux_Datos!$B:$B, I69&amp;""), 
    IFERROR(MAXIFS(Aux_Datos!$A:$A, Aux_Datos!$B:$B, VALUE(I69)), "Revisar ID")
  )
)</f>
        <v>46125</v>
      </c>
      <c r="T69" s="35" t="str">
        <f t="shared" si="9"/>
        <v>PAGO PARCIAL</v>
      </c>
      <c r="U69" s="35" t="str">
        <f t="shared" si="10"/>
        <v>CRÍTICO: VENCIDA</v>
      </c>
      <c r="V69" s="32">
        <f t="shared" si="11"/>
        <v>75</v>
      </c>
      <c r="W69" s="36" t="str">
        <f>IF(P69=0, "Sin Pago", 
  LET(
    monedaPago, Q69, 
    descuentoAplicado, G69,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69" s="36" t="str">
        <f t="shared" si="12"/>
        <v/>
      </c>
      <c r="Y69" s="36">
        <v>49.48284845279499</v>
      </c>
      <c r="Z69" s="33" t="s">
        <v>609</v>
      </c>
      <c r="AA69" s="33"/>
      <c r="AB69" s="33"/>
      <c r="AC69" s="33"/>
      <c r="AD69" s="33"/>
      <c r="AE69" s="33"/>
      <c r="AF69" s="33"/>
    </row>
    <row r="70" ht="22.5" customHeight="1">
      <c r="A70" s="23" t="s">
        <v>673</v>
      </c>
      <c r="B70" s="24">
        <v>46093.74456018519</v>
      </c>
      <c r="C70" s="23" t="s">
        <v>327</v>
      </c>
      <c r="D70" s="23" t="s">
        <v>544</v>
      </c>
      <c r="E70" s="25">
        <v>173.65</v>
      </c>
      <c r="F70" s="23" t="s">
        <v>619</v>
      </c>
      <c r="G70" s="26">
        <f>IF($E70=0,0,IF(SUMIF(Aux_Datos!$B:$B,$I70,Aux_Datos!$K:$K)/$E70&gt;=VLOOKUP(IF(COUNTIFS(Aux_Datos!$B:$B,$I70,Aux_Datos!$D:$D,"&lt;&gt;USD")=0,"USD","VES"),'Limites de Descuento'!$A$2:$D$4,4,FALSE),MAX(0,1-SUMIF(Aux_Datos!$B:$B,$I70,Aux_Datos!$K:$K)/$E70),0))</f>
        <v>0</v>
      </c>
      <c r="H70" s="27"/>
      <c r="I70" s="28">
        <f t="shared" si="1"/>
        <v>86</v>
      </c>
      <c r="J70" s="29">
        <f t="shared" si="2"/>
        <v>46093</v>
      </c>
      <c r="K70" s="30">
        <f t="shared" si="3"/>
        <v>15</v>
      </c>
      <c r="L70" s="29">
        <f t="shared" si="4"/>
        <v>46109</v>
      </c>
      <c r="M70" s="30">
        <f t="shared" si="5"/>
        <v>173.65</v>
      </c>
      <c r="N70" s="32">
        <f t="shared" si="6"/>
        <v>0</v>
      </c>
      <c r="O70" s="33" t="str">
        <f t="shared" si="7"/>
        <v>PAGADA</v>
      </c>
      <c r="P70" s="34">
        <f>LET(
  idVenta, I70&amp;"",
  montoTotal, M70,
  pagos, IFERROR(SUMIF(Aux_Datos!$B:$B, idVenta, Aux_Datos!$K:$K), 0),
  retenciones, IFERROR(SUMIF(Aux_Datos!$N:$N, idVenta, Aux_Datos!$R:$R), 0),
  pagos + retenciones
)</f>
        <v>226.9308445</v>
      </c>
      <c r="Q70" s="30" t="str">
        <f>IF(P70=0, "Sin Pago", 
  LET(
    idVenta, I70&amp;"",
    montoTotalPagado, P70,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70" s="30">
        <f t="shared" si="13"/>
        <v>-53.28084447</v>
      </c>
      <c r="S70" s="29">
        <f>IF(P70=0, "Sin Pago", 
  IFERROR(
    MAXIFS(Aux_Datos!$A:$A, Aux_Datos!$B:$B, I70&amp;""), 
    IFERROR(MAXIFS(Aux_Datos!$A:$A, Aux_Datos!$B:$B, VALUE(I70)), "Revisar ID")
  )
)</f>
        <v>46146</v>
      </c>
      <c r="T70" s="35" t="str">
        <f t="shared" si="9"/>
        <v>PAGADA</v>
      </c>
      <c r="U70" s="35" t="str">
        <f t="shared" si="10"/>
        <v>SOLVENTE</v>
      </c>
      <c r="V70" s="32">
        <f t="shared" si="11"/>
        <v>0</v>
      </c>
      <c r="W70" s="36" t="str">
        <f>IF(P70=0, "Sin Pago", 
  LET(
    monedaPago, Q70, 
    descuentoAplicado, G70,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70" s="36" t="str">
        <f t="shared" si="12"/>
        <v/>
      </c>
      <c r="Y70" s="36">
        <v>226.93084447331103</v>
      </c>
      <c r="Z70" s="33" t="s">
        <v>596</v>
      </c>
      <c r="AA70" s="33"/>
      <c r="AB70" s="33"/>
      <c r="AC70" s="33"/>
      <c r="AD70" s="33"/>
      <c r="AE70" s="33"/>
      <c r="AF70" s="33"/>
    </row>
    <row r="71" ht="22.5" customHeight="1">
      <c r="A71" s="23" t="s">
        <v>674</v>
      </c>
      <c r="B71" s="24">
        <v>46093.741747685184</v>
      </c>
      <c r="C71" s="23" t="s">
        <v>339</v>
      </c>
      <c r="D71" s="23" t="s">
        <v>552</v>
      </c>
      <c r="E71" s="25">
        <v>392.65</v>
      </c>
      <c r="F71" s="23" t="s">
        <v>593</v>
      </c>
      <c r="G71" s="26">
        <f>IF($E71=0,0,IF(SUMIF(Aux_Datos!$B:$B,$I71,Aux_Datos!$K:$K)/$E71&gt;=VLOOKUP(IF(COUNTIFS(Aux_Datos!$B:$B,$I71,Aux_Datos!$D:$D,"&lt;&gt;USD")=0,"USD","VES"),'Limites de Descuento'!$A$2:$D$4,4,FALSE),MAX(0,1-SUMIF(Aux_Datos!$B:$B,$I71,Aux_Datos!$K:$K)/$E71),0))</f>
        <v>0.151916465</v>
      </c>
      <c r="H71" s="27"/>
      <c r="I71" s="28">
        <f t="shared" si="1"/>
        <v>87</v>
      </c>
      <c r="J71" s="29">
        <f t="shared" si="2"/>
        <v>46093</v>
      </c>
      <c r="K71" s="30">
        <f t="shared" si="3"/>
        <v>0</v>
      </c>
      <c r="L71" s="29">
        <f t="shared" si="4"/>
        <v>46094</v>
      </c>
      <c r="M71" s="30">
        <f t="shared" si="5"/>
        <v>333</v>
      </c>
      <c r="N71" s="32">
        <f t="shared" si="6"/>
        <v>0</v>
      </c>
      <c r="O71" s="33" t="str">
        <f t="shared" si="7"/>
        <v>PAGADA</v>
      </c>
      <c r="P71" s="34">
        <f>LET(
  idVenta, I71&amp;"",
  montoTotal, M71,
  pagos, IFERROR(SUMIF(Aux_Datos!$B:$B, idVenta, Aux_Datos!$K:$K), 0),
  retenciones, IFERROR(SUMIF(Aux_Datos!$N:$N, idVenta, Aux_Datos!$R:$R), 0),
  pagos + retenciones
)</f>
        <v>333</v>
      </c>
      <c r="Q71" s="30" t="str">
        <f>IF(P71=0, "Sin Pago", 
  LET(
    idVenta, I71&amp;"",
    montoTotalPagado, P71,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71" s="30">
        <f t="shared" si="13"/>
        <v>0</v>
      </c>
      <c r="S71" s="29">
        <f>IF(P71=0, "Sin Pago", 
  IFERROR(
    MAXIFS(Aux_Datos!$A:$A, Aux_Datos!$B:$B, I71&amp;""), 
    IFERROR(MAXIFS(Aux_Datos!$A:$A, Aux_Datos!$B:$B, VALUE(I71)), "Revisar ID")
  )
)</f>
        <v>46161</v>
      </c>
      <c r="T71" s="35" t="str">
        <f t="shared" si="9"/>
        <v>PAGADA</v>
      </c>
      <c r="U71" s="35" t="str">
        <f t="shared" si="10"/>
        <v>SOLVENTE</v>
      </c>
      <c r="V71" s="32">
        <f t="shared" si="11"/>
        <v>0</v>
      </c>
      <c r="W71" s="36" t="str">
        <f>IF(P71=0, "Sin Pago", 
  LET(
    monedaPago, Q71, 
    descuentoAplicado, G71,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71" s="36" t="str">
        <f t="shared" si="12"/>
        <v/>
      </c>
      <c r="Y71" s="36">
        <v>333.0</v>
      </c>
      <c r="Z71" s="33" t="s">
        <v>596</v>
      </c>
      <c r="AA71" s="33"/>
      <c r="AB71" s="33"/>
      <c r="AC71" s="33"/>
      <c r="AD71" s="33"/>
      <c r="AE71" s="33"/>
      <c r="AF71" s="33"/>
    </row>
    <row r="72" ht="22.5" customHeight="1">
      <c r="A72" s="23" t="s">
        <v>83</v>
      </c>
      <c r="B72" s="24">
        <v>46094.59743055556</v>
      </c>
      <c r="C72" s="23" t="s">
        <v>82</v>
      </c>
      <c r="D72" s="23" t="s">
        <v>208</v>
      </c>
      <c r="E72" s="25">
        <v>286.51</v>
      </c>
      <c r="F72" s="23" t="s">
        <v>608</v>
      </c>
      <c r="G72" s="26">
        <f>IF($E72=0,0,IF(SUMIF(Aux_Datos!$B:$B,$I72,Aux_Datos!$K:$K)/$E72&gt;=VLOOKUP(IF(COUNTIFS(Aux_Datos!$B:$B,$I72,Aux_Datos!$D:$D,"&lt;&gt;USD")=0,"USD","VES"),'Limites de Descuento'!$A$2:$D$4,4,FALSE),MAX(0,1-SUMIF(Aux_Datos!$B:$B,$I72,Aux_Datos!$K:$K)/$E72),0))</f>
        <v>0</v>
      </c>
      <c r="H72" s="27"/>
      <c r="I72" s="28">
        <f t="shared" si="1"/>
        <v>88</v>
      </c>
      <c r="J72" s="29">
        <f t="shared" si="2"/>
        <v>46094</v>
      </c>
      <c r="K72" s="30">
        <f t="shared" si="3"/>
        <v>7</v>
      </c>
      <c r="L72" s="29">
        <f t="shared" si="4"/>
        <v>46102</v>
      </c>
      <c r="M72" s="30">
        <f t="shared" si="5"/>
        <v>286.51</v>
      </c>
      <c r="N72" s="32">
        <f t="shared" si="6"/>
        <v>98</v>
      </c>
      <c r="O72" s="33" t="str">
        <f t="shared" si="7"/>
        <v>VENCIDA</v>
      </c>
      <c r="P72" s="34">
        <f>LET(
  idVenta, I72&amp;"",
  montoTotal, M72,
  pagos, IFERROR(SUMIF(Aux_Datos!$B:$B, idVenta, Aux_Datos!$K:$K), 0),
  retenciones, IFERROR(SUMIF(Aux_Datos!$N:$N, idVenta, Aux_Datos!$R:$R), 0),
  pagos + retenciones
)</f>
        <v>278.1546575</v>
      </c>
      <c r="Q72" s="30" t="str">
        <f>IF(P72=0, "Sin Pago", 
  LET(
    idVenta, I72&amp;"",
    montoTotalPagado, P72,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72" s="30">
        <f t="shared" si="13"/>
        <v>8.355342491</v>
      </c>
      <c r="S72" s="29">
        <f>IF(P72=0, "Sin Pago", 
  IFERROR(
    MAXIFS(Aux_Datos!$A:$A, Aux_Datos!$B:$B, I72&amp;""), 
    IFERROR(MAXIFS(Aux_Datos!$A:$A, Aux_Datos!$B:$B, VALUE(I72)), "Revisar ID")
  )
)</f>
        <v>46094</v>
      </c>
      <c r="T72" s="35" t="str">
        <f t="shared" si="9"/>
        <v>PAGO PARCIAL</v>
      </c>
      <c r="U72" s="35" t="str">
        <f t="shared" si="10"/>
        <v>CRÍTICO: VENCIDA</v>
      </c>
      <c r="V72" s="32">
        <f t="shared" si="11"/>
        <v>106</v>
      </c>
      <c r="W72" s="36" t="str">
        <f>IF(P72=0, "Sin Pago", 
  LET(
    monedaPago, Q72, 
    descuentoAplicado, G72,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72" s="36" t="str">
        <f t="shared" si="12"/>
        <v/>
      </c>
      <c r="Y72" s="36">
        <v>240.16602494209363</v>
      </c>
      <c r="Z72" s="33" t="s">
        <v>596</v>
      </c>
      <c r="AA72" s="33"/>
      <c r="AB72" s="33"/>
      <c r="AC72" s="33"/>
      <c r="AD72" s="33"/>
      <c r="AE72" s="33"/>
      <c r="AF72" s="33"/>
    </row>
    <row r="73" ht="22.5" customHeight="1">
      <c r="A73" s="23" t="s">
        <v>675</v>
      </c>
      <c r="B73" s="24">
        <v>46094.572696759256</v>
      </c>
      <c r="C73" s="23" t="s">
        <v>307</v>
      </c>
      <c r="D73" s="23" t="s">
        <v>552</v>
      </c>
      <c r="E73" s="25">
        <v>89.99</v>
      </c>
      <c r="F73" s="23" t="s">
        <v>593</v>
      </c>
      <c r="G73" s="26">
        <f>IF($E73=0,0,IF(SUMIF(Aux_Datos!$B:$B,$I73,Aux_Datos!$K:$K)/$E73&gt;=VLOOKUP(IF(COUNTIFS(Aux_Datos!$B:$B,$I73,Aux_Datos!$D:$D,"&lt;&gt;USD")=0,"USD","VES"),'Limites de Descuento'!$A$2:$D$4,4,FALSE),MAX(0,1-SUMIF(Aux_Datos!$B:$B,$I73,Aux_Datos!$K:$K)/$E73),0))</f>
        <v>0</v>
      </c>
      <c r="H73" s="27"/>
      <c r="I73" s="28">
        <f t="shared" si="1"/>
        <v>89</v>
      </c>
      <c r="J73" s="29">
        <f t="shared" si="2"/>
        <v>46094</v>
      </c>
      <c r="K73" s="30">
        <f t="shared" si="3"/>
        <v>0</v>
      </c>
      <c r="L73" s="29">
        <f t="shared" si="4"/>
        <v>46095</v>
      </c>
      <c r="M73" s="30">
        <f t="shared" si="5"/>
        <v>89.99</v>
      </c>
      <c r="N73" s="32">
        <f t="shared" si="6"/>
        <v>0</v>
      </c>
      <c r="O73" s="33" t="str">
        <f t="shared" si="7"/>
        <v>PAGADA</v>
      </c>
      <c r="P73" s="34">
        <f>LET(
  idVenta, I73&amp;"",
  montoTotal, M73,
  pagos, IFERROR(SUMIF(Aux_Datos!$B:$B, idVenta, Aux_Datos!$K:$K), 0),
  retenciones, IFERROR(SUMIF(Aux_Datos!$N:$N, idVenta, Aux_Datos!$R:$R), 0),
  pagos + retenciones
)</f>
        <v>90</v>
      </c>
      <c r="Q73" s="30" t="str">
        <f>IF(P73=0, "Sin Pago", 
  LET(
    idVenta, I73&amp;"",
    montoTotalPagado, P73,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73" s="30">
        <f t="shared" si="13"/>
        <v>-0.01</v>
      </c>
      <c r="S73" s="29">
        <f>IF(P73=0, "Sin Pago", 
  IFERROR(
    MAXIFS(Aux_Datos!$A:$A, Aux_Datos!$B:$B, I73&amp;""), 
    IFERROR(MAXIFS(Aux_Datos!$A:$A, Aux_Datos!$B:$B, VALUE(I73)), "Revisar ID")
  )
)</f>
        <v>46121</v>
      </c>
      <c r="T73" s="35" t="str">
        <f t="shared" si="9"/>
        <v>PAGADA</v>
      </c>
      <c r="U73" s="35" t="str">
        <f t="shared" si="10"/>
        <v>SOLVENTE</v>
      </c>
      <c r="V73" s="32">
        <f t="shared" si="11"/>
        <v>0</v>
      </c>
      <c r="W73" s="36" t="str">
        <f>IF(P73=0, "Sin Pago", 
  LET(
    monedaPago, Q73, 
    descuentoAplicado, G73,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73" s="36" t="str">
        <f t="shared" si="12"/>
        <v/>
      </c>
      <c r="Y73" s="36">
        <v>90.0</v>
      </c>
      <c r="Z73" s="33" t="s">
        <v>596</v>
      </c>
      <c r="AA73" s="33"/>
      <c r="AB73" s="33"/>
      <c r="AC73" s="33"/>
      <c r="AD73" s="33"/>
      <c r="AE73" s="33"/>
      <c r="AF73" s="33"/>
    </row>
    <row r="74" ht="22.5" customHeight="1">
      <c r="A74" s="23" t="s">
        <v>676</v>
      </c>
      <c r="B74" s="24">
        <v>46094.572592592594</v>
      </c>
      <c r="C74" s="23" t="s">
        <v>44</v>
      </c>
      <c r="D74" s="23" t="s">
        <v>556</v>
      </c>
      <c r="E74" s="25">
        <v>171.0</v>
      </c>
      <c r="F74" s="23" t="s">
        <v>608</v>
      </c>
      <c r="G74" s="26">
        <f>IF($E74=0,0,IF(SUMIF(Aux_Datos!$B:$B,$I74,Aux_Datos!$K:$K)/$E74&gt;=VLOOKUP(IF(COUNTIFS(Aux_Datos!$B:$B,$I74,Aux_Datos!$D:$D,"&lt;&gt;USD")=0,"USD","VES"),'Limites de Descuento'!$A$2:$D$4,4,FALSE),MAX(0,1-SUMIF(Aux_Datos!$B:$B,$I74,Aux_Datos!$K:$K)/$E74),0))</f>
        <v>0</v>
      </c>
      <c r="H74" s="27"/>
      <c r="I74" s="28">
        <f t="shared" si="1"/>
        <v>90</v>
      </c>
      <c r="J74" s="29">
        <f t="shared" si="2"/>
        <v>46094</v>
      </c>
      <c r="K74" s="30">
        <f t="shared" si="3"/>
        <v>7</v>
      </c>
      <c r="L74" s="29">
        <f t="shared" si="4"/>
        <v>46102</v>
      </c>
      <c r="M74" s="30">
        <f t="shared" si="5"/>
        <v>171</v>
      </c>
      <c r="N74" s="32">
        <f t="shared" si="6"/>
        <v>0</v>
      </c>
      <c r="O74" s="33" t="str">
        <f t="shared" si="7"/>
        <v>PAGADA</v>
      </c>
      <c r="P74" s="34">
        <f>LET(
  idVenta, I74&amp;"",
  montoTotal, M74,
  pagos, IFERROR(SUMIF(Aux_Datos!$B:$B, idVenta, Aux_Datos!$K:$K), 0),
  retenciones, IFERROR(SUMIF(Aux_Datos!$N:$N, idVenta, Aux_Datos!$R:$R), 0),
  pagos + retenciones
)</f>
        <v>171</v>
      </c>
      <c r="Q74" s="30" t="str">
        <f>IF(P74=0, "Sin Pago", 
  LET(
    idVenta, I74&amp;"",
    montoTotalPagado, P74,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74" s="30">
        <f t="shared" si="13"/>
        <v>0</v>
      </c>
      <c r="S74" s="29">
        <f>IF(P74=0, "Sin Pago", 
  IFERROR(
    MAXIFS(Aux_Datos!$A:$A, Aux_Datos!$B:$B, I74&amp;""), 
    IFERROR(MAXIFS(Aux_Datos!$A:$A, Aux_Datos!$B:$B, VALUE(I74)), "Revisar ID")
  )
)</f>
        <v>46127</v>
      </c>
      <c r="T74" s="35" t="str">
        <f t="shared" si="9"/>
        <v>PAGADA</v>
      </c>
      <c r="U74" s="35" t="str">
        <f t="shared" si="10"/>
        <v>SOLVENTE</v>
      </c>
      <c r="V74" s="32">
        <f t="shared" si="11"/>
        <v>0</v>
      </c>
      <c r="W74" s="36" t="str">
        <f>IF(P74=0, "Sin Pago", 
  LET(
    monedaPago, Q74, 
    descuentoAplicado, G74,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74" s="36" t="str">
        <f t="shared" si="12"/>
        <v/>
      </c>
      <c r="Y74" s="36">
        <v>171.0</v>
      </c>
      <c r="Z74" s="33" t="s">
        <v>596</v>
      </c>
      <c r="AA74" s="33"/>
      <c r="AB74" s="33"/>
      <c r="AC74" s="33"/>
      <c r="AD74" s="33"/>
      <c r="AE74" s="33"/>
      <c r="AF74" s="33"/>
    </row>
    <row r="75" ht="22.5" customHeight="1">
      <c r="A75" s="23" t="s">
        <v>677</v>
      </c>
      <c r="B75" s="24">
        <v>46094.628900462965</v>
      </c>
      <c r="C75" s="23" t="s">
        <v>5</v>
      </c>
      <c r="D75" s="23" t="s">
        <v>552</v>
      </c>
      <c r="E75" s="25">
        <v>126.0</v>
      </c>
      <c r="F75" s="23" t="s">
        <v>593</v>
      </c>
      <c r="G75" s="26">
        <f>IF($E75=0,0,IF(SUMIF(Aux_Datos!$B:$B,$I75,Aux_Datos!$K:$K)/$E75&gt;=VLOOKUP(IF(COUNTIFS(Aux_Datos!$B:$B,$I75,Aux_Datos!$D:$D,"&lt;&gt;USD")=0,"USD","VES"),'Limites de Descuento'!$A$2:$D$4,4,FALSE),MAX(0,1-SUMIF(Aux_Datos!$B:$B,$I75,Aux_Datos!$K:$K)/$E75),0))</f>
        <v>0</v>
      </c>
      <c r="H75" s="27"/>
      <c r="I75" s="28">
        <f t="shared" si="1"/>
        <v>92</v>
      </c>
      <c r="J75" s="29">
        <f t="shared" si="2"/>
        <v>46094</v>
      </c>
      <c r="K75" s="30">
        <f t="shared" si="3"/>
        <v>0</v>
      </c>
      <c r="L75" s="29">
        <f t="shared" si="4"/>
        <v>46095</v>
      </c>
      <c r="M75" s="30">
        <f t="shared" si="5"/>
        <v>126</v>
      </c>
      <c r="N75" s="32">
        <f t="shared" si="6"/>
        <v>0</v>
      </c>
      <c r="O75" s="33" t="str">
        <f t="shared" si="7"/>
        <v>PAGADA</v>
      </c>
      <c r="P75" s="34">
        <f>LET(
  idVenta, I75&amp;"",
  montoTotal, M75,
  pagos, IFERROR(SUMIF(Aux_Datos!$B:$B, idVenta, Aux_Datos!$K:$K), 0),
  retenciones, IFERROR(SUMIF(Aux_Datos!$N:$N, idVenta, Aux_Datos!$R:$R), 0),
  pagos + retenciones
)</f>
        <v>126</v>
      </c>
      <c r="Q75" s="30" t="str">
        <f>IF(P75=0, "Sin Pago", 
  LET(
    idVenta, I75&amp;"",
    montoTotalPagado, P75,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75" s="30">
        <f t="shared" si="13"/>
        <v>0</v>
      </c>
      <c r="S75" s="29">
        <f>IF(P75=0, "Sin Pago", 
  IFERROR(
    MAXIFS(Aux_Datos!$A:$A, Aux_Datos!$B:$B, I75&amp;""), 
    IFERROR(MAXIFS(Aux_Datos!$A:$A, Aux_Datos!$B:$B, VALUE(I75)), "Revisar ID")
  )
)</f>
        <v>46100</v>
      </c>
      <c r="T75" s="35" t="str">
        <f t="shared" si="9"/>
        <v>PAGADA</v>
      </c>
      <c r="U75" s="35" t="str">
        <f t="shared" si="10"/>
        <v>SOLVENTE</v>
      </c>
      <c r="V75" s="32">
        <f t="shared" si="11"/>
        <v>0</v>
      </c>
      <c r="W75" s="36" t="str">
        <f>IF(P75=0, "Sin Pago", 
  LET(
    monedaPago, Q75, 
    descuentoAplicado, G75,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75" s="36" t="str">
        <f t="shared" si="12"/>
        <v/>
      </c>
      <c r="Y75" s="36">
        <v>126.0</v>
      </c>
      <c r="Z75" s="33" t="s">
        <v>596</v>
      </c>
      <c r="AA75" s="33"/>
      <c r="AB75" s="33"/>
      <c r="AC75" s="33"/>
      <c r="AD75" s="33"/>
      <c r="AE75" s="33"/>
      <c r="AF75" s="33"/>
    </row>
    <row r="76" ht="22.5" customHeight="1">
      <c r="A76" s="23" t="s">
        <v>678</v>
      </c>
      <c r="B76" s="24">
        <v>46094.62920138889</v>
      </c>
      <c r="C76" s="23" t="s">
        <v>679</v>
      </c>
      <c r="D76" s="23" t="s">
        <v>544</v>
      </c>
      <c r="E76" s="25">
        <v>246.0</v>
      </c>
      <c r="F76" s="23" t="s">
        <v>680</v>
      </c>
      <c r="G76" s="26">
        <f>IF($E76=0,0,IF(SUMIF(Aux_Datos!$B:$B,$I76,Aux_Datos!$K:$K)/$E76&gt;=VLOOKUP(IF(COUNTIFS(Aux_Datos!$B:$B,$I76,Aux_Datos!$D:$D,"&lt;&gt;USD")=0,"USD","VES"),'Limites de Descuento'!$A$2:$D$4,4,FALSE),MAX(0,1-SUMIF(Aux_Datos!$B:$B,$I76,Aux_Datos!$K:$K)/$E76),0))</f>
        <v>0.1138211382</v>
      </c>
      <c r="H76" s="27"/>
      <c r="I76" s="28">
        <f t="shared" si="1"/>
        <v>93</v>
      </c>
      <c r="J76" s="29">
        <f t="shared" si="2"/>
        <v>46094</v>
      </c>
      <c r="K76" s="30">
        <f t="shared" si="3"/>
        <v>30</v>
      </c>
      <c r="L76" s="29">
        <f t="shared" si="4"/>
        <v>46125</v>
      </c>
      <c r="M76" s="30">
        <f t="shared" si="5"/>
        <v>218</v>
      </c>
      <c r="N76" s="32">
        <f t="shared" si="6"/>
        <v>0</v>
      </c>
      <c r="O76" s="33" t="str">
        <f t="shared" si="7"/>
        <v>PAGADA</v>
      </c>
      <c r="P76" s="34">
        <f>LET(
  idVenta, I76&amp;"",
  montoTotal, M76,
  pagos, IFERROR(SUMIF(Aux_Datos!$B:$B, idVenta, Aux_Datos!$K:$K), 0),
  retenciones, IFERROR(SUMIF(Aux_Datos!$N:$N, idVenta, Aux_Datos!$R:$R), 0),
  pagos + retenciones
)</f>
        <v>218</v>
      </c>
      <c r="Q76" s="30" t="str">
        <f>IF(P76=0, "Sin Pago", 
  LET(
    idVenta, I76&amp;"",
    montoTotalPagado, P76,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76" s="30">
        <f t="shared" si="13"/>
        <v>0</v>
      </c>
      <c r="S76" s="29">
        <f>IF(P76=0, "Sin Pago", 
  IFERROR(
    MAXIFS(Aux_Datos!$A:$A, Aux_Datos!$B:$B, I76&amp;""), 
    IFERROR(MAXIFS(Aux_Datos!$A:$A, Aux_Datos!$B:$B, VALUE(I76)), "Revisar ID")
  )
)</f>
        <v>46190</v>
      </c>
      <c r="T76" s="35" t="str">
        <f t="shared" si="9"/>
        <v>PAGADA</v>
      </c>
      <c r="U76" s="35" t="str">
        <f t="shared" si="10"/>
        <v>SOLVENTE</v>
      </c>
      <c r="V76" s="32">
        <f t="shared" si="11"/>
        <v>0</v>
      </c>
      <c r="W76" s="36" t="str">
        <f>IF(P76=0, "Sin Pago", 
  LET(
    monedaPago, Q76, 
    descuentoAplicado, G76,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76" s="36" t="str">
        <f t="shared" si="12"/>
        <v/>
      </c>
      <c r="Y76" s="36">
        <v>218.0</v>
      </c>
      <c r="Z76" s="33" t="s">
        <v>596</v>
      </c>
      <c r="AA76" s="33"/>
      <c r="AB76" s="33"/>
      <c r="AC76" s="33"/>
      <c r="AD76" s="33"/>
      <c r="AE76" s="33"/>
      <c r="AF76" s="33"/>
    </row>
    <row r="77" ht="22.5" customHeight="1">
      <c r="A77" s="23" t="s">
        <v>681</v>
      </c>
      <c r="B77" s="24">
        <v>46094.64637731481</v>
      </c>
      <c r="C77" s="23" t="s">
        <v>284</v>
      </c>
      <c r="D77" s="23" t="s">
        <v>544</v>
      </c>
      <c r="E77" s="25">
        <v>191.1</v>
      </c>
      <c r="F77" s="23" t="s">
        <v>680</v>
      </c>
      <c r="G77" s="26">
        <f>IF($E77=0,0,IF(SUMIF(Aux_Datos!$B:$B,$I77,Aux_Datos!$K:$K)/$E77&gt;=VLOOKUP(IF(COUNTIFS(Aux_Datos!$B:$B,$I77,Aux_Datos!$D:$D,"&lt;&gt;USD")=0,"USD","VES"),'Limites de Descuento'!$A$2:$D$4,4,FALSE),MAX(0,1-SUMIF(Aux_Datos!$B:$B,$I77,Aux_Datos!$K:$K)/$E77),0))</f>
        <v>0</v>
      </c>
      <c r="H77" s="27"/>
      <c r="I77" s="28">
        <f t="shared" si="1"/>
        <v>94</v>
      </c>
      <c r="J77" s="29">
        <f t="shared" si="2"/>
        <v>46094</v>
      </c>
      <c r="K77" s="30">
        <f t="shared" si="3"/>
        <v>30</v>
      </c>
      <c r="L77" s="29">
        <f t="shared" si="4"/>
        <v>46125</v>
      </c>
      <c r="M77" s="30">
        <f t="shared" si="5"/>
        <v>191.1</v>
      </c>
      <c r="N77" s="32">
        <f t="shared" si="6"/>
        <v>0</v>
      </c>
      <c r="O77" s="33" t="str">
        <f t="shared" si="7"/>
        <v>PAGADA</v>
      </c>
      <c r="P77" s="34">
        <f>LET(
  idVenta, I77&amp;"",
  montoTotal, M77,
  pagos, IFERROR(SUMIF(Aux_Datos!$B:$B, idVenta, Aux_Datos!$K:$K), 0),
  retenciones, IFERROR(SUMIF(Aux_Datos!$N:$N, idVenta, Aux_Datos!$R:$R), 0),
  pagos + retenciones
)</f>
        <v>204.9527236</v>
      </c>
      <c r="Q77" s="30" t="str">
        <f>IF(P77=0, "Sin Pago", 
  LET(
    idVenta, I77&amp;"",
    montoTotalPagado, P77,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77" s="30">
        <f t="shared" si="13"/>
        <v>-13.85272365</v>
      </c>
      <c r="S77" s="29">
        <f>IF(P77=0, "Sin Pago", 
  IFERROR(
    MAXIFS(Aux_Datos!$A:$A, Aux_Datos!$B:$B, I77&amp;""), 
    IFERROR(MAXIFS(Aux_Datos!$A:$A, Aux_Datos!$B:$B, VALUE(I77)), "Revisar ID")
  )
)</f>
        <v>46171</v>
      </c>
      <c r="T77" s="35" t="str">
        <f t="shared" si="9"/>
        <v>PAGADA</v>
      </c>
      <c r="U77" s="35" t="str">
        <f t="shared" si="10"/>
        <v>SOLVENTE</v>
      </c>
      <c r="V77" s="32">
        <f t="shared" si="11"/>
        <v>0</v>
      </c>
      <c r="W77" s="36" t="str">
        <f>IF(P77=0, "Sin Pago", 
  LET(
    monedaPago, Q77, 
    descuentoAplicado, G77,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77" s="36" t="str">
        <f t="shared" si="12"/>
        <v/>
      </c>
      <c r="Y77" s="36">
        <v>204.9527236491361</v>
      </c>
      <c r="Z77" s="33" t="s">
        <v>596</v>
      </c>
      <c r="AA77" s="33"/>
      <c r="AB77" s="33"/>
      <c r="AC77" s="33"/>
      <c r="AD77" s="33"/>
      <c r="AE77" s="33"/>
      <c r="AF77" s="33"/>
    </row>
    <row r="78" ht="22.5" customHeight="1">
      <c r="A78" s="23" t="s">
        <v>682</v>
      </c>
      <c r="B78" s="24">
        <v>46097.45774305556</v>
      </c>
      <c r="C78" s="23" t="s">
        <v>222</v>
      </c>
      <c r="D78" s="23" t="s">
        <v>544</v>
      </c>
      <c r="E78" s="25">
        <v>368.51</v>
      </c>
      <c r="F78" s="23" t="s">
        <v>619</v>
      </c>
      <c r="G78" s="26">
        <f>IF($E78=0,0,IF(SUMIF(Aux_Datos!$B:$B,$I78,Aux_Datos!$K:$K)/$E78&gt;=VLOOKUP(IF(COUNTIFS(Aux_Datos!$B:$B,$I78,Aux_Datos!$D:$D,"&lt;&gt;USD")=0,"USD","VES"),'Limites de Descuento'!$A$2:$D$4,4,FALSE),MAX(0,1-SUMIF(Aux_Datos!$B:$B,$I78,Aux_Datos!$K:$K)/$E78),0))</f>
        <v>0.1379497649</v>
      </c>
      <c r="H78" s="27"/>
      <c r="I78" s="28">
        <f t="shared" si="1"/>
        <v>95</v>
      </c>
      <c r="J78" s="29">
        <f t="shared" si="2"/>
        <v>46097</v>
      </c>
      <c r="K78" s="30">
        <f t="shared" si="3"/>
        <v>15</v>
      </c>
      <c r="L78" s="29">
        <f t="shared" si="4"/>
        <v>46113</v>
      </c>
      <c r="M78" s="30">
        <f t="shared" si="5"/>
        <v>317.6741321</v>
      </c>
      <c r="N78" s="32">
        <f t="shared" si="6"/>
        <v>0</v>
      </c>
      <c r="O78" s="33" t="str">
        <f t="shared" si="7"/>
        <v>PAGADA</v>
      </c>
      <c r="P78" s="34">
        <f>LET(
  idVenta, I78&amp;"",
  montoTotal, M78,
  pagos, IFERROR(SUMIF(Aux_Datos!$B:$B, idVenta, Aux_Datos!$K:$K), 0),
  retenciones, IFERROR(SUMIF(Aux_Datos!$N:$N, idVenta, Aux_Datos!$R:$R), 0),
  pagos + retenciones
)</f>
        <v>317.6741321</v>
      </c>
      <c r="Q78" s="30" t="str">
        <f>IF(P78=0, "Sin Pago", 
  LET(
    idVenta, I78&amp;"",
    montoTotalPagado, P78,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78" s="30">
        <f t="shared" si="13"/>
        <v>0</v>
      </c>
      <c r="S78" s="29">
        <f>IF(P78=0, "Sin Pago", 
  IFERROR(
    MAXIFS(Aux_Datos!$A:$A, Aux_Datos!$B:$B, I78&amp;""), 
    IFERROR(MAXIFS(Aux_Datos!$A:$A, Aux_Datos!$B:$B, VALUE(I78)), "Revisar ID")
  )
)</f>
        <v>46133</v>
      </c>
      <c r="T78" s="35" t="str">
        <f t="shared" si="9"/>
        <v>PAGADA</v>
      </c>
      <c r="U78" s="35" t="str">
        <f t="shared" si="10"/>
        <v>SOLVENTE</v>
      </c>
      <c r="V78" s="32">
        <f t="shared" si="11"/>
        <v>0</v>
      </c>
      <c r="W78" s="36" t="str">
        <f>IF(P78=0, "Sin Pago", 
  LET(
    monedaPago, Q78, 
    descuentoAplicado, G78,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78" s="36" t="str">
        <f t="shared" si="12"/>
        <v/>
      </c>
      <c r="Y78" s="36">
        <v>317.6741321186326</v>
      </c>
      <c r="Z78" s="33" t="s">
        <v>596</v>
      </c>
      <c r="AA78" s="33"/>
      <c r="AB78" s="33"/>
      <c r="AC78" s="33"/>
      <c r="AD78" s="33"/>
      <c r="AE78" s="33"/>
      <c r="AF78" s="33"/>
    </row>
    <row r="79" ht="22.5" customHeight="1">
      <c r="A79" s="23" t="s">
        <v>683</v>
      </c>
      <c r="B79" s="24">
        <v>46097.45717592593</v>
      </c>
      <c r="C79" s="23" t="s">
        <v>684</v>
      </c>
      <c r="D79" s="23" t="s">
        <v>538</v>
      </c>
      <c r="E79" s="25">
        <v>434.94</v>
      </c>
      <c r="F79" s="23" t="s">
        <v>619</v>
      </c>
      <c r="G79" s="26">
        <f>IF($E79=0,0,IF(SUMIF(Aux_Datos!$B:$B,$I79,Aux_Datos!$K:$K)/$E79&gt;=VLOOKUP(IF(COUNTIFS(Aux_Datos!$B:$B,$I79,Aux_Datos!$D:$D,"&lt;&gt;USD")=0,"USD","VES"),'Limites de Descuento'!$A$2:$D$4,4,FALSE),MAX(0,1-SUMIF(Aux_Datos!$B:$B,$I79,Aux_Datos!$K:$K)/$E79),0))</f>
        <v>0</v>
      </c>
      <c r="H79" s="27"/>
      <c r="I79" s="28">
        <f t="shared" si="1"/>
        <v>96</v>
      </c>
      <c r="J79" s="29">
        <f t="shared" si="2"/>
        <v>46097</v>
      </c>
      <c r="K79" s="30">
        <f t="shared" si="3"/>
        <v>15</v>
      </c>
      <c r="L79" s="29">
        <f t="shared" si="4"/>
        <v>46113</v>
      </c>
      <c r="M79" s="30">
        <f t="shared" si="5"/>
        <v>434.94</v>
      </c>
      <c r="N79" s="32">
        <f t="shared" si="6"/>
        <v>0</v>
      </c>
      <c r="O79" s="33" t="str">
        <f t="shared" si="7"/>
        <v>PAGADA</v>
      </c>
      <c r="P79" s="34">
        <f>LET(
  idVenta, I79&amp;"",
  montoTotal, M79,
  pagos, IFERROR(SUMIF(Aux_Datos!$B:$B, idVenta, Aux_Datos!$K:$K), 0),
  retenciones, IFERROR(SUMIF(Aux_Datos!$N:$N, idVenta, Aux_Datos!$R:$R), 0),
  pagos + retenciones
)</f>
        <v>553.8995151</v>
      </c>
      <c r="Q79" s="30" t="str">
        <f>IF(P79=0, "Sin Pago", 
  LET(
    idVenta, I79&amp;"",
    montoTotalPagado, P79,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79" s="30">
        <f t="shared" si="13"/>
        <v>-118.9595151</v>
      </c>
      <c r="S79" s="29">
        <f>IF(P79=0, "Sin Pago", 
  IFERROR(
    MAXIFS(Aux_Datos!$A:$A, Aux_Datos!$B:$B, I79&amp;""), 
    IFERROR(MAXIFS(Aux_Datos!$A:$A, Aux_Datos!$B:$B, VALUE(I79)), "Revisar ID")
  )
)</f>
        <v>46184</v>
      </c>
      <c r="T79" s="35" t="str">
        <f t="shared" si="9"/>
        <v>PAGADA</v>
      </c>
      <c r="U79" s="35" t="str">
        <f t="shared" si="10"/>
        <v>SOLVENTE</v>
      </c>
      <c r="V79" s="32">
        <f t="shared" si="11"/>
        <v>0</v>
      </c>
      <c r="W79" s="36" t="str">
        <f>IF(P79=0, "Sin Pago", 
  LET(
    monedaPago, Q79, 
    descuentoAplicado, G79,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79" s="36" t="str">
        <f t="shared" si="12"/>
        <v/>
      </c>
      <c r="Y79" s="36">
        <v>553.8995151408834</v>
      </c>
      <c r="Z79" s="33" t="s">
        <v>596</v>
      </c>
      <c r="AA79" s="33"/>
      <c r="AB79" s="33"/>
      <c r="AC79" s="33"/>
      <c r="AD79" s="33"/>
      <c r="AE79" s="33"/>
      <c r="AF79" s="33"/>
    </row>
    <row r="80" ht="22.5" customHeight="1">
      <c r="A80" s="23" t="s">
        <v>118</v>
      </c>
      <c r="B80" s="24">
        <v>46097.45741898148</v>
      </c>
      <c r="C80" s="23" t="s">
        <v>117</v>
      </c>
      <c r="D80" s="23" t="s">
        <v>538</v>
      </c>
      <c r="E80" s="25">
        <v>530.98</v>
      </c>
      <c r="F80" s="23" t="s">
        <v>619</v>
      </c>
      <c r="G80" s="26">
        <f>IF($E80=0,0,IF(SUMIF(Aux_Datos!$B:$B,$I80,Aux_Datos!$K:$K)/$E80&gt;=VLOOKUP(IF(COUNTIFS(Aux_Datos!$B:$B,$I80,Aux_Datos!$D:$D,"&lt;&gt;USD")=0,"USD","VES"),'Limites de Descuento'!$A$2:$D$4,4,FALSE),MAX(0,1-SUMIF(Aux_Datos!$B:$B,$I80,Aux_Datos!$K:$K)/$E80),0))</f>
        <v>0</v>
      </c>
      <c r="H80" s="27"/>
      <c r="I80" s="28">
        <f t="shared" si="1"/>
        <v>97</v>
      </c>
      <c r="J80" s="29">
        <f t="shared" si="2"/>
        <v>46097</v>
      </c>
      <c r="K80" s="30">
        <f t="shared" si="3"/>
        <v>15</v>
      </c>
      <c r="L80" s="29">
        <f t="shared" si="4"/>
        <v>46113</v>
      </c>
      <c r="M80" s="30">
        <f t="shared" si="5"/>
        <v>530.98</v>
      </c>
      <c r="N80" s="32">
        <f t="shared" si="6"/>
        <v>87</v>
      </c>
      <c r="O80" s="33" t="str">
        <f t="shared" si="7"/>
        <v>VENCIDA</v>
      </c>
      <c r="P80" s="34">
        <f>LET(
  idVenta, I80&amp;"",
  montoTotal, M80,
  pagos, IFERROR(SUMIF(Aux_Datos!$B:$B, idVenta, Aux_Datos!$K:$K), 0),
  retenciones, IFERROR(SUMIF(Aux_Datos!$N:$N, idVenta, Aux_Datos!$R:$R), 0),
  pagos + retenciones
)</f>
        <v>129.273589</v>
      </c>
      <c r="Q80" s="30" t="str">
        <f>IF(P80=0, "Sin Pago", 
  LET(
    idVenta, I80&amp;"",
    montoTotalPagado, P80,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80" s="30">
        <f t="shared" si="13"/>
        <v>401.706411</v>
      </c>
      <c r="S80" s="29">
        <f>IF(P80=0, "Sin Pago", 
  IFERROR(
    MAXIFS(Aux_Datos!$A:$A, Aux_Datos!$B:$B, I80&amp;""), 
    IFERROR(MAXIFS(Aux_Datos!$A:$A, Aux_Datos!$B:$B, VALUE(I80)), "Revisar ID")
  )
)</f>
        <v>46168</v>
      </c>
      <c r="T80" s="35" t="str">
        <f t="shared" si="9"/>
        <v>PAGO PARCIAL</v>
      </c>
      <c r="U80" s="35" t="str">
        <f t="shared" si="10"/>
        <v>CRÍTICO: VENCIDA</v>
      </c>
      <c r="V80" s="32">
        <f t="shared" si="11"/>
        <v>32</v>
      </c>
      <c r="W80" s="36" t="str">
        <f>IF(P80=0, "Sin Pago", 
  LET(
    monedaPago, Q80, 
    descuentoAplicado, G80,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80" s="36" t="str">
        <f t="shared" si="12"/>
        <v/>
      </c>
      <c r="Y80" s="36">
        <v>129.27358900772364</v>
      </c>
      <c r="Z80" s="33" t="s">
        <v>609</v>
      </c>
      <c r="AA80" s="33"/>
      <c r="AB80" s="33"/>
      <c r="AC80" s="33"/>
      <c r="AD80" s="33"/>
      <c r="AE80" s="33"/>
      <c r="AF80" s="33"/>
    </row>
    <row r="81" ht="22.5" customHeight="1">
      <c r="A81" s="23" t="s">
        <v>25</v>
      </c>
      <c r="B81" s="24">
        <v>46097.409004629626</v>
      </c>
      <c r="C81" s="23" t="s">
        <v>24</v>
      </c>
      <c r="D81" s="23" t="s">
        <v>323</v>
      </c>
      <c r="E81" s="25">
        <v>1623.82</v>
      </c>
      <c r="F81" s="23" t="s">
        <v>680</v>
      </c>
      <c r="G81" s="26">
        <f>IF($E81=0,0,IF(SUMIF(Aux_Datos!$B:$B,$I81,Aux_Datos!$K:$K)/$E81&gt;=VLOOKUP(IF(COUNTIFS(Aux_Datos!$B:$B,$I81,Aux_Datos!$D:$D,"&lt;&gt;USD")=0,"USD","VES"),'Limites de Descuento'!$A$2:$D$4,4,FALSE),MAX(0,1-SUMIF(Aux_Datos!$B:$B,$I81,Aux_Datos!$K:$K)/$E81),0))</f>
        <v>0</v>
      </c>
      <c r="H81" s="27"/>
      <c r="I81" s="28">
        <f t="shared" si="1"/>
        <v>98</v>
      </c>
      <c r="J81" s="29">
        <f t="shared" si="2"/>
        <v>46097</v>
      </c>
      <c r="K81" s="30">
        <f t="shared" si="3"/>
        <v>30</v>
      </c>
      <c r="L81" s="29">
        <f t="shared" si="4"/>
        <v>46128</v>
      </c>
      <c r="M81" s="30">
        <f t="shared" si="5"/>
        <v>1623.82</v>
      </c>
      <c r="N81" s="32">
        <f t="shared" si="6"/>
        <v>72</v>
      </c>
      <c r="O81" s="33" t="str">
        <f t="shared" si="7"/>
        <v>VENCIDA</v>
      </c>
      <c r="P81" s="34">
        <f>LET(
  idVenta, I81&amp;"",
  montoTotal, M81,
  pagos, IFERROR(SUMIF(Aux_Datos!$B:$B, idVenta, Aux_Datos!$K:$K), 0),
  retenciones, IFERROR(SUMIF(Aux_Datos!$N:$N, idVenta, Aux_Datos!$R:$R), 0),
  pagos + retenciones
)</f>
        <v>0</v>
      </c>
      <c r="Q81" s="30" t="str">
        <f>IF(P81=0, "Sin Pago", 
  LET(
    idVenta, I81&amp;"",
    montoTotalPagado, P81,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81" s="30">
        <f t="shared" si="13"/>
        <v>1623.82</v>
      </c>
      <c r="S81" s="29" t="str">
        <f>IF(P81=0, "Sin Pago", 
  IFERROR(
    MAXIFS(Aux_Datos!$A:$A, Aux_Datos!$B:$B, I81&amp;""), 
    IFERROR(MAXIFS(Aux_Datos!$A:$A, Aux_Datos!$B:$B, VALUE(I81)), "Revisar ID")
  )
)</f>
        <v>Sin Pago</v>
      </c>
      <c r="T81" s="35" t="str">
        <f t="shared" si="9"/>
        <v>PENDIENTE</v>
      </c>
      <c r="U81" s="35" t="str">
        <f t="shared" si="10"/>
        <v>CRÍTICO: VENCIDA</v>
      </c>
      <c r="V81" s="32">
        <f t="shared" si="11"/>
        <v>0</v>
      </c>
      <c r="W81" s="36" t="str">
        <f>IF(P81=0, "Sin Pago", 
  LET(
    monedaPago, Q81, 
    descuentoAplicado, G81,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81" s="36" t="str">
        <f t="shared" si="12"/>
        <v/>
      </c>
      <c r="Y81" s="36">
        <v>0.0</v>
      </c>
      <c r="Z81" s="33" t="s">
        <v>641</v>
      </c>
      <c r="AA81" s="33"/>
      <c r="AB81" s="33"/>
      <c r="AC81" s="33"/>
      <c r="AD81" s="33"/>
      <c r="AE81" s="33"/>
      <c r="AF81" s="33"/>
    </row>
    <row r="82" ht="22.5" customHeight="1">
      <c r="A82" s="23" t="s">
        <v>685</v>
      </c>
      <c r="B82" s="24">
        <v>46097.48782407407</v>
      </c>
      <c r="C82" s="23" t="s">
        <v>598</v>
      </c>
      <c r="D82" s="23" t="s">
        <v>546</v>
      </c>
      <c r="E82" s="25">
        <v>93.0</v>
      </c>
      <c r="F82" s="23" t="s">
        <v>619</v>
      </c>
      <c r="G82" s="26">
        <f>IF($E82=0,0,IF(SUMIF(Aux_Datos!$B:$B,$I82,Aux_Datos!$K:$K)/$E82&gt;=VLOOKUP(IF(COUNTIFS(Aux_Datos!$B:$B,$I82,Aux_Datos!$D:$D,"&lt;&gt;USD")=0,"USD","VES"),'Limites de Descuento'!$A$2:$D$4,4,FALSE),MAX(0,1-SUMIF(Aux_Datos!$B:$B,$I82,Aux_Datos!$K:$K)/$E82),0))</f>
        <v>0.0007550083107</v>
      </c>
      <c r="H82" s="27"/>
      <c r="I82" s="28">
        <f t="shared" si="1"/>
        <v>99</v>
      </c>
      <c r="J82" s="29">
        <f t="shared" si="2"/>
        <v>46097</v>
      </c>
      <c r="K82" s="30">
        <f t="shared" si="3"/>
        <v>15</v>
      </c>
      <c r="L82" s="29">
        <f t="shared" si="4"/>
        <v>46113</v>
      </c>
      <c r="M82" s="30">
        <f t="shared" si="5"/>
        <v>92.92978423</v>
      </c>
      <c r="N82" s="32">
        <f t="shared" si="6"/>
        <v>0</v>
      </c>
      <c r="O82" s="33" t="str">
        <f t="shared" si="7"/>
        <v>PAGADA</v>
      </c>
      <c r="P82" s="34">
        <f>LET(
  idVenta, I82&amp;"",
  montoTotal, M82,
  pagos, IFERROR(SUMIF(Aux_Datos!$B:$B, idVenta, Aux_Datos!$K:$K), 0),
  retenciones, IFERROR(SUMIF(Aux_Datos!$N:$N, idVenta, Aux_Datos!$R:$R), 0),
  pagos + retenciones
)</f>
        <v>92.92978423</v>
      </c>
      <c r="Q82" s="30" t="str">
        <f>IF(P82=0, "Sin Pago", 
  LET(
    idVenta, I82&amp;"",
    montoTotalPagado, P82,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82" s="30">
        <f t="shared" si="13"/>
        <v>0</v>
      </c>
      <c r="S82" s="29">
        <f>IF(P82=0, "Sin Pago", 
  IFERROR(
    MAXIFS(Aux_Datos!$A:$A, Aux_Datos!$B:$B, I82&amp;""), 
    IFERROR(MAXIFS(Aux_Datos!$A:$A, Aux_Datos!$B:$B, VALUE(I82)), "Revisar ID")
  )
)</f>
        <v>46157</v>
      </c>
      <c r="T82" s="35" t="str">
        <f t="shared" si="9"/>
        <v>PAGADA</v>
      </c>
      <c r="U82" s="35" t="str">
        <f t="shared" si="10"/>
        <v>SOLVENTE</v>
      </c>
      <c r="V82" s="32">
        <f t="shared" si="11"/>
        <v>0</v>
      </c>
      <c r="W82" s="36" t="str">
        <f>IF(P82=0, "Sin Pago", 
  LET(
    monedaPago, Q82, 
    descuentoAplicado, G82,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82" s="36" t="str">
        <f t="shared" si="12"/>
        <v/>
      </c>
      <c r="Y82" s="36">
        <v>92.92978422710223</v>
      </c>
      <c r="Z82" s="33" t="s">
        <v>596</v>
      </c>
      <c r="AA82" s="33"/>
      <c r="AB82" s="33"/>
      <c r="AC82" s="33"/>
      <c r="AD82" s="33"/>
      <c r="AE82" s="33"/>
      <c r="AF82" s="33"/>
    </row>
    <row r="83" ht="22.5" customHeight="1">
      <c r="A83" s="23" t="s">
        <v>686</v>
      </c>
      <c r="B83" s="24">
        <v>46098.65736111111</v>
      </c>
      <c r="C83" s="23" t="s">
        <v>455</v>
      </c>
      <c r="D83" s="23" t="s">
        <v>556</v>
      </c>
      <c r="E83" s="25">
        <v>197.55</v>
      </c>
      <c r="F83" s="23" t="s">
        <v>608</v>
      </c>
      <c r="G83" s="26">
        <f>IF($E83=0,0,IF(SUMIF(Aux_Datos!$B:$B,$I83,Aux_Datos!$K:$K)/$E83&gt;=VLOOKUP(IF(COUNTIFS(Aux_Datos!$B:$B,$I83,Aux_Datos!$D:$D,"&lt;&gt;USD")=0,"USD","VES"),'Limites de Descuento'!$A$2:$D$4,4,FALSE),MAX(0,1-SUMIF(Aux_Datos!$B:$B,$I83,Aux_Datos!$K:$K)/$E83),0))</f>
        <v>0.01837408324</v>
      </c>
      <c r="H83" s="27"/>
      <c r="I83" s="28">
        <f t="shared" si="1"/>
        <v>100</v>
      </c>
      <c r="J83" s="29">
        <f t="shared" si="2"/>
        <v>46098</v>
      </c>
      <c r="K83" s="30">
        <f t="shared" si="3"/>
        <v>7</v>
      </c>
      <c r="L83" s="29">
        <f t="shared" si="4"/>
        <v>46106</v>
      </c>
      <c r="M83" s="30">
        <f t="shared" si="5"/>
        <v>193.9201999</v>
      </c>
      <c r="N83" s="32">
        <f t="shared" si="6"/>
        <v>0</v>
      </c>
      <c r="O83" s="33" t="str">
        <f t="shared" si="7"/>
        <v>PAGADA</v>
      </c>
      <c r="P83" s="34">
        <f>LET(
  idVenta, I83&amp;"",
  montoTotal, M83,
  pagos, IFERROR(SUMIF(Aux_Datos!$B:$B, idVenta, Aux_Datos!$K:$K), 0),
  retenciones, IFERROR(SUMIF(Aux_Datos!$N:$N, idVenta, Aux_Datos!$R:$R), 0),
  pagos + retenciones
)</f>
        <v>193.9201999</v>
      </c>
      <c r="Q83" s="30" t="str">
        <f>IF(P83=0, "Sin Pago", 
  LET(
    idVenta, I83&amp;"",
    montoTotalPagado, P83,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83" s="30">
        <f t="shared" si="13"/>
        <v>0</v>
      </c>
      <c r="S83" s="29">
        <f>IF(P83=0, "Sin Pago", 
  IFERROR(
    MAXIFS(Aux_Datos!$A:$A, Aux_Datos!$B:$B, I83&amp;""), 
    IFERROR(MAXIFS(Aux_Datos!$A:$A, Aux_Datos!$B:$B, VALUE(I83)), "Revisar ID")
  )
)</f>
        <v>46136</v>
      </c>
      <c r="T83" s="35" t="str">
        <f t="shared" si="9"/>
        <v>PAGADA</v>
      </c>
      <c r="U83" s="35" t="str">
        <f t="shared" si="10"/>
        <v>SOLVENTE</v>
      </c>
      <c r="V83" s="32">
        <f t="shared" si="11"/>
        <v>0</v>
      </c>
      <c r="W83" s="36" t="str">
        <f>IF(P83=0, "Sin Pago", 
  LET(
    monedaPago, Q83, 
    descuentoAplicado, G83,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83" s="36" t="str">
        <f t="shared" si="12"/>
        <v/>
      </c>
      <c r="Y83" s="36">
        <v>193.9201998556126</v>
      </c>
      <c r="Z83" s="33" t="s">
        <v>596</v>
      </c>
      <c r="AA83" s="33"/>
      <c r="AB83" s="33"/>
      <c r="AC83" s="33"/>
      <c r="AD83" s="33"/>
      <c r="AE83" s="33"/>
      <c r="AF83" s="33"/>
    </row>
    <row r="84" ht="22.5" customHeight="1">
      <c r="A84" s="23" t="s">
        <v>39</v>
      </c>
      <c r="B84" s="24">
        <v>46098.65746527778</v>
      </c>
      <c r="C84" s="23" t="s">
        <v>38</v>
      </c>
      <c r="D84" s="23" t="s">
        <v>556</v>
      </c>
      <c r="E84" s="25">
        <v>184.1</v>
      </c>
      <c r="F84" s="23" t="s">
        <v>608</v>
      </c>
      <c r="G84" s="26">
        <f>IF($E84=0,0,IF(SUMIF(Aux_Datos!$B:$B,$I84,Aux_Datos!$K:$K)/$E84&gt;=VLOOKUP(IF(COUNTIFS(Aux_Datos!$B:$B,$I84,Aux_Datos!$D:$D,"&lt;&gt;USD")=0,"USD","VES"),'Limites de Descuento'!$A$2:$D$4,4,FALSE),MAX(0,1-SUMIF(Aux_Datos!$B:$B,$I84,Aux_Datos!$K:$K)/$E84),0))</f>
        <v>0</v>
      </c>
      <c r="H84" s="27"/>
      <c r="I84" s="28">
        <f t="shared" si="1"/>
        <v>101</v>
      </c>
      <c r="J84" s="29">
        <f t="shared" si="2"/>
        <v>46098</v>
      </c>
      <c r="K84" s="30">
        <f t="shared" si="3"/>
        <v>7</v>
      </c>
      <c r="L84" s="29">
        <f t="shared" si="4"/>
        <v>46106</v>
      </c>
      <c r="M84" s="30">
        <f t="shared" si="5"/>
        <v>184.1</v>
      </c>
      <c r="N84" s="32">
        <f t="shared" si="6"/>
        <v>94</v>
      </c>
      <c r="O84" s="33" t="str">
        <f t="shared" si="7"/>
        <v>VENCIDA</v>
      </c>
      <c r="P84" s="34">
        <f>LET(
  idVenta, I84&amp;"",
  montoTotal, M84,
  pagos, IFERROR(SUMIF(Aux_Datos!$B:$B, idVenta, Aux_Datos!$K:$K), 0),
  retenciones, IFERROR(SUMIF(Aux_Datos!$N:$N, idVenta, Aux_Datos!$R:$R), 0),
  pagos + retenciones
)</f>
        <v>115</v>
      </c>
      <c r="Q84" s="30" t="str">
        <f>IF(P84=0, "Sin Pago", 
  LET(
    idVenta, I84&amp;"",
    montoTotalPagado, P84,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84" s="30">
        <f t="shared" si="13"/>
        <v>69.1</v>
      </c>
      <c r="S84" s="29">
        <f>IF(P84=0, "Sin Pago", 
  IFERROR(
    MAXIFS(Aux_Datos!$A:$A, Aux_Datos!$B:$B, I84&amp;""), 
    IFERROR(MAXIFS(Aux_Datos!$A:$A, Aux_Datos!$B:$B, VALUE(I84)), "Revisar ID")
  )
)</f>
        <v>46142</v>
      </c>
      <c r="T84" s="35" t="str">
        <f t="shared" si="9"/>
        <v>PAGO PARCIAL</v>
      </c>
      <c r="U84" s="35" t="str">
        <f t="shared" si="10"/>
        <v>CRÍTICO: VENCIDA</v>
      </c>
      <c r="V84" s="32">
        <f t="shared" si="11"/>
        <v>58</v>
      </c>
      <c r="W84" s="36" t="str">
        <f>IF(P84=0, "Sin Pago", 
  LET(
    monedaPago, Q84, 
    descuentoAplicado, G84,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84" s="36" t="str">
        <f t="shared" si="12"/>
        <v/>
      </c>
      <c r="Y84" s="36">
        <v>115.0</v>
      </c>
      <c r="Z84" s="33" t="s">
        <v>609</v>
      </c>
      <c r="AA84" s="33"/>
      <c r="AB84" s="33"/>
      <c r="AC84" s="33"/>
      <c r="AD84" s="33"/>
      <c r="AE84" s="33"/>
      <c r="AF84" s="33"/>
    </row>
    <row r="85" ht="22.5" customHeight="1">
      <c r="A85" s="23" t="s">
        <v>189</v>
      </c>
      <c r="B85" s="24">
        <v>46098.65795138889</v>
      </c>
      <c r="C85" s="23" t="s">
        <v>188</v>
      </c>
      <c r="D85" s="23" t="s">
        <v>544</v>
      </c>
      <c r="E85" s="25">
        <v>711.13</v>
      </c>
      <c r="F85" s="23" t="s">
        <v>680</v>
      </c>
      <c r="G85" s="26">
        <f>IF($E85=0,0,IF(SUMIF(Aux_Datos!$B:$B,$I85,Aux_Datos!$K:$K)/$E85&gt;=VLOOKUP(IF(COUNTIFS(Aux_Datos!$B:$B,$I85,Aux_Datos!$D:$D,"&lt;&gt;USD")=0,"USD","VES"),'Limites de Descuento'!$A$2:$D$4,4,FALSE),MAX(0,1-SUMIF(Aux_Datos!$B:$B,$I85,Aux_Datos!$K:$K)/$E85),0))</f>
        <v>0</v>
      </c>
      <c r="H85" s="27"/>
      <c r="I85" s="28">
        <f t="shared" si="1"/>
        <v>103</v>
      </c>
      <c r="J85" s="29">
        <f t="shared" si="2"/>
        <v>46098</v>
      </c>
      <c r="K85" s="30">
        <f t="shared" si="3"/>
        <v>30</v>
      </c>
      <c r="L85" s="29">
        <f t="shared" si="4"/>
        <v>46129</v>
      </c>
      <c r="M85" s="30">
        <f t="shared" si="5"/>
        <v>711.13</v>
      </c>
      <c r="N85" s="32">
        <f t="shared" si="6"/>
        <v>71</v>
      </c>
      <c r="O85" s="33" t="str">
        <f t="shared" si="7"/>
        <v>VENCIDA</v>
      </c>
      <c r="P85" s="34">
        <f>LET(
  idVenta, I85&amp;"",
  montoTotal, M85,
  pagos, IFERROR(SUMIF(Aux_Datos!$B:$B, idVenta, Aux_Datos!$K:$K), 0),
  retenciones, IFERROR(SUMIF(Aux_Datos!$N:$N, idVenta, Aux_Datos!$R:$R), 0),
  pagos + retenciones
)</f>
        <v>100</v>
      </c>
      <c r="Q85" s="30" t="str">
        <f>IF(P85=0, "Sin Pago", 
  LET(
    idVenta, I85&amp;"",
    montoTotalPagado, P85,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85" s="30">
        <f t="shared" si="13"/>
        <v>611.13</v>
      </c>
      <c r="S85" s="29">
        <f>IF(P85=0, "Sin Pago", 
  IFERROR(
    MAXIFS(Aux_Datos!$A:$A, Aux_Datos!$B:$B, I85&amp;""), 
    IFERROR(MAXIFS(Aux_Datos!$A:$A, Aux_Datos!$B:$B, VALUE(I85)), "Revisar ID")
  )
)</f>
        <v>46154</v>
      </c>
      <c r="T85" s="35" t="str">
        <f t="shared" si="9"/>
        <v>PAGO PARCIAL</v>
      </c>
      <c r="U85" s="35" t="str">
        <f t="shared" si="10"/>
        <v>CRÍTICO: VENCIDA</v>
      </c>
      <c r="V85" s="32">
        <f t="shared" si="11"/>
        <v>46</v>
      </c>
      <c r="W85" s="36" t="str">
        <f>IF(P85=0, "Sin Pago", 
  LET(
    monedaPago, Q85, 
    descuentoAplicado, G85,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85" s="36" t="str">
        <f t="shared" si="12"/>
        <v/>
      </c>
      <c r="Y85" s="36">
        <v>100.0</v>
      </c>
      <c r="Z85" s="33" t="s">
        <v>609</v>
      </c>
      <c r="AA85" s="33"/>
      <c r="AB85" s="33"/>
      <c r="AC85" s="33"/>
      <c r="AD85" s="33"/>
      <c r="AE85" s="33"/>
      <c r="AF85" s="33"/>
    </row>
    <row r="86" ht="22.5" customHeight="1">
      <c r="A86" s="23" t="s">
        <v>687</v>
      </c>
      <c r="B86" s="24">
        <v>46098.65818287037</v>
      </c>
      <c r="C86" s="23" t="s">
        <v>254</v>
      </c>
      <c r="D86" s="23" t="s">
        <v>353</v>
      </c>
      <c r="E86" s="25">
        <v>297.02</v>
      </c>
      <c r="F86" s="23" t="s">
        <v>619</v>
      </c>
      <c r="G86" s="26">
        <f>IF($E86=0,0,IF(SUMIF(Aux_Datos!$B:$B,$I86,Aux_Datos!$K:$K)/$E86&gt;=VLOOKUP(IF(COUNTIFS(Aux_Datos!$B:$B,$I86,Aux_Datos!$D:$D,"&lt;&gt;USD")=0,"USD","VES"),'Limites de Descuento'!$A$2:$D$4,4,FALSE),MAX(0,1-SUMIF(Aux_Datos!$B:$B,$I86,Aux_Datos!$K:$K)/$E86),0))</f>
        <v>0.3333782237</v>
      </c>
      <c r="H86" s="27"/>
      <c r="I86" s="28">
        <f t="shared" si="1"/>
        <v>104</v>
      </c>
      <c r="J86" s="29">
        <f t="shared" si="2"/>
        <v>46098</v>
      </c>
      <c r="K86" s="30">
        <f t="shared" si="3"/>
        <v>15</v>
      </c>
      <c r="L86" s="29">
        <f t="shared" si="4"/>
        <v>46114</v>
      </c>
      <c r="M86" s="30">
        <f t="shared" si="5"/>
        <v>198</v>
      </c>
      <c r="N86" s="32">
        <f t="shared" si="6"/>
        <v>0</v>
      </c>
      <c r="O86" s="33" t="str">
        <f t="shared" si="7"/>
        <v>PAGADA</v>
      </c>
      <c r="P86" s="34">
        <f>LET(
  idVenta, I86&amp;"",
  montoTotal, M86,
  pagos, IFERROR(SUMIF(Aux_Datos!$B:$B, idVenta, Aux_Datos!$K:$K), 0),
  retenciones, IFERROR(SUMIF(Aux_Datos!$N:$N, idVenta, Aux_Datos!$R:$R), 0),
  pagos + retenciones
)</f>
        <v>198</v>
      </c>
      <c r="Q86" s="30" t="str">
        <f>IF(P86=0, "Sin Pago", 
  LET(
    idVenta, I86&amp;"",
    montoTotalPagado, P86,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86" s="30">
        <f t="shared" si="13"/>
        <v>0</v>
      </c>
      <c r="S86" s="29">
        <f>IF(P86=0, "Sin Pago", 
  IFERROR(
    MAXIFS(Aux_Datos!$A:$A, Aux_Datos!$B:$B, I86&amp;""), 
    IFERROR(MAXIFS(Aux_Datos!$A:$A, Aux_Datos!$B:$B, VALUE(I86)), "Revisar ID")
  )
)</f>
        <v>46140</v>
      </c>
      <c r="T86" s="35" t="str">
        <f t="shared" si="9"/>
        <v>PAGADA</v>
      </c>
      <c r="U86" s="35" t="str">
        <f t="shared" si="10"/>
        <v>SOLVENTE</v>
      </c>
      <c r="V86" s="32">
        <f t="shared" si="11"/>
        <v>0</v>
      </c>
      <c r="W86" s="36" t="str">
        <f>IF(P86=0, "Sin Pago", 
  LET(
    monedaPago, Q86, 
    descuentoAplicado, G86,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86" s="36" t="str">
        <f t="shared" si="12"/>
        <v/>
      </c>
      <c r="Y86" s="36">
        <v>198.0</v>
      </c>
      <c r="Z86" s="33" t="s">
        <v>596</v>
      </c>
      <c r="AA86" s="33"/>
      <c r="AB86" s="33"/>
      <c r="AC86" s="33"/>
      <c r="AD86" s="33"/>
      <c r="AE86" s="33"/>
      <c r="AF86" s="33"/>
    </row>
    <row r="87" ht="22.5" customHeight="1">
      <c r="A87" s="23" t="s">
        <v>688</v>
      </c>
      <c r="B87" s="24">
        <v>46098.65844907407</v>
      </c>
      <c r="C87" s="23" t="s">
        <v>315</v>
      </c>
      <c r="D87" s="23" t="s">
        <v>538</v>
      </c>
      <c r="E87" s="25">
        <v>280.5</v>
      </c>
      <c r="F87" s="23" t="s">
        <v>619</v>
      </c>
      <c r="G87" s="26">
        <f>IF($E87=0,0,IF(SUMIF(Aux_Datos!$B:$B,$I87,Aux_Datos!$K:$K)/$E87&gt;=VLOOKUP(IF(COUNTIFS(Aux_Datos!$B:$B,$I87,Aux_Datos!$D:$D,"&lt;&gt;USD")=0,"USD","VES"),'Limites de Descuento'!$A$2:$D$4,4,FALSE),MAX(0,1-SUMIF(Aux_Datos!$B:$B,$I87,Aux_Datos!$K:$K)/$E87),0))</f>
        <v>0</v>
      </c>
      <c r="H87" s="27"/>
      <c r="I87" s="28">
        <f t="shared" si="1"/>
        <v>105</v>
      </c>
      <c r="J87" s="29">
        <f t="shared" si="2"/>
        <v>46098</v>
      </c>
      <c r="K87" s="30">
        <f t="shared" si="3"/>
        <v>15</v>
      </c>
      <c r="L87" s="29">
        <f t="shared" si="4"/>
        <v>46114</v>
      </c>
      <c r="M87" s="30">
        <f t="shared" si="5"/>
        <v>280.5</v>
      </c>
      <c r="N87" s="32">
        <f t="shared" si="6"/>
        <v>0</v>
      </c>
      <c r="O87" s="33" t="str">
        <f t="shared" si="7"/>
        <v>PAGADA</v>
      </c>
      <c r="P87" s="34">
        <f>LET(
  idVenta, I87&amp;"",
  montoTotal, M87,
  pagos, IFERROR(SUMIF(Aux_Datos!$B:$B, idVenta, Aux_Datos!$K:$K), 0),
  retenciones, IFERROR(SUMIF(Aux_Datos!$N:$N, idVenta, Aux_Datos!$R:$R), 0),
  pagos + retenciones
)</f>
        <v>280.9058335</v>
      </c>
      <c r="Q87" s="30" t="str">
        <f>IF(P87=0, "Sin Pago", 
  LET(
    idVenta, I87&amp;"",
    montoTotalPagado, P87,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87" s="30">
        <f t="shared" si="13"/>
        <v>-0.4058335076</v>
      </c>
      <c r="S87" s="29">
        <f>IF(P87=0, "Sin Pago", 
  IFERROR(
    MAXIFS(Aux_Datos!$A:$A, Aux_Datos!$B:$B, I87&amp;""), 
    IFERROR(MAXIFS(Aux_Datos!$A:$A, Aux_Datos!$B:$B, VALUE(I87)), "Revisar ID")
  )
)</f>
        <v>46156</v>
      </c>
      <c r="T87" s="35" t="str">
        <f t="shared" si="9"/>
        <v>PAGADA</v>
      </c>
      <c r="U87" s="35" t="str">
        <f t="shared" si="10"/>
        <v>SOLVENTE</v>
      </c>
      <c r="V87" s="32">
        <f t="shared" si="11"/>
        <v>0</v>
      </c>
      <c r="W87" s="36" t="str">
        <f>IF(P87=0, "Sin Pago", 
  LET(
    monedaPago, Q87, 
    descuentoAplicado, G87,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87" s="36" t="str">
        <f t="shared" si="12"/>
        <v/>
      </c>
      <c r="Y87" s="36">
        <v>280.9058335076449</v>
      </c>
      <c r="Z87" s="33" t="s">
        <v>596</v>
      </c>
      <c r="AA87" s="33"/>
      <c r="AB87" s="33"/>
      <c r="AC87" s="33"/>
      <c r="AD87" s="33"/>
      <c r="AE87" s="33"/>
      <c r="AF87" s="33"/>
    </row>
    <row r="88" ht="22.5" customHeight="1">
      <c r="A88" s="23" t="s">
        <v>689</v>
      </c>
      <c r="B88" s="24">
        <v>46098.561944444446</v>
      </c>
      <c r="C88" s="23" t="s">
        <v>600</v>
      </c>
      <c r="D88" s="23" t="s">
        <v>529</v>
      </c>
      <c r="E88" s="25">
        <v>991.22</v>
      </c>
      <c r="F88" s="23" t="s">
        <v>619</v>
      </c>
      <c r="G88" s="26">
        <f>IF($E88=0,0,IF(SUMIF(Aux_Datos!$B:$B,$I88,Aux_Datos!$K:$K)/$E88&gt;=VLOOKUP(IF(COUNTIFS(Aux_Datos!$B:$B,$I88,Aux_Datos!$D:$D,"&lt;&gt;USD")=0,"USD","VES"),'Limites de Descuento'!$A$2:$D$4,4,FALSE),MAX(0,1-SUMIF(Aux_Datos!$B:$B,$I88,Aux_Datos!$K:$K)/$E88),0))</f>
        <v>0</v>
      </c>
      <c r="H88" s="27"/>
      <c r="I88" s="28">
        <f t="shared" si="1"/>
        <v>106</v>
      </c>
      <c r="J88" s="29">
        <f t="shared" si="2"/>
        <v>46098</v>
      </c>
      <c r="K88" s="30">
        <f t="shared" si="3"/>
        <v>15</v>
      </c>
      <c r="L88" s="29">
        <f t="shared" si="4"/>
        <v>46114</v>
      </c>
      <c r="M88" s="30">
        <f t="shared" si="5"/>
        <v>991.22</v>
      </c>
      <c r="N88" s="32">
        <f t="shared" si="6"/>
        <v>0</v>
      </c>
      <c r="O88" s="33" t="str">
        <f t="shared" si="7"/>
        <v>PAGADA</v>
      </c>
      <c r="P88" s="34">
        <f>LET(
  idVenta, I88&amp;"",
  montoTotal, M88,
  pagos, IFERROR(SUMIF(Aux_Datos!$B:$B, idVenta, Aux_Datos!$K:$K), 0),
  retenciones, IFERROR(SUMIF(Aux_Datos!$N:$N, idVenta, Aux_Datos!$R:$R), 0),
  pagos + retenciones
)</f>
        <v>1004.940483</v>
      </c>
      <c r="Q88" s="30" t="str">
        <f>IF(P88=0, "Sin Pago", 
  LET(
    idVenta, I88&amp;"",
    montoTotalPagado, P88,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88" s="30">
        <f t="shared" si="13"/>
        <v>-13.72048321</v>
      </c>
      <c r="S88" s="29">
        <f>IF(P88=0, "Sin Pago", 
  IFERROR(
    MAXIFS(Aux_Datos!$A:$A, Aux_Datos!$B:$B, I88&amp;""), 
    IFERROR(MAXIFS(Aux_Datos!$A:$A, Aux_Datos!$B:$B, VALUE(I88)), "Revisar ID")
  )
)</f>
        <v>46125</v>
      </c>
      <c r="T88" s="35" t="str">
        <f t="shared" si="9"/>
        <v>PAGADA</v>
      </c>
      <c r="U88" s="35" t="str">
        <f t="shared" si="10"/>
        <v>SOLVENTE</v>
      </c>
      <c r="V88" s="32">
        <f t="shared" si="11"/>
        <v>0</v>
      </c>
      <c r="W88" s="36" t="str">
        <f>IF(P88=0, "Sin Pago", 
  LET(
    monedaPago, Q88, 
    descuentoAplicado, G88,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88" s="36" t="str">
        <f t="shared" si="12"/>
        <v/>
      </c>
      <c r="Y88" s="36">
        <v>1004.9404832091172</v>
      </c>
      <c r="Z88" s="33" t="s">
        <v>596</v>
      </c>
      <c r="AA88" s="33"/>
      <c r="AB88" s="33"/>
      <c r="AC88" s="33"/>
      <c r="AD88" s="33"/>
      <c r="AE88" s="33"/>
      <c r="AF88" s="33"/>
    </row>
    <row r="89" ht="22.5" customHeight="1">
      <c r="A89" s="23" t="s">
        <v>690</v>
      </c>
      <c r="B89" s="24">
        <v>46098.65866898148</v>
      </c>
      <c r="C89" s="23" t="s">
        <v>28</v>
      </c>
      <c r="D89" s="23" t="s">
        <v>556</v>
      </c>
      <c r="E89" s="25">
        <v>110.01</v>
      </c>
      <c r="F89" s="23" t="s">
        <v>608</v>
      </c>
      <c r="G89" s="26">
        <f>IF($E89=0,0,IF(SUMIF(Aux_Datos!$B:$B,$I89,Aux_Datos!$K:$K)/$E89&gt;=VLOOKUP(IF(COUNTIFS(Aux_Datos!$B:$B,$I89,Aux_Datos!$D:$D,"&lt;&gt;USD")=0,"USD","VES"),'Limites de Descuento'!$A$2:$D$4,4,FALSE),MAX(0,1-SUMIF(Aux_Datos!$B:$B,$I89,Aux_Datos!$K:$K)/$E89),0))</f>
        <v>0</v>
      </c>
      <c r="H89" s="27"/>
      <c r="I89" s="28">
        <f t="shared" si="1"/>
        <v>108</v>
      </c>
      <c r="J89" s="29">
        <f t="shared" si="2"/>
        <v>46098</v>
      </c>
      <c r="K89" s="30">
        <f t="shared" si="3"/>
        <v>7</v>
      </c>
      <c r="L89" s="29">
        <f t="shared" si="4"/>
        <v>46106</v>
      </c>
      <c r="M89" s="30">
        <f t="shared" si="5"/>
        <v>110.01</v>
      </c>
      <c r="N89" s="32">
        <f t="shared" si="6"/>
        <v>0</v>
      </c>
      <c r="O89" s="33" t="str">
        <f t="shared" si="7"/>
        <v>PAGADA</v>
      </c>
      <c r="P89" s="34">
        <f>LET(
  idVenta, I89&amp;"",
  montoTotal, M89,
  pagos, IFERROR(SUMIF(Aux_Datos!$B:$B, idVenta, Aux_Datos!$K:$K), 0),
  retenciones, IFERROR(SUMIF(Aux_Datos!$N:$N, idVenta, Aux_Datos!$R:$R), 0),
  pagos + retenciones
)</f>
        <v>110.03</v>
      </c>
      <c r="Q89" s="30" t="str">
        <f>IF(P89=0, "Sin Pago", 
  LET(
    idVenta, I89&amp;"",
    montoTotalPagado, P89,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89" s="30">
        <f t="shared" si="13"/>
        <v>-0.02</v>
      </c>
      <c r="S89" s="29">
        <f>IF(P89=0, "Sin Pago", 
  IFERROR(
    MAXIFS(Aux_Datos!$A:$A, Aux_Datos!$B:$B, I89&amp;""), 
    IFERROR(MAXIFS(Aux_Datos!$A:$A, Aux_Datos!$B:$B, VALUE(I89)), "Revisar ID")
  )
)</f>
        <v>46106</v>
      </c>
      <c r="T89" s="35" t="str">
        <f t="shared" si="9"/>
        <v>PAGADA</v>
      </c>
      <c r="U89" s="35" t="str">
        <f t="shared" si="10"/>
        <v>SOLVENTE</v>
      </c>
      <c r="V89" s="32">
        <f t="shared" si="11"/>
        <v>0</v>
      </c>
      <c r="W89" s="36" t="str">
        <f>IF(P89=0, "Sin Pago", 
  LET(
    monedaPago, Q89, 
    descuentoAplicado, G89,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89" s="36" t="str">
        <f t="shared" si="12"/>
        <v/>
      </c>
      <c r="Y89" s="36">
        <v>110.03</v>
      </c>
      <c r="Z89" s="33" t="s">
        <v>596</v>
      </c>
      <c r="AA89" s="33"/>
      <c r="AB89" s="33"/>
      <c r="AC89" s="33"/>
      <c r="AD89" s="33"/>
      <c r="AE89" s="33"/>
      <c r="AF89" s="33"/>
    </row>
    <row r="90" ht="22.5" customHeight="1">
      <c r="A90" s="23" t="s">
        <v>691</v>
      </c>
      <c r="B90" s="24">
        <v>46098.676886574074</v>
      </c>
      <c r="C90" s="23" t="s">
        <v>345</v>
      </c>
      <c r="D90" s="23" t="s">
        <v>323</v>
      </c>
      <c r="E90" s="25">
        <v>108.0</v>
      </c>
      <c r="F90" s="23" t="s">
        <v>619</v>
      </c>
      <c r="G90" s="26">
        <f>IF($E90=0,0,IF(SUMIF(Aux_Datos!$B:$B,$I90,Aux_Datos!$K:$K)/$E90&gt;=VLOOKUP(IF(COUNTIFS(Aux_Datos!$B:$B,$I90,Aux_Datos!$D:$D,"&lt;&gt;USD")=0,"USD","VES"),'Limites de Descuento'!$A$2:$D$4,4,FALSE),MAX(0,1-SUMIF(Aux_Datos!$B:$B,$I90,Aux_Datos!$K:$K)/$E90),0))</f>
        <v>0.3333333333</v>
      </c>
      <c r="H90" s="27"/>
      <c r="I90" s="28">
        <f t="shared" si="1"/>
        <v>113</v>
      </c>
      <c r="J90" s="29">
        <f t="shared" si="2"/>
        <v>46098</v>
      </c>
      <c r="K90" s="30">
        <f t="shared" si="3"/>
        <v>15</v>
      </c>
      <c r="L90" s="29">
        <f t="shared" si="4"/>
        <v>46114</v>
      </c>
      <c r="M90" s="30">
        <f t="shared" si="5"/>
        <v>72</v>
      </c>
      <c r="N90" s="32">
        <f t="shared" si="6"/>
        <v>0</v>
      </c>
      <c r="O90" s="33" t="str">
        <f t="shared" si="7"/>
        <v>PAGADA</v>
      </c>
      <c r="P90" s="34">
        <f>LET(
  idVenta, I90&amp;"",
  montoTotal, M90,
  pagos, IFERROR(SUMIF(Aux_Datos!$B:$B, idVenta, Aux_Datos!$K:$K), 0),
  retenciones, IFERROR(SUMIF(Aux_Datos!$N:$N, idVenta, Aux_Datos!$R:$R), 0),
  pagos + retenciones
)</f>
        <v>72</v>
      </c>
      <c r="Q90" s="30" t="str">
        <f>IF(P90=0, "Sin Pago", 
  LET(
    idVenta, I90&amp;"",
    montoTotalPagado, P90,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90" s="30">
        <f t="shared" si="13"/>
        <v>0</v>
      </c>
      <c r="S90" s="29">
        <f>IF(P90=0, "Sin Pago", 
  IFERROR(
    MAXIFS(Aux_Datos!$A:$A, Aux_Datos!$B:$B, I90&amp;""), 
    IFERROR(MAXIFS(Aux_Datos!$A:$A, Aux_Datos!$B:$B, VALUE(I90)), "Revisar ID")
  )
)</f>
        <v>46156</v>
      </c>
      <c r="T90" s="35" t="str">
        <f t="shared" si="9"/>
        <v>PAGADA</v>
      </c>
      <c r="U90" s="35" t="str">
        <f t="shared" si="10"/>
        <v>SOLVENTE</v>
      </c>
      <c r="V90" s="32">
        <f t="shared" si="11"/>
        <v>0</v>
      </c>
      <c r="W90" s="36" t="str">
        <f>IF(P90=0, "Sin Pago", 
  LET(
    monedaPago, Q90, 
    descuentoAplicado, G90,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90" s="36" t="str">
        <f t="shared" si="12"/>
        <v/>
      </c>
      <c r="Y90" s="36">
        <v>72.0</v>
      </c>
      <c r="Z90" s="33" t="s">
        <v>596</v>
      </c>
      <c r="AA90" s="33"/>
      <c r="AB90" s="33"/>
      <c r="AC90" s="33"/>
      <c r="AD90" s="33"/>
      <c r="AE90" s="33"/>
      <c r="AF90" s="33"/>
    </row>
    <row r="91" ht="22.5" customHeight="1">
      <c r="A91" s="23" t="s">
        <v>191</v>
      </c>
      <c r="B91" s="24">
        <v>46099.741631944446</v>
      </c>
      <c r="C91" s="23" t="s">
        <v>190</v>
      </c>
      <c r="D91" s="23" t="s">
        <v>544</v>
      </c>
      <c r="E91" s="25">
        <v>296.98</v>
      </c>
      <c r="F91" s="23" t="s">
        <v>680</v>
      </c>
      <c r="G91" s="26">
        <f>IF($E91=0,0,IF(SUMIF(Aux_Datos!$B:$B,$I91,Aux_Datos!$K:$K)/$E91&gt;=VLOOKUP(IF(COUNTIFS(Aux_Datos!$B:$B,$I91,Aux_Datos!$D:$D,"&lt;&gt;USD")=0,"USD","VES"),'Limites de Descuento'!$A$2:$D$4,4,FALSE),MAX(0,1-SUMIF(Aux_Datos!$B:$B,$I91,Aux_Datos!$K:$K)/$E91),0))</f>
        <v>0</v>
      </c>
      <c r="H91" s="27"/>
      <c r="I91" s="28">
        <f t="shared" si="1"/>
        <v>114</v>
      </c>
      <c r="J91" s="29">
        <f t="shared" si="2"/>
        <v>46099</v>
      </c>
      <c r="K91" s="30">
        <f t="shared" si="3"/>
        <v>30</v>
      </c>
      <c r="L91" s="29">
        <f t="shared" si="4"/>
        <v>46130</v>
      </c>
      <c r="M91" s="30">
        <f t="shared" si="5"/>
        <v>296.98</v>
      </c>
      <c r="N91" s="32">
        <f t="shared" si="6"/>
        <v>70</v>
      </c>
      <c r="O91" s="33" t="str">
        <f t="shared" si="7"/>
        <v>VENCIDA</v>
      </c>
      <c r="P91" s="34">
        <f>LET(
  idVenta, I91&amp;"",
  montoTotal, M91,
  pagos, IFERROR(SUMIF(Aux_Datos!$B:$B, idVenta, Aux_Datos!$K:$K), 0),
  retenciones, IFERROR(SUMIF(Aux_Datos!$N:$N, idVenta, Aux_Datos!$R:$R), 0),
  pagos + retenciones
)</f>
        <v>150</v>
      </c>
      <c r="Q91" s="30" t="str">
        <f>IF(P91=0, "Sin Pago", 
  LET(
    idVenta, I91&amp;"",
    montoTotalPagado, P91,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91" s="30">
        <f t="shared" si="13"/>
        <v>146.98</v>
      </c>
      <c r="S91" s="29">
        <f>IF(P91=0, "Sin Pago", 
  IFERROR(
    MAXIFS(Aux_Datos!$A:$A, Aux_Datos!$B:$B, I91&amp;""), 
    IFERROR(MAXIFS(Aux_Datos!$A:$A, Aux_Datos!$B:$B, VALUE(I91)), "Revisar ID")
  )
)</f>
        <v>46196</v>
      </c>
      <c r="T91" s="35" t="str">
        <f t="shared" si="9"/>
        <v>PAGO PARCIAL</v>
      </c>
      <c r="U91" s="35" t="str">
        <f t="shared" si="10"/>
        <v>CRÍTICO: VENCIDA</v>
      </c>
      <c r="V91" s="32">
        <f t="shared" si="11"/>
        <v>4</v>
      </c>
      <c r="W91" s="36" t="str">
        <f>IF(P91=0, "Sin Pago", 
  LET(
    monedaPago, Q91, 
    descuentoAplicado, G91,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91" s="36" t="str">
        <f t="shared" si="12"/>
        <v/>
      </c>
      <c r="Y91" s="36">
        <v>150.0</v>
      </c>
      <c r="Z91" s="33" t="s">
        <v>609</v>
      </c>
      <c r="AA91" s="33"/>
      <c r="AB91" s="33"/>
      <c r="AC91" s="33"/>
      <c r="AD91" s="33"/>
      <c r="AE91" s="33"/>
      <c r="AF91" s="33"/>
    </row>
    <row r="92" ht="22.5" customHeight="1">
      <c r="A92" s="23" t="s">
        <v>692</v>
      </c>
      <c r="B92" s="24">
        <v>46099.36864583333</v>
      </c>
      <c r="C92" s="23" t="s">
        <v>381</v>
      </c>
      <c r="D92" s="23" t="s">
        <v>550</v>
      </c>
      <c r="E92" s="25">
        <v>99.01</v>
      </c>
      <c r="F92" s="23" t="s">
        <v>593</v>
      </c>
      <c r="G92" s="26">
        <f>IF($E92=0,0,IF(SUMIF(Aux_Datos!$B:$B,$I92,Aux_Datos!$K:$K)/$E92&gt;=VLOOKUP(IF(COUNTIFS(Aux_Datos!$B:$B,$I92,Aux_Datos!$D:$D,"&lt;&gt;USD")=0,"USD","VES"),'Limites de Descuento'!$A$2:$D$4,4,FALSE),MAX(0,1-SUMIF(Aux_Datos!$B:$B,$I92,Aux_Datos!$K:$K)/$E92),0))</f>
        <v>0</v>
      </c>
      <c r="H92" s="27"/>
      <c r="I92" s="28">
        <f t="shared" si="1"/>
        <v>116</v>
      </c>
      <c r="J92" s="29">
        <f t="shared" si="2"/>
        <v>46099</v>
      </c>
      <c r="K92" s="30">
        <f t="shared" si="3"/>
        <v>0</v>
      </c>
      <c r="L92" s="29">
        <f t="shared" si="4"/>
        <v>46100</v>
      </c>
      <c r="M92" s="30">
        <f t="shared" si="5"/>
        <v>99.01</v>
      </c>
      <c r="N92" s="32">
        <f t="shared" si="6"/>
        <v>0</v>
      </c>
      <c r="O92" s="33" t="str">
        <f t="shared" si="7"/>
        <v>PAGADA</v>
      </c>
      <c r="P92" s="34">
        <f>LET(
  idVenta, I92&amp;"",
  montoTotal, M92,
  pagos, IFERROR(SUMIF(Aux_Datos!$B:$B, idVenta, Aux_Datos!$K:$K), 0),
  retenciones, IFERROR(SUMIF(Aux_Datos!$N:$N, idVenta, Aux_Datos!$R:$R), 0),
  pagos + retenciones
)</f>
        <v>99.01</v>
      </c>
      <c r="Q92" s="30" t="str">
        <f>IF(P92=0, "Sin Pago", 
  LET(
    idVenta, I92&amp;"",
    montoTotalPagado, P92,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92" s="30">
        <f t="shared" si="13"/>
        <v>0</v>
      </c>
      <c r="S92" s="29">
        <f>IF(P92=0, "Sin Pago", 
  IFERROR(
    MAXIFS(Aux_Datos!$A:$A, Aux_Datos!$B:$B, I92&amp;""), 
    IFERROR(MAXIFS(Aux_Datos!$A:$A, Aux_Datos!$B:$B, VALUE(I92)), "Revisar ID")
  )
)</f>
        <v>46106</v>
      </c>
      <c r="T92" s="35" t="str">
        <f t="shared" si="9"/>
        <v>PAGADA</v>
      </c>
      <c r="U92" s="35" t="str">
        <f t="shared" si="10"/>
        <v>SOLVENTE</v>
      </c>
      <c r="V92" s="32">
        <f t="shared" si="11"/>
        <v>0</v>
      </c>
      <c r="W92" s="36" t="str">
        <f>IF(P92=0, "Sin Pago", 
  LET(
    monedaPago, Q92, 
    descuentoAplicado, G92,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92" s="36" t="str">
        <f t="shared" si="12"/>
        <v/>
      </c>
      <c r="Y92" s="36">
        <v>99.01</v>
      </c>
      <c r="Z92" s="33" t="s">
        <v>596</v>
      </c>
      <c r="AA92" s="33"/>
      <c r="AB92" s="33"/>
      <c r="AC92" s="33"/>
      <c r="AD92" s="33"/>
      <c r="AE92" s="33"/>
      <c r="AF92" s="33"/>
    </row>
    <row r="93" ht="22.5" customHeight="1">
      <c r="A93" s="23" t="s">
        <v>693</v>
      </c>
      <c r="B93" s="24">
        <v>46099.74185185185</v>
      </c>
      <c r="C93" s="23" t="s">
        <v>199</v>
      </c>
      <c r="D93" s="23" t="s">
        <v>552</v>
      </c>
      <c r="E93" s="25">
        <v>207.05</v>
      </c>
      <c r="F93" s="23" t="s">
        <v>593</v>
      </c>
      <c r="G93" s="26">
        <f>IF($E93=0,0,IF(SUMIF(Aux_Datos!$B:$B,$I93,Aux_Datos!$K:$K)/$E93&gt;=VLOOKUP(IF(COUNTIFS(Aux_Datos!$B:$B,$I93,Aux_Datos!$D:$D,"&lt;&gt;USD")=0,"USD","VES"),'Limites de Descuento'!$A$2:$D$4,4,FALSE),MAX(0,1-SUMIF(Aux_Datos!$B:$B,$I93,Aux_Datos!$K:$K)/$E93),0))</f>
        <v>0.3238348225</v>
      </c>
      <c r="H93" s="27"/>
      <c r="I93" s="28">
        <f t="shared" si="1"/>
        <v>117</v>
      </c>
      <c r="J93" s="29">
        <f t="shared" si="2"/>
        <v>46099</v>
      </c>
      <c r="K93" s="30">
        <f t="shared" si="3"/>
        <v>0</v>
      </c>
      <c r="L93" s="29">
        <f t="shared" si="4"/>
        <v>46100</v>
      </c>
      <c r="M93" s="30">
        <f t="shared" si="5"/>
        <v>140</v>
      </c>
      <c r="N93" s="32">
        <f t="shared" si="6"/>
        <v>0</v>
      </c>
      <c r="O93" s="33" t="str">
        <f t="shared" si="7"/>
        <v>PAGADA</v>
      </c>
      <c r="P93" s="34">
        <f>LET(
  idVenta, I93&amp;"",
  montoTotal, M93,
  pagos, IFERROR(SUMIF(Aux_Datos!$B:$B, idVenta, Aux_Datos!$K:$K), 0),
  retenciones, IFERROR(SUMIF(Aux_Datos!$N:$N, idVenta, Aux_Datos!$R:$R), 0),
  pagos + retenciones
)</f>
        <v>140</v>
      </c>
      <c r="Q93" s="30" t="str">
        <f>IF(P93=0, "Sin Pago", 
  LET(
    idVenta, I93&amp;"",
    montoTotalPagado, P93,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93" s="30">
        <f t="shared" si="13"/>
        <v>0</v>
      </c>
      <c r="S93" s="29">
        <f>IF(P93=0, "Sin Pago", 
  IFERROR(
    MAXIFS(Aux_Datos!$A:$A, Aux_Datos!$B:$B, I93&amp;""), 
    IFERROR(MAXIFS(Aux_Datos!$A:$A, Aux_Datos!$B:$B, VALUE(I93)), "Revisar ID")
  )
)</f>
        <v>46136</v>
      </c>
      <c r="T93" s="35" t="str">
        <f t="shared" si="9"/>
        <v>PAGADA</v>
      </c>
      <c r="U93" s="35" t="str">
        <f t="shared" si="10"/>
        <v>SOLVENTE</v>
      </c>
      <c r="V93" s="32">
        <f t="shared" si="11"/>
        <v>0</v>
      </c>
      <c r="W93" s="36" t="str">
        <f>IF(P93=0, "Sin Pago", 
  LET(
    monedaPago, Q93, 
    descuentoAplicado, G93,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93" s="36" t="str">
        <f t="shared" si="12"/>
        <v/>
      </c>
      <c r="Y93" s="36">
        <v>140.0</v>
      </c>
      <c r="Z93" s="33" t="s">
        <v>596</v>
      </c>
      <c r="AA93" s="33"/>
      <c r="AB93" s="33"/>
      <c r="AC93" s="33"/>
      <c r="AD93" s="33"/>
      <c r="AE93" s="33"/>
      <c r="AF93" s="33"/>
    </row>
    <row r="94" ht="22.5" customHeight="1">
      <c r="A94" s="23" t="s">
        <v>694</v>
      </c>
      <c r="B94" s="24">
        <v>46099.742118055554</v>
      </c>
      <c r="C94" s="23" t="s">
        <v>695</v>
      </c>
      <c r="D94" s="23" t="s">
        <v>556</v>
      </c>
      <c r="E94" s="25">
        <v>50.65</v>
      </c>
      <c r="F94" s="23" t="s">
        <v>608</v>
      </c>
      <c r="G94" s="26">
        <f>IF($E94=0,0,IF(SUMIF(Aux_Datos!$B:$B,$I94,Aux_Datos!$K:$K)/$E94&gt;=VLOOKUP(IF(COUNTIFS(Aux_Datos!$B:$B,$I94,Aux_Datos!$D:$D,"&lt;&gt;USD")=0,"USD","VES"),'Limites de Descuento'!$A$2:$D$4,4,FALSE),MAX(0,1-SUMIF(Aux_Datos!$B:$B,$I94,Aux_Datos!$K:$K)/$E94),0))</f>
        <v>0.3287265548</v>
      </c>
      <c r="H94" s="27"/>
      <c r="I94" s="28">
        <f t="shared" si="1"/>
        <v>118</v>
      </c>
      <c r="J94" s="29">
        <f t="shared" si="2"/>
        <v>46099</v>
      </c>
      <c r="K94" s="30">
        <f t="shared" si="3"/>
        <v>7</v>
      </c>
      <c r="L94" s="29">
        <f t="shared" si="4"/>
        <v>46107</v>
      </c>
      <c r="M94" s="30">
        <f t="shared" si="5"/>
        <v>34</v>
      </c>
      <c r="N94" s="32">
        <f t="shared" si="6"/>
        <v>0</v>
      </c>
      <c r="O94" s="33" t="str">
        <f t="shared" si="7"/>
        <v>PAGADA</v>
      </c>
      <c r="P94" s="34">
        <f>LET(
  idVenta, I94&amp;"",
  montoTotal, M94,
  pagos, IFERROR(SUMIF(Aux_Datos!$B:$B, idVenta, Aux_Datos!$K:$K), 0),
  retenciones, IFERROR(SUMIF(Aux_Datos!$N:$N, idVenta, Aux_Datos!$R:$R), 0),
  pagos + retenciones
)</f>
        <v>34</v>
      </c>
      <c r="Q94" s="30" t="str">
        <f>IF(P94=0, "Sin Pago", 
  LET(
    idVenta, I94&amp;"",
    montoTotalPagado, P94,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94" s="30">
        <f t="shared" si="13"/>
        <v>0</v>
      </c>
      <c r="S94" s="29">
        <f>IF(P94=0, "Sin Pago", 
  IFERROR(
    MAXIFS(Aux_Datos!$A:$A, Aux_Datos!$B:$B, I94&amp;""), 
    IFERROR(MAXIFS(Aux_Datos!$A:$A, Aux_Datos!$B:$B, VALUE(I94)), "Revisar ID")
  )
)</f>
        <v>46175</v>
      </c>
      <c r="T94" s="35" t="str">
        <f t="shared" si="9"/>
        <v>PAGADA</v>
      </c>
      <c r="U94" s="35" t="str">
        <f t="shared" si="10"/>
        <v>SOLVENTE</v>
      </c>
      <c r="V94" s="32">
        <f t="shared" si="11"/>
        <v>0</v>
      </c>
      <c r="W94" s="36" t="str">
        <f>IF(P94=0, "Sin Pago", 
  LET(
    monedaPago, Q94, 
    descuentoAplicado, G94,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94" s="36" t="str">
        <f t="shared" si="12"/>
        <v/>
      </c>
      <c r="Y94" s="36">
        <v>34.0</v>
      </c>
      <c r="Z94" s="33" t="s">
        <v>596</v>
      </c>
      <c r="AA94" s="33"/>
      <c r="AB94" s="33"/>
      <c r="AC94" s="33"/>
      <c r="AD94" s="33"/>
      <c r="AE94" s="33"/>
      <c r="AF94" s="33"/>
    </row>
    <row r="95" ht="22.5" customHeight="1">
      <c r="A95" s="23" t="s">
        <v>696</v>
      </c>
      <c r="B95" s="24">
        <v>46099.74224537037</v>
      </c>
      <c r="C95" s="23" t="s">
        <v>5</v>
      </c>
      <c r="D95" s="23" t="s">
        <v>552</v>
      </c>
      <c r="E95" s="25">
        <v>289.79</v>
      </c>
      <c r="F95" s="23" t="s">
        <v>593</v>
      </c>
      <c r="G95" s="26">
        <f>IF($E95=0,0,IF(SUMIF(Aux_Datos!$B:$B,$I95,Aux_Datos!$K:$K)/$E95&gt;=VLOOKUP(IF(COUNTIFS(Aux_Datos!$B:$B,$I95,Aux_Datos!$D:$D,"&lt;&gt;USD")=0,"USD","VES"),'Limites de Descuento'!$A$2:$D$4,4,FALSE),MAX(0,1-SUMIF(Aux_Datos!$B:$B,$I95,Aux_Datos!$K:$K)/$E95),0))</f>
        <v>0.3201973843</v>
      </c>
      <c r="H95" s="26"/>
      <c r="I95" s="28">
        <f t="shared" si="1"/>
        <v>119</v>
      </c>
      <c r="J95" s="29">
        <f t="shared" si="2"/>
        <v>46099</v>
      </c>
      <c r="K95" s="30">
        <f t="shared" si="3"/>
        <v>0</v>
      </c>
      <c r="L95" s="29">
        <f t="shared" si="4"/>
        <v>46100</v>
      </c>
      <c r="M95" s="30">
        <f t="shared" si="5"/>
        <v>197</v>
      </c>
      <c r="N95" s="32">
        <f t="shared" si="6"/>
        <v>0</v>
      </c>
      <c r="O95" s="33" t="str">
        <f t="shared" si="7"/>
        <v>PAGADA</v>
      </c>
      <c r="P95" s="34">
        <f>LET(
  idVenta, I95&amp;"",
  montoTotal, M95,
  pagos, IFERROR(SUMIF(Aux_Datos!$B:$B, idVenta, Aux_Datos!$K:$K), 0),
  retenciones, IFERROR(SUMIF(Aux_Datos!$N:$N, idVenta, Aux_Datos!$R:$R), 0),
  pagos + retenciones
)</f>
        <v>197</v>
      </c>
      <c r="Q95" s="30" t="str">
        <f>IF(P95=0, "Sin Pago", 
  LET(
    idVenta, I95&amp;"",
    montoTotalPagado, P95,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95" s="30">
        <f t="shared" si="13"/>
        <v>0</v>
      </c>
      <c r="S95" s="29">
        <f>IF(P95=0, "Sin Pago", 
  IFERROR(
    MAXIFS(Aux_Datos!$A:$A, Aux_Datos!$B:$B, I95&amp;""), 
    IFERROR(MAXIFS(Aux_Datos!$A:$A, Aux_Datos!$B:$B, VALUE(I95)), "Revisar ID")
  )
)</f>
        <v>46106</v>
      </c>
      <c r="T95" s="35" t="str">
        <f t="shared" si="9"/>
        <v>PAGADA</v>
      </c>
      <c r="U95" s="35" t="str">
        <f t="shared" si="10"/>
        <v>SOLVENTE</v>
      </c>
      <c r="V95" s="32">
        <f t="shared" si="11"/>
        <v>0</v>
      </c>
      <c r="W95" s="36" t="str">
        <f>IF(P95=0, "Sin Pago", 
  LET(
    monedaPago, Q95, 
    descuentoAplicado, G95,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95" s="36" t="str">
        <f t="shared" si="12"/>
        <v/>
      </c>
      <c r="Y95" s="36">
        <v>197.0</v>
      </c>
      <c r="Z95" s="33" t="s">
        <v>596</v>
      </c>
      <c r="AA95" s="33"/>
      <c r="AB95" s="33"/>
      <c r="AC95" s="33"/>
      <c r="AD95" s="33"/>
      <c r="AE95" s="33"/>
      <c r="AF95" s="33"/>
    </row>
    <row r="96" ht="22.5" customHeight="1">
      <c r="A96" s="23" t="s">
        <v>99</v>
      </c>
      <c r="B96" s="24">
        <v>46099.74239583333</v>
      </c>
      <c r="C96" s="23" t="s">
        <v>98</v>
      </c>
      <c r="D96" s="23" t="s">
        <v>556</v>
      </c>
      <c r="E96" s="25">
        <v>179.99</v>
      </c>
      <c r="F96" s="23" t="s">
        <v>608</v>
      </c>
      <c r="G96" s="26">
        <f>IF($E96=0,0,IF(SUMIF(Aux_Datos!$B:$B,$I96,Aux_Datos!$K:$K)/$E96&gt;=VLOOKUP(IF(COUNTIFS(Aux_Datos!$B:$B,$I96,Aux_Datos!$D:$D,"&lt;&gt;USD")=0,"USD","VES"),'Limites de Descuento'!$A$2:$D$4,4,FALSE),MAX(0,1-SUMIF(Aux_Datos!$B:$B,$I96,Aux_Datos!$K:$K)/$E96),0))</f>
        <v>0</v>
      </c>
      <c r="H96" s="27"/>
      <c r="I96" s="28">
        <f t="shared" si="1"/>
        <v>120</v>
      </c>
      <c r="J96" s="29">
        <f t="shared" si="2"/>
        <v>46099</v>
      </c>
      <c r="K96" s="30">
        <f t="shared" si="3"/>
        <v>7</v>
      </c>
      <c r="L96" s="29">
        <f t="shared" si="4"/>
        <v>46107</v>
      </c>
      <c r="M96" s="30">
        <f t="shared" si="5"/>
        <v>179.99</v>
      </c>
      <c r="N96" s="32">
        <f t="shared" si="6"/>
        <v>93</v>
      </c>
      <c r="O96" s="33" t="str">
        <f t="shared" si="7"/>
        <v>VENCIDA</v>
      </c>
      <c r="P96" s="34">
        <f>LET(
  idVenta, I96&amp;"",
  montoTotal, M96,
  pagos, IFERROR(SUMIF(Aux_Datos!$B:$B, idVenta, Aux_Datos!$K:$K), 0),
  retenciones, IFERROR(SUMIF(Aux_Datos!$N:$N, idVenta, Aux_Datos!$R:$R), 0),
  pagos + retenciones
)</f>
        <v>49.9995226</v>
      </c>
      <c r="Q96" s="30" t="str">
        <f>IF(P96=0, "Sin Pago", 
  LET(
    idVenta, I96&amp;"",
    montoTotalPagado, P96,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96" s="30">
        <f t="shared" si="13"/>
        <v>129.9904774</v>
      </c>
      <c r="S96" s="29">
        <f>IF(P96=0, "Sin Pago", 
  IFERROR(
    MAXIFS(Aux_Datos!$A:$A, Aux_Datos!$B:$B, I96&amp;""), 
    IFERROR(MAXIFS(Aux_Datos!$A:$A, Aux_Datos!$B:$B, VALUE(I96)), "Revisar ID")
  )
)</f>
        <v>46163</v>
      </c>
      <c r="T96" s="35" t="str">
        <f t="shared" si="9"/>
        <v>PAGO PARCIAL</v>
      </c>
      <c r="U96" s="35" t="str">
        <f t="shared" si="10"/>
        <v>CRÍTICO: VENCIDA</v>
      </c>
      <c r="V96" s="32">
        <f t="shared" si="11"/>
        <v>37</v>
      </c>
      <c r="W96" s="36" t="str">
        <f>IF(P96=0, "Sin Pago", 
  LET(
    monedaPago, Q96, 
    descuentoAplicado, G96,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96" s="36" t="str">
        <f t="shared" si="12"/>
        <v/>
      </c>
      <c r="Y96" s="36">
        <v>49.99952260466893</v>
      </c>
      <c r="Z96" s="33" t="s">
        <v>609</v>
      </c>
      <c r="AA96" s="33"/>
      <c r="AB96" s="33"/>
      <c r="AC96" s="33"/>
      <c r="AD96" s="33"/>
      <c r="AE96" s="33"/>
      <c r="AF96" s="33"/>
    </row>
    <row r="97" ht="22.5" customHeight="1">
      <c r="A97" s="23" t="s">
        <v>697</v>
      </c>
      <c r="B97" s="24">
        <v>46100.571076388886</v>
      </c>
      <c r="C97" s="23" t="s">
        <v>447</v>
      </c>
      <c r="D97" s="23" t="s">
        <v>556</v>
      </c>
      <c r="E97" s="25">
        <v>390.77</v>
      </c>
      <c r="F97" s="23" t="s">
        <v>608</v>
      </c>
      <c r="G97" s="26">
        <f>IF($E97=0,0,IF(SUMIF(Aux_Datos!$B:$B,$I97,Aux_Datos!$K:$K)/$E97&gt;=VLOOKUP(IF(COUNTIFS(Aux_Datos!$B:$B,$I97,Aux_Datos!$D:$D,"&lt;&gt;USD")=0,"USD","VES"),'Limites de Descuento'!$A$2:$D$4,4,FALSE),MAX(0,1-SUMIF(Aux_Datos!$B:$B,$I97,Aux_Datos!$K:$K)/$E97),0))</f>
        <v>0.05000381248</v>
      </c>
      <c r="H97" s="27"/>
      <c r="I97" s="28">
        <f t="shared" si="1"/>
        <v>121</v>
      </c>
      <c r="J97" s="29">
        <f t="shared" si="2"/>
        <v>46100</v>
      </c>
      <c r="K97" s="30">
        <f t="shared" si="3"/>
        <v>7</v>
      </c>
      <c r="L97" s="29">
        <f t="shared" si="4"/>
        <v>46108</v>
      </c>
      <c r="M97" s="30">
        <f t="shared" si="5"/>
        <v>371.2300102</v>
      </c>
      <c r="N97" s="32">
        <f t="shared" si="6"/>
        <v>0</v>
      </c>
      <c r="O97" s="33" t="str">
        <f t="shared" si="7"/>
        <v>PAGADA</v>
      </c>
      <c r="P97" s="34">
        <f>LET(
  idVenta, I97&amp;"",
  montoTotal, M97,
  pagos, IFERROR(SUMIF(Aux_Datos!$B:$B, idVenta, Aux_Datos!$K:$K), 0),
  retenciones, IFERROR(SUMIF(Aux_Datos!$N:$N, idVenta, Aux_Datos!$R:$R), 0),
  pagos + retenciones
)</f>
        <v>371.2300102</v>
      </c>
      <c r="Q97" s="30" t="str">
        <f>IF(P97=0, "Sin Pago", 
  LET(
    idVenta, I97&amp;"",
    montoTotalPagado, P97,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97" s="30">
        <f t="shared" si="13"/>
        <v>0</v>
      </c>
      <c r="S97" s="29">
        <f>IF(P97=0, "Sin Pago", 
  IFERROR(
    MAXIFS(Aux_Datos!$A:$A, Aux_Datos!$B:$B, I97&amp;""), 
    IFERROR(MAXIFS(Aux_Datos!$A:$A, Aux_Datos!$B:$B, VALUE(I97)), "Revisar ID")
  )
)</f>
        <v>46134</v>
      </c>
      <c r="T97" s="35" t="str">
        <f t="shared" si="9"/>
        <v>PAGADA</v>
      </c>
      <c r="U97" s="35" t="str">
        <f t="shared" si="10"/>
        <v>SOLVENTE</v>
      </c>
      <c r="V97" s="32">
        <f t="shared" si="11"/>
        <v>0</v>
      </c>
      <c r="W97" s="36" t="str">
        <f>IF(P97=0, "Sin Pago", 
  LET(
    monedaPago, Q97, 
    descuentoAplicado, G97,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97" s="36" t="str">
        <f t="shared" si="12"/>
        <v/>
      </c>
      <c r="Y97" s="36">
        <v>371.2300101955719</v>
      </c>
      <c r="Z97" s="33" t="s">
        <v>596</v>
      </c>
      <c r="AA97" s="33"/>
      <c r="AB97" s="33"/>
      <c r="AC97" s="33"/>
      <c r="AD97" s="33"/>
      <c r="AE97" s="33"/>
      <c r="AF97" s="33"/>
    </row>
    <row r="98" ht="22.5" customHeight="1">
      <c r="A98" s="23" t="s">
        <v>33</v>
      </c>
      <c r="B98" s="24">
        <v>46100.57133101852</v>
      </c>
      <c r="C98" s="23" t="s">
        <v>32</v>
      </c>
      <c r="D98" s="23" t="s">
        <v>538</v>
      </c>
      <c r="E98" s="25">
        <v>72.0</v>
      </c>
      <c r="F98" s="23" t="s">
        <v>619</v>
      </c>
      <c r="G98" s="26">
        <f>IF($E98=0,0,IF(SUMIF(Aux_Datos!$B:$B,$I98,Aux_Datos!$K:$K)/$E98&gt;=VLOOKUP(IF(COUNTIFS(Aux_Datos!$B:$B,$I98,Aux_Datos!$D:$D,"&lt;&gt;USD")=0,"USD","VES"),'Limites de Descuento'!$A$2:$D$4,4,FALSE),MAX(0,1-SUMIF(Aux_Datos!$B:$B,$I98,Aux_Datos!$K:$K)/$E98),0))</f>
        <v>0</v>
      </c>
      <c r="H98" s="27"/>
      <c r="I98" s="28">
        <f t="shared" si="1"/>
        <v>122</v>
      </c>
      <c r="J98" s="29">
        <f t="shared" si="2"/>
        <v>46100</v>
      </c>
      <c r="K98" s="30">
        <f t="shared" si="3"/>
        <v>15</v>
      </c>
      <c r="L98" s="29">
        <f t="shared" si="4"/>
        <v>46116</v>
      </c>
      <c r="M98" s="30">
        <f t="shared" si="5"/>
        <v>72</v>
      </c>
      <c r="N98" s="32">
        <f t="shared" si="6"/>
        <v>84</v>
      </c>
      <c r="O98" s="33" t="str">
        <f t="shared" si="7"/>
        <v>VENCIDA</v>
      </c>
      <c r="P98" s="34">
        <f>LET(
  idVenta, I98&amp;"",
  montoTotal, M98,
  pagos, IFERROR(SUMIF(Aux_Datos!$B:$B, idVenta, Aux_Datos!$K:$K), 0),
  retenciones, IFERROR(SUMIF(Aux_Datos!$N:$N, idVenta, Aux_Datos!$R:$R), 0),
  pagos + retenciones
)</f>
        <v>40</v>
      </c>
      <c r="Q98" s="30" t="str">
        <f>IF(P98=0, "Sin Pago", 
  LET(
    idVenta, I98&amp;"",
    montoTotalPagado, P98,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98" s="30">
        <f t="shared" si="13"/>
        <v>32</v>
      </c>
      <c r="S98" s="29">
        <f>IF(P98=0, "Sin Pago", 
  IFERROR(
    MAXIFS(Aux_Datos!$A:$A, Aux_Datos!$B:$B, I98&amp;""), 
    IFERROR(MAXIFS(Aux_Datos!$A:$A, Aux_Datos!$B:$B, VALUE(I98)), "Revisar ID")
  )
)</f>
        <v>46146</v>
      </c>
      <c r="T98" s="35" t="str">
        <f t="shared" si="9"/>
        <v>PAGO PARCIAL</v>
      </c>
      <c r="U98" s="35" t="str">
        <f t="shared" si="10"/>
        <v>CRÍTICO: VENCIDA</v>
      </c>
      <c r="V98" s="32">
        <f t="shared" si="11"/>
        <v>54</v>
      </c>
      <c r="W98" s="36" t="str">
        <f>IF(P98=0, "Sin Pago", 
  LET(
    monedaPago, Q98, 
    descuentoAplicado, G98,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98" s="36" t="str">
        <f t="shared" si="12"/>
        <v/>
      </c>
      <c r="Y98" s="36">
        <v>40.0</v>
      </c>
      <c r="Z98" s="33" t="s">
        <v>609</v>
      </c>
      <c r="AA98" s="33"/>
      <c r="AB98" s="33"/>
      <c r="AC98" s="33"/>
      <c r="AD98" s="33"/>
      <c r="AE98" s="33"/>
      <c r="AF98" s="33"/>
    </row>
    <row r="99" ht="22.5" customHeight="1">
      <c r="A99" s="23" t="s">
        <v>698</v>
      </c>
      <c r="B99" s="24">
        <v>46100.57158564815</v>
      </c>
      <c r="C99" s="23" t="s">
        <v>699</v>
      </c>
      <c r="D99" s="23" t="s">
        <v>538</v>
      </c>
      <c r="E99" s="25">
        <v>106.49</v>
      </c>
      <c r="F99" s="23" t="s">
        <v>619</v>
      </c>
      <c r="G99" s="26">
        <f>IF($E99=0,0,IF(SUMIF(Aux_Datos!$B:$B,$I99,Aux_Datos!$K:$K)/$E99&gt;=VLOOKUP(IF(COUNTIFS(Aux_Datos!$B:$B,$I99,Aux_Datos!$D:$D,"&lt;&gt;USD")=0,"USD","VES"),'Limites de Descuento'!$A$2:$D$4,4,FALSE),MAX(0,1-SUMIF(Aux_Datos!$B:$B,$I99,Aux_Datos!$K:$K)/$E99),0))</f>
        <v>0.2863179641</v>
      </c>
      <c r="H99" s="27"/>
      <c r="I99" s="28">
        <f t="shared" si="1"/>
        <v>123</v>
      </c>
      <c r="J99" s="29">
        <f t="shared" si="2"/>
        <v>46100</v>
      </c>
      <c r="K99" s="30">
        <f t="shared" si="3"/>
        <v>15</v>
      </c>
      <c r="L99" s="29">
        <f t="shared" si="4"/>
        <v>46116</v>
      </c>
      <c r="M99" s="30">
        <f t="shared" si="5"/>
        <v>76</v>
      </c>
      <c r="N99" s="32">
        <f t="shared" si="6"/>
        <v>0</v>
      </c>
      <c r="O99" s="33" t="str">
        <f t="shared" si="7"/>
        <v>PAGADA</v>
      </c>
      <c r="P99" s="34">
        <f>LET(
  idVenta, I99&amp;"",
  montoTotal, M99,
  pagos, IFERROR(SUMIF(Aux_Datos!$B:$B, idVenta, Aux_Datos!$K:$K), 0),
  retenciones, IFERROR(SUMIF(Aux_Datos!$N:$N, idVenta, Aux_Datos!$R:$R), 0),
  pagos + retenciones
)</f>
        <v>76</v>
      </c>
      <c r="Q99" s="30" t="str">
        <f>IF(P99=0, "Sin Pago", 
  LET(
    idVenta, I99&amp;"",
    montoTotalPagado, P99,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99" s="30">
        <f t="shared" si="13"/>
        <v>0</v>
      </c>
      <c r="S99" s="29">
        <f>IF(P99=0, "Sin Pago", 
  IFERROR(
    MAXIFS(Aux_Datos!$A:$A, Aux_Datos!$B:$B, I99&amp;""), 
    IFERROR(MAXIFS(Aux_Datos!$A:$A, Aux_Datos!$B:$B, VALUE(I99)), "Revisar ID")
  )
)</f>
        <v>46163</v>
      </c>
      <c r="T99" s="35" t="str">
        <f t="shared" si="9"/>
        <v>PAGADA</v>
      </c>
      <c r="U99" s="35" t="str">
        <f t="shared" si="10"/>
        <v>SOLVENTE</v>
      </c>
      <c r="V99" s="32">
        <f t="shared" si="11"/>
        <v>0</v>
      </c>
      <c r="W99" s="36" t="str">
        <f>IF(P99=0, "Sin Pago", 
  LET(
    monedaPago, Q99, 
    descuentoAplicado, G99,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99" s="36" t="str">
        <f t="shared" si="12"/>
        <v/>
      </c>
      <c r="Y99" s="36">
        <v>76.0</v>
      </c>
      <c r="Z99" s="33" t="s">
        <v>596</v>
      </c>
      <c r="AA99" s="33"/>
      <c r="AB99" s="33"/>
      <c r="AC99" s="33"/>
      <c r="AD99" s="33"/>
      <c r="AE99" s="33"/>
      <c r="AF99" s="33"/>
    </row>
    <row r="100" ht="22.5" customHeight="1">
      <c r="A100" s="23" t="s">
        <v>132</v>
      </c>
      <c r="B100" s="24">
        <v>46100.58373842593</v>
      </c>
      <c r="C100" s="23" t="s">
        <v>131</v>
      </c>
      <c r="D100" s="23" t="s">
        <v>538</v>
      </c>
      <c r="E100" s="25">
        <v>4655.88</v>
      </c>
      <c r="F100" s="23" t="s">
        <v>619</v>
      </c>
      <c r="G100" s="26">
        <f>IF($E100=0,0,IF(SUMIF(Aux_Datos!$B:$B,$I100,Aux_Datos!$K:$K)/$E100&gt;=VLOOKUP(IF(COUNTIFS(Aux_Datos!$B:$B,$I100,Aux_Datos!$D:$D,"&lt;&gt;USD")=0,"USD","VES"),'Limites de Descuento'!$A$2:$D$4,4,FALSE),MAX(0,1-SUMIF(Aux_Datos!$B:$B,$I100,Aux_Datos!$K:$K)/$E100),0))</f>
        <v>0</v>
      </c>
      <c r="H100" s="27"/>
      <c r="I100" s="28">
        <f t="shared" si="1"/>
        <v>124</v>
      </c>
      <c r="J100" s="29">
        <f t="shared" si="2"/>
        <v>46100</v>
      </c>
      <c r="K100" s="30">
        <f t="shared" si="3"/>
        <v>15</v>
      </c>
      <c r="L100" s="29">
        <f t="shared" si="4"/>
        <v>46116</v>
      </c>
      <c r="M100" s="30">
        <f t="shared" si="5"/>
        <v>4655.88</v>
      </c>
      <c r="N100" s="32">
        <f t="shared" si="6"/>
        <v>84</v>
      </c>
      <c r="O100" s="33" t="str">
        <f t="shared" si="7"/>
        <v>VENCIDA</v>
      </c>
      <c r="P100" s="34">
        <f>LET(
  idVenta, I100&amp;"",
  montoTotal, M100,
  pagos, IFERROR(SUMIF(Aux_Datos!$B:$B, idVenta, Aux_Datos!$K:$K), 0),
  retenciones, IFERROR(SUMIF(Aux_Datos!$N:$N, idVenta, Aux_Datos!$R:$R), 0),
  pagos + retenciones
)</f>
        <v>760</v>
      </c>
      <c r="Q100" s="30" t="str">
        <f>IF(P100=0, "Sin Pago", 
  LET(
    idVenta, I100&amp;"",
    montoTotalPagado, P100,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00" s="30">
        <f t="shared" si="13"/>
        <v>3895.88</v>
      </c>
      <c r="S100" s="29">
        <f>IF(P100=0, "Sin Pago", 
  IFERROR(
    MAXIFS(Aux_Datos!$A:$A, Aux_Datos!$B:$B, I100&amp;""), 
    IFERROR(MAXIFS(Aux_Datos!$A:$A, Aux_Datos!$B:$B, VALUE(I100)), "Revisar ID")
  )
)</f>
        <v>46181</v>
      </c>
      <c r="T100" s="35" t="str">
        <f t="shared" si="9"/>
        <v>PAGO PARCIAL</v>
      </c>
      <c r="U100" s="35" t="str">
        <f t="shared" si="10"/>
        <v>CRÍTICO: VENCIDA</v>
      </c>
      <c r="V100" s="32">
        <f t="shared" si="11"/>
        <v>19</v>
      </c>
      <c r="W100" s="36" t="str">
        <f>IF(P100=0, "Sin Pago", 
  LET(
    monedaPago, Q100, 
    descuentoAplicado, G100,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00" s="36" t="str">
        <f t="shared" si="12"/>
        <v/>
      </c>
      <c r="Y100" s="36">
        <v>760.0</v>
      </c>
      <c r="Z100" s="33" t="s">
        <v>609</v>
      </c>
      <c r="AA100" s="33"/>
      <c r="AB100" s="33"/>
      <c r="AC100" s="33"/>
      <c r="AD100" s="33"/>
      <c r="AE100" s="33"/>
      <c r="AF100" s="33"/>
    </row>
    <row r="101" ht="22.5" customHeight="1">
      <c r="A101" s="23" t="s">
        <v>90</v>
      </c>
      <c r="B101" s="24">
        <v>46100.761145833334</v>
      </c>
      <c r="C101" s="23" t="s">
        <v>89</v>
      </c>
      <c r="D101" s="23" t="s">
        <v>544</v>
      </c>
      <c r="E101" s="25">
        <v>199.49</v>
      </c>
      <c r="F101" s="23" t="s">
        <v>619</v>
      </c>
      <c r="G101" s="26">
        <f>IF($E101=0,0,IF(SUMIF(Aux_Datos!$B:$B,$I101,Aux_Datos!$K:$K)/$E101&gt;=VLOOKUP(IF(COUNTIFS(Aux_Datos!$B:$B,$I101,Aux_Datos!$D:$D,"&lt;&gt;USD")=0,"USD","VES"),'Limites de Descuento'!$A$2:$D$4,4,FALSE),MAX(0,1-SUMIF(Aux_Datos!$B:$B,$I101,Aux_Datos!$K:$K)/$E101),0))</f>
        <v>0</v>
      </c>
      <c r="H101" s="27"/>
      <c r="I101" s="28">
        <f t="shared" si="1"/>
        <v>125</v>
      </c>
      <c r="J101" s="29">
        <f t="shared" si="2"/>
        <v>46100</v>
      </c>
      <c r="K101" s="30">
        <f t="shared" si="3"/>
        <v>15</v>
      </c>
      <c r="L101" s="29">
        <f t="shared" si="4"/>
        <v>46116</v>
      </c>
      <c r="M101" s="30">
        <f t="shared" si="5"/>
        <v>199.49</v>
      </c>
      <c r="N101" s="32">
        <f t="shared" si="6"/>
        <v>84</v>
      </c>
      <c r="O101" s="33" t="str">
        <f t="shared" si="7"/>
        <v>VENCIDA</v>
      </c>
      <c r="P101" s="34">
        <f>LET(
  idVenta, I101&amp;"",
  montoTotal, M101,
  pagos, IFERROR(SUMIF(Aux_Datos!$B:$B, idVenta, Aux_Datos!$K:$K), 0),
  retenciones, IFERROR(SUMIF(Aux_Datos!$N:$N, idVenta, Aux_Datos!$R:$R), 0),
  pagos + retenciones
)</f>
        <v>65</v>
      </c>
      <c r="Q101" s="30" t="str">
        <f>IF(P101=0, "Sin Pago", 
  LET(
    idVenta, I101&amp;"",
    montoTotalPagado, P101,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01" s="30">
        <f t="shared" si="13"/>
        <v>134.49</v>
      </c>
      <c r="S101" s="29">
        <f>IF(P101=0, "Sin Pago", 
  IFERROR(
    MAXIFS(Aux_Datos!$A:$A, Aux_Datos!$B:$B, I101&amp;""), 
    IFERROR(MAXIFS(Aux_Datos!$A:$A, Aux_Datos!$B:$B, VALUE(I101)), "Revisar ID")
  )
)</f>
        <v>46182</v>
      </c>
      <c r="T101" s="35" t="str">
        <f t="shared" si="9"/>
        <v>PAGO PARCIAL</v>
      </c>
      <c r="U101" s="35" t="str">
        <f t="shared" si="10"/>
        <v>CRÍTICO: VENCIDA</v>
      </c>
      <c r="V101" s="32">
        <f t="shared" si="11"/>
        <v>18</v>
      </c>
      <c r="W101" s="36" t="str">
        <f>IF(P101=0, "Sin Pago", 
  LET(
    monedaPago, Q101, 
    descuentoAplicado, G101,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01" s="36" t="str">
        <f t="shared" si="12"/>
        <v/>
      </c>
      <c r="Y101" s="36">
        <v>65.0</v>
      </c>
      <c r="Z101" s="33" t="s">
        <v>609</v>
      </c>
      <c r="AA101" s="33"/>
      <c r="AB101" s="33"/>
      <c r="AC101" s="33"/>
      <c r="AD101" s="33"/>
      <c r="AE101" s="33"/>
      <c r="AF101" s="33"/>
    </row>
    <row r="102" ht="22.5" customHeight="1">
      <c r="A102" s="23" t="s">
        <v>125</v>
      </c>
      <c r="B102" s="24">
        <v>46100.70075231481</v>
      </c>
      <c r="C102" s="23" t="s">
        <v>124</v>
      </c>
      <c r="D102" s="23" t="s">
        <v>529</v>
      </c>
      <c r="E102" s="25">
        <v>2259.37</v>
      </c>
      <c r="F102" s="23" t="s">
        <v>619</v>
      </c>
      <c r="G102" s="26">
        <f>IF($E102=0,0,IF(SUMIF(Aux_Datos!$B:$B,$I102,Aux_Datos!$K:$K)/$E102&gt;=VLOOKUP(IF(COUNTIFS(Aux_Datos!$B:$B,$I102,Aux_Datos!$D:$D,"&lt;&gt;USD")=0,"USD","VES"),'Limites de Descuento'!$A$2:$D$4,4,FALSE),MAX(0,1-SUMIF(Aux_Datos!$B:$B,$I102,Aux_Datos!$K:$K)/$E102),0))</f>
        <v>0</v>
      </c>
      <c r="H102" s="27"/>
      <c r="I102" s="28">
        <f t="shared" si="1"/>
        <v>126</v>
      </c>
      <c r="J102" s="29">
        <f t="shared" si="2"/>
        <v>46100</v>
      </c>
      <c r="K102" s="30">
        <f t="shared" si="3"/>
        <v>15</v>
      </c>
      <c r="L102" s="29">
        <f t="shared" si="4"/>
        <v>46116</v>
      </c>
      <c r="M102" s="30">
        <f t="shared" si="5"/>
        <v>2259.37</v>
      </c>
      <c r="N102" s="32">
        <f t="shared" si="6"/>
        <v>84</v>
      </c>
      <c r="O102" s="33" t="str">
        <f t="shared" si="7"/>
        <v>VENCIDA</v>
      </c>
      <c r="P102" s="34">
        <f>LET(
  idVenta, I102&amp;"",
  montoTotal, M102,
  pagos, IFERROR(SUMIF(Aux_Datos!$B:$B, idVenta, Aux_Datos!$K:$K), 0),
  retenciones, IFERROR(SUMIF(Aux_Datos!$N:$N, idVenta, Aux_Datos!$R:$R), 0),
  pagos + retenciones
)</f>
        <v>1060</v>
      </c>
      <c r="Q102" s="30" t="str">
        <f>IF(P102=0, "Sin Pago", 
  LET(
    idVenta, I102&amp;"",
    montoTotalPagado, P102,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02" s="30">
        <f t="shared" si="13"/>
        <v>1199.37</v>
      </c>
      <c r="S102" s="29">
        <f>IF(P102=0, "Sin Pago", 
  IFERROR(
    MAXIFS(Aux_Datos!$A:$A, Aux_Datos!$B:$B, I102&amp;""), 
    IFERROR(MAXIFS(Aux_Datos!$A:$A, Aux_Datos!$B:$B, VALUE(I102)), "Revisar ID")
  )
)</f>
        <v>46189</v>
      </c>
      <c r="T102" s="35" t="str">
        <f t="shared" si="9"/>
        <v>PAGO PARCIAL</v>
      </c>
      <c r="U102" s="35" t="str">
        <f t="shared" si="10"/>
        <v>CRÍTICO: VENCIDA</v>
      </c>
      <c r="V102" s="32">
        <f t="shared" si="11"/>
        <v>11</v>
      </c>
      <c r="W102" s="36" t="str">
        <f>IF(P102=0, "Sin Pago", 
  LET(
    monedaPago, Q102, 
    descuentoAplicado, G102,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02" s="36" t="str">
        <f t="shared" si="12"/>
        <v/>
      </c>
      <c r="Y102" s="36">
        <v>1060.0</v>
      </c>
      <c r="Z102" s="33" t="s">
        <v>609</v>
      </c>
      <c r="AA102" s="33"/>
      <c r="AB102" s="33"/>
      <c r="AC102" s="33"/>
      <c r="AD102" s="33"/>
      <c r="AE102" s="33"/>
      <c r="AF102" s="33"/>
    </row>
    <row r="103" ht="22.5" customHeight="1">
      <c r="A103" s="23" t="s">
        <v>138</v>
      </c>
      <c r="B103" s="24">
        <v>46100.70847222222</v>
      </c>
      <c r="C103" s="23" t="s">
        <v>137</v>
      </c>
      <c r="D103" s="23" t="s">
        <v>529</v>
      </c>
      <c r="E103" s="25">
        <v>952.5</v>
      </c>
      <c r="F103" s="23" t="s">
        <v>619</v>
      </c>
      <c r="G103" s="26">
        <f>IF($E103=0,0,IF(SUMIF(Aux_Datos!$B:$B,$I103,Aux_Datos!$K:$K)/$E103&gt;=VLOOKUP(IF(COUNTIFS(Aux_Datos!$B:$B,$I103,Aux_Datos!$D:$D,"&lt;&gt;USD")=0,"USD","VES"),'Limites de Descuento'!$A$2:$D$4,4,FALSE),MAX(0,1-SUMIF(Aux_Datos!$B:$B,$I103,Aux_Datos!$K:$K)/$E103),0))</f>
        <v>0</v>
      </c>
      <c r="H103" s="27"/>
      <c r="I103" s="28">
        <f t="shared" si="1"/>
        <v>127</v>
      </c>
      <c r="J103" s="29">
        <f t="shared" si="2"/>
        <v>46100</v>
      </c>
      <c r="K103" s="30">
        <f t="shared" si="3"/>
        <v>15</v>
      </c>
      <c r="L103" s="29">
        <f t="shared" si="4"/>
        <v>46116</v>
      </c>
      <c r="M103" s="30">
        <f t="shared" si="5"/>
        <v>952.5</v>
      </c>
      <c r="N103" s="32">
        <f t="shared" si="6"/>
        <v>84</v>
      </c>
      <c r="O103" s="33" t="str">
        <f t="shared" si="7"/>
        <v>VENCIDA</v>
      </c>
      <c r="P103" s="34">
        <f>LET(
  idVenta, I103&amp;"",
  montoTotal, M103,
  pagos, IFERROR(SUMIF(Aux_Datos!$B:$B, idVenta, Aux_Datos!$K:$K), 0),
  retenciones, IFERROR(SUMIF(Aux_Datos!$N:$N, idVenta, Aux_Datos!$R:$R), 0),
  pagos + retenciones
)</f>
        <v>150</v>
      </c>
      <c r="Q103" s="30" t="str">
        <f>IF(P103=0, "Sin Pago", 
  LET(
    idVenta, I103&amp;"",
    montoTotalPagado, P103,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03" s="30">
        <f t="shared" si="13"/>
        <v>802.5</v>
      </c>
      <c r="S103" s="29">
        <f>IF(P103=0, "Sin Pago", 
  IFERROR(
    MAXIFS(Aux_Datos!$A:$A, Aux_Datos!$B:$B, I103&amp;""), 
    IFERROR(MAXIFS(Aux_Datos!$A:$A, Aux_Datos!$B:$B, VALUE(I103)), "Revisar ID")
  )
)</f>
        <v>46176</v>
      </c>
      <c r="T103" s="35" t="str">
        <f t="shared" si="9"/>
        <v>PAGO PARCIAL</v>
      </c>
      <c r="U103" s="35" t="str">
        <f t="shared" si="10"/>
        <v>CRÍTICO: VENCIDA</v>
      </c>
      <c r="V103" s="32">
        <f t="shared" si="11"/>
        <v>24</v>
      </c>
      <c r="W103" s="36" t="str">
        <f>IF(P103=0, "Sin Pago", 
  LET(
    monedaPago, Q103, 
    descuentoAplicado, G103,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03" s="36" t="str">
        <f t="shared" si="12"/>
        <v/>
      </c>
      <c r="Y103" s="36">
        <v>150.0</v>
      </c>
      <c r="Z103" s="33" t="s">
        <v>609</v>
      </c>
      <c r="AA103" s="33"/>
      <c r="AB103" s="33"/>
      <c r="AC103" s="33"/>
      <c r="AD103" s="33"/>
      <c r="AE103" s="33"/>
      <c r="AF103" s="33"/>
    </row>
    <row r="104" ht="22.5" customHeight="1">
      <c r="A104" s="23" t="s">
        <v>127</v>
      </c>
      <c r="B104" s="24">
        <v>46100.71246527778</v>
      </c>
      <c r="C104" s="23" t="s">
        <v>126</v>
      </c>
      <c r="D104" s="23" t="s">
        <v>529</v>
      </c>
      <c r="E104" s="25">
        <v>296.98</v>
      </c>
      <c r="F104" s="23" t="s">
        <v>619</v>
      </c>
      <c r="G104" s="26">
        <f>IF($E104=0,0,IF(SUMIF(Aux_Datos!$B:$B,$I104,Aux_Datos!$K:$K)/$E104&gt;=VLOOKUP(IF(COUNTIFS(Aux_Datos!$B:$B,$I104,Aux_Datos!$D:$D,"&lt;&gt;USD")=0,"USD","VES"),'Limites de Descuento'!$A$2:$D$4,4,FALSE),MAX(0,1-SUMIF(Aux_Datos!$B:$B,$I104,Aux_Datos!$K:$K)/$E104),0))</f>
        <v>0</v>
      </c>
      <c r="H104" s="27"/>
      <c r="I104" s="28">
        <f t="shared" si="1"/>
        <v>128</v>
      </c>
      <c r="J104" s="29">
        <f t="shared" si="2"/>
        <v>46100</v>
      </c>
      <c r="K104" s="30">
        <f t="shared" si="3"/>
        <v>15</v>
      </c>
      <c r="L104" s="29">
        <f t="shared" si="4"/>
        <v>46116</v>
      </c>
      <c r="M104" s="30">
        <f t="shared" si="5"/>
        <v>296.98</v>
      </c>
      <c r="N104" s="32">
        <f t="shared" si="6"/>
        <v>84</v>
      </c>
      <c r="O104" s="33" t="str">
        <f t="shared" si="7"/>
        <v>VENCIDA</v>
      </c>
      <c r="P104" s="37">
        <v>66.0</v>
      </c>
      <c r="Q104" s="30" t="str">
        <f>IF(P104=0, "Sin Pago", 
  LET(
    idVenta, I104&amp;"",
    montoTotalPagado, P104,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MIXTO</v>
      </c>
      <c r="R104" s="30">
        <f t="shared" si="13"/>
        <v>230.98</v>
      </c>
      <c r="S104" s="29">
        <f>IF(P104=0, "Sin Pago", 
  IFERROR(
    MAXIFS(Aux_Datos!$A:$A, Aux_Datos!$B:$B, I104&amp;""), 
    IFERROR(MAXIFS(Aux_Datos!$A:$A, Aux_Datos!$B:$B, VALUE(I104)), "Revisar ID")
  )
)</f>
        <v>46149</v>
      </c>
      <c r="T104" s="35" t="str">
        <f t="shared" si="9"/>
        <v>PAGO PARCIAL</v>
      </c>
      <c r="U104" s="35" t="str">
        <f t="shared" si="10"/>
        <v>CRÍTICO: VENCIDA</v>
      </c>
      <c r="V104" s="32">
        <f t="shared" si="11"/>
        <v>51</v>
      </c>
      <c r="W104" s="36" t="str">
        <f>IF(P104=0, "Sin Pago", 
  LET(
    monedaPago, Q104, 
    descuentoAplicado, G104,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04" s="36" t="str">
        <f t="shared" si="12"/>
        <v/>
      </c>
      <c r="Y104" s="36">
        <v>50.0</v>
      </c>
      <c r="Z104" s="33" t="s">
        <v>609</v>
      </c>
      <c r="AA104" s="33"/>
      <c r="AB104" s="33"/>
      <c r="AC104" s="33"/>
      <c r="AD104" s="33"/>
      <c r="AE104" s="33"/>
      <c r="AF104" s="33"/>
    </row>
    <row r="105" ht="22.5" customHeight="1">
      <c r="A105" s="23" t="s">
        <v>143</v>
      </c>
      <c r="B105" s="24">
        <v>46101.518379629626</v>
      </c>
      <c r="C105" s="23" t="s">
        <v>142</v>
      </c>
      <c r="D105" s="23" t="s">
        <v>538</v>
      </c>
      <c r="E105" s="25">
        <v>1947.24</v>
      </c>
      <c r="F105" s="23" t="s">
        <v>619</v>
      </c>
      <c r="G105" s="26">
        <f>IF($E105=0,0,IF(SUMIF(Aux_Datos!$B:$B,$I105,Aux_Datos!$K:$K)/$E105&gt;=VLOOKUP(IF(COUNTIFS(Aux_Datos!$B:$B,$I105,Aux_Datos!$D:$D,"&lt;&gt;USD")=0,"USD","VES"),'Limites de Descuento'!$A$2:$D$4,4,FALSE),MAX(0,1-SUMIF(Aux_Datos!$B:$B,$I105,Aux_Datos!$K:$K)/$E105),0))</f>
        <v>0</v>
      </c>
      <c r="H105" s="27"/>
      <c r="I105" s="28">
        <f t="shared" si="1"/>
        <v>129</v>
      </c>
      <c r="J105" s="29">
        <f t="shared" si="2"/>
        <v>46101</v>
      </c>
      <c r="K105" s="30">
        <f t="shared" si="3"/>
        <v>15</v>
      </c>
      <c r="L105" s="29">
        <f t="shared" si="4"/>
        <v>46117</v>
      </c>
      <c r="M105" s="30">
        <f t="shared" si="5"/>
        <v>1947.24</v>
      </c>
      <c r="N105" s="32">
        <f t="shared" si="6"/>
        <v>83</v>
      </c>
      <c r="O105" s="33" t="str">
        <f t="shared" si="7"/>
        <v>VENCIDA</v>
      </c>
      <c r="P105" s="34">
        <f>LET(
  idVenta, I105&amp;"",
  montoTotal, M105,
  pagos, IFERROR(SUMIF(Aux_Datos!$B:$B, idVenta, Aux_Datos!$K:$K), 0),
  retenciones, IFERROR(SUMIF(Aux_Datos!$N:$N, idVenta, Aux_Datos!$R:$R), 0),
  pagos + retenciones
)</f>
        <v>340</v>
      </c>
      <c r="Q105" s="30" t="str">
        <f>IF(P105=0, "Sin Pago", 
  LET(
    idVenta, I105&amp;"",
    montoTotalPagado, P105,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05" s="30">
        <f t="shared" si="13"/>
        <v>1607.24</v>
      </c>
      <c r="S105" s="29">
        <f>IF(P105=0, "Sin Pago", 
  IFERROR(
    MAXIFS(Aux_Datos!$A:$A, Aux_Datos!$B:$B, I105&amp;""), 
    IFERROR(MAXIFS(Aux_Datos!$A:$A, Aux_Datos!$B:$B, VALUE(I105)), "Revisar ID")
  )
)</f>
        <v>46192</v>
      </c>
      <c r="T105" s="35" t="str">
        <f t="shared" si="9"/>
        <v>PAGO PARCIAL</v>
      </c>
      <c r="U105" s="35" t="str">
        <f t="shared" si="10"/>
        <v>CRÍTICO: VENCIDA</v>
      </c>
      <c r="V105" s="32">
        <f t="shared" si="11"/>
        <v>8</v>
      </c>
      <c r="W105" s="36" t="str">
        <f>IF(P105=0, "Sin Pago", 
  LET(
    monedaPago, Q105, 
    descuentoAplicado, G105,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05" s="36" t="str">
        <f t="shared" si="12"/>
        <v/>
      </c>
      <c r="Y105" s="36">
        <v>340.0</v>
      </c>
      <c r="Z105" s="33" t="s">
        <v>609</v>
      </c>
      <c r="AA105" s="33"/>
      <c r="AB105" s="33"/>
      <c r="AC105" s="33"/>
      <c r="AD105" s="33"/>
      <c r="AE105" s="33"/>
      <c r="AF105" s="33"/>
    </row>
    <row r="106" ht="22.5" customHeight="1">
      <c r="A106" s="23" t="s">
        <v>700</v>
      </c>
      <c r="B106" s="24">
        <v>46101.65961805556</v>
      </c>
      <c r="C106" s="23" t="s">
        <v>84</v>
      </c>
      <c r="D106" s="23" t="s">
        <v>556</v>
      </c>
      <c r="E106" s="25">
        <v>850.5</v>
      </c>
      <c r="F106" s="23" t="s">
        <v>593</v>
      </c>
      <c r="G106" s="26">
        <f>IF($E106=0,0,IF(SUMIF(Aux_Datos!$B:$B,$I106,Aux_Datos!$K:$K)/$E106&gt;=VLOOKUP(IF(COUNTIFS(Aux_Datos!$B:$B,$I106,Aux_Datos!$D:$D,"&lt;&gt;USD")=0,"USD","VES"),'Limites de Descuento'!$A$2:$D$4,4,FALSE),MAX(0,1-SUMIF(Aux_Datos!$B:$B,$I106,Aux_Datos!$K:$K)/$E106),0))</f>
        <v>0.3356848912</v>
      </c>
      <c r="H106" s="27"/>
      <c r="I106" s="28">
        <f t="shared" si="1"/>
        <v>130</v>
      </c>
      <c r="J106" s="29">
        <f t="shared" si="2"/>
        <v>46101</v>
      </c>
      <c r="K106" s="30">
        <f t="shared" si="3"/>
        <v>0</v>
      </c>
      <c r="L106" s="29">
        <f t="shared" si="4"/>
        <v>46102</v>
      </c>
      <c r="M106" s="30">
        <f t="shared" si="5"/>
        <v>565</v>
      </c>
      <c r="N106" s="32">
        <f t="shared" si="6"/>
        <v>0</v>
      </c>
      <c r="O106" s="33" t="str">
        <f t="shared" si="7"/>
        <v>PAGADA</v>
      </c>
      <c r="P106" s="37">
        <v>565.0</v>
      </c>
      <c r="Q106" s="38" t="s">
        <v>701</v>
      </c>
      <c r="R106" s="30">
        <f t="shared" si="13"/>
        <v>0</v>
      </c>
      <c r="S106" s="29">
        <f>IF(P106=0, "Sin Pago", 
  IFERROR(
    MAXIFS(Aux_Datos!$A:$A, Aux_Datos!$B:$B, I106&amp;""), 
    IFERROR(MAXIFS(Aux_Datos!$A:$A, Aux_Datos!$B:$B, VALUE(I106)), "Revisar ID")
  )
)</f>
        <v>46141</v>
      </c>
      <c r="T106" s="35" t="str">
        <f t="shared" si="9"/>
        <v>PAGADA</v>
      </c>
      <c r="U106" s="35" t="str">
        <f t="shared" si="10"/>
        <v>SOLVENTE</v>
      </c>
      <c r="V106" s="32">
        <f t="shared" si="11"/>
        <v>0</v>
      </c>
      <c r="W106" s="36" t="str">
        <f>IF(P106=0, "Sin Pago", 
  LET(
    monedaPago, Q106, 
    descuentoAplicado, G106,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06" s="36" t="str">
        <f t="shared" si="12"/>
        <v/>
      </c>
      <c r="Y106" s="36">
        <v>565.0</v>
      </c>
      <c r="Z106" s="33" t="s">
        <v>596</v>
      </c>
      <c r="AA106" s="33"/>
      <c r="AB106" s="33"/>
      <c r="AC106" s="33"/>
      <c r="AD106" s="33"/>
      <c r="AE106" s="33"/>
      <c r="AF106" s="33"/>
    </row>
    <row r="107" ht="22.5" customHeight="1">
      <c r="A107" s="23" t="s">
        <v>702</v>
      </c>
      <c r="B107" s="24">
        <v>46101.712013888886</v>
      </c>
      <c r="C107" s="23" t="s">
        <v>703</v>
      </c>
      <c r="D107" s="23" t="s">
        <v>546</v>
      </c>
      <c r="E107" s="25">
        <v>51.01</v>
      </c>
      <c r="F107" s="23" t="s">
        <v>603</v>
      </c>
      <c r="G107" s="26">
        <f>IF($E107=0,0,IF(SUMIF(Aux_Datos!$B:$B,$I107,Aux_Datos!$K:$K)/$E107&gt;=VLOOKUP(IF(COUNTIFS(Aux_Datos!$B:$B,$I107,Aux_Datos!$D:$D,"&lt;&gt;USD")=0,"USD","VES"),'Limites de Descuento'!$A$2:$D$4,4,FALSE),MAX(0,1-SUMIF(Aux_Datos!$B:$B,$I107,Aux_Datos!$K:$K)/$E107),0))</f>
        <v>0.3334640267</v>
      </c>
      <c r="H107" s="26">
        <v>0.02</v>
      </c>
      <c r="I107" s="28">
        <f t="shared" si="1"/>
        <v>131</v>
      </c>
      <c r="J107" s="29">
        <f t="shared" si="2"/>
        <v>46101</v>
      </c>
      <c r="K107" s="30">
        <f t="shared" si="3"/>
        <v>21</v>
      </c>
      <c r="L107" s="29">
        <f t="shared" si="4"/>
        <v>46123</v>
      </c>
      <c r="M107" s="30">
        <f t="shared" si="5"/>
        <v>32.9798</v>
      </c>
      <c r="N107" s="32">
        <f t="shared" si="6"/>
        <v>0</v>
      </c>
      <c r="O107" s="33" t="str">
        <f t="shared" si="7"/>
        <v>PAGADA</v>
      </c>
      <c r="P107" s="34">
        <f>LET(
  idVenta, I107&amp;"",
  montoTotal, M107,
  pagos, IFERROR(SUMIF(Aux_Datos!$B:$B, idVenta, Aux_Datos!$K:$K), 0),
  retenciones, IFERROR(SUMIF(Aux_Datos!$N:$N, idVenta, Aux_Datos!$R:$R), 0),
  pagos + retenciones
)</f>
        <v>34</v>
      </c>
      <c r="Q107" s="30" t="str">
        <f>IF(P107=0, "Sin Pago", 
  LET(
    idVenta, I107&amp;"",
    montoTotalPagado, P107,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07" s="30">
        <f t="shared" si="13"/>
        <v>-1.0202</v>
      </c>
      <c r="S107" s="29">
        <f>IF(P107=0, "Sin Pago", 
  IFERROR(
    MAXIFS(Aux_Datos!$A:$A, Aux_Datos!$B:$B, I107&amp;""), 
    IFERROR(MAXIFS(Aux_Datos!$A:$A, Aux_Datos!$B:$B, VALUE(I107)), "Revisar ID")
  )
)</f>
        <v>46173</v>
      </c>
      <c r="T107" s="35" t="str">
        <f t="shared" si="9"/>
        <v>PAGADA</v>
      </c>
      <c r="U107" s="35" t="str">
        <f t="shared" si="10"/>
        <v>SOLVENTE</v>
      </c>
      <c r="V107" s="32">
        <f t="shared" si="11"/>
        <v>0</v>
      </c>
      <c r="W107" s="36" t="str">
        <f>IF(P107=0, "Sin Pago", 
  LET(
    monedaPago, Q107, 
    descuentoAplicado, G107,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07" s="36" t="str">
        <f t="shared" si="12"/>
        <v>⚠️ REVISAR DESCUENTO</v>
      </c>
      <c r="Y107" s="36">
        <v>34.0</v>
      </c>
      <c r="Z107" s="33" t="s">
        <v>596</v>
      </c>
      <c r="AA107" s="33"/>
      <c r="AB107" s="33"/>
      <c r="AC107" s="33"/>
      <c r="AD107" s="33"/>
      <c r="AE107" s="33"/>
      <c r="AF107" s="33"/>
    </row>
    <row r="108" ht="22.5" customHeight="1">
      <c r="A108" s="23" t="s">
        <v>704</v>
      </c>
      <c r="B108" s="24">
        <v>46101.703888888886</v>
      </c>
      <c r="C108" s="23" t="s">
        <v>179</v>
      </c>
      <c r="D108" s="23" t="s">
        <v>529</v>
      </c>
      <c r="E108" s="25">
        <v>94.01</v>
      </c>
      <c r="F108" s="23" t="s">
        <v>619</v>
      </c>
      <c r="G108" s="26">
        <f>IF($E108=0,0,IF(SUMIF(Aux_Datos!$B:$B,$I108,Aux_Datos!$K:$K)/$E108&gt;=VLOOKUP(IF(COUNTIFS(Aux_Datos!$B:$B,$I108,Aux_Datos!$D:$D,"&lt;&gt;USD")=0,"USD","VES"),'Limites de Descuento'!$A$2:$D$4,4,FALSE),MAX(0,1-SUMIF(Aux_Datos!$B:$B,$I108,Aux_Datos!$K:$K)/$E108),0))</f>
        <v>0.0001063716626</v>
      </c>
      <c r="H108" s="27"/>
      <c r="I108" s="28">
        <f t="shared" si="1"/>
        <v>132</v>
      </c>
      <c r="J108" s="29">
        <f t="shared" si="2"/>
        <v>46101</v>
      </c>
      <c r="K108" s="30">
        <f t="shared" si="3"/>
        <v>15</v>
      </c>
      <c r="L108" s="29">
        <f t="shared" si="4"/>
        <v>46117</v>
      </c>
      <c r="M108" s="30">
        <f t="shared" si="5"/>
        <v>94</v>
      </c>
      <c r="N108" s="32">
        <f t="shared" si="6"/>
        <v>0</v>
      </c>
      <c r="O108" s="33" t="str">
        <f t="shared" si="7"/>
        <v>PAGADA</v>
      </c>
      <c r="P108" s="34">
        <f>LET(
  idVenta, I108&amp;"",
  montoTotal, M108,
  pagos, IFERROR(SUMIF(Aux_Datos!$B:$B, idVenta, Aux_Datos!$K:$K), 0),
  retenciones, IFERROR(SUMIF(Aux_Datos!$N:$N, idVenta, Aux_Datos!$R:$R), 0),
  pagos + retenciones
)</f>
        <v>94</v>
      </c>
      <c r="Q108" s="30" t="str">
        <f>IF(P108=0, "Sin Pago", 
  LET(
    idVenta, I108&amp;"",
    montoTotalPagado, P108,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08" s="30">
        <f t="shared" si="13"/>
        <v>0</v>
      </c>
      <c r="S108" s="29">
        <f>IF(P108=0, "Sin Pago", 
  IFERROR(
    MAXIFS(Aux_Datos!$A:$A, Aux_Datos!$B:$B, I108&amp;""), 
    IFERROR(MAXIFS(Aux_Datos!$A:$A, Aux_Datos!$B:$B, VALUE(I108)), "Revisar ID")
  )
)</f>
        <v>46112</v>
      </c>
      <c r="T108" s="35" t="str">
        <f t="shared" si="9"/>
        <v>PAGADA</v>
      </c>
      <c r="U108" s="35" t="str">
        <f t="shared" si="10"/>
        <v>SOLVENTE</v>
      </c>
      <c r="V108" s="32">
        <f t="shared" si="11"/>
        <v>0</v>
      </c>
      <c r="W108" s="36" t="str">
        <f>IF(P108=0, "Sin Pago", 
  LET(
    monedaPago, Q108, 
    descuentoAplicado, G108,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08" s="36" t="str">
        <f t="shared" si="12"/>
        <v/>
      </c>
      <c r="Y108" s="36">
        <v>94.0</v>
      </c>
      <c r="Z108" s="33" t="s">
        <v>596</v>
      </c>
      <c r="AA108" s="33"/>
      <c r="AB108" s="33"/>
      <c r="AC108" s="33"/>
      <c r="AD108" s="33"/>
      <c r="AE108" s="33"/>
      <c r="AF108" s="33"/>
    </row>
    <row r="109" ht="22.5" customHeight="1">
      <c r="A109" s="23" t="s">
        <v>270</v>
      </c>
      <c r="B109" s="24">
        <v>46105.640810185185</v>
      </c>
      <c r="C109" s="23" t="s">
        <v>269</v>
      </c>
      <c r="D109" s="23" t="s">
        <v>538</v>
      </c>
      <c r="E109" s="25">
        <v>20275.64</v>
      </c>
      <c r="F109" s="23" t="s">
        <v>640</v>
      </c>
      <c r="G109" s="26">
        <f>IF($E109=0,0,IF(SUMIF(Aux_Datos!$B:$B,$I109,Aux_Datos!$K:$K)/$E109&gt;=VLOOKUP(IF(COUNTIFS(Aux_Datos!$B:$B,$I109,Aux_Datos!$D:$D,"&lt;&gt;USD")=0,"USD","VES"),'Limites de Descuento'!$A$2:$D$4,4,FALSE),MAX(0,1-SUMIF(Aux_Datos!$B:$B,$I109,Aux_Datos!$K:$K)/$E109),0))</f>
        <v>0</v>
      </c>
      <c r="H109" s="27"/>
      <c r="I109" s="28">
        <f t="shared" si="1"/>
        <v>133</v>
      </c>
      <c r="J109" s="29">
        <f t="shared" si="2"/>
        <v>46105</v>
      </c>
      <c r="K109" s="30">
        <f t="shared" si="3"/>
        <v>45</v>
      </c>
      <c r="L109" s="29">
        <f t="shared" si="4"/>
        <v>46151</v>
      </c>
      <c r="M109" s="30">
        <f t="shared" si="5"/>
        <v>20275.64</v>
      </c>
      <c r="N109" s="32">
        <f t="shared" si="6"/>
        <v>49</v>
      </c>
      <c r="O109" s="33" t="str">
        <f t="shared" si="7"/>
        <v>VENCIDA</v>
      </c>
      <c r="P109" s="34">
        <f>LET(
  idVenta, I109&amp;"",
  montoTotal, M109,
  pagos, IFERROR(SUMIF(Aux_Datos!$B:$B, idVenta, Aux_Datos!$K:$K), 0),
  retenciones, IFERROR(SUMIF(Aux_Datos!$N:$N, idVenta, Aux_Datos!$R:$R), 0),
  pagos + retenciones
)</f>
        <v>2250</v>
      </c>
      <c r="Q109" s="30" t="str">
        <f>IF(P109=0, "Sin Pago", 
  LET(
    idVenta, I109&amp;"",
    montoTotalPagado, P109,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09" s="30">
        <f t="shared" si="13"/>
        <v>18025.64</v>
      </c>
      <c r="S109" s="29">
        <f>IF(P109=0, "Sin Pago", 
  IFERROR(
    MAXIFS(Aux_Datos!$A:$A, Aux_Datos!$B:$B, I109&amp;""), 
    IFERROR(MAXIFS(Aux_Datos!$A:$A, Aux_Datos!$B:$B, VALUE(I109)), "Revisar ID")
  )
)</f>
        <v>46192</v>
      </c>
      <c r="T109" s="35" t="str">
        <f t="shared" si="9"/>
        <v>PAGO PARCIAL</v>
      </c>
      <c r="U109" s="35" t="str">
        <f t="shared" si="10"/>
        <v>CRÍTICO: VENCIDA</v>
      </c>
      <c r="V109" s="32">
        <f t="shared" si="11"/>
        <v>8</v>
      </c>
      <c r="W109" s="36" t="str">
        <f>IF(P109=0, "Sin Pago", 
  LET(
    monedaPago, Q109, 
    descuentoAplicado, G109,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09" s="36" t="str">
        <f t="shared" si="12"/>
        <v/>
      </c>
      <c r="Y109" s="36">
        <v>2250.0</v>
      </c>
      <c r="Z109" s="33" t="s">
        <v>609</v>
      </c>
      <c r="AA109" s="33"/>
      <c r="AB109" s="33"/>
      <c r="AC109" s="33"/>
      <c r="AD109" s="33"/>
      <c r="AE109" s="33"/>
      <c r="AF109" s="33"/>
    </row>
    <row r="110" ht="22.5" customHeight="1">
      <c r="A110" s="23" t="s">
        <v>705</v>
      </c>
      <c r="B110" s="24">
        <v>46104.613854166666</v>
      </c>
      <c r="C110" s="23" t="s">
        <v>598</v>
      </c>
      <c r="D110" s="23" t="s">
        <v>546</v>
      </c>
      <c r="E110" s="25">
        <v>93.0</v>
      </c>
      <c r="F110" s="23" t="s">
        <v>619</v>
      </c>
      <c r="G110" s="26">
        <f>IF($E110=0,0,IF(SUMIF(Aux_Datos!$B:$B,$I110,Aux_Datos!$K:$K)/$E110&gt;=VLOOKUP(IF(COUNTIFS(Aux_Datos!$B:$B,$I110,Aux_Datos!$D:$D,"&lt;&gt;USD")=0,"USD","VES"),'Limites de Descuento'!$A$2:$D$4,4,FALSE),MAX(0,1-SUMIF(Aux_Datos!$B:$B,$I110,Aux_Datos!$K:$K)/$E110),0))</f>
        <v>0</v>
      </c>
      <c r="H110" s="27"/>
      <c r="I110" s="28">
        <f t="shared" si="1"/>
        <v>136</v>
      </c>
      <c r="J110" s="29">
        <f t="shared" si="2"/>
        <v>46104</v>
      </c>
      <c r="K110" s="30">
        <f t="shared" si="3"/>
        <v>15</v>
      </c>
      <c r="L110" s="29">
        <f t="shared" si="4"/>
        <v>46120</v>
      </c>
      <c r="M110" s="30">
        <f t="shared" si="5"/>
        <v>93</v>
      </c>
      <c r="N110" s="32">
        <f t="shared" si="6"/>
        <v>0</v>
      </c>
      <c r="O110" s="33" t="str">
        <f t="shared" si="7"/>
        <v>PAGADA</v>
      </c>
      <c r="P110" s="34">
        <f>LET(
  idVenta, I110&amp;"",
  montoTotal, M110,
  pagos, IFERROR(SUMIF(Aux_Datos!$B:$B, idVenta, Aux_Datos!$K:$K), 0),
  retenciones, IFERROR(SUMIF(Aux_Datos!$N:$N, idVenta, Aux_Datos!$R:$R), 0),
  pagos + retenciones
)</f>
        <v>93.13711428</v>
      </c>
      <c r="Q110" s="30" t="str">
        <f>IF(P110=0, "Sin Pago", 
  LET(
    idVenta, I110&amp;"",
    montoTotalPagado, P110,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110" s="30">
        <f t="shared" si="13"/>
        <v>-0.1371142828</v>
      </c>
      <c r="S110" s="29">
        <f>IF(P110=0, "Sin Pago", 
  IFERROR(
    MAXIFS(Aux_Datos!$A:$A, Aux_Datos!$B:$B, I110&amp;""), 
    IFERROR(MAXIFS(Aux_Datos!$A:$A, Aux_Datos!$B:$B, VALUE(I110)), "Revisar ID")
  )
)</f>
        <v>46105</v>
      </c>
      <c r="T110" s="35" t="str">
        <f t="shared" si="9"/>
        <v>PAGADA</v>
      </c>
      <c r="U110" s="35" t="str">
        <f t="shared" si="10"/>
        <v>SOLVENTE</v>
      </c>
      <c r="V110" s="32">
        <f t="shared" si="11"/>
        <v>0</v>
      </c>
      <c r="W110" s="36" t="str">
        <f>IF(P110=0, "Sin Pago", 
  LET(
    monedaPago, Q110, 
    descuentoAplicado, G110,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10" s="36" t="str">
        <f t="shared" si="12"/>
        <v/>
      </c>
      <c r="Y110" s="36">
        <v>93.13711428276046</v>
      </c>
      <c r="Z110" s="33" t="s">
        <v>596</v>
      </c>
      <c r="AA110" s="33"/>
      <c r="AB110" s="33"/>
      <c r="AC110" s="33"/>
      <c r="AD110" s="33"/>
      <c r="AE110" s="33"/>
      <c r="AF110" s="33"/>
    </row>
    <row r="111" ht="22.5" customHeight="1">
      <c r="A111" s="23" t="s">
        <v>706</v>
      </c>
      <c r="B111" s="24">
        <v>46104.61420138889</v>
      </c>
      <c r="C111" s="23" t="s">
        <v>69</v>
      </c>
      <c r="D111" s="23" t="s">
        <v>544</v>
      </c>
      <c r="E111" s="25">
        <v>129.92</v>
      </c>
      <c r="F111" s="23" t="s">
        <v>619</v>
      </c>
      <c r="G111" s="26">
        <f>IF($E111=0,0,IF(SUMIF(Aux_Datos!$B:$B,$I111,Aux_Datos!$K:$K)/$E111&gt;=VLOOKUP(IF(COUNTIFS(Aux_Datos!$B:$B,$I111,Aux_Datos!$D:$D,"&lt;&gt;USD")=0,"USD","VES"),'Limites de Descuento'!$A$2:$D$4,4,FALSE),MAX(0,1-SUMIF(Aux_Datos!$B:$B,$I111,Aux_Datos!$K:$K)/$E111),0))</f>
        <v>0</v>
      </c>
      <c r="H111" s="27"/>
      <c r="I111" s="28">
        <f t="shared" si="1"/>
        <v>137</v>
      </c>
      <c r="J111" s="29">
        <f t="shared" si="2"/>
        <v>46104</v>
      </c>
      <c r="K111" s="30">
        <f t="shared" si="3"/>
        <v>15</v>
      </c>
      <c r="L111" s="29">
        <f t="shared" si="4"/>
        <v>46120</v>
      </c>
      <c r="M111" s="30">
        <f t="shared" si="5"/>
        <v>129.92</v>
      </c>
      <c r="N111" s="32">
        <f t="shared" si="6"/>
        <v>0</v>
      </c>
      <c r="O111" s="33" t="str">
        <f t="shared" si="7"/>
        <v>PAGADA</v>
      </c>
      <c r="P111" s="34">
        <f>LET(
  idVenta, I111&amp;"",
  montoTotal, M111,
  pagos, IFERROR(SUMIF(Aux_Datos!$B:$B, idVenta, Aux_Datos!$K:$K), 0),
  retenciones, IFERROR(SUMIF(Aux_Datos!$N:$N, idVenta, Aux_Datos!$R:$R), 0),
  pagos + retenciones
)</f>
        <v>129.92</v>
      </c>
      <c r="Q111" s="30" t="str">
        <f>IF(P111=0, "Sin Pago", 
  LET(
    idVenta, I111&amp;"",
    montoTotalPagado, P111,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11" s="30">
        <f t="shared" si="13"/>
        <v>0</v>
      </c>
      <c r="S111" s="29">
        <f>IF(P111=0, "Sin Pago", 
  IFERROR(
    MAXIFS(Aux_Datos!$A:$A, Aux_Datos!$B:$B, I111&amp;""), 
    IFERROR(MAXIFS(Aux_Datos!$A:$A, Aux_Datos!$B:$B, VALUE(I111)), "Revisar ID")
  )
)</f>
        <v>46104</v>
      </c>
      <c r="T111" s="35" t="str">
        <f t="shared" si="9"/>
        <v>PAGADA</v>
      </c>
      <c r="U111" s="35" t="str">
        <f t="shared" si="10"/>
        <v>SOLVENTE</v>
      </c>
      <c r="V111" s="32">
        <f t="shared" si="11"/>
        <v>0</v>
      </c>
      <c r="W111" s="36" t="str">
        <f>IF(P111=0, "Sin Pago", 
  LET(
    monedaPago, Q111, 
    descuentoAplicado, G111,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11" s="36" t="str">
        <f t="shared" si="12"/>
        <v/>
      </c>
      <c r="Y111" s="36">
        <v>129.92</v>
      </c>
      <c r="Z111" s="33" t="s">
        <v>596</v>
      </c>
      <c r="AA111" s="33"/>
      <c r="AB111" s="33"/>
      <c r="AC111" s="33"/>
      <c r="AD111" s="33"/>
      <c r="AE111" s="33"/>
      <c r="AF111" s="33"/>
    </row>
    <row r="112" ht="22.5" customHeight="1">
      <c r="A112" s="23" t="s">
        <v>151</v>
      </c>
      <c r="B112" s="24">
        <v>46104.614074074074</v>
      </c>
      <c r="C112" s="23" t="s">
        <v>150</v>
      </c>
      <c r="D112" s="23" t="s">
        <v>544</v>
      </c>
      <c r="E112" s="25">
        <v>360.0</v>
      </c>
      <c r="F112" s="23" t="s">
        <v>619</v>
      </c>
      <c r="G112" s="26">
        <f>IF($E112=0,0,IF(SUMIF(Aux_Datos!$B:$B,$I112,Aux_Datos!$K:$K)/$E112&gt;=VLOOKUP(IF(COUNTIFS(Aux_Datos!$B:$B,$I112,Aux_Datos!$D:$D,"&lt;&gt;USD")=0,"USD","VES"),'Limites de Descuento'!$A$2:$D$4,4,FALSE),MAX(0,1-SUMIF(Aux_Datos!$B:$B,$I112,Aux_Datos!$K:$K)/$E112),0))</f>
        <v>0</v>
      </c>
      <c r="H112" s="27"/>
      <c r="I112" s="28">
        <f t="shared" si="1"/>
        <v>138</v>
      </c>
      <c r="J112" s="29">
        <f t="shared" si="2"/>
        <v>46104</v>
      </c>
      <c r="K112" s="30">
        <f t="shared" si="3"/>
        <v>15</v>
      </c>
      <c r="L112" s="29">
        <f t="shared" si="4"/>
        <v>46120</v>
      </c>
      <c r="M112" s="30">
        <f t="shared" si="5"/>
        <v>360</v>
      </c>
      <c r="N112" s="32">
        <f t="shared" si="6"/>
        <v>80</v>
      </c>
      <c r="O112" s="33" t="str">
        <f t="shared" si="7"/>
        <v>VENCIDA</v>
      </c>
      <c r="P112" s="34">
        <f>LET(
  idVenta, I112&amp;"",
  montoTotal, M112,
  pagos, IFERROR(SUMIF(Aux_Datos!$B:$B, idVenta, Aux_Datos!$K:$K), 0),
  retenciones, IFERROR(SUMIF(Aux_Datos!$N:$N, idVenta, Aux_Datos!$R:$R), 0),
  pagos + retenciones
)</f>
        <v>160</v>
      </c>
      <c r="Q112" s="30" t="str">
        <f>IF(P112=0, "Sin Pago", 
  LET(
    idVenta, I112&amp;"",
    montoTotalPagado, P112,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12" s="30">
        <f t="shared" si="13"/>
        <v>200</v>
      </c>
      <c r="S112" s="29">
        <f>IF(P112=0, "Sin Pago", 
  IFERROR(
    MAXIFS(Aux_Datos!$A:$A, Aux_Datos!$B:$B, I112&amp;""), 
    IFERROR(MAXIFS(Aux_Datos!$A:$A, Aux_Datos!$B:$B, VALUE(I112)), "Revisar ID")
  )
)</f>
        <v>46189</v>
      </c>
      <c r="T112" s="35" t="str">
        <f t="shared" si="9"/>
        <v>PAGO PARCIAL</v>
      </c>
      <c r="U112" s="35" t="str">
        <f t="shared" si="10"/>
        <v>CRÍTICO: VENCIDA</v>
      </c>
      <c r="V112" s="32">
        <f t="shared" si="11"/>
        <v>11</v>
      </c>
      <c r="W112" s="36" t="str">
        <f>IF(P112=0, "Sin Pago", 
  LET(
    monedaPago, Q112, 
    descuentoAplicado, G112,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12" s="36" t="str">
        <f t="shared" si="12"/>
        <v/>
      </c>
      <c r="Y112" s="36">
        <v>160.0</v>
      </c>
      <c r="Z112" s="33" t="s">
        <v>609</v>
      </c>
      <c r="AA112" s="33"/>
      <c r="AB112" s="33"/>
      <c r="AC112" s="33"/>
      <c r="AD112" s="33"/>
      <c r="AE112" s="33"/>
      <c r="AF112" s="33"/>
    </row>
    <row r="113" ht="22.5" customHeight="1">
      <c r="A113" s="23" t="s">
        <v>707</v>
      </c>
      <c r="B113" s="24">
        <v>46104.64414351852</v>
      </c>
      <c r="C113" s="23" t="s">
        <v>381</v>
      </c>
      <c r="D113" s="23" t="s">
        <v>550</v>
      </c>
      <c r="E113" s="25">
        <v>972.01</v>
      </c>
      <c r="F113" s="23" t="s">
        <v>593</v>
      </c>
      <c r="G113" s="26">
        <f>IF($E113=0,0,IF(SUMIF(Aux_Datos!$B:$B,$I113,Aux_Datos!$K:$K)/$E113&gt;=VLOOKUP(IF(COUNTIFS(Aux_Datos!$B:$B,$I113,Aux_Datos!$D:$D,"&lt;&gt;USD")=0,"USD","VES"),'Limites de Descuento'!$A$2:$D$4,4,FALSE),MAX(0,1-SUMIF(Aux_Datos!$B:$B,$I113,Aux_Datos!$K:$K)/$E113),0))</f>
        <v>0</v>
      </c>
      <c r="H113" s="27"/>
      <c r="I113" s="28">
        <f t="shared" si="1"/>
        <v>139</v>
      </c>
      <c r="J113" s="29">
        <f t="shared" si="2"/>
        <v>46104</v>
      </c>
      <c r="K113" s="30">
        <f t="shared" si="3"/>
        <v>0</v>
      </c>
      <c r="L113" s="29">
        <f t="shared" si="4"/>
        <v>46105</v>
      </c>
      <c r="M113" s="30">
        <f t="shared" si="5"/>
        <v>972.01</v>
      </c>
      <c r="N113" s="32">
        <f t="shared" si="6"/>
        <v>0</v>
      </c>
      <c r="O113" s="33" t="str">
        <f t="shared" si="7"/>
        <v>PAGADA</v>
      </c>
      <c r="P113" s="34">
        <f>LET(
  idVenta, I113&amp;"",
  montoTotal, M113,
  pagos, IFERROR(SUMIF(Aux_Datos!$B:$B, idVenta, Aux_Datos!$K:$K), 0),
  retenciones, IFERROR(SUMIF(Aux_Datos!$N:$N, idVenta, Aux_Datos!$R:$R), 0),
  pagos + retenciones
)</f>
        <v>972.03</v>
      </c>
      <c r="Q113" s="30" t="str">
        <f>IF(P113=0, "Sin Pago", 
  LET(
    idVenta, I113&amp;"",
    montoTotalPagado, P113,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13" s="30">
        <f t="shared" si="13"/>
        <v>-0.02</v>
      </c>
      <c r="S113" s="29">
        <f>IF(P113=0, "Sin Pago", 
  IFERROR(
    MAXIFS(Aux_Datos!$A:$A, Aux_Datos!$B:$B, I113&amp;""), 
    IFERROR(MAXIFS(Aux_Datos!$A:$A, Aux_Datos!$B:$B, VALUE(I113)), "Revisar ID")
  )
)</f>
        <v>46106</v>
      </c>
      <c r="T113" s="35" t="str">
        <f t="shared" si="9"/>
        <v>PAGADA</v>
      </c>
      <c r="U113" s="35" t="str">
        <f t="shared" si="10"/>
        <v>SOLVENTE</v>
      </c>
      <c r="V113" s="32">
        <f t="shared" si="11"/>
        <v>0</v>
      </c>
      <c r="W113" s="36" t="str">
        <f>IF(P113=0, "Sin Pago", 
  LET(
    monedaPago, Q113, 
    descuentoAplicado, G113,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13" s="36" t="str">
        <f t="shared" si="12"/>
        <v/>
      </c>
      <c r="Y113" s="36">
        <v>972.03</v>
      </c>
      <c r="Z113" s="33" t="s">
        <v>596</v>
      </c>
      <c r="AA113" s="33"/>
      <c r="AB113" s="33"/>
      <c r="AC113" s="33"/>
      <c r="AD113" s="33"/>
      <c r="AE113" s="33"/>
      <c r="AF113" s="33"/>
    </row>
    <row r="114" ht="22.5" customHeight="1">
      <c r="A114" s="23" t="s">
        <v>708</v>
      </c>
      <c r="B114" s="24">
        <v>46104.66638888889</v>
      </c>
      <c r="C114" s="23" t="s">
        <v>709</v>
      </c>
      <c r="D114" s="23" t="s">
        <v>550</v>
      </c>
      <c r="E114" s="25">
        <v>53.65</v>
      </c>
      <c r="F114" s="23" t="s">
        <v>593</v>
      </c>
      <c r="G114" s="26">
        <f>IF($E114=0,0,IF(SUMIF(Aux_Datos!$B:$B,$I114,Aux_Datos!$K:$K)/$E114&gt;=VLOOKUP(IF(COUNTIFS(Aux_Datos!$B:$B,$I114,Aux_Datos!$D:$D,"&lt;&gt;USD")=0,"USD","VES"),'Limites de Descuento'!$A$2:$D$4,4,FALSE),MAX(0,1-SUMIF(Aux_Datos!$B:$B,$I114,Aux_Datos!$K:$K)/$E114),0))</f>
        <v>0</v>
      </c>
      <c r="H114" s="27"/>
      <c r="I114" s="28">
        <f t="shared" si="1"/>
        <v>140</v>
      </c>
      <c r="J114" s="29">
        <f t="shared" si="2"/>
        <v>46104</v>
      </c>
      <c r="K114" s="30">
        <f t="shared" si="3"/>
        <v>0</v>
      </c>
      <c r="L114" s="29">
        <f t="shared" si="4"/>
        <v>46105</v>
      </c>
      <c r="M114" s="30">
        <f t="shared" si="5"/>
        <v>53.65</v>
      </c>
      <c r="N114" s="32">
        <f t="shared" si="6"/>
        <v>0</v>
      </c>
      <c r="O114" s="33" t="str">
        <f t="shared" si="7"/>
        <v>PAGADA</v>
      </c>
      <c r="P114" s="34">
        <f>LET(
  idVenta, I114&amp;"",
  montoTotal, M114,
  pagos, IFERROR(SUMIF(Aux_Datos!$B:$B, idVenta, Aux_Datos!$K:$K), 0),
  retenciones, IFERROR(SUMIF(Aux_Datos!$N:$N, idVenta, Aux_Datos!$R:$R), 0),
  pagos + retenciones
)</f>
        <v>53.65001902</v>
      </c>
      <c r="Q114" s="30" t="str">
        <f>IF(P114=0, "Sin Pago", 
  LET(
    idVenta, I114&amp;"",
    montoTotalPagado, P114,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114" s="30">
        <f t="shared" si="13"/>
        <v>-0.00001902310711</v>
      </c>
      <c r="S114" s="29">
        <f>IF(P114=0, "Sin Pago", 
  IFERROR(
    MAXIFS(Aux_Datos!$A:$A, Aux_Datos!$B:$B, I114&amp;""), 
    IFERROR(MAXIFS(Aux_Datos!$A:$A, Aux_Datos!$B:$B, VALUE(I114)), "Revisar ID")
  )
)</f>
        <v>46104</v>
      </c>
      <c r="T114" s="35" t="str">
        <f t="shared" si="9"/>
        <v>PAGADA</v>
      </c>
      <c r="U114" s="35" t="str">
        <f t="shared" si="10"/>
        <v>SOLVENTE</v>
      </c>
      <c r="V114" s="32">
        <f t="shared" si="11"/>
        <v>0</v>
      </c>
      <c r="W114" s="36" t="str">
        <f>IF(P114=0, "Sin Pago", 
  LET(
    monedaPago, Q114, 
    descuentoAplicado, G114,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14" s="36" t="str">
        <f t="shared" si="12"/>
        <v/>
      </c>
      <c r="Y114" s="36">
        <v>53.65001902310711</v>
      </c>
      <c r="Z114" s="33" t="s">
        <v>596</v>
      </c>
      <c r="AA114" s="33"/>
      <c r="AB114" s="33"/>
      <c r="AC114" s="33"/>
      <c r="AD114" s="33"/>
      <c r="AE114" s="33"/>
      <c r="AF114" s="33"/>
    </row>
    <row r="115" ht="22.5" customHeight="1">
      <c r="A115" s="23" t="s">
        <v>710</v>
      </c>
      <c r="B115" s="24">
        <v>46105.66875</v>
      </c>
      <c r="C115" s="23" t="s">
        <v>483</v>
      </c>
      <c r="D115" s="23" t="s">
        <v>353</v>
      </c>
      <c r="E115" s="25">
        <v>301.5</v>
      </c>
      <c r="F115" s="23" t="s">
        <v>619</v>
      </c>
      <c r="G115" s="26">
        <f>IF($E115=0,0,IF(SUMIF(Aux_Datos!$B:$B,$I115,Aux_Datos!$K:$K)/$E115&gt;=VLOOKUP(IF(COUNTIFS(Aux_Datos!$B:$B,$I115,Aux_Datos!$D:$D,"&lt;&gt;USD")=0,"USD","VES"),'Limites de Descuento'!$A$2:$D$4,4,FALSE),MAX(0,1-SUMIF(Aux_Datos!$B:$B,$I115,Aux_Datos!$K:$K)/$E115),0))</f>
        <v>0.3366500829</v>
      </c>
      <c r="H115" s="27"/>
      <c r="I115" s="28">
        <f t="shared" si="1"/>
        <v>141</v>
      </c>
      <c r="J115" s="29">
        <f t="shared" si="2"/>
        <v>46105</v>
      </c>
      <c r="K115" s="30">
        <f t="shared" si="3"/>
        <v>15</v>
      </c>
      <c r="L115" s="29">
        <f t="shared" si="4"/>
        <v>46121</v>
      </c>
      <c r="M115" s="30">
        <f t="shared" si="5"/>
        <v>200</v>
      </c>
      <c r="N115" s="32">
        <f t="shared" si="6"/>
        <v>0</v>
      </c>
      <c r="O115" s="33" t="str">
        <f t="shared" si="7"/>
        <v>PAGADA</v>
      </c>
      <c r="P115" s="34">
        <f>LET(
  idVenta, I115&amp;"",
  montoTotal, M115,
  pagos, IFERROR(SUMIF(Aux_Datos!$B:$B, idVenta, Aux_Datos!$K:$K), 0),
  retenciones, IFERROR(SUMIF(Aux_Datos!$N:$N, idVenta, Aux_Datos!$R:$R), 0),
  pagos + retenciones
)</f>
        <v>200</v>
      </c>
      <c r="Q115" s="30" t="str">
        <f>IF(P115=0, "Sin Pago", 
  LET(
    idVenta, I115&amp;"",
    montoTotalPagado, P115,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15" s="30">
        <f t="shared" si="13"/>
        <v>0</v>
      </c>
      <c r="S115" s="29">
        <f>IF(P115=0, "Sin Pago", 
  IFERROR(
    MAXIFS(Aux_Datos!$A:$A, Aux_Datos!$B:$B, I115&amp;""), 
    IFERROR(MAXIFS(Aux_Datos!$A:$A, Aux_Datos!$B:$B, VALUE(I115)), "Revisar ID")
  )
)</f>
        <v>46147</v>
      </c>
      <c r="T115" s="35" t="str">
        <f t="shared" si="9"/>
        <v>PAGADA</v>
      </c>
      <c r="U115" s="35" t="str">
        <f t="shared" si="10"/>
        <v>SOLVENTE</v>
      </c>
      <c r="V115" s="32">
        <f t="shared" si="11"/>
        <v>0</v>
      </c>
      <c r="W115" s="36" t="str">
        <f>IF(P115=0, "Sin Pago", 
  LET(
    monedaPago, Q115, 
    descuentoAplicado, G115,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15" s="36" t="str">
        <f t="shared" si="12"/>
        <v/>
      </c>
      <c r="Y115" s="36">
        <v>200.0</v>
      </c>
      <c r="Z115" s="33" t="s">
        <v>596</v>
      </c>
      <c r="AA115" s="33"/>
      <c r="AB115" s="33"/>
      <c r="AC115" s="33"/>
      <c r="AD115" s="33"/>
      <c r="AE115" s="33"/>
      <c r="AF115" s="33"/>
    </row>
    <row r="116" ht="22.5" customHeight="1">
      <c r="A116" s="23" t="s">
        <v>711</v>
      </c>
      <c r="B116" s="24">
        <v>46105.67162037037</v>
      </c>
      <c r="C116" s="23" t="s">
        <v>712</v>
      </c>
      <c r="D116" s="23" t="s">
        <v>552</v>
      </c>
      <c r="E116" s="25">
        <v>192.05</v>
      </c>
      <c r="F116" s="23" t="s">
        <v>593</v>
      </c>
      <c r="G116" s="26">
        <f>IF($E116=0,0,IF(SUMIF(Aux_Datos!$B:$B,$I116,Aux_Datos!$K:$K)/$E116&gt;=VLOOKUP(IF(COUNTIFS(Aux_Datos!$B:$B,$I116,Aux_Datos!$D:$D,"&lt;&gt;USD")=0,"USD","VES"),'Limites de Descuento'!$A$2:$D$4,4,FALSE),MAX(0,1-SUMIF(Aux_Datos!$B:$B,$I116,Aux_Datos!$K:$K)/$E116),0))</f>
        <v>0.2762301484</v>
      </c>
      <c r="H116" s="27"/>
      <c r="I116" s="28">
        <f t="shared" si="1"/>
        <v>142</v>
      </c>
      <c r="J116" s="29">
        <f t="shared" si="2"/>
        <v>46105</v>
      </c>
      <c r="K116" s="30">
        <f t="shared" si="3"/>
        <v>0</v>
      </c>
      <c r="L116" s="29">
        <f t="shared" si="4"/>
        <v>46106</v>
      </c>
      <c r="M116" s="30">
        <f t="shared" si="5"/>
        <v>139</v>
      </c>
      <c r="N116" s="32">
        <f t="shared" si="6"/>
        <v>0</v>
      </c>
      <c r="O116" s="33" t="str">
        <f t="shared" si="7"/>
        <v>PAGADA</v>
      </c>
      <c r="P116" s="34">
        <f>LET(
  idVenta, I116&amp;"",
  montoTotal, M116,
  pagos, IFERROR(SUMIF(Aux_Datos!$B:$B, idVenta, Aux_Datos!$K:$K), 0),
  retenciones, IFERROR(SUMIF(Aux_Datos!$N:$N, idVenta, Aux_Datos!$R:$R), 0),
  pagos + retenciones
)</f>
        <v>139</v>
      </c>
      <c r="Q116" s="30" t="str">
        <f>IF(P116=0, "Sin Pago", 
  LET(
    idVenta, I116&amp;"",
    montoTotalPagado, P116,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16" s="30">
        <f t="shared" si="13"/>
        <v>0</v>
      </c>
      <c r="S116" s="29">
        <f>IF(P116=0, "Sin Pago", 
  IFERROR(
    MAXIFS(Aux_Datos!$A:$A, Aux_Datos!$B:$B, I116&amp;""), 
    IFERROR(MAXIFS(Aux_Datos!$A:$A, Aux_Datos!$B:$B, VALUE(I116)), "Revisar ID")
  )
)</f>
        <v>46147</v>
      </c>
      <c r="T116" s="35" t="str">
        <f t="shared" si="9"/>
        <v>PAGADA</v>
      </c>
      <c r="U116" s="35" t="str">
        <f t="shared" si="10"/>
        <v>SOLVENTE</v>
      </c>
      <c r="V116" s="32">
        <f t="shared" si="11"/>
        <v>0</v>
      </c>
      <c r="W116" s="36" t="str">
        <f>IF(P116=0, "Sin Pago", 
  LET(
    monedaPago, Q116, 
    descuentoAplicado, G116,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16" s="36" t="str">
        <f t="shared" si="12"/>
        <v/>
      </c>
      <c r="Y116" s="36">
        <v>139.0</v>
      </c>
      <c r="Z116" s="33" t="s">
        <v>596</v>
      </c>
      <c r="AA116" s="33"/>
      <c r="AB116" s="33"/>
      <c r="AC116" s="33"/>
      <c r="AD116" s="33"/>
      <c r="AE116" s="33"/>
      <c r="AF116" s="33"/>
    </row>
    <row r="117" ht="22.5" customHeight="1">
      <c r="A117" s="23" t="s">
        <v>713</v>
      </c>
      <c r="B117" s="24">
        <v>46105.6712962963</v>
      </c>
      <c r="C117" s="23" t="s">
        <v>370</v>
      </c>
      <c r="D117" s="23" t="s">
        <v>552</v>
      </c>
      <c r="E117" s="25">
        <v>309.0</v>
      </c>
      <c r="F117" s="23" t="s">
        <v>593</v>
      </c>
      <c r="G117" s="26">
        <f>IF($E117=0,0,IF(SUMIF(Aux_Datos!$B:$B,$I117,Aux_Datos!$K:$K)/$E117&gt;=VLOOKUP(IF(COUNTIFS(Aux_Datos!$B:$B,$I117,Aux_Datos!$D:$D,"&lt;&gt;USD")=0,"USD","VES"),'Limites de Descuento'!$A$2:$D$4,4,FALSE),MAX(0,1-SUMIF(Aux_Datos!$B:$B,$I117,Aux_Datos!$K:$K)/$E117),0))</f>
        <v>0.3462783172</v>
      </c>
      <c r="H117" s="27"/>
      <c r="I117" s="28">
        <f t="shared" si="1"/>
        <v>143</v>
      </c>
      <c r="J117" s="29">
        <f t="shared" si="2"/>
        <v>46105</v>
      </c>
      <c r="K117" s="30">
        <f t="shared" si="3"/>
        <v>0</v>
      </c>
      <c r="L117" s="29">
        <f t="shared" si="4"/>
        <v>46106</v>
      </c>
      <c r="M117" s="30">
        <f t="shared" si="5"/>
        <v>202</v>
      </c>
      <c r="N117" s="32">
        <f t="shared" si="6"/>
        <v>0</v>
      </c>
      <c r="O117" s="33" t="str">
        <f t="shared" si="7"/>
        <v>PAGADA</v>
      </c>
      <c r="P117" s="34">
        <f>LET(
  idVenta, I117&amp;"",
  montoTotal, M117,
  pagos, IFERROR(SUMIF(Aux_Datos!$B:$B, idVenta, Aux_Datos!$K:$K), 0),
  retenciones, IFERROR(SUMIF(Aux_Datos!$N:$N, idVenta, Aux_Datos!$R:$R), 0),
  pagos + retenciones
)</f>
        <v>202</v>
      </c>
      <c r="Q117" s="30" t="str">
        <f>IF(P117=0, "Sin Pago", 
  LET(
    idVenta, I117&amp;"",
    montoTotalPagado, P117,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17" s="30">
        <f t="shared" si="13"/>
        <v>0</v>
      </c>
      <c r="S117" s="29">
        <f>IF(P117=0, "Sin Pago", 
  IFERROR(
    MAXIFS(Aux_Datos!$A:$A, Aux_Datos!$B:$B, I117&amp;""), 
    IFERROR(MAXIFS(Aux_Datos!$A:$A, Aux_Datos!$B:$B, VALUE(I117)), "Revisar ID")
  )
)</f>
        <v>46164</v>
      </c>
      <c r="T117" s="35" t="str">
        <f t="shared" si="9"/>
        <v>PAGADA</v>
      </c>
      <c r="U117" s="35" t="str">
        <f t="shared" si="10"/>
        <v>SOLVENTE</v>
      </c>
      <c r="V117" s="32">
        <f t="shared" si="11"/>
        <v>0</v>
      </c>
      <c r="W117" s="36" t="str">
        <f>IF(P117=0, "Sin Pago", 
  LET(
    monedaPago, Q117, 
    descuentoAplicado, G117,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17" s="36" t="str">
        <f t="shared" si="12"/>
        <v/>
      </c>
      <c r="Y117" s="36">
        <v>202.0</v>
      </c>
      <c r="Z117" s="33" t="s">
        <v>596</v>
      </c>
      <c r="AA117" s="33"/>
      <c r="AB117" s="33"/>
      <c r="AC117" s="33"/>
      <c r="AD117" s="33"/>
      <c r="AE117" s="33"/>
      <c r="AF117" s="33"/>
    </row>
    <row r="118" ht="22.5" customHeight="1">
      <c r="A118" s="23" t="s">
        <v>29</v>
      </c>
      <c r="B118" s="24">
        <v>46105.66956018518</v>
      </c>
      <c r="C118" s="23" t="s">
        <v>28</v>
      </c>
      <c r="D118" s="23" t="s">
        <v>556</v>
      </c>
      <c r="E118" s="25">
        <v>108.0</v>
      </c>
      <c r="F118" s="23" t="s">
        <v>593</v>
      </c>
      <c r="G118" s="26">
        <f>IF($E118=0,0,IF(SUMIF(Aux_Datos!$B:$B,$I118,Aux_Datos!$K:$K)/$E118&gt;=VLOOKUP(IF(COUNTIFS(Aux_Datos!$B:$B,$I118,Aux_Datos!$D:$D,"&lt;&gt;USD")=0,"USD","VES"),'Limites de Descuento'!$A$2:$D$4,4,FALSE),MAX(0,1-SUMIF(Aux_Datos!$B:$B,$I118,Aux_Datos!$K:$K)/$E118),0))</f>
        <v>0</v>
      </c>
      <c r="H118" s="27"/>
      <c r="I118" s="28">
        <f t="shared" si="1"/>
        <v>144</v>
      </c>
      <c r="J118" s="29">
        <f t="shared" si="2"/>
        <v>46105</v>
      </c>
      <c r="K118" s="30">
        <f t="shared" si="3"/>
        <v>0</v>
      </c>
      <c r="L118" s="29">
        <f t="shared" si="4"/>
        <v>46106</v>
      </c>
      <c r="M118" s="30">
        <f t="shared" si="5"/>
        <v>108</v>
      </c>
      <c r="N118" s="32">
        <f t="shared" si="6"/>
        <v>94</v>
      </c>
      <c r="O118" s="33" t="str">
        <f t="shared" si="7"/>
        <v>VENCIDA</v>
      </c>
      <c r="P118" s="34">
        <f>LET(
  idVenta, I118&amp;"",
  montoTotal, M118,
  pagos, IFERROR(SUMIF(Aux_Datos!$B:$B, idVenta, Aux_Datos!$K:$K), 0),
  retenciones, IFERROR(SUMIF(Aux_Datos!$N:$N, idVenta, Aux_Datos!$R:$R), 0),
  pagos + retenciones
)</f>
        <v>68</v>
      </c>
      <c r="Q118" s="30" t="str">
        <f>IF(P118=0, "Sin Pago", 
  LET(
    idVenta, I118&amp;"",
    montoTotalPagado, P118,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18" s="30">
        <f t="shared" si="13"/>
        <v>40</v>
      </c>
      <c r="S118" s="29">
        <f>IF(P118=0, "Sin Pago", 
  IFERROR(
    MAXIFS(Aux_Datos!$A:$A, Aux_Datos!$B:$B, I118&amp;""), 
    IFERROR(MAXIFS(Aux_Datos!$A:$A, Aux_Datos!$B:$B, VALUE(I118)), "Revisar ID")
  )
)</f>
        <v>46127</v>
      </c>
      <c r="T118" s="35" t="str">
        <f t="shared" si="9"/>
        <v>PAGO PARCIAL</v>
      </c>
      <c r="U118" s="35" t="str">
        <f t="shared" si="10"/>
        <v>CRÍTICO: VENCIDA</v>
      </c>
      <c r="V118" s="32">
        <f t="shared" si="11"/>
        <v>73</v>
      </c>
      <c r="W118" s="36" t="str">
        <f>IF(P118=0, "Sin Pago", 
  LET(
    monedaPago, Q118, 
    descuentoAplicado, G118,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18" s="36" t="str">
        <f t="shared" si="12"/>
        <v/>
      </c>
      <c r="Y118" s="36">
        <v>68.0</v>
      </c>
      <c r="Z118" s="33" t="s">
        <v>609</v>
      </c>
      <c r="AA118" s="33"/>
      <c r="AB118" s="33"/>
      <c r="AC118" s="33"/>
      <c r="AD118" s="33"/>
      <c r="AE118" s="33"/>
      <c r="AF118" s="33"/>
    </row>
    <row r="119" ht="22.5" customHeight="1">
      <c r="A119" s="23" t="s">
        <v>36</v>
      </c>
      <c r="B119" s="24">
        <v>46105.621724537035</v>
      </c>
      <c r="C119" s="23" t="s">
        <v>35</v>
      </c>
      <c r="D119" s="23" t="s">
        <v>544</v>
      </c>
      <c r="E119" s="25">
        <v>1105.53</v>
      </c>
      <c r="F119" s="23" t="s">
        <v>619</v>
      </c>
      <c r="G119" s="26">
        <f>IF($E119=0,0,IF(SUMIF(Aux_Datos!$B:$B,$I119,Aux_Datos!$K:$K)/$E119&gt;=VLOOKUP(IF(COUNTIFS(Aux_Datos!$B:$B,$I119,Aux_Datos!$D:$D,"&lt;&gt;USD")=0,"USD","VES"),'Limites de Descuento'!$A$2:$D$4,4,FALSE),MAX(0,1-SUMIF(Aux_Datos!$B:$B,$I119,Aux_Datos!$K:$K)/$E119),0))</f>
        <v>0</v>
      </c>
      <c r="H119" s="27"/>
      <c r="I119" s="28">
        <f t="shared" si="1"/>
        <v>145</v>
      </c>
      <c r="J119" s="29">
        <f t="shared" si="2"/>
        <v>46105</v>
      </c>
      <c r="K119" s="30">
        <f t="shared" si="3"/>
        <v>15</v>
      </c>
      <c r="L119" s="29">
        <f t="shared" si="4"/>
        <v>46121</v>
      </c>
      <c r="M119" s="30">
        <f t="shared" si="5"/>
        <v>1105.53</v>
      </c>
      <c r="N119" s="32">
        <f t="shared" si="6"/>
        <v>79</v>
      </c>
      <c r="O119" s="33" t="str">
        <f t="shared" si="7"/>
        <v>VENCIDA</v>
      </c>
      <c r="P119" s="34">
        <f>LET(
  idVenta, I119&amp;"",
  montoTotal, M119,
  pagos, IFERROR(SUMIF(Aux_Datos!$B:$B, idVenta, Aux_Datos!$K:$K), 0),
  retenciones, IFERROR(SUMIF(Aux_Datos!$N:$N, idVenta, Aux_Datos!$R:$R), 0),
  pagos + retenciones
)</f>
        <v>873.2251532</v>
      </c>
      <c r="Q119" s="30" t="str">
        <f>IF(P119=0, "Sin Pago", 
  LET(
    idVenta, I119&amp;"",
    montoTotalPagado, P119,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119" s="30">
        <f t="shared" si="13"/>
        <v>232.3048468</v>
      </c>
      <c r="S119" s="29">
        <f>IF(P119=0, "Sin Pago", 
  IFERROR(
    MAXIFS(Aux_Datos!$A:$A, Aux_Datos!$B:$B, I119&amp;""), 
    IFERROR(MAXIFS(Aux_Datos!$A:$A, Aux_Datos!$B:$B, VALUE(I119)), "Revisar ID")
  )
)</f>
        <v>46150</v>
      </c>
      <c r="T119" s="35" t="str">
        <f t="shared" si="9"/>
        <v>PAGO PARCIAL</v>
      </c>
      <c r="U119" s="35" t="str">
        <f t="shared" si="10"/>
        <v>CRÍTICO: VENCIDA</v>
      </c>
      <c r="V119" s="32">
        <f t="shared" si="11"/>
        <v>50</v>
      </c>
      <c r="W119" s="36" t="str">
        <f>IF(P119=0, "Sin Pago", 
  LET(
    monedaPago, Q119, 
    descuentoAplicado, G119,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19" s="36" t="str">
        <f t="shared" si="12"/>
        <v/>
      </c>
      <c r="Y119" s="36">
        <v>873.2251532449004</v>
      </c>
      <c r="Z119" s="33" t="s">
        <v>609</v>
      </c>
      <c r="AA119" s="33"/>
      <c r="AB119" s="33"/>
      <c r="AC119" s="33"/>
      <c r="AD119" s="33"/>
      <c r="AE119" s="33"/>
      <c r="AF119" s="33"/>
    </row>
    <row r="120" ht="22.5" customHeight="1">
      <c r="A120" s="23" t="s">
        <v>113</v>
      </c>
      <c r="B120" s="24">
        <v>46105.69121527778</v>
      </c>
      <c r="C120" s="23" t="s">
        <v>112</v>
      </c>
      <c r="D120" s="23" t="s">
        <v>529</v>
      </c>
      <c r="E120" s="25">
        <v>1996.24</v>
      </c>
      <c r="F120" s="23" t="s">
        <v>619</v>
      </c>
      <c r="G120" s="26">
        <f>IF($E120=0,0,IF(SUMIF(Aux_Datos!$B:$B,$I120,Aux_Datos!$K:$K)/$E120&gt;=VLOOKUP(IF(COUNTIFS(Aux_Datos!$B:$B,$I120,Aux_Datos!$D:$D,"&lt;&gt;USD")=0,"USD","VES"),'Limites de Descuento'!$A$2:$D$4,4,FALSE),MAX(0,1-SUMIF(Aux_Datos!$B:$B,$I120,Aux_Datos!$K:$K)/$E120),0))</f>
        <v>0</v>
      </c>
      <c r="H120" s="27"/>
      <c r="I120" s="28">
        <f t="shared" si="1"/>
        <v>146</v>
      </c>
      <c r="J120" s="29">
        <f t="shared" si="2"/>
        <v>46105</v>
      </c>
      <c r="K120" s="30">
        <f t="shared" si="3"/>
        <v>15</v>
      </c>
      <c r="L120" s="29">
        <f t="shared" si="4"/>
        <v>46121</v>
      </c>
      <c r="M120" s="30">
        <f t="shared" si="5"/>
        <v>1996.24</v>
      </c>
      <c r="N120" s="32">
        <f t="shared" si="6"/>
        <v>79</v>
      </c>
      <c r="O120" s="33" t="str">
        <f t="shared" si="7"/>
        <v>VENCIDA</v>
      </c>
      <c r="P120" s="34">
        <f>LET(
  idVenta, I120&amp;"",
  montoTotal, M120,
  pagos, IFERROR(SUMIF(Aux_Datos!$B:$B, idVenta, Aux_Datos!$K:$K), 0),
  retenciones, IFERROR(SUMIF(Aux_Datos!$N:$N, idVenta, Aux_Datos!$R:$R), 0),
  pagos + retenciones
)</f>
        <v>1220</v>
      </c>
      <c r="Q120" s="30" t="str">
        <f>IF(P120=0, "Sin Pago", 
  LET(
    idVenta, I120&amp;"",
    montoTotalPagado, P120,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20" s="30">
        <f t="shared" si="13"/>
        <v>776.24</v>
      </c>
      <c r="S120" s="29">
        <f>IF(P120=0, "Sin Pago", 
  IFERROR(
    MAXIFS(Aux_Datos!$A:$A, Aux_Datos!$B:$B, I120&amp;""), 
    IFERROR(MAXIFS(Aux_Datos!$A:$A, Aux_Datos!$B:$B, VALUE(I120)), "Revisar ID")
  )
)</f>
        <v>46168</v>
      </c>
      <c r="T120" s="35" t="str">
        <f t="shared" si="9"/>
        <v>PAGO PARCIAL</v>
      </c>
      <c r="U120" s="35" t="str">
        <f t="shared" si="10"/>
        <v>CRÍTICO: VENCIDA</v>
      </c>
      <c r="V120" s="32">
        <f t="shared" si="11"/>
        <v>32</v>
      </c>
      <c r="W120" s="36" t="str">
        <f>IF(P120=0, "Sin Pago", 
  LET(
    monedaPago, Q120, 
    descuentoAplicado, G120,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20" s="36" t="str">
        <f t="shared" si="12"/>
        <v/>
      </c>
      <c r="Y120" s="36">
        <v>1220.0</v>
      </c>
      <c r="Z120" s="33" t="s">
        <v>609</v>
      </c>
      <c r="AA120" s="33"/>
      <c r="AB120" s="33"/>
      <c r="AC120" s="33"/>
      <c r="AD120" s="33"/>
      <c r="AE120" s="33"/>
      <c r="AF120" s="33"/>
    </row>
    <row r="121" ht="22.5" customHeight="1">
      <c r="A121" s="23" t="s">
        <v>714</v>
      </c>
      <c r="B121" s="24">
        <v>46106.423796296294</v>
      </c>
      <c r="C121" s="23" t="s">
        <v>381</v>
      </c>
      <c r="D121" s="23" t="s">
        <v>550</v>
      </c>
      <c r="E121" s="25">
        <v>36.08</v>
      </c>
      <c r="F121" s="23" t="s">
        <v>593</v>
      </c>
      <c r="G121" s="26">
        <f>IF($E121=0,0,IF(SUMIF(Aux_Datos!$B:$B,$I121,Aux_Datos!$K:$K)/$E121&gt;=VLOOKUP(IF(COUNTIFS(Aux_Datos!$B:$B,$I121,Aux_Datos!$D:$D,"&lt;&gt;USD")=0,"USD","VES"),'Limites de Descuento'!$A$2:$D$4,4,FALSE),MAX(0,1-SUMIF(Aux_Datos!$B:$B,$I121,Aux_Datos!$K:$K)/$E121),0))</f>
        <v>0</v>
      </c>
      <c r="H121" s="27"/>
      <c r="I121" s="28">
        <f t="shared" si="1"/>
        <v>148</v>
      </c>
      <c r="J121" s="29">
        <f t="shared" si="2"/>
        <v>46106</v>
      </c>
      <c r="K121" s="30">
        <f t="shared" si="3"/>
        <v>0</v>
      </c>
      <c r="L121" s="29">
        <f t="shared" si="4"/>
        <v>46107</v>
      </c>
      <c r="M121" s="30">
        <f t="shared" si="5"/>
        <v>36.08</v>
      </c>
      <c r="N121" s="32">
        <f t="shared" si="6"/>
        <v>0</v>
      </c>
      <c r="O121" s="33" t="str">
        <f t="shared" si="7"/>
        <v>PAGADA</v>
      </c>
      <c r="P121" s="34">
        <f>LET(
  idVenta, I121&amp;"",
  montoTotal, M121,
  pagos, IFERROR(SUMIF(Aux_Datos!$B:$B, idVenta, Aux_Datos!$K:$K), 0),
  retenciones, IFERROR(SUMIF(Aux_Datos!$N:$N, idVenta, Aux_Datos!$R:$R), 0),
  pagos + retenciones
)</f>
        <v>36.08</v>
      </c>
      <c r="Q121" s="30" t="str">
        <f>IF(P121=0, "Sin Pago", 
  LET(
    idVenta, I121&amp;"",
    montoTotalPagado, P121,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21" s="30">
        <f t="shared" si="13"/>
        <v>0</v>
      </c>
      <c r="S121" s="29">
        <f>IF(P121=0, "Sin Pago", 
  IFERROR(
    MAXIFS(Aux_Datos!$A:$A, Aux_Datos!$B:$B, I121&amp;""), 
    IFERROR(MAXIFS(Aux_Datos!$A:$A, Aux_Datos!$B:$B, VALUE(I121)), "Revisar ID")
  )
)</f>
        <v>46106</v>
      </c>
      <c r="T121" s="35" t="str">
        <f t="shared" si="9"/>
        <v>PAGADA</v>
      </c>
      <c r="U121" s="35" t="str">
        <f t="shared" si="10"/>
        <v>SOLVENTE</v>
      </c>
      <c r="V121" s="32">
        <f t="shared" si="11"/>
        <v>0</v>
      </c>
      <c r="W121" s="36" t="str">
        <f>IF(P121=0, "Sin Pago", 
  LET(
    monedaPago, Q121, 
    descuentoAplicado, G121,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21" s="36" t="str">
        <f t="shared" si="12"/>
        <v/>
      </c>
      <c r="Y121" s="36">
        <v>36.08</v>
      </c>
      <c r="Z121" s="33" t="s">
        <v>596</v>
      </c>
      <c r="AA121" s="33"/>
      <c r="AB121" s="33"/>
      <c r="AC121" s="33"/>
      <c r="AD121" s="33"/>
      <c r="AE121" s="33"/>
      <c r="AF121" s="33"/>
    </row>
    <row r="122" ht="22.5" customHeight="1">
      <c r="A122" s="23" t="s">
        <v>257</v>
      </c>
      <c r="B122" s="24">
        <v>46106.68116898148</v>
      </c>
      <c r="C122" s="23" t="s">
        <v>256</v>
      </c>
      <c r="D122" s="23" t="s">
        <v>544</v>
      </c>
      <c r="E122" s="25">
        <v>2625.01</v>
      </c>
      <c r="F122" s="23" t="s">
        <v>640</v>
      </c>
      <c r="G122" s="26">
        <f>IF($E122=0,0,IF(SUMIF(Aux_Datos!$B:$B,$I122,Aux_Datos!$K:$K)/$E122&gt;=VLOOKUP(IF(COUNTIFS(Aux_Datos!$B:$B,$I122,Aux_Datos!$D:$D,"&lt;&gt;USD")=0,"USD","VES"),'Limites de Descuento'!$A$2:$D$4,4,FALSE),MAX(0,1-SUMIF(Aux_Datos!$B:$B,$I122,Aux_Datos!$K:$K)/$E122),0))</f>
        <v>0</v>
      </c>
      <c r="H122" s="27"/>
      <c r="I122" s="28">
        <f t="shared" si="1"/>
        <v>149</v>
      </c>
      <c r="J122" s="29">
        <f t="shared" si="2"/>
        <v>46106</v>
      </c>
      <c r="K122" s="30">
        <f t="shared" si="3"/>
        <v>45</v>
      </c>
      <c r="L122" s="29">
        <f t="shared" si="4"/>
        <v>46152</v>
      </c>
      <c r="M122" s="30">
        <f t="shared" si="5"/>
        <v>2625.01</v>
      </c>
      <c r="N122" s="32">
        <f t="shared" si="6"/>
        <v>48</v>
      </c>
      <c r="O122" s="33" t="str">
        <f t="shared" si="7"/>
        <v>VENCIDA</v>
      </c>
      <c r="P122" s="37">
        <v>1750.0</v>
      </c>
      <c r="Q122" s="30" t="str">
        <f>IF(P122=0, "Sin Pago", 
  LET(
    idVenta, I122&amp;"",
    montoTotalPagado, P122,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122" s="30">
        <f t="shared" si="13"/>
        <v>875.01</v>
      </c>
      <c r="S122" s="29">
        <f>IF(P122=0, "Sin Pago", 
  IFERROR(
    MAXIFS(Aux_Datos!$A:$A, Aux_Datos!$B:$B, I122&amp;""), 
    IFERROR(MAXIFS(Aux_Datos!$A:$A, Aux_Datos!$B:$B, VALUE(I122)), "Revisar ID")
  )
)</f>
        <v>46188</v>
      </c>
      <c r="T122" s="35" t="str">
        <f t="shared" si="9"/>
        <v>PAGO PARCIAL</v>
      </c>
      <c r="U122" s="35" t="str">
        <f t="shared" si="10"/>
        <v>CRÍTICO: VENCIDA</v>
      </c>
      <c r="V122" s="32">
        <f t="shared" si="11"/>
        <v>12</v>
      </c>
      <c r="W122" s="36" t="str">
        <f>IF(P122=0, "Sin Pago", 
  LET(
    monedaPago, Q122, 
    descuentoAplicado, G122,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22" s="36" t="str">
        <f t="shared" si="12"/>
        <v/>
      </c>
      <c r="Y122" s="36">
        <v>1861.852921624856</v>
      </c>
      <c r="Z122" s="33" t="s">
        <v>609</v>
      </c>
      <c r="AA122" s="33"/>
      <c r="AB122" s="33"/>
      <c r="AC122" s="33"/>
      <c r="AD122" s="33"/>
      <c r="AE122" s="33"/>
      <c r="AF122" s="33"/>
    </row>
    <row r="123" ht="22.5" customHeight="1">
      <c r="A123" s="23" t="s">
        <v>715</v>
      </c>
      <c r="B123" s="24">
        <v>46106.68579861111</v>
      </c>
      <c r="C123" s="23" t="s">
        <v>716</v>
      </c>
      <c r="D123" s="23" t="s">
        <v>540</v>
      </c>
      <c r="E123" s="25">
        <v>249.0</v>
      </c>
      <c r="F123" s="23" t="s">
        <v>608</v>
      </c>
      <c r="G123" s="26">
        <f>IF($E123=0,0,IF(SUMIF(Aux_Datos!$B:$B,$I123,Aux_Datos!$K:$K)/$E123&gt;=VLOOKUP(IF(COUNTIFS(Aux_Datos!$B:$B,$I123,Aux_Datos!$D:$D,"&lt;&gt;USD")=0,"USD","VES"),'Limites de Descuento'!$A$2:$D$4,4,FALSE),MAX(0,1-SUMIF(Aux_Datos!$B:$B,$I123,Aux_Datos!$K:$K)/$E123),0))</f>
        <v>0</v>
      </c>
      <c r="H123" s="27"/>
      <c r="I123" s="28">
        <f t="shared" si="1"/>
        <v>150</v>
      </c>
      <c r="J123" s="29">
        <f t="shared" si="2"/>
        <v>46106</v>
      </c>
      <c r="K123" s="30">
        <f t="shared" si="3"/>
        <v>7</v>
      </c>
      <c r="L123" s="29">
        <f t="shared" si="4"/>
        <v>46114</v>
      </c>
      <c r="M123" s="30">
        <f t="shared" si="5"/>
        <v>249</v>
      </c>
      <c r="N123" s="32">
        <f t="shared" si="6"/>
        <v>0</v>
      </c>
      <c r="O123" s="33" t="str">
        <f t="shared" si="7"/>
        <v>PAGADA</v>
      </c>
      <c r="P123" s="34">
        <f>LET(
  idVenta, I123&amp;"",
  montoTotal, M123,
  pagos, IFERROR(SUMIF(Aux_Datos!$B:$B, idVenta, Aux_Datos!$K:$K), 0),
  retenciones, IFERROR(SUMIF(Aux_Datos!$N:$N, idVenta, Aux_Datos!$R:$R), 0),
  pagos + retenciones
)</f>
        <v>350</v>
      </c>
      <c r="Q123" s="30" t="str">
        <f>IF(P123=0, "Sin Pago", 
  LET(
    idVenta, I123&amp;"",
    montoTotalPagado, P123,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23" s="30">
        <f t="shared" si="13"/>
        <v>-101</v>
      </c>
      <c r="S123" s="29">
        <f>IF(P123=0, "Sin Pago", 
  IFERROR(
    MAXIFS(Aux_Datos!$A:$A, Aux_Datos!$B:$B, I123&amp;""), 
    IFERROR(MAXIFS(Aux_Datos!$A:$A, Aux_Datos!$B:$B, VALUE(I123)), "Revisar ID")
  )
)</f>
        <v>46153</v>
      </c>
      <c r="T123" s="35" t="str">
        <f t="shared" si="9"/>
        <v>PAGADA</v>
      </c>
      <c r="U123" s="35" t="str">
        <f t="shared" si="10"/>
        <v>SOLVENTE</v>
      </c>
      <c r="V123" s="32">
        <f t="shared" si="11"/>
        <v>0</v>
      </c>
      <c r="W123" s="36" t="str">
        <f>IF(P123=0, "Sin Pago", 
  LET(
    monedaPago, Q123, 
    descuentoAplicado, G123,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23" s="36" t="str">
        <f t="shared" si="12"/>
        <v/>
      </c>
      <c r="Y123" s="36">
        <v>350.0</v>
      </c>
      <c r="Z123" s="33" t="s">
        <v>596</v>
      </c>
      <c r="AA123" s="33"/>
      <c r="AB123" s="33"/>
      <c r="AC123" s="33"/>
      <c r="AD123" s="33"/>
      <c r="AE123" s="33"/>
      <c r="AF123" s="33"/>
    </row>
    <row r="124" ht="22.5" customHeight="1">
      <c r="A124" s="23" t="s">
        <v>153</v>
      </c>
      <c r="B124" s="24">
        <v>46106.6877662037</v>
      </c>
      <c r="C124" s="23" t="s">
        <v>152</v>
      </c>
      <c r="D124" s="23" t="s">
        <v>529</v>
      </c>
      <c r="E124" s="25">
        <v>288.0</v>
      </c>
      <c r="F124" s="23" t="s">
        <v>619</v>
      </c>
      <c r="G124" s="26">
        <f>IF($E124=0,0,IF(SUMIF(Aux_Datos!$B:$B,$I124,Aux_Datos!$K:$K)/$E124&gt;=VLOOKUP(IF(COUNTIFS(Aux_Datos!$B:$B,$I124,Aux_Datos!$D:$D,"&lt;&gt;USD")=0,"USD","VES"),'Limites de Descuento'!$A$2:$D$4,4,FALSE),MAX(0,1-SUMIF(Aux_Datos!$B:$B,$I124,Aux_Datos!$K:$K)/$E124),0))</f>
        <v>0</v>
      </c>
      <c r="H124" s="27"/>
      <c r="I124" s="28">
        <f t="shared" si="1"/>
        <v>151</v>
      </c>
      <c r="J124" s="29">
        <f t="shared" si="2"/>
        <v>46106</v>
      </c>
      <c r="K124" s="30">
        <f t="shared" si="3"/>
        <v>15</v>
      </c>
      <c r="L124" s="29">
        <f t="shared" si="4"/>
        <v>46122</v>
      </c>
      <c r="M124" s="30">
        <f t="shared" si="5"/>
        <v>288</v>
      </c>
      <c r="N124" s="32">
        <f t="shared" si="6"/>
        <v>78</v>
      </c>
      <c r="O124" s="33" t="str">
        <f t="shared" si="7"/>
        <v>VENCIDA</v>
      </c>
      <c r="P124" s="34">
        <f>LET(
  idVenta, I124&amp;"",
  montoTotal, M124,
  pagos, IFERROR(SUMIF(Aux_Datos!$B:$B, idVenta, Aux_Datos!$K:$K), 0),
  retenciones, IFERROR(SUMIF(Aux_Datos!$N:$N, idVenta, Aux_Datos!$R:$R), 0),
  pagos + retenciones
)</f>
        <v>0</v>
      </c>
      <c r="Q124" s="30" t="str">
        <f>IF(P124=0, "Sin Pago", 
  LET(
    idVenta, I124&amp;"",
    montoTotalPagado, P124,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124" s="30">
        <f t="shared" si="13"/>
        <v>288</v>
      </c>
      <c r="S124" s="29" t="str">
        <f>IF(P124=0, "Sin Pago", 
  IFERROR(
    MAXIFS(Aux_Datos!$A:$A, Aux_Datos!$B:$B, I124&amp;""), 
    IFERROR(MAXIFS(Aux_Datos!$A:$A, Aux_Datos!$B:$B, VALUE(I124)), "Revisar ID")
  )
)</f>
        <v>Sin Pago</v>
      </c>
      <c r="T124" s="35" t="str">
        <f t="shared" si="9"/>
        <v>PENDIENTE</v>
      </c>
      <c r="U124" s="35" t="str">
        <f t="shared" si="10"/>
        <v>CRÍTICO: VENCIDA</v>
      </c>
      <c r="V124" s="32">
        <f t="shared" si="11"/>
        <v>0</v>
      </c>
      <c r="W124" s="36" t="str">
        <f>IF(P124=0, "Sin Pago", 
  LET(
    monedaPago, Q124, 
    descuentoAplicado, G124,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124" s="36" t="str">
        <f t="shared" si="12"/>
        <v/>
      </c>
      <c r="Y124" s="36">
        <v>0.0</v>
      </c>
      <c r="Z124" s="33" t="s">
        <v>641</v>
      </c>
      <c r="AA124" s="33"/>
      <c r="AB124" s="33"/>
      <c r="AC124" s="33"/>
      <c r="AD124" s="33"/>
      <c r="AE124" s="33"/>
      <c r="AF124" s="33"/>
    </row>
    <row r="125" ht="22.5" customHeight="1">
      <c r="A125" s="23" t="s">
        <v>717</v>
      </c>
      <c r="B125" s="24">
        <v>46107.39394675926</v>
      </c>
      <c r="C125" s="23" t="s">
        <v>718</v>
      </c>
      <c r="D125" s="23" t="s">
        <v>556</v>
      </c>
      <c r="E125" s="25">
        <v>35.99</v>
      </c>
      <c r="F125" s="23" t="s">
        <v>593</v>
      </c>
      <c r="G125" s="26">
        <f>IF($E125=0,0,IF(SUMIF(Aux_Datos!$B:$B,$I125,Aux_Datos!$K:$K)/$E125&gt;=VLOOKUP(IF(COUNTIFS(Aux_Datos!$B:$B,$I125,Aux_Datos!$D:$D,"&lt;&gt;USD")=0,"USD","VES"),'Limites de Descuento'!$A$2:$D$4,4,FALSE),MAX(0,1-SUMIF(Aux_Datos!$B:$B,$I125,Aux_Datos!$K:$K)/$E125),0))</f>
        <v>0.02750764101</v>
      </c>
      <c r="H125" s="27"/>
      <c r="I125" s="28">
        <f t="shared" si="1"/>
        <v>152</v>
      </c>
      <c r="J125" s="29">
        <f t="shared" si="2"/>
        <v>46107</v>
      </c>
      <c r="K125" s="30">
        <f t="shared" si="3"/>
        <v>0</v>
      </c>
      <c r="L125" s="29">
        <f t="shared" si="4"/>
        <v>46108</v>
      </c>
      <c r="M125" s="30">
        <f t="shared" si="5"/>
        <v>35</v>
      </c>
      <c r="N125" s="32">
        <f t="shared" si="6"/>
        <v>0</v>
      </c>
      <c r="O125" s="33" t="str">
        <f t="shared" si="7"/>
        <v>PAGADA</v>
      </c>
      <c r="P125" s="34">
        <f>LET(
  idVenta, I125&amp;"",
  montoTotal, M125,
  pagos, IFERROR(SUMIF(Aux_Datos!$B:$B, idVenta, Aux_Datos!$K:$K), 0),
  retenciones, IFERROR(SUMIF(Aux_Datos!$N:$N, idVenta, Aux_Datos!$R:$R), 0),
  pagos + retenciones
)</f>
        <v>35</v>
      </c>
      <c r="Q125" s="30" t="str">
        <f>IF(P125=0, "Sin Pago", 
  LET(
    idVenta, I125&amp;"",
    montoTotalPagado, P125,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25" s="30">
        <f t="shared" si="13"/>
        <v>0</v>
      </c>
      <c r="S125" s="29">
        <f>IF(P125=0, "Sin Pago", 
  IFERROR(
    MAXIFS(Aux_Datos!$A:$A, Aux_Datos!$B:$B, I125&amp;""), 
    IFERROR(MAXIFS(Aux_Datos!$A:$A, Aux_Datos!$B:$B, VALUE(I125)), "Revisar ID")
  )
)</f>
        <v>46112</v>
      </c>
      <c r="T125" s="35" t="str">
        <f t="shared" si="9"/>
        <v>PAGADA</v>
      </c>
      <c r="U125" s="35" t="str">
        <f t="shared" si="10"/>
        <v>SOLVENTE</v>
      </c>
      <c r="V125" s="32">
        <f t="shared" si="11"/>
        <v>0</v>
      </c>
      <c r="W125" s="36" t="str">
        <f>IF(P125=0, "Sin Pago", 
  LET(
    monedaPago, Q125, 
    descuentoAplicado, G125,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25" s="36" t="str">
        <f t="shared" si="12"/>
        <v/>
      </c>
      <c r="Y125" s="36">
        <v>35.0</v>
      </c>
      <c r="Z125" s="33" t="s">
        <v>596</v>
      </c>
      <c r="AA125" s="33"/>
      <c r="AB125" s="33"/>
      <c r="AC125" s="33"/>
      <c r="AD125" s="33"/>
      <c r="AE125" s="33"/>
      <c r="AF125" s="33"/>
    </row>
    <row r="126" ht="22.5" customHeight="1">
      <c r="A126" s="23" t="s">
        <v>719</v>
      </c>
      <c r="B126" s="24">
        <v>46107.39372685185</v>
      </c>
      <c r="C126" s="23" t="s">
        <v>720</v>
      </c>
      <c r="D126" s="23" t="s">
        <v>556</v>
      </c>
      <c r="E126" s="25">
        <v>152.99</v>
      </c>
      <c r="F126" s="23" t="s">
        <v>593</v>
      </c>
      <c r="G126" s="26">
        <f>IF($E126=0,0,IF(SUMIF(Aux_Datos!$B:$B,$I126,Aux_Datos!$K:$K)/$E126&gt;=VLOOKUP(IF(COUNTIFS(Aux_Datos!$B:$B,$I126,Aux_Datos!$D:$D,"&lt;&gt;USD")=0,"USD","VES"),'Limites de Descuento'!$A$2:$D$4,4,FALSE),MAX(0,1-SUMIF(Aux_Datos!$B:$B,$I126,Aux_Datos!$K:$K)/$E126),0))</f>
        <v>0</v>
      </c>
      <c r="H126" s="27"/>
      <c r="I126" s="28">
        <f t="shared" si="1"/>
        <v>153</v>
      </c>
      <c r="J126" s="29">
        <f t="shared" si="2"/>
        <v>46107</v>
      </c>
      <c r="K126" s="30">
        <f t="shared" si="3"/>
        <v>0</v>
      </c>
      <c r="L126" s="29">
        <f t="shared" si="4"/>
        <v>46108</v>
      </c>
      <c r="M126" s="30">
        <f t="shared" si="5"/>
        <v>152.99</v>
      </c>
      <c r="N126" s="32">
        <f t="shared" si="6"/>
        <v>0</v>
      </c>
      <c r="O126" s="33" t="str">
        <f t="shared" si="7"/>
        <v>PAGADA</v>
      </c>
      <c r="P126" s="34">
        <f>LET(
  idVenta, I126&amp;"",
  montoTotal, M126,
  pagos, IFERROR(SUMIF(Aux_Datos!$B:$B, idVenta, Aux_Datos!$K:$K), 0),
  retenciones, IFERROR(SUMIF(Aux_Datos!$N:$N, idVenta, Aux_Datos!$R:$R), 0),
  pagos + retenciones
)</f>
        <v>154</v>
      </c>
      <c r="Q126" s="30" t="str">
        <f>IF(P126=0, "Sin Pago", 
  LET(
    idVenta, I126&amp;"",
    montoTotalPagado, P126,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26" s="30">
        <f t="shared" si="13"/>
        <v>-1.01</v>
      </c>
      <c r="S126" s="29">
        <f>IF(P126=0, "Sin Pago", 
  IFERROR(
    MAXIFS(Aux_Datos!$A:$A, Aux_Datos!$B:$B, I126&amp;""), 
    IFERROR(MAXIFS(Aux_Datos!$A:$A, Aux_Datos!$B:$B, VALUE(I126)), "Revisar ID")
  )
)</f>
        <v>46141</v>
      </c>
      <c r="T126" s="35" t="str">
        <f t="shared" si="9"/>
        <v>PAGADA</v>
      </c>
      <c r="U126" s="35" t="str">
        <f t="shared" si="10"/>
        <v>SOLVENTE</v>
      </c>
      <c r="V126" s="32">
        <f t="shared" si="11"/>
        <v>0</v>
      </c>
      <c r="W126" s="36" t="str">
        <f>IF(P126=0, "Sin Pago", 
  LET(
    monedaPago, Q126, 
    descuentoAplicado, G126,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26" s="36" t="str">
        <f t="shared" si="12"/>
        <v/>
      </c>
      <c r="Y126" s="36">
        <v>154.0</v>
      </c>
      <c r="Z126" s="33" t="s">
        <v>596</v>
      </c>
      <c r="AA126" s="33"/>
      <c r="AB126" s="33"/>
      <c r="AC126" s="33"/>
      <c r="AD126" s="33"/>
      <c r="AE126" s="33"/>
      <c r="AF126" s="33"/>
    </row>
    <row r="127" ht="22.5" customHeight="1">
      <c r="A127" s="23" t="s">
        <v>103</v>
      </c>
      <c r="B127" s="24">
        <v>46107.40056712963</v>
      </c>
      <c r="C127" s="23" t="s">
        <v>102</v>
      </c>
      <c r="D127" s="23" t="s">
        <v>552</v>
      </c>
      <c r="E127" s="25">
        <v>1183.21</v>
      </c>
      <c r="F127" s="23" t="s">
        <v>593</v>
      </c>
      <c r="G127" s="26">
        <f>IF($E127=0,0,IF(SUMIF(Aux_Datos!$B:$B,$I127,Aux_Datos!$K:$K)/$E127&gt;=VLOOKUP(IF(COUNTIFS(Aux_Datos!$B:$B,$I127,Aux_Datos!$D:$D,"&lt;&gt;USD")=0,"USD","VES"),'Limites de Descuento'!$A$2:$D$4,4,FALSE),MAX(0,1-SUMIF(Aux_Datos!$B:$B,$I127,Aux_Datos!$K:$K)/$E127),0))</f>
        <v>0</v>
      </c>
      <c r="H127" s="27"/>
      <c r="I127" s="28">
        <f t="shared" si="1"/>
        <v>154</v>
      </c>
      <c r="J127" s="29">
        <f t="shared" si="2"/>
        <v>46107</v>
      </c>
      <c r="K127" s="30">
        <f t="shared" si="3"/>
        <v>0</v>
      </c>
      <c r="L127" s="29">
        <f t="shared" si="4"/>
        <v>46108</v>
      </c>
      <c r="M127" s="30">
        <f t="shared" si="5"/>
        <v>1183.21</v>
      </c>
      <c r="N127" s="32">
        <f t="shared" si="6"/>
        <v>92</v>
      </c>
      <c r="O127" s="33" t="str">
        <f t="shared" si="7"/>
        <v>VENCIDA</v>
      </c>
      <c r="P127" s="34">
        <f>LET(
  idVenta, I127&amp;"",
  montoTotal, M127,
  pagos, IFERROR(SUMIF(Aux_Datos!$B:$B, idVenta, Aux_Datos!$K:$K), 0),
  retenciones, IFERROR(SUMIF(Aux_Datos!$N:$N, idVenta, Aux_Datos!$R:$R), 0),
  pagos + retenciones
)</f>
        <v>0</v>
      </c>
      <c r="Q127" s="30" t="str">
        <f>IF(P127=0, "Sin Pago", 
  LET(
    idVenta, I127&amp;"",
    montoTotalPagado, P127,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127" s="30">
        <f t="shared" si="13"/>
        <v>1183.21</v>
      </c>
      <c r="S127" s="29" t="str">
        <f>IF(P127=0, "Sin Pago", 
  IFERROR(
    MAXIFS(Aux_Datos!$A:$A, Aux_Datos!$B:$B, I127&amp;""), 
    IFERROR(MAXIFS(Aux_Datos!$A:$A, Aux_Datos!$B:$B, VALUE(I127)), "Revisar ID")
  )
)</f>
        <v>Sin Pago</v>
      </c>
      <c r="T127" s="35" t="str">
        <f t="shared" si="9"/>
        <v>PENDIENTE</v>
      </c>
      <c r="U127" s="35" t="str">
        <f t="shared" si="10"/>
        <v>CRÍTICO: VENCIDA</v>
      </c>
      <c r="V127" s="32">
        <f t="shared" si="11"/>
        <v>0</v>
      </c>
      <c r="W127" s="36" t="str">
        <f>IF(P127=0, "Sin Pago", 
  LET(
    monedaPago, Q127, 
    descuentoAplicado, G127,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127" s="36" t="str">
        <f t="shared" si="12"/>
        <v/>
      </c>
      <c r="Y127" s="36">
        <v>0.0</v>
      </c>
      <c r="Z127" s="33" t="s">
        <v>641</v>
      </c>
      <c r="AA127" s="33"/>
      <c r="AB127" s="33"/>
      <c r="AC127" s="33"/>
      <c r="AD127" s="33"/>
      <c r="AE127" s="33"/>
      <c r="AF127" s="33"/>
    </row>
    <row r="128" ht="22.5" customHeight="1">
      <c r="A128" s="23" t="s">
        <v>721</v>
      </c>
      <c r="B128" s="24">
        <v>46107.658101851855</v>
      </c>
      <c r="C128" s="23" t="s">
        <v>722</v>
      </c>
      <c r="D128" s="23" t="s">
        <v>552</v>
      </c>
      <c r="E128" s="25">
        <v>55.58</v>
      </c>
      <c r="F128" s="23" t="s">
        <v>593</v>
      </c>
      <c r="G128" s="26">
        <f>IF($E128=0,0,IF(SUMIF(Aux_Datos!$B:$B,$I128,Aux_Datos!$K:$K)/$E128&gt;=VLOOKUP(IF(COUNTIFS(Aux_Datos!$B:$B,$I128,Aux_Datos!$D:$D,"&lt;&gt;USD")=0,"USD","VES"),'Limites de Descuento'!$A$2:$D$4,4,FALSE),MAX(0,1-SUMIF(Aux_Datos!$B:$B,$I128,Aux_Datos!$K:$K)/$E128),0))</f>
        <v>0.2983087442</v>
      </c>
      <c r="H128" s="26"/>
      <c r="I128" s="28">
        <f t="shared" si="1"/>
        <v>156</v>
      </c>
      <c r="J128" s="29">
        <f t="shared" si="2"/>
        <v>46107</v>
      </c>
      <c r="K128" s="30">
        <f t="shared" si="3"/>
        <v>0</v>
      </c>
      <c r="L128" s="29">
        <f t="shared" si="4"/>
        <v>46108</v>
      </c>
      <c r="M128" s="30">
        <f t="shared" si="5"/>
        <v>39</v>
      </c>
      <c r="N128" s="32">
        <f t="shared" si="6"/>
        <v>0</v>
      </c>
      <c r="O128" s="33" t="str">
        <f t="shared" si="7"/>
        <v>PAGADA</v>
      </c>
      <c r="P128" s="34">
        <f>LET(
  idVenta, I128&amp;"",
  montoTotal, M128,
  pagos, IFERROR(SUMIF(Aux_Datos!$B:$B, idVenta, Aux_Datos!$K:$K), 0),
  retenciones, IFERROR(SUMIF(Aux_Datos!$N:$N, idVenta, Aux_Datos!$R:$R), 0),
  pagos + retenciones
)</f>
        <v>39</v>
      </c>
      <c r="Q128" s="30" t="str">
        <f>IF(P128=0, "Sin Pago", 
  LET(
    idVenta, I128&amp;"",
    montoTotalPagado, P128,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28" s="30">
        <f t="shared" si="13"/>
        <v>0</v>
      </c>
      <c r="S128" s="29">
        <f>IF(P128=0, "Sin Pago", 
  IFERROR(
    MAXIFS(Aux_Datos!$A:$A, Aux_Datos!$B:$B, I128&amp;""), 
    IFERROR(MAXIFS(Aux_Datos!$A:$A, Aux_Datos!$B:$B, VALUE(I128)), "Revisar ID")
  )
)</f>
        <v>46142</v>
      </c>
      <c r="T128" s="35" t="str">
        <f t="shared" si="9"/>
        <v>PAGADA</v>
      </c>
      <c r="U128" s="35" t="str">
        <f t="shared" si="10"/>
        <v>SOLVENTE</v>
      </c>
      <c r="V128" s="32">
        <f t="shared" si="11"/>
        <v>0</v>
      </c>
      <c r="W128" s="36" t="str">
        <f>IF(P128=0, "Sin Pago", 
  LET(
    monedaPago, Q128, 
    descuentoAplicado, G128,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28" s="36" t="str">
        <f t="shared" si="12"/>
        <v/>
      </c>
      <c r="Y128" s="36">
        <v>39.0</v>
      </c>
      <c r="Z128" s="33" t="s">
        <v>596</v>
      </c>
      <c r="AA128" s="33"/>
      <c r="AB128" s="33"/>
      <c r="AC128" s="33"/>
      <c r="AD128" s="33"/>
      <c r="AE128" s="33"/>
      <c r="AF128" s="33"/>
    </row>
    <row r="129" ht="22.5" customHeight="1">
      <c r="A129" s="23" t="s">
        <v>723</v>
      </c>
      <c r="B129" s="24">
        <v>46107.65130787037</v>
      </c>
      <c r="C129" s="23" t="s">
        <v>724</v>
      </c>
      <c r="D129" s="23" t="s">
        <v>538</v>
      </c>
      <c r="E129" s="25">
        <v>123.99</v>
      </c>
      <c r="F129" s="23" t="s">
        <v>619</v>
      </c>
      <c r="G129" s="26">
        <f>IF($E129=0,0,IF(SUMIF(Aux_Datos!$B:$B,$I129,Aux_Datos!$K:$K)/$E129&gt;=VLOOKUP(IF(COUNTIFS(Aux_Datos!$B:$B,$I129,Aux_Datos!$D:$D,"&lt;&gt;USD")=0,"USD","VES"),'Limites de Descuento'!$A$2:$D$4,4,FALSE),MAX(0,1-SUMIF(Aux_Datos!$B:$B,$I129,Aux_Datos!$K:$K)/$E129),0))</f>
        <v>0</v>
      </c>
      <c r="H129" s="27"/>
      <c r="I129" s="28">
        <f t="shared" si="1"/>
        <v>157</v>
      </c>
      <c r="J129" s="29">
        <f t="shared" si="2"/>
        <v>46107</v>
      </c>
      <c r="K129" s="30">
        <f t="shared" si="3"/>
        <v>15</v>
      </c>
      <c r="L129" s="29">
        <f t="shared" si="4"/>
        <v>46123</v>
      </c>
      <c r="M129" s="30">
        <f t="shared" si="5"/>
        <v>123.99</v>
      </c>
      <c r="N129" s="32">
        <f t="shared" si="6"/>
        <v>0</v>
      </c>
      <c r="O129" s="33" t="str">
        <f t="shared" si="7"/>
        <v>PAGADA</v>
      </c>
      <c r="P129" s="34">
        <f>LET(
  idVenta, I129&amp;"",
  montoTotal, M129,
  pagos, IFERROR(SUMIF(Aux_Datos!$B:$B, idVenta, Aux_Datos!$K:$K), 0),
  retenciones, IFERROR(SUMIF(Aux_Datos!$N:$N, idVenta, Aux_Datos!$R:$R), 0),
  pagos + retenciones
)</f>
        <v>124</v>
      </c>
      <c r="Q129" s="30" t="str">
        <f>IF(P129=0, "Sin Pago", 
  LET(
    idVenta, I129&amp;"",
    montoTotalPagado, P129,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29" s="30">
        <f t="shared" si="13"/>
        <v>-0.01</v>
      </c>
      <c r="S129" s="29">
        <f>IF(P129=0, "Sin Pago", 
  IFERROR(
    MAXIFS(Aux_Datos!$A:$A, Aux_Datos!$B:$B, I129&amp;""), 
    IFERROR(MAXIFS(Aux_Datos!$A:$A, Aux_Datos!$B:$B, VALUE(I129)), "Revisar ID")
  )
)</f>
        <v>46107</v>
      </c>
      <c r="T129" s="35" t="str">
        <f t="shared" si="9"/>
        <v>PAGADA</v>
      </c>
      <c r="U129" s="35" t="str">
        <f t="shared" si="10"/>
        <v>SOLVENTE</v>
      </c>
      <c r="V129" s="32">
        <f t="shared" si="11"/>
        <v>0</v>
      </c>
      <c r="W129" s="36" t="str">
        <f>IF(P129=0, "Sin Pago", 
  LET(
    monedaPago, Q129, 
    descuentoAplicado, G129,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29" s="36" t="str">
        <f t="shared" si="12"/>
        <v/>
      </c>
      <c r="Y129" s="36">
        <v>124.0</v>
      </c>
      <c r="Z129" s="33" t="s">
        <v>596</v>
      </c>
      <c r="AA129" s="33"/>
      <c r="AB129" s="33"/>
      <c r="AC129" s="33"/>
      <c r="AD129" s="33"/>
      <c r="AE129" s="33"/>
      <c r="AF129" s="33"/>
    </row>
    <row r="130" ht="22.5" customHeight="1">
      <c r="A130" s="23" t="s">
        <v>57</v>
      </c>
      <c r="B130" s="24">
        <v>46107.68478009259</v>
      </c>
      <c r="C130" s="23" t="s">
        <v>56</v>
      </c>
      <c r="D130" s="23" t="s">
        <v>529</v>
      </c>
      <c r="E130" s="25">
        <v>1092.0</v>
      </c>
      <c r="F130" s="23" t="s">
        <v>619</v>
      </c>
      <c r="G130" s="26">
        <f>IF($E130=0,0,IF(SUMIF(Aux_Datos!$B:$B,$I130,Aux_Datos!$K:$K)/$E130&gt;=VLOOKUP(IF(COUNTIFS(Aux_Datos!$B:$B,$I130,Aux_Datos!$D:$D,"&lt;&gt;USD")=0,"USD","VES"),'Limites de Descuento'!$A$2:$D$4,4,FALSE),MAX(0,1-SUMIF(Aux_Datos!$B:$B,$I130,Aux_Datos!$K:$K)/$E130),0))</f>
        <v>0</v>
      </c>
      <c r="H130" s="27"/>
      <c r="I130" s="28">
        <f t="shared" si="1"/>
        <v>158</v>
      </c>
      <c r="J130" s="29">
        <f t="shared" si="2"/>
        <v>46107</v>
      </c>
      <c r="K130" s="30">
        <f t="shared" si="3"/>
        <v>15</v>
      </c>
      <c r="L130" s="29">
        <f t="shared" si="4"/>
        <v>46123</v>
      </c>
      <c r="M130" s="30">
        <f t="shared" si="5"/>
        <v>1092</v>
      </c>
      <c r="N130" s="32">
        <f t="shared" si="6"/>
        <v>77</v>
      </c>
      <c r="O130" s="33" t="str">
        <f t="shared" si="7"/>
        <v>VENCIDA</v>
      </c>
      <c r="P130" s="34">
        <f>LET(
  idVenta, I130&amp;"",
  montoTotal, M130,
  pagos, IFERROR(SUMIF(Aux_Datos!$B:$B, idVenta, Aux_Datos!$K:$K), 0),
  retenciones, IFERROR(SUMIF(Aux_Datos!$N:$N, idVenta, Aux_Datos!$R:$R), 0),
  pagos + retenciones
)</f>
        <v>680</v>
      </c>
      <c r="Q130" s="30" t="str">
        <f>IF(P130=0, "Sin Pago", 
  LET(
    idVenta, I130&amp;"",
    montoTotalPagado, P130,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30" s="30">
        <f t="shared" si="13"/>
        <v>412</v>
      </c>
      <c r="S130" s="29">
        <f>IF(P130=0, "Sin Pago", 
  IFERROR(
    MAXIFS(Aux_Datos!$A:$A, Aux_Datos!$B:$B, I130&amp;""), 
    IFERROR(MAXIFS(Aux_Datos!$A:$A, Aux_Datos!$B:$B, VALUE(I130)), "Revisar ID")
  )
)</f>
        <v>46163</v>
      </c>
      <c r="T130" s="35" t="str">
        <f t="shared" si="9"/>
        <v>PAGO PARCIAL</v>
      </c>
      <c r="U130" s="35" t="str">
        <f t="shared" si="10"/>
        <v>CRÍTICO: VENCIDA</v>
      </c>
      <c r="V130" s="32">
        <f t="shared" si="11"/>
        <v>37</v>
      </c>
      <c r="W130" s="36" t="str">
        <f>IF(P130=0, "Sin Pago", 
  LET(
    monedaPago, Q130, 
    descuentoAplicado, G130,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30" s="36" t="str">
        <f t="shared" si="12"/>
        <v/>
      </c>
      <c r="Y130" s="36">
        <v>680.0</v>
      </c>
      <c r="Z130" s="33" t="s">
        <v>609</v>
      </c>
      <c r="AA130" s="33"/>
      <c r="AB130" s="33"/>
      <c r="AC130" s="33"/>
      <c r="AD130" s="33"/>
      <c r="AE130" s="33"/>
      <c r="AF130" s="33"/>
    </row>
    <row r="131" ht="22.5" customHeight="1">
      <c r="A131" s="23" t="s">
        <v>725</v>
      </c>
      <c r="B131" s="24">
        <v>46107.70880787037</v>
      </c>
      <c r="C131" s="23" t="s">
        <v>59</v>
      </c>
      <c r="D131" s="23" t="s">
        <v>538</v>
      </c>
      <c r="E131" s="25">
        <v>2119.46</v>
      </c>
      <c r="F131" s="23" t="s">
        <v>640</v>
      </c>
      <c r="G131" s="26">
        <f>IF($E131=0,0,IF(SUMIF(Aux_Datos!$B:$B,$I131,Aux_Datos!$K:$K)/$E131&gt;=VLOOKUP(IF(COUNTIFS(Aux_Datos!$B:$B,$I131,Aux_Datos!$D:$D,"&lt;&gt;USD")=0,"USD","VES"),'Limites de Descuento'!$A$2:$D$4,4,FALSE),MAX(0,1-SUMIF(Aux_Datos!$B:$B,$I131,Aux_Datos!$K:$K)/$E131),0))</f>
        <v>0.3238843856</v>
      </c>
      <c r="H131" s="27"/>
      <c r="I131" s="28">
        <f t="shared" si="1"/>
        <v>159</v>
      </c>
      <c r="J131" s="29">
        <f t="shared" si="2"/>
        <v>46107</v>
      </c>
      <c r="K131" s="30">
        <f t="shared" si="3"/>
        <v>45</v>
      </c>
      <c r="L131" s="29">
        <f t="shared" si="4"/>
        <v>46153</v>
      </c>
      <c r="M131" s="30">
        <f t="shared" si="5"/>
        <v>1433</v>
      </c>
      <c r="N131" s="32">
        <f t="shared" si="6"/>
        <v>0</v>
      </c>
      <c r="O131" s="33" t="str">
        <f t="shared" si="7"/>
        <v>PAGADA</v>
      </c>
      <c r="P131" s="34">
        <f>LET(
  idVenta, I131&amp;"",
  montoTotal, M131,
  pagos, IFERROR(SUMIF(Aux_Datos!$B:$B, idVenta, Aux_Datos!$K:$K), 0),
  retenciones, IFERROR(SUMIF(Aux_Datos!$N:$N, idVenta, Aux_Datos!$R:$R), 0),
  pagos + retenciones
)</f>
        <v>1433</v>
      </c>
      <c r="Q131" s="30" t="str">
        <f>IF(P131=0, "Sin Pago", 
  LET(
    idVenta, I131&amp;"",
    montoTotalPagado, P131,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31" s="30">
        <f t="shared" si="13"/>
        <v>0</v>
      </c>
      <c r="S131" s="29">
        <f>IF(P131=0, "Sin Pago", 
  IFERROR(
    MAXIFS(Aux_Datos!$A:$A, Aux_Datos!$B:$B, I131&amp;""), 
    IFERROR(MAXIFS(Aux_Datos!$A:$A, Aux_Datos!$B:$B, VALUE(I131)), "Revisar ID")
  )
)</f>
        <v>46178</v>
      </c>
      <c r="T131" s="35" t="str">
        <f t="shared" si="9"/>
        <v>PAGADA</v>
      </c>
      <c r="U131" s="35" t="str">
        <f t="shared" si="10"/>
        <v>SOLVENTE</v>
      </c>
      <c r="V131" s="32">
        <f t="shared" si="11"/>
        <v>0</v>
      </c>
      <c r="W131" s="36" t="str">
        <f>IF(P131=0, "Sin Pago", 
  LET(
    monedaPago, Q131, 
    descuentoAplicado, G131,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31" s="36" t="str">
        <f t="shared" si="12"/>
        <v/>
      </c>
      <c r="Y131" s="36">
        <v>1433.0</v>
      </c>
      <c r="Z131" s="33" t="s">
        <v>596</v>
      </c>
      <c r="AA131" s="33"/>
      <c r="AB131" s="33"/>
      <c r="AC131" s="33"/>
      <c r="AD131" s="33"/>
      <c r="AE131" s="33"/>
      <c r="AF131" s="33"/>
    </row>
    <row r="132" ht="22.5" customHeight="1">
      <c r="A132" s="23" t="s">
        <v>182</v>
      </c>
      <c r="B132" s="24">
        <v>46107.730092592596</v>
      </c>
      <c r="C132" s="23" t="s">
        <v>181</v>
      </c>
      <c r="D132" s="23" t="s">
        <v>323</v>
      </c>
      <c r="E132" s="25">
        <v>1881.84</v>
      </c>
      <c r="F132" s="23" t="s">
        <v>603</v>
      </c>
      <c r="G132" s="26">
        <f>IF($E132=0,0,IF(SUMIF(Aux_Datos!$B:$B,$I132,Aux_Datos!$K:$K)/$E132&gt;=VLOOKUP(IF(COUNTIFS(Aux_Datos!$B:$B,$I132,Aux_Datos!$D:$D,"&lt;&gt;USD")=0,"USD","VES"),'Limites de Descuento'!$A$2:$D$4,4,FALSE),MAX(0,1-SUMIF(Aux_Datos!$B:$B,$I132,Aux_Datos!$K:$K)/$E132),0))</f>
        <v>0</v>
      </c>
      <c r="H132" s="27"/>
      <c r="I132" s="28">
        <f t="shared" si="1"/>
        <v>160</v>
      </c>
      <c r="J132" s="29">
        <f t="shared" si="2"/>
        <v>46107</v>
      </c>
      <c r="K132" s="30">
        <f t="shared" si="3"/>
        <v>21</v>
      </c>
      <c r="L132" s="29">
        <f t="shared" si="4"/>
        <v>46129</v>
      </c>
      <c r="M132" s="30">
        <f t="shared" si="5"/>
        <v>1881.84</v>
      </c>
      <c r="N132" s="32">
        <f t="shared" si="6"/>
        <v>71</v>
      </c>
      <c r="O132" s="33" t="str">
        <f t="shared" si="7"/>
        <v>VENCIDA</v>
      </c>
      <c r="P132" s="34">
        <f>LET(
  idVenta, I132&amp;"",
  montoTotal, M132,
  pagos, IFERROR(SUMIF(Aux_Datos!$B:$B, idVenta, Aux_Datos!$K:$K), 0),
  retenciones, IFERROR(SUMIF(Aux_Datos!$N:$N, idVenta, Aux_Datos!$R:$R), 0),
  pagos + retenciones
)</f>
        <v>0</v>
      </c>
      <c r="Q132" s="30" t="str">
        <f>IF(P132=0, "Sin Pago", 
  LET(
    idVenta, I132&amp;"",
    montoTotalPagado, P132,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132" s="30">
        <f t="shared" si="13"/>
        <v>1881.84</v>
      </c>
      <c r="S132" s="29" t="str">
        <f>IF(P132=0, "Sin Pago", 
  IFERROR(
    MAXIFS(Aux_Datos!$A:$A, Aux_Datos!$B:$B, I132&amp;""), 
    IFERROR(MAXIFS(Aux_Datos!$A:$A, Aux_Datos!$B:$B, VALUE(I132)), "Revisar ID")
  )
)</f>
        <v>Sin Pago</v>
      </c>
      <c r="T132" s="35" t="str">
        <f t="shared" si="9"/>
        <v>PENDIENTE</v>
      </c>
      <c r="U132" s="35" t="str">
        <f t="shared" si="10"/>
        <v>CRÍTICO: VENCIDA</v>
      </c>
      <c r="V132" s="32">
        <f t="shared" si="11"/>
        <v>0</v>
      </c>
      <c r="W132" s="36" t="str">
        <f>IF(P132=0, "Sin Pago", 
  LET(
    monedaPago, Q132, 
    descuentoAplicado, G132,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132" s="36" t="str">
        <f t="shared" si="12"/>
        <v/>
      </c>
      <c r="Y132" s="36">
        <v>0.0</v>
      </c>
      <c r="Z132" s="33" t="s">
        <v>641</v>
      </c>
      <c r="AA132" s="33"/>
      <c r="AB132" s="33"/>
      <c r="AC132" s="33"/>
      <c r="AD132" s="33"/>
      <c r="AE132" s="33"/>
      <c r="AF132" s="33"/>
    </row>
    <row r="133" ht="22.5" customHeight="1">
      <c r="A133" s="23" t="s">
        <v>26</v>
      </c>
      <c r="B133" s="24">
        <v>46107.73677083333</v>
      </c>
      <c r="C133" s="23" t="s">
        <v>24</v>
      </c>
      <c r="D133" s="23" t="s">
        <v>323</v>
      </c>
      <c r="E133" s="25">
        <v>712.48</v>
      </c>
      <c r="F133" s="23" t="s">
        <v>680</v>
      </c>
      <c r="G133" s="26">
        <f>IF($E133=0,0,IF(SUMIF(Aux_Datos!$B:$B,$I133,Aux_Datos!$K:$K)/$E133&gt;=VLOOKUP(IF(COUNTIFS(Aux_Datos!$B:$B,$I133,Aux_Datos!$D:$D,"&lt;&gt;USD")=0,"USD","VES"),'Limites de Descuento'!$A$2:$D$4,4,FALSE),MAX(0,1-SUMIF(Aux_Datos!$B:$B,$I133,Aux_Datos!$K:$K)/$E133),0))</f>
        <v>0</v>
      </c>
      <c r="H133" s="27"/>
      <c r="I133" s="28">
        <f t="shared" si="1"/>
        <v>161</v>
      </c>
      <c r="J133" s="29">
        <f t="shared" si="2"/>
        <v>46107</v>
      </c>
      <c r="K133" s="30">
        <f t="shared" si="3"/>
        <v>30</v>
      </c>
      <c r="L133" s="29">
        <f t="shared" si="4"/>
        <v>46138</v>
      </c>
      <c r="M133" s="30">
        <f t="shared" si="5"/>
        <v>712.48</v>
      </c>
      <c r="N133" s="32">
        <f t="shared" si="6"/>
        <v>62</v>
      </c>
      <c r="O133" s="33" t="str">
        <f t="shared" si="7"/>
        <v>VENCIDA</v>
      </c>
      <c r="P133" s="34">
        <f>LET(
  idVenta, I133&amp;"",
  montoTotal, M133,
  pagos, IFERROR(SUMIF(Aux_Datos!$B:$B, idVenta, Aux_Datos!$K:$K), 0),
  retenciones, IFERROR(SUMIF(Aux_Datos!$N:$N, idVenta, Aux_Datos!$R:$R), 0),
  pagos + retenciones
)</f>
        <v>0</v>
      </c>
      <c r="Q133" s="30" t="str">
        <f>IF(P133=0, "Sin Pago", 
  LET(
    idVenta, I133&amp;"",
    montoTotalPagado, P133,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133" s="30">
        <f t="shared" si="13"/>
        <v>712.48</v>
      </c>
      <c r="S133" s="29" t="str">
        <f>IF(P133=0, "Sin Pago", 
  IFERROR(
    MAXIFS(Aux_Datos!$A:$A, Aux_Datos!$B:$B, I133&amp;""), 
    IFERROR(MAXIFS(Aux_Datos!$A:$A, Aux_Datos!$B:$B, VALUE(I133)), "Revisar ID")
  )
)</f>
        <v>Sin Pago</v>
      </c>
      <c r="T133" s="35" t="str">
        <f t="shared" si="9"/>
        <v>PENDIENTE</v>
      </c>
      <c r="U133" s="35" t="str">
        <f t="shared" si="10"/>
        <v>CRÍTICO: VENCIDA</v>
      </c>
      <c r="V133" s="32">
        <f t="shared" si="11"/>
        <v>0</v>
      </c>
      <c r="W133" s="36" t="str">
        <f>IF(P133=0, "Sin Pago", 
  LET(
    monedaPago, Q133, 
    descuentoAplicado, G133,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133" s="36" t="str">
        <f t="shared" si="12"/>
        <v/>
      </c>
      <c r="Y133" s="36">
        <v>0.0</v>
      </c>
      <c r="Z133" s="33" t="s">
        <v>641</v>
      </c>
      <c r="AA133" s="33"/>
      <c r="AB133" s="33"/>
      <c r="AC133" s="33"/>
      <c r="AD133" s="33"/>
      <c r="AE133" s="33"/>
      <c r="AF133" s="33"/>
    </row>
    <row r="134" ht="22.5" customHeight="1">
      <c r="A134" s="23" t="s">
        <v>726</v>
      </c>
      <c r="B134" s="24">
        <v>46108.383263888885</v>
      </c>
      <c r="C134" s="23" t="s">
        <v>727</v>
      </c>
      <c r="D134" s="23" t="s">
        <v>552</v>
      </c>
      <c r="E134" s="25">
        <v>345.1</v>
      </c>
      <c r="F134" s="23" t="s">
        <v>593</v>
      </c>
      <c r="G134" s="26">
        <f>IF($E134=0,0,IF(SUMIF(Aux_Datos!$B:$B,$I134,Aux_Datos!$K:$K)/$E134&gt;=VLOOKUP(IF(COUNTIFS(Aux_Datos!$B:$B,$I134,Aux_Datos!$D:$D,"&lt;&gt;USD")=0,"USD","VES"),'Limites de Descuento'!$A$2:$D$4,4,FALSE),MAX(0,1-SUMIF(Aux_Datos!$B:$B,$I134,Aux_Datos!$K:$K)/$E134),0))</f>
        <v>0.3451173573</v>
      </c>
      <c r="H134" s="27"/>
      <c r="I134" s="28">
        <f t="shared" si="1"/>
        <v>163</v>
      </c>
      <c r="J134" s="29">
        <f t="shared" si="2"/>
        <v>46108</v>
      </c>
      <c r="K134" s="30">
        <f t="shared" si="3"/>
        <v>0</v>
      </c>
      <c r="L134" s="29">
        <f t="shared" si="4"/>
        <v>46109</v>
      </c>
      <c r="M134" s="30">
        <f t="shared" si="5"/>
        <v>226</v>
      </c>
      <c r="N134" s="32">
        <f t="shared" si="6"/>
        <v>0</v>
      </c>
      <c r="O134" s="33" t="str">
        <f t="shared" si="7"/>
        <v>PAGADA</v>
      </c>
      <c r="P134" s="34">
        <f>LET(
  idVenta, I134&amp;"",
  montoTotal, M134,
  pagos, IFERROR(SUMIF(Aux_Datos!$B:$B, idVenta, Aux_Datos!$K:$K), 0),
  retenciones, IFERROR(SUMIF(Aux_Datos!$N:$N, idVenta, Aux_Datos!$R:$R), 0),
  pagos + retenciones
)</f>
        <v>226</v>
      </c>
      <c r="Q134" s="30" t="str">
        <f>IF(P134=0, "Sin Pago", 
  LET(
    idVenta, I134&amp;"",
    montoTotalPagado, P134,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34" s="30">
        <f t="shared" si="13"/>
        <v>0</v>
      </c>
      <c r="S134" s="29">
        <f>IF(P134=0, "Sin Pago", 
  IFERROR(
    MAXIFS(Aux_Datos!$A:$A, Aux_Datos!$B:$B, I134&amp;""), 
    IFERROR(MAXIFS(Aux_Datos!$A:$A, Aux_Datos!$B:$B, VALUE(I134)), "Revisar ID")
  )
)</f>
        <v>46142</v>
      </c>
      <c r="T134" s="35" t="str">
        <f t="shared" si="9"/>
        <v>PAGADA</v>
      </c>
      <c r="U134" s="35" t="str">
        <f t="shared" si="10"/>
        <v>SOLVENTE</v>
      </c>
      <c r="V134" s="32">
        <f t="shared" si="11"/>
        <v>0</v>
      </c>
      <c r="W134" s="36" t="str">
        <f>IF(P134=0, "Sin Pago", 
  LET(
    monedaPago, Q134, 
    descuentoAplicado, G134,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34" s="36" t="str">
        <f t="shared" si="12"/>
        <v/>
      </c>
      <c r="Y134" s="36">
        <v>226.0</v>
      </c>
      <c r="Z134" s="33" t="s">
        <v>596</v>
      </c>
      <c r="AA134" s="33"/>
      <c r="AB134" s="33"/>
      <c r="AC134" s="33"/>
      <c r="AD134" s="33"/>
      <c r="AE134" s="33"/>
      <c r="AF134" s="33"/>
    </row>
    <row r="135" ht="22.5" customHeight="1">
      <c r="A135" s="23" t="s">
        <v>728</v>
      </c>
      <c r="B135" s="24">
        <v>46108.56298611111</v>
      </c>
      <c r="C135" s="23" t="s">
        <v>41</v>
      </c>
      <c r="D135" s="23" t="s">
        <v>556</v>
      </c>
      <c r="E135" s="25">
        <v>354.77</v>
      </c>
      <c r="F135" s="23" t="s">
        <v>608</v>
      </c>
      <c r="G135" s="26">
        <f>IF($E135=0,0,IF(SUMIF(Aux_Datos!$B:$B,$I135,Aux_Datos!$K:$K)/$E135&gt;=VLOOKUP(IF(COUNTIFS(Aux_Datos!$B:$B,$I135,Aux_Datos!$D:$D,"&lt;&gt;USD")=0,"USD","VES"),'Limites de Descuento'!$A$2:$D$4,4,FALSE),MAX(0,1-SUMIF(Aux_Datos!$B:$B,$I135,Aux_Datos!$K:$K)/$E135),0))</f>
        <v>0.1825689884</v>
      </c>
      <c r="H135" s="27"/>
      <c r="I135" s="28">
        <f t="shared" si="1"/>
        <v>164</v>
      </c>
      <c r="J135" s="29">
        <f t="shared" si="2"/>
        <v>46108</v>
      </c>
      <c r="K135" s="30">
        <f t="shared" si="3"/>
        <v>7</v>
      </c>
      <c r="L135" s="29">
        <f t="shared" si="4"/>
        <v>46116</v>
      </c>
      <c r="M135" s="30">
        <f t="shared" si="5"/>
        <v>290</v>
      </c>
      <c r="N135" s="32">
        <f t="shared" si="6"/>
        <v>0</v>
      </c>
      <c r="O135" s="33" t="str">
        <f t="shared" si="7"/>
        <v>PAGADA</v>
      </c>
      <c r="P135" s="34">
        <f>LET(
  idVenta, I135&amp;"",
  montoTotal, M135,
  pagos, IFERROR(SUMIF(Aux_Datos!$B:$B, idVenta, Aux_Datos!$K:$K), 0),
  retenciones, IFERROR(SUMIF(Aux_Datos!$N:$N, idVenta, Aux_Datos!$R:$R), 0),
  pagos + retenciones
)</f>
        <v>290</v>
      </c>
      <c r="Q135" s="30" t="str">
        <f>IF(P135=0, "Sin Pago", 
  LET(
    idVenta, I135&amp;"",
    montoTotalPagado, P135,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35" s="30">
        <f t="shared" si="13"/>
        <v>0</v>
      </c>
      <c r="S135" s="29">
        <f>IF(P135=0, "Sin Pago", 
  IFERROR(
    MAXIFS(Aux_Datos!$A:$A, Aux_Datos!$B:$B, I135&amp;""), 
    IFERROR(MAXIFS(Aux_Datos!$A:$A, Aux_Datos!$B:$B, VALUE(I135)), "Revisar ID")
  )
)</f>
        <v>46176</v>
      </c>
      <c r="T135" s="35" t="str">
        <f t="shared" si="9"/>
        <v>PAGADA</v>
      </c>
      <c r="U135" s="35" t="str">
        <f t="shared" si="10"/>
        <v>SOLVENTE</v>
      </c>
      <c r="V135" s="32">
        <f t="shared" si="11"/>
        <v>0</v>
      </c>
      <c r="W135" s="36" t="str">
        <f>IF(P135=0, "Sin Pago", 
  LET(
    monedaPago, Q135, 
    descuentoAplicado, G135,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35" s="36" t="str">
        <f t="shared" si="12"/>
        <v/>
      </c>
      <c r="Y135" s="36">
        <v>290.0</v>
      </c>
      <c r="Z135" s="33" t="s">
        <v>596</v>
      </c>
      <c r="AA135" s="33"/>
      <c r="AB135" s="33"/>
      <c r="AC135" s="33"/>
      <c r="AD135" s="33"/>
      <c r="AE135" s="33"/>
      <c r="AF135" s="33"/>
    </row>
    <row r="136" ht="22.5" customHeight="1">
      <c r="A136" s="23" t="s">
        <v>111</v>
      </c>
      <c r="B136" s="24">
        <v>46108.60167824074</v>
      </c>
      <c r="C136" s="23" t="s">
        <v>110</v>
      </c>
      <c r="D136" s="23" t="s">
        <v>556</v>
      </c>
      <c r="E136" s="25">
        <v>721.47</v>
      </c>
      <c r="F136" s="23" t="s">
        <v>593</v>
      </c>
      <c r="G136" s="26">
        <f>IF($E136=0,0,IF(SUMIF(Aux_Datos!$B:$B,$I136,Aux_Datos!$K:$K)/$E136&gt;=VLOOKUP(IF(COUNTIFS(Aux_Datos!$B:$B,$I136,Aux_Datos!$D:$D,"&lt;&gt;USD")=0,"USD","VES"),'Limites de Descuento'!$A$2:$D$4,4,FALSE),MAX(0,1-SUMIF(Aux_Datos!$B:$B,$I136,Aux_Datos!$K:$K)/$E136),0))</f>
        <v>0</v>
      </c>
      <c r="H136" s="27"/>
      <c r="I136" s="28">
        <f t="shared" si="1"/>
        <v>165</v>
      </c>
      <c r="J136" s="29">
        <f t="shared" si="2"/>
        <v>46108</v>
      </c>
      <c r="K136" s="30">
        <f t="shared" si="3"/>
        <v>0</v>
      </c>
      <c r="L136" s="29">
        <f t="shared" si="4"/>
        <v>46109</v>
      </c>
      <c r="M136" s="30">
        <f t="shared" si="5"/>
        <v>721.47</v>
      </c>
      <c r="N136" s="32">
        <f t="shared" si="6"/>
        <v>91</v>
      </c>
      <c r="O136" s="33" t="str">
        <f t="shared" si="7"/>
        <v>VENCIDA</v>
      </c>
      <c r="P136" s="34">
        <f>LET(
  idVenta, I136&amp;"",
  montoTotal, M136,
  pagos, IFERROR(SUMIF(Aux_Datos!$B:$B, idVenta, Aux_Datos!$K:$K), 0),
  retenciones, IFERROR(SUMIF(Aux_Datos!$N:$N, idVenta, Aux_Datos!$R:$R), 0),
  pagos + retenciones
)</f>
        <v>299.9999896</v>
      </c>
      <c r="Q136" s="30" t="str">
        <f>IF(P136=0, "Sin Pago", 
  LET(
    idVenta, I136&amp;"",
    montoTotalPagado, P136,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136" s="30">
        <f t="shared" si="13"/>
        <v>421.4700104</v>
      </c>
      <c r="S136" s="29">
        <f>IF(P136=0, "Sin Pago", 
  IFERROR(
    MAXIFS(Aux_Datos!$A:$A, Aux_Datos!$B:$B, I136&amp;""), 
    IFERROR(MAXIFS(Aux_Datos!$A:$A, Aux_Datos!$B:$B, VALUE(I136)), "Revisar ID")
  )
)</f>
        <v>46139</v>
      </c>
      <c r="T136" s="35" t="str">
        <f t="shared" si="9"/>
        <v>PAGO PARCIAL</v>
      </c>
      <c r="U136" s="35" t="str">
        <f t="shared" si="10"/>
        <v>CRÍTICO: VENCIDA</v>
      </c>
      <c r="V136" s="32">
        <f t="shared" si="11"/>
        <v>61</v>
      </c>
      <c r="W136" s="36" t="str">
        <f>IF(P136=0, "Sin Pago", 
  LET(
    monedaPago, Q136, 
    descuentoAplicado, G136,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36" s="36" t="str">
        <f t="shared" si="12"/>
        <v/>
      </c>
      <c r="Y136" s="36">
        <v>299.99998955244996</v>
      </c>
      <c r="Z136" s="33" t="s">
        <v>609</v>
      </c>
      <c r="AA136" s="33"/>
      <c r="AB136" s="33"/>
      <c r="AC136" s="33"/>
      <c r="AD136" s="33"/>
      <c r="AE136" s="33"/>
      <c r="AF136" s="33"/>
    </row>
    <row r="137" ht="22.5" customHeight="1">
      <c r="A137" s="23" t="s">
        <v>134</v>
      </c>
      <c r="B137" s="24">
        <v>46108.66005787037</v>
      </c>
      <c r="C137" s="23" t="s">
        <v>133</v>
      </c>
      <c r="D137" s="23" t="s">
        <v>540</v>
      </c>
      <c r="E137" s="25">
        <v>201.0</v>
      </c>
      <c r="F137" s="23" t="s">
        <v>608</v>
      </c>
      <c r="G137" s="26">
        <f>IF($E137=0,0,IF(SUMIF(Aux_Datos!$B:$B,$I137,Aux_Datos!$K:$K)/$E137&gt;=VLOOKUP(IF(COUNTIFS(Aux_Datos!$B:$B,$I137,Aux_Datos!$D:$D,"&lt;&gt;USD")=0,"USD","VES"),'Limites de Descuento'!$A$2:$D$4,4,FALSE),MAX(0,1-SUMIF(Aux_Datos!$B:$B,$I137,Aux_Datos!$K:$K)/$E137),0))</f>
        <v>0</v>
      </c>
      <c r="H137" s="27"/>
      <c r="I137" s="28">
        <f t="shared" si="1"/>
        <v>166</v>
      </c>
      <c r="J137" s="29">
        <f t="shared" si="2"/>
        <v>46108</v>
      </c>
      <c r="K137" s="30">
        <f t="shared" si="3"/>
        <v>7</v>
      </c>
      <c r="L137" s="29">
        <f t="shared" si="4"/>
        <v>46116</v>
      </c>
      <c r="M137" s="30">
        <f t="shared" si="5"/>
        <v>201</v>
      </c>
      <c r="N137" s="32">
        <f t="shared" si="6"/>
        <v>84</v>
      </c>
      <c r="O137" s="33" t="str">
        <f t="shared" si="7"/>
        <v>VENCIDA</v>
      </c>
      <c r="P137" s="34">
        <f>LET(
  idVenta, I137&amp;"",
  montoTotal, M137,
  pagos, IFERROR(SUMIF(Aux_Datos!$B:$B, idVenta, Aux_Datos!$K:$K), 0),
  retenciones, IFERROR(SUMIF(Aux_Datos!$N:$N, idVenta, Aux_Datos!$R:$R), 0),
  pagos + retenciones
)</f>
        <v>0</v>
      </c>
      <c r="Q137" s="30" t="str">
        <f>IF(P137=0, "Sin Pago", 
  LET(
    idVenta, I137&amp;"",
    montoTotalPagado, P137,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137" s="30">
        <f t="shared" si="13"/>
        <v>201</v>
      </c>
      <c r="S137" s="29" t="str">
        <f>IF(P137=0, "Sin Pago", 
  IFERROR(
    MAXIFS(Aux_Datos!$A:$A, Aux_Datos!$B:$B, I137&amp;""), 
    IFERROR(MAXIFS(Aux_Datos!$A:$A, Aux_Datos!$B:$B, VALUE(I137)), "Revisar ID")
  )
)</f>
        <v>Sin Pago</v>
      </c>
      <c r="T137" s="35" t="str">
        <f t="shared" si="9"/>
        <v>PENDIENTE</v>
      </c>
      <c r="U137" s="35" t="str">
        <f t="shared" si="10"/>
        <v>CRÍTICO: VENCIDA</v>
      </c>
      <c r="V137" s="32">
        <f t="shared" si="11"/>
        <v>0</v>
      </c>
      <c r="W137" s="36" t="str">
        <f>IF(P137=0, "Sin Pago", 
  LET(
    monedaPago, Q137, 
    descuentoAplicado, G137,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137" s="36" t="str">
        <f t="shared" si="12"/>
        <v/>
      </c>
      <c r="Y137" s="36">
        <v>0.0</v>
      </c>
      <c r="Z137" s="33" t="s">
        <v>641</v>
      </c>
      <c r="AA137" s="33"/>
      <c r="AB137" s="33"/>
      <c r="AC137" s="33"/>
      <c r="AD137" s="33"/>
      <c r="AE137" s="33"/>
      <c r="AF137" s="33"/>
    </row>
    <row r="138" ht="22.5" customHeight="1">
      <c r="A138" s="23" t="s">
        <v>136</v>
      </c>
      <c r="B138" s="24">
        <v>46108.660162037035</v>
      </c>
      <c r="C138" s="23" t="s">
        <v>135</v>
      </c>
      <c r="D138" s="23" t="s">
        <v>540</v>
      </c>
      <c r="E138" s="25">
        <v>164.98</v>
      </c>
      <c r="F138" s="23" t="s">
        <v>608</v>
      </c>
      <c r="G138" s="26">
        <f>IF($E138=0,0,IF(SUMIF(Aux_Datos!$B:$B,$I138,Aux_Datos!$K:$K)/$E138&gt;=VLOOKUP(IF(COUNTIFS(Aux_Datos!$B:$B,$I138,Aux_Datos!$D:$D,"&lt;&gt;USD")=0,"USD","VES"),'Limites de Descuento'!$A$2:$D$4,4,FALSE),MAX(0,1-SUMIF(Aux_Datos!$B:$B,$I138,Aux_Datos!$K:$K)/$E138),0))</f>
        <v>0</v>
      </c>
      <c r="H138" s="27"/>
      <c r="I138" s="28">
        <f t="shared" si="1"/>
        <v>167</v>
      </c>
      <c r="J138" s="29">
        <f t="shared" si="2"/>
        <v>46108</v>
      </c>
      <c r="K138" s="30">
        <f t="shared" si="3"/>
        <v>7</v>
      </c>
      <c r="L138" s="29">
        <f t="shared" si="4"/>
        <v>46116</v>
      </c>
      <c r="M138" s="30">
        <f t="shared" si="5"/>
        <v>164.98</v>
      </c>
      <c r="N138" s="32">
        <f t="shared" si="6"/>
        <v>84</v>
      </c>
      <c r="O138" s="33" t="str">
        <f t="shared" si="7"/>
        <v>VENCIDA</v>
      </c>
      <c r="P138" s="34">
        <f>LET(
  idVenta, I138&amp;"",
  montoTotal, M138,
  pagos, IFERROR(SUMIF(Aux_Datos!$B:$B, idVenta, Aux_Datos!$K:$K), 0),
  retenciones, IFERROR(SUMIF(Aux_Datos!$N:$N, idVenta, Aux_Datos!$R:$R), 0),
  pagos + retenciones
)</f>
        <v>49.99995874</v>
      </c>
      <c r="Q138" s="30" t="str">
        <f>IF(P138=0, "Sin Pago", 
  LET(
    idVenta, I138&amp;"",
    montoTotalPagado, P138,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138" s="30">
        <f t="shared" si="13"/>
        <v>114.9800413</v>
      </c>
      <c r="S138" s="29">
        <f>IF(P138=0, "Sin Pago", 
  IFERROR(
    MAXIFS(Aux_Datos!$A:$A, Aux_Datos!$B:$B, I138&amp;""), 
    IFERROR(MAXIFS(Aux_Datos!$A:$A, Aux_Datos!$B:$B, VALUE(I138)), "Revisar ID")
  )
)</f>
        <v>46139</v>
      </c>
      <c r="T138" s="35" t="str">
        <f t="shared" si="9"/>
        <v>PAGO PARCIAL</v>
      </c>
      <c r="U138" s="35" t="str">
        <f t="shared" si="10"/>
        <v>CRÍTICO: VENCIDA</v>
      </c>
      <c r="V138" s="32">
        <f t="shared" si="11"/>
        <v>61</v>
      </c>
      <c r="W138" s="36" t="str">
        <f>IF(P138=0, "Sin Pago", 
  LET(
    monedaPago, Q138, 
    descuentoAplicado, G138,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38" s="36" t="str">
        <f t="shared" si="12"/>
        <v/>
      </c>
      <c r="Y138" s="36">
        <v>49.99995874080229</v>
      </c>
      <c r="Z138" s="33" t="s">
        <v>609</v>
      </c>
      <c r="AA138" s="33"/>
      <c r="AB138" s="33"/>
      <c r="AC138" s="33"/>
      <c r="AD138" s="33"/>
      <c r="AE138" s="33"/>
      <c r="AF138" s="33"/>
    </row>
    <row r="139" ht="22.5" customHeight="1">
      <c r="A139" s="23" t="s">
        <v>729</v>
      </c>
      <c r="B139" s="24">
        <v>46108.66045138889</v>
      </c>
      <c r="C139" s="23" t="s">
        <v>473</v>
      </c>
      <c r="D139" s="23" t="s">
        <v>544</v>
      </c>
      <c r="E139" s="25">
        <v>373.5</v>
      </c>
      <c r="F139" s="23" t="s">
        <v>619</v>
      </c>
      <c r="G139" s="26">
        <f>IF($E139=0,0,IF(SUMIF(Aux_Datos!$B:$B,$I139,Aux_Datos!$K:$K)/$E139&gt;=VLOOKUP(IF(COUNTIFS(Aux_Datos!$B:$B,$I139,Aux_Datos!$D:$D,"&lt;&gt;USD")=0,"USD","VES"),'Limites de Descuento'!$A$2:$D$4,4,FALSE),MAX(0,1-SUMIF(Aux_Datos!$B:$B,$I139,Aux_Datos!$K:$K)/$E139),0))</f>
        <v>0.3306559572</v>
      </c>
      <c r="H139" s="27"/>
      <c r="I139" s="28">
        <f t="shared" si="1"/>
        <v>168</v>
      </c>
      <c r="J139" s="29">
        <f t="shared" si="2"/>
        <v>46108</v>
      </c>
      <c r="K139" s="30">
        <f t="shared" si="3"/>
        <v>15</v>
      </c>
      <c r="L139" s="29">
        <f t="shared" si="4"/>
        <v>46124</v>
      </c>
      <c r="M139" s="30">
        <f t="shared" si="5"/>
        <v>250</v>
      </c>
      <c r="N139" s="32">
        <f t="shared" si="6"/>
        <v>0</v>
      </c>
      <c r="O139" s="33" t="str">
        <f t="shared" si="7"/>
        <v>PAGADA</v>
      </c>
      <c r="P139" s="34">
        <f>LET(
  idVenta, I139&amp;"",
  montoTotal, M139,
  pagos, IFERROR(SUMIF(Aux_Datos!$B:$B, idVenta, Aux_Datos!$K:$K), 0),
  retenciones, IFERROR(SUMIF(Aux_Datos!$N:$N, idVenta, Aux_Datos!$R:$R), 0),
  pagos + retenciones
)</f>
        <v>250</v>
      </c>
      <c r="Q139" s="30" t="str">
        <f>IF(P139=0, "Sin Pago", 
  LET(
    idVenta, I139&amp;"",
    montoTotalPagado, P139,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39" s="30">
        <f t="shared" si="13"/>
        <v>0</v>
      </c>
      <c r="S139" s="29">
        <f>IF(P139=0, "Sin Pago", 
  IFERROR(
    MAXIFS(Aux_Datos!$A:$A, Aux_Datos!$B:$B, I139&amp;""), 
    IFERROR(MAXIFS(Aux_Datos!$A:$A, Aux_Datos!$B:$B, VALUE(I139)), "Revisar ID")
  )
)</f>
        <v>46135</v>
      </c>
      <c r="T139" s="35" t="str">
        <f t="shared" si="9"/>
        <v>PAGADA</v>
      </c>
      <c r="U139" s="35" t="str">
        <f t="shared" si="10"/>
        <v>SOLVENTE</v>
      </c>
      <c r="V139" s="32">
        <f t="shared" si="11"/>
        <v>0</v>
      </c>
      <c r="W139" s="36" t="str">
        <f>IF(P139=0, "Sin Pago", 
  LET(
    monedaPago, Q139, 
    descuentoAplicado, G139,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39" s="36" t="str">
        <f t="shared" si="12"/>
        <v/>
      </c>
      <c r="Y139" s="36">
        <v>250.0</v>
      </c>
      <c r="Z139" s="33" t="s">
        <v>596</v>
      </c>
      <c r="AA139" s="33"/>
      <c r="AB139" s="33"/>
      <c r="AC139" s="33"/>
      <c r="AD139" s="33"/>
      <c r="AE139" s="33"/>
      <c r="AF139" s="33"/>
    </row>
    <row r="140" ht="22.5" customHeight="1">
      <c r="A140" s="23" t="s">
        <v>730</v>
      </c>
      <c r="B140" s="24">
        <v>46108.72655092592</v>
      </c>
      <c r="C140" s="23" t="s">
        <v>259</v>
      </c>
      <c r="D140" s="23" t="s">
        <v>556</v>
      </c>
      <c r="E140" s="25">
        <v>24.0</v>
      </c>
      <c r="F140" s="23" t="s">
        <v>593</v>
      </c>
      <c r="G140" s="26">
        <f>IF($E140=0,0,IF(SUMIF(Aux_Datos!$B:$B,$I140,Aux_Datos!$K:$K)/$E140&gt;=VLOOKUP(IF(COUNTIFS(Aux_Datos!$B:$B,$I140,Aux_Datos!$D:$D,"&lt;&gt;USD")=0,"USD","VES"),'Limites de Descuento'!$A$2:$D$4,4,FALSE),MAX(0,1-SUMIF(Aux_Datos!$B:$B,$I140,Aux_Datos!$K:$K)/$E140),0))</f>
        <v>0</v>
      </c>
      <c r="H140" s="27"/>
      <c r="I140" s="28">
        <f t="shared" si="1"/>
        <v>169</v>
      </c>
      <c r="J140" s="29">
        <f t="shared" si="2"/>
        <v>46108</v>
      </c>
      <c r="K140" s="30">
        <f t="shared" si="3"/>
        <v>0</v>
      </c>
      <c r="L140" s="29">
        <f t="shared" si="4"/>
        <v>46109</v>
      </c>
      <c r="M140" s="30">
        <f t="shared" si="5"/>
        <v>24</v>
      </c>
      <c r="N140" s="32">
        <f t="shared" si="6"/>
        <v>0</v>
      </c>
      <c r="O140" s="33" t="str">
        <f t="shared" si="7"/>
        <v>PAGADA</v>
      </c>
      <c r="P140" s="34">
        <f>LET(
  idVenta, I140&amp;"",
  montoTotal, M140,
  pagos, IFERROR(SUMIF(Aux_Datos!$B:$B, idVenta, Aux_Datos!$K:$K), 0),
  retenciones, IFERROR(SUMIF(Aux_Datos!$N:$N, idVenta, Aux_Datos!$R:$R), 0),
  pagos + retenciones
)</f>
        <v>24</v>
      </c>
      <c r="Q140" s="30" t="str">
        <f>IF(P140=0, "Sin Pago", 
  LET(
    idVenta, I140&amp;"",
    montoTotalPagado, P140,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40" s="30">
        <f t="shared" si="13"/>
        <v>0</v>
      </c>
      <c r="S140" s="29">
        <f>IF(P140=0, "Sin Pago", 
  IFERROR(
    MAXIFS(Aux_Datos!$A:$A, Aux_Datos!$B:$B, I140&amp;""), 
    IFERROR(MAXIFS(Aux_Datos!$A:$A, Aux_Datos!$B:$B, VALUE(I140)), "Revisar ID")
  )
)</f>
        <v>46132</v>
      </c>
      <c r="T140" s="35" t="str">
        <f t="shared" si="9"/>
        <v>PAGADA</v>
      </c>
      <c r="U140" s="35" t="str">
        <f t="shared" si="10"/>
        <v>SOLVENTE</v>
      </c>
      <c r="V140" s="32">
        <f t="shared" si="11"/>
        <v>0</v>
      </c>
      <c r="W140" s="36" t="str">
        <f>IF(P140=0, "Sin Pago", 
  LET(
    monedaPago, Q140, 
    descuentoAplicado, G140,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40" s="36" t="str">
        <f t="shared" si="12"/>
        <v/>
      </c>
      <c r="Y140" s="36">
        <v>24.0</v>
      </c>
      <c r="Z140" s="33" t="s">
        <v>596</v>
      </c>
      <c r="AA140" s="33"/>
      <c r="AB140" s="33"/>
      <c r="AC140" s="33"/>
      <c r="AD140" s="33"/>
      <c r="AE140" s="33"/>
      <c r="AF140" s="33"/>
    </row>
    <row r="141" ht="22.5" customHeight="1">
      <c r="A141" s="23" t="s">
        <v>731</v>
      </c>
      <c r="B141" s="24">
        <v>46111.3984837963</v>
      </c>
      <c r="C141" s="23" t="s">
        <v>5</v>
      </c>
      <c r="D141" s="23" t="s">
        <v>552</v>
      </c>
      <c r="E141" s="25">
        <v>247.88</v>
      </c>
      <c r="F141" s="23" t="s">
        <v>593</v>
      </c>
      <c r="G141" s="26">
        <f>IF($E141=0,0,IF(SUMIF(Aux_Datos!$B:$B,$I141,Aux_Datos!$K:$K)/$E141&gt;=VLOOKUP(IF(COUNTIFS(Aux_Datos!$B:$B,$I141,Aux_Datos!$D:$D,"&lt;&gt;USD")=0,"USD","VES"),'Limites de Descuento'!$A$2:$D$4,4,FALSE),MAX(0,1-SUMIF(Aux_Datos!$B:$B,$I141,Aux_Datos!$K:$K)/$E141),0))</f>
        <v>0</v>
      </c>
      <c r="H141" s="26"/>
      <c r="I141" s="39">
        <v>170.0</v>
      </c>
      <c r="J141" s="29">
        <f t="shared" si="2"/>
        <v>46111</v>
      </c>
      <c r="K141" s="30">
        <f t="shared" si="3"/>
        <v>0</v>
      </c>
      <c r="L141" s="29">
        <f t="shared" si="4"/>
        <v>46112</v>
      </c>
      <c r="M141" s="30">
        <f t="shared" si="5"/>
        <v>247.88</v>
      </c>
      <c r="N141" s="32">
        <f t="shared" si="6"/>
        <v>0</v>
      </c>
      <c r="O141" s="33" t="str">
        <f t="shared" si="7"/>
        <v>PAGADA</v>
      </c>
      <c r="P141" s="34">
        <f>LET(
  idVenta, I141&amp;"",
  montoTotal, M141,
  pagos, IFERROR(SUMIF(Aux_Datos!$B:$B, idVenta, Aux_Datos!$K:$K), 0),
  retenciones, IFERROR(SUMIF(Aux_Datos!$N:$N, idVenta, Aux_Datos!$R:$R), 0),
  pagos + retenciones
)</f>
        <v>247.88</v>
      </c>
      <c r="Q141" s="30" t="str">
        <f>IF(P141=0, "Sin Pago", 
  LET(
    idVenta, I141&amp;"",
    montoTotalPagado, P141,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41" s="30">
        <f t="shared" si="13"/>
        <v>0</v>
      </c>
      <c r="S141" s="29">
        <f>IF(P141=0, "Sin Pago", 
  IFERROR(
    MAXIFS(Aux_Datos!$A:$A, Aux_Datos!$B:$B, I141&amp;""), 
    IFERROR(MAXIFS(Aux_Datos!$A:$A, Aux_Datos!$B:$B, VALUE(I141)), "Revisar ID")
  )
)</f>
        <v>46113</v>
      </c>
      <c r="T141" s="35" t="str">
        <f t="shared" si="9"/>
        <v>PAGADA</v>
      </c>
      <c r="U141" s="35" t="str">
        <f t="shared" si="10"/>
        <v>SOLVENTE</v>
      </c>
      <c r="V141" s="32">
        <f t="shared" si="11"/>
        <v>0</v>
      </c>
      <c r="W141" s="36" t="str">
        <f>IF(P141=0, "Sin Pago", 
  LET(
    monedaPago, Q141, 
    descuentoAplicado, G141,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41" s="36" t="str">
        <f t="shared" si="12"/>
        <v/>
      </c>
      <c r="Y141" s="36">
        <v>247.88</v>
      </c>
      <c r="Z141" s="33" t="s">
        <v>596</v>
      </c>
      <c r="AA141" s="33"/>
      <c r="AB141" s="33"/>
      <c r="AC141" s="33"/>
      <c r="AD141" s="33"/>
      <c r="AE141" s="33"/>
      <c r="AF141" s="33"/>
    </row>
    <row r="142" ht="22.5" customHeight="1">
      <c r="A142" s="23" t="s">
        <v>732</v>
      </c>
      <c r="B142" s="24">
        <v>46111.39857638889</v>
      </c>
      <c r="C142" s="23" t="s">
        <v>69</v>
      </c>
      <c r="D142" s="23" t="s">
        <v>544</v>
      </c>
      <c r="E142" s="25">
        <v>259.98</v>
      </c>
      <c r="F142" s="23" t="s">
        <v>619</v>
      </c>
      <c r="G142" s="26">
        <f>IF($E142=0,0,IF(SUMIF(Aux_Datos!$B:$B,$I142,Aux_Datos!$K:$K)/$E142&gt;=VLOOKUP(IF(COUNTIFS(Aux_Datos!$B:$B,$I142,Aux_Datos!$D:$D,"&lt;&gt;USD")=0,"USD","VES"),'Limites de Descuento'!$A$2:$D$4,4,FALSE),MAX(0,1-SUMIF(Aux_Datos!$B:$B,$I142,Aux_Datos!$K:$K)/$E142),0))</f>
        <v>0</v>
      </c>
      <c r="H142" s="26"/>
      <c r="I142" s="28">
        <f t="shared" ref="I142:I425" si="14">VALUE(MID(A142,2,LEN(A142)))</f>
        <v>171</v>
      </c>
      <c r="J142" s="29">
        <f t="shared" si="2"/>
        <v>46111</v>
      </c>
      <c r="K142" s="30">
        <f t="shared" si="3"/>
        <v>15</v>
      </c>
      <c r="L142" s="29">
        <f t="shared" si="4"/>
        <v>46127</v>
      </c>
      <c r="M142" s="30">
        <f t="shared" si="5"/>
        <v>259.98</v>
      </c>
      <c r="N142" s="32">
        <f t="shared" si="6"/>
        <v>0</v>
      </c>
      <c r="O142" s="33" t="str">
        <f t="shared" si="7"/>
        <v>PAGADA</v>
      </c>
      <c r="P142" s="34">
        <f>LET(
  idVenta, I142&amp;"",
  montoTotal, M142,
  pagos, IFERROR(SUMIF(Aux_Datos!$B:$B, idVenta, Aux_Datos!$K:$K), 0),
  retenciones, IFERROR(SUMIF(Aux_Datos!$N:$N, idVenta, Aux_Datos!$R:$R), 0),
  pagos + retenciones
)</f>
        <v>260</v>
      </c>
      <c r="Q142" s="30" t="str">
        <f>IF(P142=0, "Sin Pago", 
  LET(
    idVenta, I142&amp;"",
    montoTotalPagado, P142,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42" s="30">
        <f t="shared" si="13"/>
        <v>-0.02</v>
      </c>
      <c r="S142" s="29">
        <f>IF(P142=0, "Sin Pago", 
  IFERROR(
    MAXIFS(Aux_Datos!$A:$A, Aux_Datos!$B:$B, I142&amp;""), 
    IFERROR(MAXIFS(Aux_Datos!$A:$A, Aux_Datos!$B:$B, VALUE(I142)), "Revisar ID")
  )
)</f>
        <v>46111</v>
      </c>
      <c r="T142" s="35" t="str">
        <f t="shared" si="9"/>
        <v>PAGADA</v>
      </c>
      <c r="U142" s="35" t="str">
        <f t="shared" si="10"/>
        <v>SOLVENTE</v>
      </c>
      <c r="V142" s="32">
        <f t="shared" si="11"/>
        <v>0</v>
      </c>
      <c r="W142" s="36" t="str">
        <f>IF(P142=0, "Sin Pago", 
  LET(
    monedaPago, Q142, 
    descuentoAplicado, G142,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42" s="36" t="str">
        <f t="shared" si="12"/>
        <v/>
      </c>
      <c r="Y142" s="36">
        <v>260.0</v>
      </c>
      <c r="Z142" s="33" t="s">
        <v>596</v>
      </c>
      <c r="AA142" s="33"/>
      <c r="AB142" s="33"/>
      <c r="AC142" s="33"/>
      <c r="AD142" s="33"/>
      <c r="AE142" s="33"/>
      <c r="AF142" s="33"/>
    </row>
    <row r="143" ht="22.5" customHeight="1">
      <c r="A143" s="23" t="s">
        <v>120</v>
      </c>
      <c r="B143" s="24">
        <v>46112.468252314815</v>
      </c>
      <c r="C143" s="23" t="s">
        <v>119</v>
      </c>
      <c r="D143" s="23" t="s">
        <v>556</v>
      </c>
      <c r="E143" s="25">
        <v>543.01</v>
      </c>
      <c r="F143" s="23" t="s">
        <v>593</v>
      </c>
      <c r="G143" s="26">
        <f>IF($E143=0,0,IF(SUMIF(Aux_Datos!$B:$B,$I143,Aux_Datos!$K:$K)/$E143&gt;=VLOOKUP(IF(COUNTIFS(Aux_Datos!$B:$B,$I143,Aux_Datos!$D:$D,"&lt;&gt;USD")=0,"USD","VES"),'Limites de Descuento'!$A$2:$D$4,4,FALSE),MAX(0,1-SUMIF(Aux_Datos!$B:$B,$I143,Aux_Datos!$K:$K)/$E143),0))</f>
        <v>0</v>
      </c>
      <c r="H143" s="27"/>
      <c r="I143" s="28">
        <f t="shared" si="14"/>
        <v>174</v>
      </c>
      <c r="J143" s="29">
        <f t="shared" si="2"/>
        <v>46112</v>
      </c>
      <c r="K143" s="30">
        <f t="shared" si="3"/>
        <v>0</v>
      </c>
      <c r="L143" s="29">
        <f t="shared" si="4"/>
        <v>46113</v>
      </c>
      <c r="M143" s="30">
        <f t="shared" si="5"/>
        <v>543.01</v>
      </c>
      <c r="N143" s="32">
        <f t="shared" si="6"/>
        <v>87</v>
      </c>
      <c r="O143" s="33" t="str">
        <f t="shared" si="7"/>
        <v>VENCIDA</v>
      </c>
      <c r="P143" s="34">
        <f>LET(
  idVenta, I143&amp;"",
  montoTotal, M143,
  pagos, IFERROR(SUMIF(Aux_Datos!$B:$B, idVenta, Aux_Datos!$K:$K), 0),
  retenciones, IFERROR(SUMIF(Aux_Datos!$N:$N, idVenta, Aux_Datos!$R:$R), 0),
  pagos + retenciones
)</f>
        <v>181.4594647</v>
      </c>
      <c r="Q143" s="30" t="str">
        <f>IF(P143=0, "Sin Pago", 
  LET(
    idVenta, I143&amp;"",
    montoTotalPagado, P143,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143" s="30">
        <f t="shared" si="13"/>
        <v>361.5505353</v>
      </c>
      <c r="S143" s="29">
        <f>IF(P143=0, "Sin Pago", 
  IFERROR(
    MAXIFS(Aux_Datos!$A:$A, Aux_Datos!$B:$B, I143&amp;""), 
    IFERROR(MAXIFS(Aux_Datos!$A:$A, Aux_Datos!$B:$B, VALUE(I143)), "Revisar ID")
  )
)</f>
        <v>46186</v>
      </c>
      <c r="T143" s="35" t="str">
        <f t="shared" si="9"/>
        <v>PAGO PARCIAL</v>
      </c>
      <c r="U143" s="35" t="str">
        <f t="shared" si="10"/>
        <v>CRÍTICO: VENCIDA</v>
      </c>
      <c r="V143" s="32">
        <f t="shared" si="11"/>
        <v>14</v>
      </c>
      <c r="W143" s="36" t="str">
        <f>IF(P143=0, "Sin Pago", 
  LET(
    monedaPago, Q143, 
    descuentoAplicado, G143,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43" s="36" t="str">
        <f t="shared" si="12"/>
        <v/>
      </c>
      <c r="Y143" s="36">
        <v>181.45946467803017</v>
      </c>
      <c r="Z143" s="33" t="s">
        <v>609</v>
      </c>
      <c r="AA143" s="33"/>
      <c r="AB143" s="33"/>
      <c r="AC143" s="33"/>
      <c r="AD143" s="33"/>
      <c r="AE143" s="33"/>
      <c r="AF143" s="33"/>
    </row>
    <row r="144" ht="22.5" customHeight="1">
      <c r="A144" s="23" t="s">
        <v>733</v>
      </c>
      <c r="B144" s="24">
        <v>46112.54006944445</v>
      </c>
      <c r="C144" s="23" t="s">
        <v>718</v>
      </c>
      <c r="D144" s="23" t="s">
        <v>556</v>
      </c>
      <c r="E144" s="25">
        <v>162.0</v>
      </c>
      <c r="F144" s="23" t="s">
        <v>593</v>
      </c>
      <c r="G144" s="26">
        <f>IF($E144=0,0,IF(SUMIF(Aux_Datos!$B:$B,$I144,Aux_Datos!$K:$K)/$E144&gt;=VLOOKUP(IF(COUNTIFS(Aux_Datos!$B:$B,$I144,Aux_Datos!$D:$D,"&lt;&gt;USD")=0,"USD","VES"),'Limites de Descuento'!$A$2:$D$4,4,FALSE),MAX(0,1-SUMIF(Aux_Datos!$B:$B,$I144,Aux_Datos!$K:$K)/$E144),0))</f>
        <v>0.3333333333</v>
      </c>
      <c r="H144" s="27"/>
      <c r="I144" s="28">
        <f t="shared" si="14"/>
        <v>175</v>
      </c>
      <c r="J144" s="29">
        <f t="shared" si="2"/>
        <v>46112</v>
      </c>
      <c r="K144" s="30">
        <f t="shared" si="3"/>
        <v>0</v>
      </c>
      <c r="L144" s="29">
        <f t="shared" si="4"/>
        <v>46113</v>
      </c>
      <c r="M144" s="30">
        <f t="shared" si="5"/>
        <v>108</v>
      </c>
      <c r="N144" s="32">
        <f t="shared" si="6"/>
        <v>0</v>
      </c>
      <c r="O144" s="33" t="str">
        <f t="shared" si="7"/>
        <v>PAGADA</v>
      </c>
      <c r="P144" s="34">
        <f>LET(
  idVenta, I144&amp;"",
  montoTotal, M144,
  pagos, IFERROR(SUMIF(Aux_Datos!$B:$B, idVenta, Aux_Datos!$K:$K), 0),
  retenciones, IFERROR(SUMIF(Aux_Datos!$N:$N, idVenta, Aux_Datos!$R:$R), 0),
  pagos + retenciones
)</f>
        <v>108</v>
      </c>
      <c r="Q144" s="30" t="str">
        <f>IF(P144=0, "Sin Pago", 
  LET(
    idVenta, I144&amp;"",
    montoTotalPagado, P144,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44" s="30">
        <f t="shared" si="13"/>
        <v>0</v>
      </c>
      <c r="S144" s="29">
        <f>IF(P144=0, "Sin Pago", 
  IFERROR(
    MAXIFS(Aux_Datos!$A:$A, Aux_Datos!$B:$B, I144&amp;""), 
    IFERROR(MAXIFS(Aux_Datos!$A:$A, Aux_Datos!$B:$B, VALUE(I144)), "Revisar ID")
  )
)</f>
        <v>46112</v>
      </c>
      <c r="T144" s="35" t="str">
        <f t="shared" si="9"/>
        <v>PAGADA</v>
      </c>
      <c r="U144" s="35" t="str">
        <f t="shared" si="10"/>
        <v>SOLVENTE</v>
      </c>
      <c r="V144" s="32">
        <f t="shared" si="11"/>
        <v>0</v>
      </c>
      <c r="W144" s="36" t="str">
        <f>IF(P144=0, "Sin Pago", 
  LET(
    monedaPago, Q144, 
    descuentoAplicado, G144,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44" s="36" t="str">
        <f t="shared" si="12"/>
        <v/>
      </c>
      <c r="Y144" s="36">
        <v>108.0</v>
      </c>
      <c r="Z144" s="33" t="s">
        <v>596</v>
      </c>
      <c r="AA144" s="33"/>
      <c r="AB144" s="33"/>
      <c r="AC144" s="33"/>
      <c r="AD144" s="33"/>
      <c r="AE144" s="33"/>
      <c r="AF144" s="33"/>
    </row>
    <row r="145" ht="22.5" customHeight="1">
      <c r="A145" s="23" t="s">
        <v>734</v>
      </c>
      <c r="B145" s="24">
        <v>46112.727847222224</v>
      </c>
      <c r="C145" s="23" t="s">
        <v>735</v>
      </c>
      <c r="D145" s="23" t="s">
        <v>556</v>
      </c>
      <c r="E145" s="25">
        <v>159.99</v>
      </c>
      <c r="F145" s="23" t="s">
        <v>593</v>
      </c>
      <c r="G145" s="26">
        <f>IF($E145=0,0,IF(SUMIF(Aux_Datos!$B:$B,$I145,Aux_Datos!$K:$K)/$E145&gt;=VLOOKUP(IF(COUNTIFS(Aux_Datos!$B:$B,$I145,Aux_Datos!$D:$D,"&lt;&gt;USD")=0,"USD","VES"),'Limites de Descuento'!$A$2:$D$4,4,FALSE),MAX(0,1-SUMIF(Aux_Datos!$B:$B,$I145,Aux_Datos!$K:$K)/$E145),0))</f>
        <v>0</v>
      </c>
      <c r="H145" s="27"/>
      <c r="I145" s="28">
        <f t="shared" si="14"/>
        <v>176</v>
      </c>
      <c r="J145" s="29">
        <f t="shared" si="2"/>
        <v>46112</v>
      </c>
      <c r="K145" s="30">
        <f t="shared" si="3"/>
        <v>0</v>
      </c>
      <c r="L145" s="29">
        <f t="shared" si="4"/>
        <v>46113</v>
      </c>
      <c r="M145" s="30">
        <f t="shared" si="5"/>
        <v>159.99</v>
      </c>
      <c r="N145" s="32">
        <f t="shared" si="6"/>
        <v>0</v>
      </c>
      <c r="O145" s="33" t="str">
        <f t="shared" si="7"/>
        <v>PAGADA</v>
      </c>
      <c r="P145" s="34">
        <f>LET(
  idVenta, I145&amp;"",
  montoTotal, M145,
  pagos, IFERROR(SUMIF(Aux_Datos!$B:$B, idVenta, Aux_Datos!$K:$K), 0),
  retenciones, IFERROR(SUMIF(Aux_Datos!$N:$N, idVenta, Aux_Datos!$R:$R), 0),
  pagos + retenciones
)</f>
        <v>160</v>
      </c>
      <c r="Q145" s="30" t="str">
        <f>IF(P145=0, "Sin Pago", 
  LET(
    idVenta, I145&amp;"",
    montoTotalPagado, P145,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45" s="30">
        <f t="shared" si="13"/>
        <v>-0.01</v>
      </c>
      <c r="S145" s="29">
        <f>IF(P145=0, "Sin Pago", 
  IFERROR(
    MAXIFS(Aux_Datos!$A:$A, Aux_Datos!$B:$B, I145&amp;""), 
    IFERROR(MAXIFS(Aux_Datos!$A:$A, Aux_Datos!$B:$B, VALUE(I145)), "Revisar ID")
  )
)</f>
        <v>46121</v>
      </c>
      <c r="T145" s="35" t="str">
        <f t="shared" si="9"/>
        <v>PAGADA</v>
      </c>
      <c r="U145" s="35" t="str">
        <f t="shared" si="10"/>
        <v>SOLVENTE</v>
      </c>
      <c r="V145" s="32">
        <f t="shared" si="11"/>
        <v>0</v>
      </c>
      <c r="W145" s="36" t="str">
        <f>IF(P145=0, "Sin Pago", 
  LET(
    monedaPago, Q145, 
    descuentoAplicado, G145,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45" s="36" t="str">
        <f t="shared" si="12"/>
        <v/>
      </c>
      <c r="Y145" s="36">
        <v>160.0</v>
      </c>
      <c r="Z145" s="33" t="s">
        <v>596</v>
      </c>
      <c r="AA145" s="33"/>
      <c r="AB145" s="33"/>
      <c r="AC145" s="33"/>
      <c r="AD145" s="33"/>
      <c r="AE145" s="33"/>
      <c r="AF145" s="33"/>
    </row>
    <row r="146" ht="22.5" customHeight="1">
      <c r="A146" s="23" t="s">
        <v>178</v>
      </c>
      <c r="B146" s="24">
        <v>46112.646516203706</v>
      </c>
      <c r="C146" s="23" t="s">
        <v>177</v>
      </c>
      <c r="D146" s="23" t="s">
        <v>529</v>
      </c>
      <c r="E146" s="25">
        <v>372.0</v>
      </c>
      <c r="F146" s="23" t="s">
        <v>619</v>
      </c>
      <c r="G146" s="26">
        <f>IF($E146=0,0,IF(SUMIF(Aux_Datos!$B:$B,$I146,Aux_Datos!$K:$K)/$E146&gt;=VLOOKUP(IF(COUNTIFS(Aux_Datos!$B:$B,$I146,Aux_Datos!$D:$D,"&lt;&gt;USD")=0,"USD","VES"),'Limites de Descuento'!$A$2:$D$4,4,FALSE),MAX(0,1-SUMIF(Aux_Datos!$B:$B,$I146,Aux_Datos!$K:$K)/$E146),0))</f>
        <v>0</v>
      </c>
      <c r="H146" s="27"/>
      <c r="I146" s="28">
        <f t="shared" si="14"/>
        <v>177</v>
      </c>
      <c r="J146" s="29">
        <f t="shared" si="2"/>
        <v>46112</v>
      </c>
      <c r="K146" s="30">
        <f t="shared" si="3"/>
        <v>15</v>
      </c>
      <c r="L146" s="29">
        <f t="shared" si="4"/>
        <v>46128</v>
      </c>
      <c r="M146" s="30">
        <f t="shared" si="5"/>
        <v>372</v>
      </c>
      <c r="N146" s="32">
        <f t="shared" si="6"/>
        <v>72</v>
      </c>
      <c r="O146" s="33" t="str">
        <f t="shared" si="7"/>
        <v>VENCIDA</v>
      </c>
      <c r="P146" s="34">
        <f>LET(
  idVenta, I146&amp;"",
  montoTotal, M146,
  pagos, IFERROR(SUMIF(Aux_Datos!$B:$B, idVenta, Aux_Datos!$K:$K), 0),
  retenciones, IFERROR(SUMIF(Aux_Datos!$N:$N, idVenta, Aux_Datos!$R:$R), 0),
  pagos + retenciones
)</f>
        <v>100</v>
      </c>
      <c r="Q146" s="30" t="str">
        <f>IF(P146=0, "Sin Pago", 
  LET(
    idVenta, I146&amp;"",
    montoTotalPagado, P146,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46" s="30">
        <f t="shared" si="13"/>
        <v>272</v>
      </c>
      <c r="S146" s="29">
        <f>IF(P146=0, "Sin Pago", 
  IFERROR(
    MAXIFS(Aux_Datos!$A:$A, Aux_Datos!$B:$B, I146&amp;""), 
    IFERROR(MAXIFS(Aux_Datos!$A:$A, Aux_Datos!$B:$B, VALUE(I146)), "Revisar ID")
  )
)</f>
        <v>46189</v>
      </c>
      <c r="T146" s="35" t="str">
        <f t="shared" si="9"/>
        <v>PAGO PARCIAL</v>
      </c>
      <c r="U146" s="35" t="str">
        <f t="shared" si="10"/>
        <v>CRÍTICO: VENCIDA</v>
      </c>
      <c r="V146" s="32">
        <f t="shared" si="11"/>
        <v>11</v>
      </c>
      <c r="W146" s="36" t="str">
        <f>IF(P146=0, "Sin Pago", 
  LET(
    monedaPago, Q146, 
    descuentoAplicado, G146,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46" s="36" t="str">
        <f t="shared" si="12"/>
        <v/>
      </c>
      <c r="Y146" s="36">
        <v>100.0</v>
      </c>
      <c r="Z146" s="33" t="s">
        <v>609</v>
      </c>
      <c r="AA146" s="33"/>
      <c r="AB146" s="33"/>
      <c r="AC146" s="33"/>
      <c r="AD146" s="33"/>
      <c r="AE146" s="33"/>
      <c r="AF146" s="33"/>
    </row>
    <row r="147" ht="22.5" customHeight="1">
      <c r="A147" s="23" t="s">
        <v>180</v>
      </c>
      <c r="B147" s="24">
        <v>46112.71579861111</v>
      </c>
      <c r="C147" s="23" t="s">
        <v>179</v>
      </c>
      <c r="D147" s="23" t="s">
        <v>529</v>
      </c>
      <c r="E147" s="25">
        <v>941.99</v>
      </c>
      <c r="F147" s="23" t="s">
        <v>619</v>
      </c>
      <c r="G147" s="26">
        <f>IF($E147=0,0,IF(SUMIF(Aux_Datos!$B:$B,$I147,Aux_Datos!$K:$K)/$E147&gt;=VLOOKUP(IF(COUNTIFS(Aux_Datos!$B:$B,$I147,Aux_Datos!$D:$D,"&lt;&gt;USD")=0,"USD","VES"),'Limites de Descuento'!$A$2:$D$4,4,FALSE),MAX(0,1-SUMIF(Aux_Datos!$B:$B,$I147,Aux_Datos!$K:$K)/$E147),0))</f>
        <v>0</v>
      </c>
      <c r="H147" s="27"/>
      <c r="I147" s="28">
        <f t="shared" si="14"/>
        <v>178</v>
      </c>
      <c r="J147" s="29">
        <f t="shared" si="2"/>
        <v>46112</v>
      </c>
      <c r="K147" s="30">
        <f t="shared" si="3"/>
        <v>15</v>
      </c>
      <c r="L147" s="29">
        <f t="shared" si="4"/>
        <v>46128</v>
      </c>
      <c r="M147" s="30">
        <f t="shared" si="5"/>
        <v>941.99</v>
      </c>
      <c r="N147" s="32">
        <f t="shared" si="6"/>
        <v>72</v>
      </c>
      <c r="O147" s="33" t="str">
        <f t="shared" si="7"/>
        <v>VENCIDA</v>
      </c>
      <c r="P147" s="34">
        <f>LET(
  idVenta, I147&amp;"",
  montoTotal, M147,
  pagos, IFERROR(SUMIF(Aux_Datos!$B:$B, idVenta, Aux_Datos!$K:$K), 0),
  retenciones, IFERROR(SUMIF(Aux_Datos!$N:$N, idVenta, Aux_Datos!$R:$R), 0),
  pagos + retenciones
)</f>
        <v>490.8439698</v>
      </c>
      <c r="Q147" s="30" t="str">
        <f>IF(P147=0, "Sin Pago", 
  LET(
    idVenta, I147&amp;"",
    montoTotalPagado, P147,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147" s="30">
        <f t="shared" si="13"/>
        <v>451.1460302</v>
      </c>
      <c r="S147" s="29">
        <f>IF(P147=0, "Sin Pago", 
  IFERROR(
    MAXIFS(Aux_Datos!$A:$A, Aux_Datos!$B:$B, I147&amp;""), 
    IFERROR(MAXIFS(Aux_Datos!$A:$A, Aux_Datos!$B:$B, VALUE(I147)), "Revisar ID")
  )
)</f>
        <v>46195</v>
      </c>
      <c r="T147" s="35" t="str">
        <f t="shared" si="9"/>
        <v>PAGO PARCIAL</v>
      </c>
      <c r="U147" s="35" t="str">
        <f t="shared" si="10"/>
        <v>CRÍTICO: VENCIDA</v>
      </c>
      <c r="V147" s="32">
        <f t="shared" si="11"/>
        <v>5</v>
      </c>
      <c r="W147" s="36" t="str">
        <f>IF(P147=0, "Sin Pago", 
  LET(
    monedaPago, Q147, 
    descuentoAplicado, G147,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47" s="36" t="str">
        <f t="shared" si="12"/>
        <v/>
      </c>
      <c r="Y147" s="36">
        <v>490.8439698346676</v>
      </c>
      <c r="Z147" s="33" t="s">
        <v>609</v>
      </c>
      <c r="AA147" s="33"/>
      <c r="AB147" s="33"/>
      <c r="AC147" s="33"/>
      <c r="AD147" s="33"/>
      <c r="AE147" s="33"/>
      <c r="AF147" s="33"/>
    </row>
    <row r="148" ht="22.5" customHeight="1">
      <c r="A148" s="23" t="s">
        <v>187</v>
      </c>
      <c r="B148" s="24">
        <v>46113.50894675926</v>
      </c>
      <c r="C148" s="23" t="s">
        <v>186</v>
      </c>
      <c r="D148" s="23" t="s">
        <v>353</v>
      </c>
      <c r="E148" s="25">
        <v>1783.22</v>
      </c>
      <c r="F148" s="23" t="s">
        <v>619</v>
      </c>
      <c r="G148" s="26">
        <f>IF($E148=0,0,IF(SUMIF(Aux_Datos!$B:$B,$I148,Aux_Datos!$K:$K)/$E148&gt;=VLOOKUP(IF(COUNTIFS(Aux_Datos!$B:$B,$I148,Aux_Datos!$D:$D,"&lt;&gt;USD")=0,"USD","VES"),'Limites de Descuento'!$A$2:$D$4,4,FALSE),MAX(0,1-SUMIF(Aux_Datos!$B:$B,$I148,Aux_Datos!$K:$K)/$E148),0))</f>
        <v>0</v>
      </c>
      <c r="H148" s="27"/>
      <c r="I148" s="28">
        <f t="shared" si="14"/>
        <v>179</v>
      </c>
      <c r="J148" s="29">
        <f t="shared" si="2"/>
        <v>46113</v>
      </c>
      <c r="K148" s="30">
        <f t="shared" si="3"/>
        <v>15</v>
      </c>
      <c r="L148" s="29">
        <f t="shared" si="4"/>
        <v>46129</v>
      </c>
      <c r="M148" s="30">
        <f t="shared" si="5"/>
        <v>1783.22</v>
      </c>
      <c r="N148" s="32">
        <f t="shared" si="6"/>
        <v>71</v>
      </c>
      <c r="O148" s="33" t="str">
        <f t="shared" si="7"/>
        <v>VENCIDA</v>
      </c>
      <c r="P148" s="34">
        <f>LET(
  idVenta, I148&amp;"",
  montoTotal, M148,
  pagos, IFERROR(SUMIF(Aux_Datos!$B:$B, idVenta, Aux_Datos!$K:$K), 0),
  retenciones, IFERROR(SUMIF(Aux_Datos!$N:$N, idVenta, Aux_Datos!$R:$R), 0),
  pagos + retenciones
)</f>
        <v>340</v>
      </c>
      <c r="Q148" s="30" t="str">
        <f>IF(P148=0, "Sin Pago", 
  LET(
    idVenta, I148&amp;"",
    montoTotalPagado, P148,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48" s="30">
        <f t="shared" si="13"/>
        <v>1443.22</v>
      </c>
      <c r="S148" s="29">
        <f>IF(P148=0, "Sin Pago", 
  IFERROR(
    MAXIFS(Aux_Datos!$A:$A, Aux_Datos!$B:$B, I148&amp;""), 
    IFERROR(MAXIFS(Aux_Datos!$A:$A, Aux_Datos!$B:$B, VALUE(I148)), "Revisar ID")
  )
)</f>
        <v>46196</v>
      </c>
      <c r="T148" s="35" t="str">
        <f t="shared" si="9"/>
        <v>PAGO PARCIAL</v>
      </c>
      <c r="U148" s="35" t="str">
        <f t="shared" si="10"/>
        <v>CRÍTICO: VENCIDA</v>
      </c>
      <c r="V148" s="32">
        <f t="shared" si="11"/>
        <v>4</v>
      </c>
      <c r="W148" s="36" t="str">
        <f>IF(P148=0, "Sin Pago", 
  LET(
    monedaPago, Q148, 
    descuentoAplicado, G148,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48" s="36" t="str">
        <f t="shared" si="12"/>
        <v/>
      </c>
      <c r="Y148" s="36">
        <v>340.0</v>
      </c>
      <c r="Z148" s="33" t="s">
        <v>609</v>
      </c>
      <c r="AA148" s="33"/>
      <c r="AB148" s="33"/>
      <c r="AC148" s="33"/>
      <c r="AD148" s="33"/>
      <c r="AE148" s="33"/>
      <c r="AF148" s="33"/>
    </row>
    <row r="149" ht="22.5" customHeight="1">
      <c r="A149" s="23" t="s">
        <v>736</v>
      </c>
      <c r="B149" s="24">
        <v>46113.53188657408</v>
      </c>
      <c r="C149" s="23" t="s">
        <v>618</v>
      </c>
      <c r="D149" s="23" t="s">
        <v>353</v>
      </c>
      <c r="E149" s="25">
        <v>140.99</v>
      </c>
      <c r="F149" s="23" t="s">
        <v>619</v>
      </c>
      <c r="G149" s="26">
        <f>IF($E149=0,0,IF(SUMIF(Aux_Datos!$B:$B,$I149,Aux_Datos!$K:$K)/$E149&gt;=VLOOKUP(IF(COUNTIFS(Aux_Datos!$B:$B,$I149,Aux_Datos!$D:$D,"&lt;&gt;USD")=0,"USD","VES"),'Limites de Descuento'!$A$2:$D$4,4,FALSE),MAX(0,1-SUMIF(Aux_Datos!$B:$B,$I149,Aux_Datos!$K:$K)/$E149),0))</f>
        <v>0</v>
      </c>
      <c r="H149" s="27"/>
      <c r="I149" s="28">
        <f t="shared" si="14"/>
        <v>181</v>
      </c>
      <c r="J149" s="29">
        <f t="shared" si="2"/>
        <v>46113</v>
      </c>
      <c r="K149" s="30">
        <f t="shared" si="3"/>
        <v>15</v>
      </c>
      <c r="L149" s="29">
        <f t="shared" si="4"/>
        <v>46129</v>
      </c>
      <c r="M149" s="30">
        <f t="shared" si="5"/>
        <v>140.99</v>
      </c>
      <c r="N149" s="32">
        <f t="shared" si="6"/>
        <v>0</v>
      </c>
      <c r="O149" s="33" t="str">
        <f t="shared" si="7"/>
        <v>PAGADA</v>
      </c>
      <c r="P149" s="34">
        <f>LET(
  idVenta, I149&amp;"",
  montoTotal, M149,
  pagos, IFERROR(SUMIF(Aux_Datos!$B:$B, idVenta, Aux_Datos!$K:$K), 0),
  retenciones, IFERROR(SUMIF(Aux_Datos!$N:$N, idVenta, Aux_Datos!$R:$R), 0),
  pagos + retenciones
)</f>
        <v>141</v>
      </c>
      <c r="Q149" s="30" t="str">
        <f>IF(P149=0, "Sin Pago", 
  LET(
    idVenta, I149&amp;"",
    montoTotalPagado, P149,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49" s="30">
        <f t="shared" si="13"/>
        <v>-0.01</v>
      </c>
      <c r="S149" s="29">
        <f>IF(P149=0, "Sin Pago", 
  IFERROR(
    MAXIFS(Aux_Datos!$A:$A, Aux_Datos!$B:$B, I149&amp;""), 
    IFERROR(MAXIFS(Aux_Datos!$A:$A, Aux_Datos!$B:$B, VALUE(I149)), "Revisar ID")
  )
)</f>
        <v>46135</v>
      </c>
      <c r="T149" s="35" t="str">
        <f t="shared" si="9"/>
        <v>PAGADA</v>
      </c>
      <c r="U149" s="35" t="str">
        <f t="shared" si="10"/>
        <v>SOLVENTE</v>
      </c>
      <c r="V149" s="32">
        <f t="shared" si="11"/>
        <v>0</v>
      </c>
      <c r="W149" s="36" t="str">
        <f>IF(P149=0, "Sin Pago", 
  LET(
    monedaPago, Q149, 
    descuentoAplicado, G149,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49" s="36" t="str">
        <f t="shared" si="12"/>
        <v/>
      </c>
      <c r="Y149" s="36">
        <v>141.0</v>
      </c>
      <c r="Z149" s="33" t="s">
        <v>596</v>
      </c>
      <c r="AA149" s="33"/>
      <c r="AB149" s="33"/>
      <c r="AC149" s="33"/>
      <c r="AD149" s="33"/>
      <c r="AE149" s="33"/>
      <c r="AF149" s="33"/>
    </row>
    <row r="150" ht="22.5" customHeight="1">
      <c r="A150" s="23" t="s">
        <v>6</v>
      </c>
      <c r="B150" s="24">
        <v>46113.70196759259</v>
      </c>
      <c r="C150" s="23" t="s">
        <v>5</v>
      </c>
      <c r="D150" s="23" t="s">
        <v>552</v>
      </c>
      <c r="E150" s="25">
        <v>180.0</v>
      </c>
      <c r="F150" s="23" t="s">
        <v>593</v>
      </c>
      <c r="G150" s="26">
        <f>IF($E150=0,0,IF(SUMIF(Aux_Datos!$B:$B,$I150,Aux_Datos!$K:$K)/$E150&gt;=VLOOKUP(IF(COUNTIFS(Aux_Datos!$B:$B,$I150,Aux_Datos!$D:$D,"&lt;&gt;USD")=0,"USD","VES"),'Limites de Descuento'!$A$2:$D$4,4,FALSE),MAX(0,1-SUMIF(Aux_Datos!$B:$B,$I150,Aux_Datos!$K:$K)/$E150),0))</f>
        <v>0</v>
      </c>
      <c r="H150" s="27"/>
      <c r="I150" s="28">
        <f t="shared" si="14"/>
        <v>182</v>
      </c>
      <c r="J150" s="29">
        <f t="shared" si="2"/>
        <v>46113</v>
      </c>
      <c r="K150" s="30">
        <f t="shared" si="3"/>
        <v>0</v>
      </c>
      <c r="L150" s="29">
        <f t="shared" si="4"/>
        <v>46114</v>
      </c>
      <c r="M150" s="30">
        <f t="shared" si="5"/>
        <v>180</v>
      </c>
      <c r="N150" s="32">
        <f t="shared" si="6"/>
        <v>86</v>
      </c>
      <c r="O150" s="33" t="str">
        <f t="shared" si="7"/>
        <v>VENCIDA</v>
      </c>
      <c r="P150" s="34">
        <f>LET(
  idVenta, I150&amp;"",
  montoTotal, M150,
  pagos, IFERROR(SUMIF(Aux_Datos!$B:$B, idVenta, Aux_Datos!$K:$K), 0),
  retenciones, IFERROR(SUMIF(Aux_Datos!$N:$N, idVenta, Aux_Datos!$R:$R), 0),
  pagos + retenciones
)</f>
        <v>115.92</v>
      </c>
      <c r="Q150" s="30" t="str">
        <f>IF(P150=0, "Sin Pago", 
  LET(
    idVenta, I150&amp;"",
    montoTotalPagado, P150,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50" s="30">
        <f t="shared" si="13"/>
        <v>64.08</v>
      </c>
      <c r="S150" s="29">
        <f>IF(P150=0, "Sin Pago", 
  IFERROR(
    MAXIFS(Aux_Datos!$A:$A, Aux_Datos!$B:$B, I150&amp;""), 
    IFERROR(MAXIFS(Aux_Datos!$A:$A, Aux_Datos!$B:$B, VALUE(I150)), "Revisar ID")
  )
)</f>
        <v>46119</v>
      </c>
      <c r="T150" s="35" t="str">
        <f t="shared" si="9"/>
        <v>PAGO PARCIAL</v>
      </c>
      <c r="U150" s="35" t="str">
        <f t="shared" si="10"/>
        <v>CRÍTICO: VENCIDA</v>
      </c>
      <c r="V150" s="32">
        <f t="shared" si="11"/>
        <v>81</v>
      </c>
      <c r="W150" s="36" t="str">
        <f>IF(P150=0, "Sin Pago", 
  LET(
    monedaPago, Q150, 
    descuentoAplicado, G150,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50" s="36" t="str">
        <f t="shared" si="12"/>
        <v/>
      </c>
      <c r="Y150" s="36">
        <v>115.92</v>
      </c>
      <c r="Z150" s="33" t="s">
        <v>609</v>
      </c>
      <c r="AA150" s="33"/>
      <c r="AB150" s="33"/>
      <c r="AC150" s="33"/>
      <c r="AD150" s="33"/>
      <c r="AE150" s="33"/>
      <c r="AF150" s="33"/>
    </row>
    <row r="151" ht="22.5" customHeight="1">
      <c r="A151" s="23" t="s">
        <v>169</v>
      </c>
      <c r="B151" s="24">
        <v>46118.371296296296</v>
      </c>
      <c r="C151" s="23" t="s">
        <v>168</v>
      </c>
      <c r="D151" s="23" t="s">
        <v>323</v>
      </c>
      <c r="E151" s="25">
        <v>1177.4</v>
      </c>
      <c r="F151" s="23" t="s">
        <v>608</v>
      </c>
      <c r="G151" s="26">
        <f>IF($E151=0,0,IF(SUMIF(Aux_Datos!$B:$B,$I151,Aux_Datos!$K:$K)/$E151&gt;=VLOOKUP(IF(COUNTIFS(Aux_Datos!$B:$B,$I151,Aux_Datos!$D:$D,"&lt;&gt;USD")=0,"USD","VES"),'Limites de Descuento'!$A$2:$D$4,4,FALSE),MAX(0,1-SUMIF(Aux_Datos!$B:$B,$I151,Aux_Datos!$K:$K)/$E151),0))</f>
        <v>0.000008819053414</v>
      </c>
      <c r="H151" s="27"/>
      <c r="I151" s="28">
        <f t="shared" si="14"/>
        <v>183</v>
      </c>
      <c r="J151" s="29">
        <f t="shared" si="2"/>
        <v>46118</v>
      </c>
      <c r="K151" s="30">
        <f t="shared" si="3"/>
        <v>7</v>
      </c>
      <c r="L151" s="29">
        <f t="shared" si="4"/>
        <v>46126</v>
      </c>
      <c r="M151" s="30">
        <f t="shared" si="5"/>
        <v>1177.389616</v>
      </c>
      <c r="N151" s="32">
        <f t="shared" si="6"/>
        <v>74</v>
      </c>
      <c r="O151" s="33" t="str">
        <f t="shared" si="7"/>
        <v>VENCIDA</v>
      </c>
      <c r="P151" s="37">
        <v>64.8</v>
      </c>
      <c r="Q151" s="30" t="str">
        <f>IF(P151=0, "Sin Pago", 
  LET(
    idVenta, I151&amp;"",
    montoTotalPagado, P151,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151" s="30">
        <f t="shared" si="13"/>
        <v>1112.589616</v>
      </c>
      <c r="S151" s="29">
        <f>IF(P151=0, "Sin Pago", 
  IFERROR(
    MAXIFS(Aux_Datos!$A:$A, Aux_Datos!$B:$B, I151&amp;""), 
    IFERROR(MAXIFS(Aux_Datos!$A:$A, Aux_Datos!$B:$B, VALUE(I151)), "Revisar ID")
  )
)</f>
        <v>46122</v>
      </c>
      <c r="T151" s="35" t="str">
        <f t="shared" si="9"/>
        <v>PAGO PARCIAL</v>
      </c>
      <c r="U151" s="35" t="str">
        <f t="shared" si="10"/>
        <v>CRÍTICO: VENCIDA</v>
      </c>
      <c r="V151" s="32">
        <f t="shared" si="11"/>
        <v>78</v>
      </c>
      <c r="W151" s="36" t="str">
        <f>IF(P151=0, "Sin Pago", 
  LET(
    monedaPago, Q151, 
    descuentoAplicado, G151,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51" s="36" t="str">
        <f t="shared" si="12"/>
        <v/>
      </c>
      <c r="Y151" s="36">
        <v>1177.3896164465104</v>
      </c>
      <c r="Z151" s="33" t="s">
        <v>609</v>
      </c>
      <c r="AA151" s="33"/>
      <c r="AB151" s="33"/>
      <c r="AC151" s="33"/>
      <c r="AD151" s="33"/>
      <c r="AE151" s="33"/>
      <c r="AF151" s="33"/>
    </row>
    <row r="152" ht="22.5" customHeight="1">
      <c r="A152" s="23" t="s">
        <v>7</v>
      </c>
      <c r="B152" s="24">
        <v>46118.35650462963</v>
      </c>
      <c r="C152" s="23" t="s">
        <v>5</v>
      </c>
      <c r="D152" s="23" t="s">
        <v>552</v>
      </c>
      <c r="E152" s="25">
        <v>107.96</v>
      </c>
      <c r="F152" s="23" t="s">
        <v>593</v>
      </c>
      <c r="G152" s="26">
        <f>IF($E152=0,0,IF(SUMIF(Aux_Datos!$B:$B,$I152,Aux_Datos!$K:$K)/$E152&gt;=VLOOKUP(IF(COUNTIFS(Aux_Datos!$B:$B,$I152,Aux_Datos!$D:$D,"&lt;&gt;USD")=0,"USD","VES"),'Limites de Descuento'!$A$2:$D$4,4,FALSE),MAX(0,1-SUMIF(Aux_Datos!$B:$B,$I152,Aux_Datos!$K:$K)/$E152),0))</f>
        <v>0</v>
      </c>
      <c r="H152" s="27"/>
      <c r="I152" s="28">
        <f t="shared" si="14"/>
        <v>184</v>
      </c>
      <c r="J152" s="29">
        <f t="shared" si="2"/>
        <v>46118</v>
      </c>
      <c r="K152" s="30">
        <f t="shared" si="3"/>
        <v>0</v>
      </c>
      <c r="L152" s="29">
        <f t="shared" si="4"/>
        <v>46119</v>
      </c>
      <c r="M152" s="30">
        <f t="shared" si="5"/>
        <v>107.96</v>
      </c>
      <c r="N152" s="32">
        <f t="shared" si="6"/>
        <v>81</v>
      </c>
      <c r="O152" s="33" t="str">
        <f t="shared" si="7"/>
        <v>VENCIDA</v>
      </c>
      <c r="P152" s="34">
        <f>LET(
  idVenta, I152&amp;"",
  montoTotal, M152,
  pagos, IFERROR(SUMIF(Aux_Datos!$B:$B, idVenta, Aux_Datos!$K:$K), 0),
  retenciones, IFERROR(SUMIF(Aux_Datos!$N:$N, idVenta, Aux_Datos!$R:$R), 0),
  pagos + retenciones
)</f>
        <v>64.8</v>
      </c>
      <c r="Q152" s="30" t="str">
        <f>IF(P152=0, "Sin Pago", 
  LET(
    idVenta, I152&amp;"",
    montoTotalPagado, P152,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52" s="30">
        <f t="shared" si="13"/>
        <v>43.16</v>
      </c>
      <c r="S152" s="29">
        <f>IF(P152=0, "Sin Pago", 
  IFERROR(
    MAXIFS(Aux_Datos!$A:$A, Aux_Datos!$B:$B, I152&amp;""), 
    IFERROR(MAXIFS(Aux_Datos!$A:$A, Aux_Datos!$B:$B, VALUE(I152)), "Revisar ID")
  )
)</f>
        <v>46119</v>
      </c>
      <c r="T152" s="35" t="str">
        <f t="shared" si="9"/>
        <v>PAGO PARCIAL</v>
      </c>
      <c r="U152" s="35" t="str">
        <f t="shared" si="10"/>
        <v>CRÍTICO: VENCIDA</v>
      </c>
      <c r="V152" s="32">
        <f t="shared" si="11"/>
        <v>81</v>
      </c>
      <c r="W152" s="36" t="str">
        <f>IF(P152=0, "Sin Pago", 
  LET(
    monedaPago, Q152, 
    descuentoAplicado, G152,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52" s="36" t="str">
        <f t="shared" si="12"/>
        <v/>
      </c>
      <c r="Y152" s="36">
        <v>64.8</v>
      </c>
      <c r="Z152" s="33" t="s">
        <v>609</v>
      </c>
      <c r="AA152" s="33"/>
      <c r="AB152" s="33"/>
      <c r="AC152" s="33"/>
      <c r="AD152" s="33"/>
      <c r="AE152" s="33"/>
      <c r="AF152" s="33"/>
    </row>
    <row r="153" ht="22.5" customHeight="1">
      <c r="A153" s="23" t="s">
        <v>737</v>
      </c>
      <c r="B153" s="24">
        <v>46119.35603009259</v>
      </c>
      <c r="C153" s="23" t="s">
        <v>738</v>
      </c>
      <c r="D153" s="23" t="s">
        <v>323</v>
      </c>
      <c r="E153" s="25">
        <v>157.76</v>
      </c>
      <c r="F153" s="23" t="s">
        <v>608</v>
      </c>
      <c r="G153" s="26">
        <f>IF($E153=0,0,IF(SUMIF(Aux_Datos!$B:$B,$I153,Aux_Datos!$K:$K)/$E153&gt;=VLOOKUP(IF(COUNTIFS(Aux_Datos!$B:$B,$I153,Aux_Datos!$D:$D,"&lt;&gt;USD")=0,"USD","VES"),'Limites de Descuento'!$A$2:$D$4,4,FALSE),MAX(0,1-SUMIF(Aux_Datos!$B:$B,$I153,Aux_Datos!$K:$K)/$E153),0))</f>
        <v>0.001989306366</v>
      </c>
      <c r="H153" s="27"/>
      <c r="I153" s="28">
        <f t="shared" si="14"/>
        <v>185</v>
      </c>
      <c r="J153" s="29">
        <f t="shared" si="2"/>
        <v>46119</v>
      </c>
      <c r="K153" s="30">
        <f t="shared" si="3"/>
        <v>7</v>
      </c>
      <c r="L153" s="29">
        <f t="shared" si="4"/>
        <v>46127</v>
      </c>
      <c r="M153" s="30">
        <f t="shared" si="5"/>
        <v>157.446167</v>
      </c>
      <c r="N153" s="32">
        <f t="shared" si="6"/>
        <v>0</v>
      </c>
      <c r="O153" s="33" t="str">
        <f t="shared" si="7"/>
        <v>PAGADA</v>
      </c>
      <c r="P153" s="34">
        <f>LET(
  idVenta, I153&amp;"",
  montoTotal, M153,
  pagos, IFERROR(SUMIF(Aux_Datos!$B:$B, idVenta, Aux_Datos!$K:$K), 0),
  retenciones, IFERROR(SUMIF(Aux_Datos!$N:$N, idVenta, Aux_Datos!$R:$R), 0),
  pagos + retenciones
)</f>
        <v>157.446167</v>
      </c>
      <c r="Q153" s="30" t="str">
        <f>IF(P153=0, "Sin Pago", 
  LET(
    idVenta, I153&amp;"",
    montoTotalPagado, P153,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153" s="30">
        <f t="shared" si="13"/>
        <v>0</v>
      </c>
      <c r="S153" s="29">
        <f>IF(P153=0, "Sin Pago", 
  IFERROR(
    MAXIFS(Aux_Datos!$A:$A, Aux_Datos!$B:$B, I153&amp;""), 
    IFERROR(MAXIFS(Aux_Datos!$A:$A, Aux_Datos!$B:$B, VALUE(I153)), "Revisar ID")
  )
)</f>
        <v>46120</v>
      </c>
      <c r="T153" s="35" t="str">
        <f t="shared" si="9"/>
        <v>PAGADA</v>
      </c>
      <c r="U153" s="35" t="str">
        <f t="shared" si="10"/>
        <v>SOLVENTE</v>
      </c>
      <c r="V153" s="32">
        <f t="shared" si="11"/>
        <v>0</v>
      </c>
      <c r="W153" s="36" t="str">
        <f>IF(P153=0, "Sin Pago", 
  LET(
    monedaPago, Q153, 
    descuentoAplicado, G153,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53" s="36" t="str">
        <f t="shared" si="12"/>
        <v/>
      </c>
      <c r="Y153" s="36">
        <v>157.44616702765768</v>
      </c>
      <c r="Z153" s="33" t="s">
        <v>596</v>
      </c>
      <c r="AA153" s="33"/>
      <c r="AB153" s="33"/>
      <c r="AC153" s="33"/>
      <c r="AD153" s="33"/>
      <c r="AE153" s="33"/>
      <c r="AF153" s="33"/>
    </row>
    <row r="154" ht="22.5" customHeight="1">
      <c r="A154" s="23" t="s">
        <v>203</v>
      </c>
      <c r="B154" s="24">
        <v>46118.688125</v>
      </c>
      <c r="C154" s="23" t="s">
        <v>202</v>
      </c>
      <c r="D154" s="23" t="s">
        <v>353</v>
      </c>
      <c r="E154" s="25">
        <v>164.72</v>
      </c>
      <c r="F154" s="23" t="s">
        <v>619</v>
      </c>
      <c r="G154" s="26">
        <f>IF($E154=0,0,IF(SUMIF(Aux_Datos!$B:$B,$I154,Aux_Datos!$K:$K)/$E154&gt;=VLOOKUP(IF(COUNTIFS(Aux_Datos!$B:$B,$I154,Aux_Datos!$D:$D,"&lt;&gt;USD")=0,"USD","VES"),'Limites de Descuento'!$A$2:$D$4,4,FALSE),MAX(0,1-SUMIF(Aux_Datos!$B:$B,$I154,Aux_Datos!$K:$K)/$E154),0))</f>
        <v>0</v>
      </c>
      <c r="H154" s="27"/>
      <c r="I154" s="28">
        <f t="shared" si="14"/>
        <v>186</v>
      </c>
      <c r="J154" s="29">
        <f t="shared" si="2"/>
        <v>46118</v>
      </c>
      <c r="K154" s="30">
        <f t="shared" si="3"/>
        <v>15</v>
      </c>
      <c r="L154" s="29">
        <f t="shared" si="4"/>
        <v>46134</v>
      </c>
      <c r="M154" s="30">
        <f t="shared" si="5"/>
        <v>164.72</v>
      </c>
      <c r="N154" s="32">
        <f t="shared" si="6"/>
        <v>66</v>
      </c>
      <c r="O154" s="33" t="str">
        <f t="shared" si="7"/>
        <v>VENCIDA</v>
      </c>
      <c r="P154" s="34">
        <f>LET(
  idVenta, I154&amp;"",
  montoTotal, M154,
  pagos, IFERROR(SUMIF(Aux_Datos!$B:$B, idVenta, Aux_Datos!$K:$K), 0),
  retenciones, IFERROR(SUMIF(Aux_Datos!$N:$N, idVenta, Aux_Datos!$R:$R), 0),
  pagos + retenciones
)</f>
        <v>96</v>
      </c>
      <c r="Q154" s="30" t="str">
        <f>IF(P154=0, "Sin Pago", 
  LET(
    idVenta, I154&amp;"",
    montoTotalPagado, P154,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54" s="30">
        <f t="shared" si="13"/>
        <v>68.72</v>
      </c>
      <c r="S154" s="29">
        <f>IF(P154=0, "Sin Pago", 
  IFERROR(
    MAXIFS(Aux_Datos!$A:$A, Aux_Datos!$B:$B, I154&amp;""), 
    IFERROR(MAXIFS(Aux_Datos!$A:$A, Aux_Datos!$B:$B, VALUE(I154)), "Revisar ID")
  )
)</f>
        <v>46161</v>
      </c>
      <c r="T154" s="35" t="str">
        <f t="shared" si="9"/>
        <v>PAGO PARCIAL</v>
      </c>
      <c r="U154" s="35" t="str">
        <f t="shared" si="10"/>
        <v>CRÍTICO: VENCIDA</v>
      </c>
      <c r="V154" s="32">
        <f t="shared" si="11"/>
        <v>39</v>
      </c>
      <c r="W154" s="36" t="str">
        <f>IF(P154=0, "Sin Pago", 
  LET(
    monedaPago, Q154, 
    descuentoAplicado, G154,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54" s="36" t="str">
        <f t="shared" si="12"/>
        <v/>
      </c>
      <c r="Y154" s="36">
        <v>96.0</v>
      </c>
      <c r="Z154" s="33" t="s">
        <v>609</v>
      </c>
      <c r="AA154" s="33"/>
      <c r="AB154" s="33"/>
      <c r="AC154" s="33"/>
      <c r="AD154" s="33"/>
      <c r="AE154" s="33"/>
      <c r="AF154" s="33"/>
    </row>
    <row r="155" ht="22.5" customHeight="1">
      <c r="A155" s="23" t="s">
        <v>205</v>
      </c>
      <c r="B155" s="24">
        <v>46119.73662037037</v>
      </c>
      <c r="C155" s="23" t="s">
        <v>204</v>
      </c>
      <c r="D155" s="23" t="s">
        <v>353</v>
      </c>
      <c r="E155" s="25">
        <v>180.96</v>
      </c>
      <c r="F155" s="23" t="s">
        <v>619</v>
      </c>
      <c r="G155" s="26">
        <f>IF($E155=0,0,IF(SUMIF(Aux_Datos!$B:$B,$I155,Aux_Datos!$K:$K)/$E155&gt;=VLOOKUP(IF(COUNTIFS(Aux_Datos!$B:$B,$I155,Aux_Datos!$D:$D,"&lt;&gt;USD")=0,"USD","VES"),'Limites de Descuento'!$A$2:$D$4,4,FALSE),MAX(0,1-SUMIF(Aux_Datos!$B:$B,$I155,Aux_Datos!$K:$K)/$E155),0))</f>
        <v>0</v>
      </c>
      <c r="H155" s="27"/>
      <c r="I155" s="28">
        <f t="shared" si="14"/>
        <v>187</v>
      </c>
      <c r="J155" s="29">
        <f t="shared" si="2"/>
        <v>46119</v>
      </c>
      <c r="K155" s="30">
        <f t="shared" si="3"/>
        <v>15</v>
      </c>
      <c r="L155" s="29">
        <f t="shared" si="4"/>
        <v>46135</v>
      </c>
      <c r="M155" s="30">
        <f t="shared" si="5"/>
        <v>180.96</v>
      </c>
      <c r="N155" s="32">
        <f t="shared" si="6"/>
        <v>65</v>
      </c>
      <c r="O155" s="33" t="str">
        <f t="shared" si="7"/>
        <v>VENCIDA</v>
      </c>
      <c r="P155" s="34">
        <f>LET(
  idVenta, I155&amp;"",
  montoTotal, M155,
  pagos, IFERROR(SUMIF(Aux_Datos!$B:$B, idVenta, Aux_Datos!$K:$K), 0),
  retenciones, IFERROR(SUMIF(Aux_Datos!$N:$N, idVenta, Aux_Datos!$R:$R), 0),
  pagos + retenciones
)</f>
        <v>117</v>
      </c>
      <c r="Q155" s="30" t="str">
        <f>IF(P155=0, "Sin Pago", 
  LET(
    idVenta, I155&amp;"",
    montoTotalPagado, P155,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55" s="30">
        <f t="shared" si="13"/>
        <v>63.96</v>
      </c>
      <c r="S155" s="29">
        <f>IF(P155=0, "Sin Pago", 
  IFERROR(
    MAXIFS(Aux_Datos!$A:$A, Aux_Datos!$B:$B, I155&amp;""), 
    IFERROR(MAXIFS(Aux_Datos!$A:$A, Aux_Datos!$B:$B, VALUE(I155)), "Revisar ID")
  )
)</f>
        <v>46154</v>
      </c>
      <c r="T155" s="35" t="str">
        <f t="shared" si="9"/>
        <v>PAGO PARCIAL</v>
      </c>
      <c r="U155" s="35" t="str">
        <f t="shared" si="10"/>
        <v>CRÍTICO: VENCIDA</v>
      </c>
      <c r="V155" s="32">
        <f t="shared" si="11"/>
        <v>46</v>
      </c>
      <c r="W155" s="36" t="str">
        <f>IF(P155=0, "Sin Pago", 
  LET(
    monedaPago, Q155, 
    descuentoAplicado, G155,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55" s="36" t="str">
        <f t="shared" si="12"/>
        <v/>
      </c>
      <c r="Y155" s="36">
        <v>117.0</v>
      </c>
      <c r="Z155" s="33" t="s">
        <v>609</v>
      </c>
      <c r="AA155" s="33"/>
      <c r="AB155" s="33"/>
      <c r="AC155" s="33"/>
      <c r="AD155" s="33"/>
      <c r="AE155" s="33"/>
      <c r="AF155" s="33"/>
    </row>
    <row r="156" ht="22.5" customHeight="1">
      <c r="A156" s="23" t="s">
        <v>739</v>
      </c>
      <c r="B156" s="24">
        <v>46119.73674768519</v>
      </c>
      <c r="C156" s="23" t="s">
        <v>5</v>
      </c>
      <c r="D156" s="23" t="s">
        <v>552</v>
      </c>
      <c r="E156" s="25">
        <v>143.52</v>
      </c>
      <c r="F156" s="23" t="s">
        <v>593</v>
      </c>
      <c r="G156" s="26">
        <f>IF($E156=0,0,IF(SUMIF(Aux_Datos!$B:$B,$I156,Aux_Datos!$K:$K)/$E156&gt;=VLOOKUP(IF(COUNTIFS(Aux_Datos!$B:$B,$I156,Aux_Datos!$D:$D,"&lt;&gt;USD")=0,"USD","VES"),'Limites de Descuento'!$A$2:$D$4,4,FALSE),MAX(0,1-SUMIF(Aux_Datos!$B:$B,$I156,Aux_Datos!$K:$K)/$E156),0))</f>
        <v>0.003623188406</v>
      </c>
      <c r="H156" s="27"/>
      <c r="I156" s="28">
        <f t="shared" si="14"/>
        <v>188</v>
      </c>
      <c r="J156" s="29">
        <f t="shared" si="2"/>
        <v>46119</v>
      </c>
      <c r="K156" s="30">
        <f t="shared" si="3"/>
        <v>0</v>
      </c>
      <c r="L156" s="29">
        <f t="shared" si="4"/>
        <v>46120</v>
      </c>
      <c r="M156" s="30">
        <f t="shared" si="5"/>
        <v>143</v>
      </c>
      <c r="N156" s="32">
        <f t="shared" si="6"/>
        <v>0</v>
      </c>
      <c r="O156" s="33" t="str">
        <f t="shared" si="7"/>
        <v>PAGADA</v>
      </c>
      <c r="P156" s="34">
        <f>LET(
  idVenta, I156&amp;"",
  montoTotal, M156,
  pagos, IFERROR(SUMIF(Aux_Datos!$B:$B, idVenta, Aux_Datos!$K:$K), 0),
  retenciones, IFERROR(SUMIF(Aux_Datos!$N:$N, idVenta, Aux_Datos!$R:$R), 0),
  pagos + retenciones
)</f>
        <v>143</v>
      </c>
      <c r="Q156" s="30" t="str">
        <f>IF(P156=0, "Sin Pago", 
  LET(
    idVenta, I156&amp;"",
    montoTotalPagado, P156,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56" s="30">
        <f t="shared" si="13"/>
        <v>0</v>
      </c>
      <c r="S156" s="29">
        <f>IF(P156=0, "Sin Pago", 
  IFERROR(
    MAXIFS(Aux_Datos!$A:$A, Aux_Datos!$B:$B, I156&amp;""), 
    IFERROR(MAXIFS(Aux_Datos!$A:$A, Aux_Datos!$B:$B, VALUE(I156)), "Revisar ID")
  )
)</f>
        <v>46121</v>
      </c>
      <c r="T156" s="35" t="str">
        <f t="shared" si="9"/>
        <v>PAGADA</v>
      </c>
      <c r="U156" s="35" t="str">
        <f t="shared" si="10"/>
        <v>SOLVENTE</v>
      </c>
      <c r="V156" s="32">
        <f t="shared" si="11"/>
        <v>0</v>
      </c>
      <c r="W156" s="36" t="str">
        <f>IF(P156=0, "Sin Pago", 
  LET(
    monedaPago, Q156, 
    descuentoAplicado, G156,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56" s="36" t="str">
        <f t="shared" si="12"/>
        <v/>
      </c>
      <c r="Y156" s="36">
        <v>143.0</v>
      </c>
      <c r="Z156" s="33" t="s">
        <v>596</v>
      </c>
      <c r="AA156" s="33"/>
      <c r="AB156" s="33"/>
      <c r="AC156" s="33"/>
      <c r="AD156" s="33"/>
      <c r="AE156" s="33"/>
      <c r="AF156" s="33"/>
    </row>
    <row r="157" ht="22.5" customHeight="1">
      <c r="A157" s="23" t="s">
        <v>740</v>
      </c>
      <c r="B157" s="24">
        <v>46120.592835648145</v>
      </c>
      <c r="C157" s="23" t="s">
        <v>741</v>
      </c>
      <c r="D157" s="23" t="s">
        <v>550</v>
      </c>
      <c r="E157" s="25">
        <v>140.02</v>
      </c>
      <c r="F157" s="23" t="s">
        <v>593</v>
      </c>
      <c r="G157" s="26">
        <f>IF($E157=0,0,IF(SUMIF(Aux_Datos!$B:$B,$I157,Aux_Datos!$K:$K)/$E157&gt;=VLOOKUP(IF(COUNTIFS(Aux_Datos!$B:$B,$I157,Aux_Datos!$D:$D,"&lt;&gt;USD")=0,"USD","VES"),'Limites de Descuento'!$A$2:$D$4,4,FALSE),MAX(0,1-SUMIF(Aux_Datos!$B:$B,$I157,Aux_Datos!$K:$K)/$E157),0))</f>
        <v>0.0001428367376</v>
      </c>
      <c r="H157" s="27"/>
      <c r="I157" s="28">
        <f t="shared" si="14"/>
        <v>189</v>
      </c>
      <c r="J157" s="29">
        <f t="shared" si="2"/>
        <v>46120</v>
      </c>
      <c r="K157" s="30">
        <f t="shared" si="3"/>
        <v>0</v>
      </c>
      <c r="L157" s="29">
        <f t="shared" si="4"/>
        <v>46121</v>
      </c>
      <c r="M157" s="30">
        <f t="shared" si="5"/>
        <v>140</v>
      </c>
      <c r="N157" s="32">
        <f t="shared" si="6"/>
        <v>0</v>
      </c>
      <c r="O157" s="33" t="str">
        <f t="shared" si="7"/>
        <v>PAGADA</v>
      </c>
      <c r="P157" s="34">
        <f>LET(
  idVenta, I157&amp;"",
  montoTotal, M157,
  pagos, IFERROR(SUMIF(Aux_Datos!$B:$B, idVenta, Aux_Datos!$K:$K), 0),
  retenciones, IFERROR(SUMIF(Aux_Datos!$N:$N, idVenta, Aux_Datos!$R:$R), 0),
  pagos + retenciones
)</f>
        <v>140</v>
      </c>
      <c r="Q157" s="30" t="str">
        <f>IF(P157=0, "Sin Pago", 
  LET(
    idVenta, I157&amp;"",
    montoTotalPagado, P157,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57" s="30">
        <f t="shared" si="13"/>
        <v>0</v>
      </c>
      <c r="S157" s="29">
        <f>IF(P157=0, "Sin Pago", 
  IFERROR(
    MAXIFS(Aux_Datos!$A:$A, Aux_Datos!$B:$B, I157&amp;""), 
    IFERROR(MAXIFS(Aux_Datos!$A:$A, Aux_Datos!$B:$B, VALUE(I157)), "Revisar ID")
  )
)</f>
        <v>46154</v>
      </c>
      <c r="T157" s="35" t="str">
        <f t="shared" si="9"/>
        <v>PAGADA</v>
      </c>
      <c r="U157" s="35" t="str">
        <f t="shared" si="10"/>
        <v>SOLVENTE</v>
      </c>
      <c r="V157" s="32">
        <f t="shared" si="11"/>
        <v>0</v>
      </c>
      <c r="W157" s="36" t="str">
        <f>IF(P157=0, "Sin Pago", 
  LET(
    monedaPago, Q157, 
    descuentoAplicado, G157,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57" s="36" t="str">
        <f t="shared" si="12"/>
        <v/>
      </c>
      <c r="Y157" s="36">
        <v>140.0</v>
      </c>
      <c r="Z157" s="33" t="s">
        <v>596</v>
      </c>
      <c r="AA157" s="33"/>
      <c r="AB157" s="33"/>
      <c r="AC157" s="33"/>
      <c r="AD157" s="33"/>
      <c r="AE157" s="33"/>
      <c r="AF157" s="33"/>
    </row>
    <row r="158" ht="22.5" customHeight="1">
      <c r="A158" s="23" t="s">
        <v>63</v>
      </c>
      <c r="B158" s="24">
        <v>46121.4109837963</v>
      </c>
      <c r="C158" s="23" t="s">
        <v>62</v>
      </c>
      <c r="D158" s="23" t="s">
        <v>323</v>
      </c>
      <c r="E158" s="25">
        <v>533.46</v>
      </c>
      <c r="F158" s="23" t="s">
        <v>608</v>
      </c>
      <c r="G158" s="26">
        <f>IF($E158=0,0,IF(SUMIF(Aux_Datos!$B:$B,$I158,Aux_Datos!$K:$K)/$E158&gt;=VLOOKUP(IF(COUNTIFS(Aux_Datos!$B:$B,$I158,Aux_Datos!$D:$D,"&lt;&gt;USD")=0,"USD","VES"),'Limites de Descuento'!$A$2:$D$4,4,FALSE),MAX(0,1-SUMIF(Aux_Datos!$B:$B,$I158,Aux_Datos!$K:$K)/$E158),0))</f>
        <v>0</v>
      </c>
      <c r="H158" s="27"/>
      <c r="I158" s="28">
        <f t="shared" si="14"/>
        <v>190</v>
      </c>
      <c r="J158" s="29">
        <f t="shared" si="2"/>
        <v>46121</v>
      </c>
      <c r="K158" s="30">
        <f t="shared" si="3"/>
        <v>7</v>
      </c>
      <c r="L158" s="29">
        <f t="shared" si="4"/>
        <v>46129</v>
      </c>
      <c r="M158" s="30">
        <f t="shared" si="5"/>
        <v>533.46</v>
      </c>
      <c r="N158" s="32">
        <f t="shared" si="6"/>
        <v>71</v>
      </c>
      <c r="O158" s="33" t="str">
        <f t="shared" si="7"/>
        <v>VENCIDA</v>
      </c>
      <c r="P158" s="34">
        <f>LET(
  idVenta, I158&amp;"",
  montoTotal, M158,
  pagos, IFERROR(SUMIF(Aux_Datos!$B:$B, idVenta, Aux_Datos!$K:$K), 0),
  retenciones, IFERROR(SUMIF(Aux_Datos!$N:$N, idVenta, Aux_Datos!$R:$R), 0),
  pagos + retenciones
)</f>
        <v>345.6025942</v>
      </c>
      <c r="Q158" s="30" t="str">
        <f>IF(P158=0, "Sin Pago", 
  LET(
    idVenta, I158&amp;"",
    montoTotalPagado, P158,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58" s="30">
        <f t="shared" si="13"/>
        <v>187.8574058</v>
      </c>
      <c r="S158" s="29">
        <f>IF(P158=0, "Sin Pago", 
  IFERROR(
    MAXIFS(Aux_Datos!$A:$A, Aux_Datos!$B:$B, I158&amp;""), 
    IFERROR(MAXIFS(Aux_Datos!$A:$A, Aux_Datos!$B:$B, VALUE(I158)), "Revisar ID")
  )
)</f>
        <v>46121</v>
      </c>
      <c r="T158" s="35" t="str">
        <f t="shared" si="9"/>
        <v>PAGO PARCIAL</v>
      </c>
      <c r="U158" s="35" t="str">
        <f t="shared" si="10"/>
        <v>CRÍTICO: VENCIDA</v>
      </c>
      <c r="V158" s="32">
        <f t="shared" si="11"/>
        <v>79</v>
      </c>
      <c r="W158" s="36" t="str">
        <f>IF(P158=0, "Sin Pago", 
  LET(
    monedaPago, Q158, 
    descuentoAplicado, G158,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58" s="36" t="str">
        <f t="shared" si="12"/>
        <v/>
      </c>
      <c r="Y158" s="36">
        <v>345.6025942062502</v>
      </c>
      <c r="Z158" s="33" t="s">
        <v>609</v>
      </c>
      <c r="AA158" s="33"/>
      <c r="AB158" s="33"/>
      <c r="AC158" s="33"/>
      <c r="AD158" s="33"/>
      <c r="AE158" s="33"/>
      <c r="AF158" s="33"/>
    </row>
    <row r="159" ht="22.5" customHeight="1">
      <c r="A159" s="23" t="s">
        <v>214</v>
      </c>
      <c r="B159" s="24">
        <v>46121.78445601852</v>
      </c>
      <c r="C159" s="23" t="s">
        <v>213</v>
      </c>
      <c r="D159" s="23" t="s">
        <v>353</v>
      </c>
      <c r="E159" s="25">
        <v>112.3</v>
      </c>
      <c r="F159" s="23" t="s">
        <v>619</v>
      </c>
      <c r="G159" s="26">
        <f>IF($E159=0,0,IF(SUMIF(Aux_Datos!$B:$B,$I159,Aux_Datos!$K:$K)/$E159&gt;=VLOOKUP(IF(COUNTIFS(Aux_Datos!$B:$B,$I159,Aux_Datos!$D:$D,"&lt;&gt;USD")=0,"USD","VES"),'Limites de Descuento'!$A$2:$D$4,4,FALSE),MAX(0,1-SUMIF(Aux_Datos!$B:$B,$I159,Aux_Datos!$K:$K)/$E159),0))</f>
        <v>0</v>
      </c>
      <c r="H159" s="27"/>
      <c r="I159" s="28">
        <f t="shared" si="14"/>
        <v>192</v>
      </c>
      <c r="J159" s="29">
        <f t="shared" si="2"/>
        <v>46121</v>
      </c>
      <c r="K159" s="30">
        <f t="shared" si="3"/>
        <v>15</v>
      </c>
      <c r="L159" s="29">
        <f t="shared" si="4"/>
        <v>46137</v>
      </c>
      <c r="M159" s="30">
        <f t="shared" si="5"/>
        <v>112.3</v>
      </c>
      <c r="N159" s="32">
        <f t="shared" si="6"/>
        <v>63</v>
      </c>
      <c r="O159" s="33" t="str">
        <f t="shared" si="7"/>
        <v>VENCIDA</v>
      </c>
      <c r="P159" s="34">
        <f>LET(
  idVenta, I159&amp;"",
  montoTotal, M159,
  pagos, IFERROR(SUMIF(Aux_Datos!$B:$B, idVenta, Aux_Datos!$K:$K), 0),
  retenciones, IFERROR(SUMIF(Aux_Datos!$N:$N, idVenta, Aux_Datos!$R:$R), 0),
  pagos + retenciones
)</f>
        <v>70</v>
      </c>
      <c r="Q159" s="30" t="str">
        <f>IF(P159=0, "Sin Pago", 
  LET(
    idVenta, I159&amp;"",
    montoTotalPagado, P159,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59" s="30">
        <f t="shared" si="13"/>
        <v>42.3</v>
      </c>
      <c r="S159" s="29">
        <f>IF(P159=0, "Sin Pago", 
  IFERROR(
    MAXIFS(Aux_Datos!$A:$A, Aux_Datos!$B:$B, I159&amp;""), 
    IFERROR(MAXIFS(Aux_Datos!$A:$A, Aux_Datos!$B:$B, VALUE(I159)), "Revisar ID")
  )
)</f>
        <v>46174</v>
      </c>
      <c r="T159" s="35" t="str">
        <f t="shared" si="9"/>
        <v>PAGO PARCIAL</v>
      </c>
      <c r="U159" s="35" t="str">
        <f t="shared" si="10"/>
        <v>CRÍTICO: VENCIDA</v>
      </c>
      <c r="V159" s="32">
        <f t="shared" si="11"/>
        <v>26</v>
      </c>
      <c r="W159" s="36" t="str">
        <f>IF(P159=0, "Sin Pago", 
  LET(
    monedaPago, Q159, 
    descuentoAplicado, G159,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59" s="36" t="str">
        <f t="shared" si="12"/>
        <v/>
      </c>
      <c r="Y159" s="36">
        <v>70.0</v>
      </c>
      <c r="Z159" s="33" t="s">
        <v>609</v>
      </c>
      <c r="AA159" s="33"/>
      <c r="AB159" s="33"/>
      <c r="AC159" s="33"/>
      <c r="AD159" s="33"/>
      <c r="AE159" s="33"/>
      <c r="AF159" s="33"/>
    </row>
    <row r="160" ht="22.5" customHeight="1">
      <c r="A160" s="23" t="s">
        <v>742</v>
      </c>
      <c r="B160" s="24">
        <v>46121.69390046296</v>
      </c>
      <c r="C160" s="23" t="s">
        <v>47</v>
      </c>
      <c r="D160" s="23" t="s">
        <v>323</v>
      </c>
      <c r="E160" s="25">
        <v>680.77</v>
      </c>
      <c r="F160" s="23" t="s">
        <v>608</v>
      </c>
      <c r="G160" s="26">
        <f>IF($E160=0,0,IF(SUMIF(Aux_Datos!$B:$B,$I160,Aux_Datos!$K:$K)/$E160&gt;=VLOOKUP(IF(COUNTIFS(Aux_Datos!$B:$B,$I160,Aux_Datos!$D:$D,"&lt;&gt;USD")=0,"USD","VES"),'Limites de Descuento'!$A$2:$D$4,4,FALSE),MAX(0,1-SUMIF(Aux_Datos!$B:$B,$I160,Aux_Datos!$K:$K)/$E160),0))</f>
        <v>0</v>
      </c>
      <c r="H160" s="27"/>
      <c r="I160" s="28">
        <f t="shared" si="14"/>
        <v>195</v>
      </c>
      <c r="J160" s="29">
        <f t="shared" si="2"/>
        <v>46121</v>
      </c>
      <c r="K160" s="30">
        <f t="shared" si="3"/>
        <v>7</v>
      </c>
      <c r="L160" s="29">
        <f t="shared" si="4"/>
        <v>46129</v>
      </c>
      <c r="M160" s="30">
        <f t="shared" si="5"/>
        <v>680.77</v>
      </c>
      <c r="N160" s="32">
        <f t="shared" si="6"/>
        <v>0</v>
      </c>
      <c r="O160" s="33" t="str">
        <f t="shared" si="7"/>
        <v>PAGADA</v>
      </c>
      <c r="P160" s="34">
        <f>LET(
  idVenta, I160&amp;"",
  montoTotal, M160,
  pagos, IFERROR(SUMIF(Aux_Datos!$B:$B, idVenta, Aux_Datos!$K:$K), 0),
  retenciones, IFERROR(SUMIF(Aux_Datos!$N:$N, idVenta, Aux_Datos!$R:$R), 0),
  pagos + retenciones
)</f>
        <v>681</v>
      </c>
      <c r="Q160" s="30" t="str">
        <f>IF(P160=0, "Sin Pago", 
  LET(
    idVenta, I160&amp;"",
    montoTotalPagado, P160,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60" s="30">
        <f t="shared" si="13"/>
        <v>-0.23</v>
      </c>
      <c r="S160" s="29">
        <f>IF(P160=0, "Sin Pago", 
  IFERROR(
    MAXIFS(Aux_Datos!$A:$A, Aux_Datos!$B:$B, I160&amp;""), 
    IFERROR(MAXIFS(Aux_Datos!$A:$A, Aux_Datos!$B:$B, VALUE(I160)), "Revisar ID")
  )
)</f>
        <v>46121</v>
      </c>
      <c r="T160" s="35" t="str">
        <f t="shared" si="9"/>
        <v>PAGADA</v>
      </c>
      <c r="U160" s="35" t="str">
        <f t="shared" si="10"/>
        <v>SOLVENTE</v>
      </c>
      <c r="V160" s="32">
        <f t="shared" si="11"/>
        <v>0</v>
      </c>
      <c r="W160" s="36" t="str">
        <f>IF(P160=0, "Sin Pago", 
  LET(
    monedaPago, Q160, 
    descuentoAplicado, G160,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60" s="36" t="str">
        <f t="shared" si="12"/>
        <v/>
      </c>
      <c r="Y160" s="36">
        <v>681.0</v>
      </c>
      <c r="Z160" s="33" t="s">
        <v>596</v>
      </c>
      <c r="AA160" s="33"/>
      <c r="AB160" s="33"/>
      <c r="AC160" s="33"/>
      <c r="AD160" s="33"/>
      <c r="AE160" s="33"/>
      <c r="AF160" s="33"/>
    </row>
    <row r="161" ht="22.5" customHeight="1">
      <c r="A161" s="23" t="s">
        <v>743</v>
      </c>
      <c r="B161" s="24">
        <v>46121.75408564815</v>
      </c>
      <c r="C161" s="23" t="s">
        <v>744</v>
      </c>
      <c r="D161" s="23" t="s">
        <v>546</v>
      </c>
      <c r="E161" s="25">
        <v>214.6</v>
      </c>
      <c r="F161" s="23" t="s">
        <v>593</v>
      </c>
      <c r="G161" s="26">
        <f>IF($E161=0,0,IF(SUMIF(Aux_Datos!$B:$B,$I161,Aux_Datos!$K:$K)/$E161&gt;=VLOOKUP(IF(COUNTIFS(Aux_Datos!$B:$B,$I161,Aux_Datos!$D:$D,"&lt;&gt;USD")=0,"USD","VES"),'Limites de Descuento'!$A$2:$D$4,4,FALSE),MAX(0,1-SUMIF(Aux_Datos!$B:$B,$I161,Aux_Datos!$K:$K)/$E161),0))</f>
        <v>0</v>
      </c>
      <c r="H161" s="27"/>
      <c r="I161" s="28">
        <f t="shared" si="14"/>
        <v>196</v>
      </c>
      <c r="J161" s="29">
        <f t="shared" si="2"/>
        <v>46121</v>
      </c>
      <c r="K161" s="30">
        <f t="shared" si="3"/>
        <v>0</v>
      </c>
      <c r="L161" s="29">
        <f t="shared" si="4"/>
        <v>46122</v>
      </c>
      <c r="M161" s="30">
        <f t="shared" si="5"/>
        <v>214.6</v>
      </c>
      <c r="N161" s="32">
        <f t="shared" si="6"/>
        <v>0</v>
      </c>
      <c r="O161" s="33" t="str">
        <f t="shared" si="7"/>
        <v>PAGADA</v>
      </c>
      <c r="P161" s="34">
        <f>LET(
  idVenta, I161&amp;"",
  montoTotal, M161,
  pagos, IFERROR(SUMIF(Aux_Datos!$B:$B, idVenta, Aux_Datos!$K:$K), 0),
  retenciones, IFERROR(SUMIF(Aux_Datos!$N:$N, idVenta, Aux_Datos!$R:$R), 0),
  pagos + retenciones
)</f>
        <v>217.9999979</v>
      </c>
      <c r="Q161" s="30" t="str">
        <f>IF(P161=0, "Sin Pago", 
  LET(
    idVenta, I161&amp;"",
    montoTotalPagado, P161,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161" s="30">
        <f t="shared" si="13"/>
        <v>-3.399997933</v>
      </c>
      <c r="S161" s="29">
        <f>IF(P161=0, "Sin Pago", 
  IFERROR(
    MAXIFS(Aux_Datos!$A:$A, Aux_Datos!$B:$B, I161&amp;""), 
    IFERROR(MAXIFS(Aux_Datos!$A:$A, Aux_Datos!$B:$B, VALUE(I161)), "Revisar ID")
  )
)</f>
        <v>46136</v>
      </c>
      <c r="T161" s="35" t="str">
        <f t="shared" si="9"/>
        <v>PAGADA</v>
      </c>
      <c r="U161" s="35" t="str">
        <f t="shared" si="10"/>
        <v>SOLVENTE</v>
      </c>
      <c r="V161" s="32">
        <f t="shared" si="11"/>
        <v>0</v>
      </c>
      <c r="W161" s="36" t="str">
        <f>IF(P161=0, "Sin Pago", 
  LET(
    monedaPago, Q161, 
    descuentoAplicado, G161,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61" s="36" t="str">
        <f t="shared" si="12"/>
        <v/>
      </c>
      <c r="Y161" s="36">
        <v>217.99999793332705</v>
      </c>
      <c r="Z161" s="33" t="s">
        <v>596</v>
      </c>
      <c r="AA161" s="33"/>
      <c r="AB161" s="33"/>
      <c r="AC161" s="33"/>
      <c r="AD161" s="33"/>
      <c r="AE161" s="33"/>
      <c r="AF161" s="33"/>
    </row>
    <row r="162" ht="22.5" customHeight="1">
      <c r="A162" s="23" t="s">
        <v>155</v>
      </c>
      <c r="B162" s="24">
        <v>46121.78425925926</v>
      </c>
      <c r="C162" s="23" t="s">
        <v>154</v>
      </c>
      <c r="D162" s="23" t="s">
        <v>546</v>
      </c>
      <c r="E162" s="25">
        <v>258.01</v>
      </c>
      <c r="F162" s="23" t="s">
        <v>593</v>
      </c>
      <c r="G162" s="26">
        <f>IF($E162=0,0,IF(SUMIF(Aux_Datos!$B:$B,$I162,Aux_Datos!$K:$K)/$E162&gt;=VLOOKUP(IF(COUNTIFS(Aux_Datos!$B:$B,$I162,Aux_Datos!$D:$D,"&lt;&gt;USD")=0,"USD","VES"),'Limites de Descuento'!$A$2:$D$4,4,FALSE),MAX(0,1-SUMIF(Aux_Datos!$B:$B,$I162,Aux_Datos!$K:$K)/$E162),0))</f>
        <v>0</v>
      </c>
      <c r="H162" s="27"/>
      <c r="I162" s="28">
        <f t="shared" si="14"/>
        <v>197</v>
      </c>
      <c r="J162" s="29">
        <f t="shared" si="2"/>
        <v>46121</v>
      </c>
      <c r="K162" s="30">
        <f t="shared" si="3"/>
        <v>0</v>
      </c>
      <c r="L162" s="29">
        <f t="shared" si="4"/>
        <v>46122</v>
      </c>
      <c r="M162" s="30">
        <f t="shared" si="5"/>
        <v>258.01</v>
      </c>
      <c r="N162" s="32">
        <f t="shared" si="6"/>
        <v>78</v>
      </c>
      <c r="O162" s="33" t="str">
        <f t="shared" si="7"/>
        <v>VENCIDA</v>
      </c>
      <c r="P162" s="34">
        <f>LET(
  idVenta, I162&amp;"",
  montoTotal, M162,
  pagos, IFERROR(SUMIF(Aux_Datos!$B:$B, idVenta, Aux_Datos!$K:$K), 0),
  retenciones, IFERROR(SUMIF(Aux_Datos!$N:$N, idVenta, Aux_Datos!$R:$R), 0),
  pagos + retenciones
)</f>
        <v>167</v>
      </c>
      <c r="Q162" s="30" t="str">
        <f>IF(P162=0, "Sin Pago", 
  LET(
    idVenta, I162&amp;"",
    montoTotalPagado, P162,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62" s="30">
        <f t="shared" si="13"/>
        <v>91.01</v>
      </c>
      <c r="S162" s="29">
        <f>IF(P162=0, "Sin Pago", 
  IFERROR(
    MAXIFS(Aux_Datos!$A:$A, Aux_Datos!$B:$B, I162&amp;""), 
    IFERROR(MAXIFS(Aux_Datos!$A:$A, Aux_Datos!$B:$B, VALUE(I162)), "Revisar ID")
  )
)</f>
        <v>46160</v>
      </c>
      <c r="T162" s="35" t="str">
        <f t="shared" si="9"/>
        <v>PAGO PARCIAL</v>
      </c>
      <c r="U162" s="35" t="str">
        <f t="shared" si="10"/>
        <v>CRÍTICO: VENCIDA</v>
      </c>
      <c r="V162" s="32">
        <f t="shared" si="11"/>
        <v>40</v>
      </c>
      <c r="W162" s="36" t="str">
        <f>IF(P162=0, "Sin Pago", 
  LET(
    monedaPago, Q162, 
    descuentoAplicado, G162,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62" s="36" t="str">
        <f t="shared" si="12"/>
        <v/>
      </c>
      <c r="Y162" s="36">
        <v>167.0</v>
      </c>
      <c r="Z162" s="33" t="s">
        <v>609</v>
      </c>
      <c r="AA162" s="33"/>
      <c r="AB162" s="33"/>
      <c r="AC162" s="33"/>
      <c r="AD162" s="33"/>
      <c r="AE162" s="33"/>
      <c r="AF162" s="33"/>
    </row>
    <row r="163" ht="22.5" customHeight="1">
      <c r="A163" s="23" t="s">
        <v>159</v>
      </c>
      <c r="B163" s="24">
        <v>46122.34788194444</v>
      </c>
      <c r="C163" s="23" t="s">
        <v>158</v>
      </c>
      <c r="D163" s="23" t="s">
        <v>546</v>
      </c>
      <c r="E163" s="25">
        <v>315.52</v>
      </c>
      <c r="F163" s="23" t="s">
        <v>593</v>
      </c>
      <c r="G163" s="26">
        <f>IF($E163=0,0,IF(SUMIF(Aux_Datos!$B:$B,$I163,Aux_Datos!$K:$K)/$E163&gt;=VLOOKUP(IF(COUNTIFS(Aux_Datos!$B:$B,$I163,Aux_Datos!$D:$D,"&lt;&gt;USD")=0,"USD","VES"),'Limites de Descuento'!$A$2:$D$4,4,FALSE),MAX(0,1-SUMIF(Aux_Datos!$B:$B,$I163,Aux_Datos!$K:$K)/$E163),0))</f>
        <v>0</v>
      </c>
      <c r="H163" s="27"/>
      <c r="I163" s="28">
        <f t="shared" si="14"/>
        <v>198</v>
      </c>
      <c r="J163" s="29">
        <f t="shared" si="2"/>
        <v>46122</v>
      </c>
      <c r="K163" s="30">
        <f t="shared" si="3"/>
        <v>0</v>
      </c>
      <c r="L163" s="29">
        <f t="shared" si="4"/>
        <v>46123</v>
      </c>
      <c r="M163" s="30">
        <f t="shared" si="5"/>
        <v>315.52</v>
      </c>
      <c r="N163" s="32">
        <f t="shared" si="6"/>
        <v>77</v>
      </c>
      <c r="O163" s="33" t="str">
        <f t="shared" si="7"/>
        <v>VENCIDA</v>
      </c>
      <c r="P163" s="34">
        <f>LET(
  idVenta, I163&amp;"",
  montoTotal, M163,
  pagos, IFERROR(SUMIF(Aux_Datos!$B:$B, idVenta, Aux_Datos!$K:$K), 0),
  retenciones, IFERROR(SUMIF(Aux_Datos!$N:$N, idVenta, Aux_Datos!$R:$R), 0),
  pagos + retenciones
)</f>
        <v>201</v>
      </c>
      <c r="Q163" s="30" t="str">
        <f>IF(P163=0, "Sin Pago", 
  LET(
    idVenta, I163&amp;"",
    montoTotalPagado, P163,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63" s="30">
        <f t="shared" si="13"/>
        <v>114.52</v>
      </c>
      <c r="S163" s="29">
        <f>IF(P163=0, "Sin Pago", 
  IFERROR(
    MAXIFS(Aux_Datos!$A:$A, Aux_Datos!$B:$B, I163&amp;""), 
    IFERROR(MAXIFS(Aux_Datos!$A:$A, Aux_Datos!$B:$B, VALUE(I163)), "Revisar ID")
  )
)</f>
        <v>46170</v>
      </c>
      <c r="T163" s="35" t="str">
        <f t="shared" si="9"/>
        <v>PAGO PARCIAL</v>
      </c>
      <c r="U163" s="35" t="str">
        <f t="shared" si="10"/>
        <v>CRÍTICO: VENCIDA</v>
      </c>
      <c r="V163" s="32">
        <f t="shared" si="11"/>
        <v>30</v>
      </c>
      <c r="W163" s="36" t="str">
        <f>IF(P163=0, "Sin Pago", 
  LET(
    monedaPago, Q163, 
    descuentoAplicado, G163,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63" s="36" t="str">
        <f t="shared" si="12"/>
        <v/>
      </c>
      <c r="Y163" s="36">
        <v>201.0</v>
      </c>
      <c r="Z163" s="33" t="s">
        <v>609</v>
      </c>
      <c r="AA163" s="33"/>
      <c r="AB163" s="33"/>
      <c r="AC163" s="33"/>
      <c r="AD163" s="33"/>
      <c r="AE163" s="33"/>
      <c r="AF163" s="33"/>
    </row>
    <row r="164" ht="22.5" customHeight="1">
      <c r="A164" s="23" t="s">
        <v>148</v>
      </c>
      <c r="B164" s="24">
        <v>46122.48548611111</v>
      </c>
      <c r="C164" s="23" t="s">
        <v>147</v>
      </c>
      <c r="D164" s="23" t="s">
        <v>538</v>
      </c>
      <c r="E164" s="25">
        <v>580.0</v>
      </c>
      <c r="F164" s="23" t="s">
        <v>619</v>
      </c>
      <c r="G164" s="26">
        <f>IF($E164=0,0,IF(SUMIF(Aux_Datos!$B:$B,$I164,Aux_Datos!$K:$K)/$E164&gt;=VLOOKUP(IF(COUNTIFS(Aux_Datos!$B:$B,$I164,Aux_Datos!$D:$D,"&lt;&gt;USD")=0,"USD","VES"),'Limites de Descuento'!$A$2:$D$4,4,FALSE),MAX(0,1-SUMIF(Aux_Datos!$B:$B,$I164,Aux_Datos!$K:$K)/$E164),0))</f>
        <v>0</v>
      </c>
      <c r="H164" s="27"/>
      <c r="I164" s="28">
        <f t="shared" si="14"/>
        <v>199</v>
      </c>
      <c r="J164" s="29">
        <f t="shared" si="2"/>
        <v>46122</v>
      </c>
      <c r="K164" s="30">
        <f t="shared" si="3"/>
        <v>15</v>
      </c>
      <c r="L164" s="29">
        <f t="shared" si="4"/>
        <v>46138</v>
      </c>
      <c r="M164" s="30">
        <f t="shared" si="5"/>
        <v>580</v>
      </c>
      <c r="N164" s="32">
        <f t="shared" si="6"/>
        <v>62</v>
      </c>
      <c r="O164" s="33" t="str">
        <f t="shared" si="7"/>
        <v>VENCIDA</v>
      </c>
      <c r="P164" s="34">
        <f>LET(
  idVenta, I164&amp;"",
  montoTotal, M164,
  pagos, IFERROR(SUMIF(Aux_Datos!$B:$B, idVenta, Aux_Datos!$K:$K), 0),
  retenciones, IFERROR(SUMIF(Aux_Datos!$N:$N, idVenta, Aux_Datos!$R:$R), 0),
  pagos + retenciones
)</f>
        <v>430.1467444</v>
      </c>
      <c r="Q164" s="30" t="str">
        <f>IF(P164=0, "Sin Pago", 
  LET(
    idVenta, I164&amp;"",
    montoTotalPagado, P164,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164" s="30">
        <f t="shared" si="13"/>
        <v>149.8532556</v>
      </c>
      <c r="S164" s="29">
        <f>IF(P164=0, "Sin Pago", 
  IFERROR(
    MAXIFS(Aux_Datos!$A:$A, Aux_Datos!$B:$B, I164&amp;""), 
    IFERROR(MAXIFS(Aux_Datos!$A:$A, Aux_Datos!$B:$B, VALUE(I164)), "Revisar ID")
  )
)</f>
        <v>46170</v>
      </c>
      <c r="T164" s="35" t="str">
        <f t="shared" si="9"/>
        <v>PAGO PARCIAL</v>
      </c>
      <c r="U164" s="35" t="str">
        <f t="shared" si="10"/>
        <v>CRÍTICO: VENCIDA</v>
      </c>
      <c r="V164" s="32">
        <f t="shared" si="11"/>
        <v>30</v>
      </c>
      <c r="W164" s="36" t="str">
        <f>IF(P164=0, "Sin Pago", 
  LET(
    monedaPago, Q164, 
    descuentoAplicado, G164,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64" s="36" t="str">
        <f t="shared" si="12"/>
        <v/>
      </c>
      <c r="Y164" s="36">
        <v>430.1467444416737</v>
      </c>
      <c r="Z164" s="33" t="s">
        <v>609</v>
      </c>
      <c r="AA164" s="33"/>
      <c r="AB164" s="33"/>
      <c r="AC164" s="33"/>
      <c r="AD164" s="33"/>
      <c r="AE164" s="33"/>
      <c r="AF164" s="33"/>
    </row>
    <row r="165" ht="22.5" customHeight="1">
      <c r="A165" s="23" t="s">
        <v>745</v>
      </c>
      <c r="B165" s="24">
        <v>46122.484988425924</v>
      </c>
      <c r="C165" s="23" t="s">
        <v>630</v>
      </c>
      <c r="D165" s="23" t="s">
        <v>538</v>
      </c>
      <c r="E165" s="25">
        <v>199.52</v>
      </c>
      <c r="F165" s="23" t="s">
        <v>619</v>
      </c>
      <c r="G165" s="26">
        <f>IF($E165=0,0,IF(SUMIF(Aux_Datos!$B:$B,$I165,Aux_Datos!$K:$K)/$E165&gt;=VLOOKUP(IF(COUNTIFS(Aux_Datos!$B:$B,$I165,Aux_Datos!$D:$D,"&lt;&gt;USD")=0,"USD","VES"),'Limites de Descuento'!$A$2:$D$4,4,FALSE),MAX(0,1-SUMIF(Aux_Datos!$B:$B,$I165,Aux_Datos!$K:$K)/$E165),0))</f>
        <v>0.348436247</v>
      </c>
      <c r="H165" s="27"/>
      <c r="I165" s="28">
        <f t="shared" si="14"/>
        <v>201</v>
      </c>
      <c r="J165" s="29">
        <f t="shared" si="2"/>
        <v>46122</v>
      </c>
      <c r="K165" s="30">
        <f t="shared" si="3"/>
        <v>15</v>
      </c>
      <c r="L165" s="29">
        <f t="shared" si="4"/>
        <v>46138</v>
      </c>
      <c r="M165" s="30">
        <f t="shared" si="5"/>
        <v>130</v>
      </c>
      <c r="N165" s="32">
        <f t="shared" si="6"/>
        <v>0</v>
      </c>
      <c r="O165" s="33" t="str">
        <f t="shared" si="7"/>
        <v>PAGADA</v>
      </c>
      <c r="P165" s="34">
        <f>LET(
  idVenta, I165&amp;"",
  montoTotal, M165,
  pagos, IFERROR(SUMIF(Aux_Datos!$B:$B, idVenta, Aux_Datos!$K:$K), 0),
  retenciones, IFERROR(SUMIF(Aux_Datos!$N:$N, idVenta, Aux_Datos!$R:$R), 0),
  pagos + retenciones
)</f>
        <v>130</v>
      </c>
      <c r="Q165" s="30" t="str">
        <f>IF(P165=0, "Sin Pago", 
  LET(
    idVenta, I165&amp;"",
    montoTotalPagado, P165,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65" s="30">
        <f t="shared" si="13"/>
        <v>0</v>
      </c>
      <c r="S165" s="29">
        <f>IF(P165=0, "Sin Pago", 
  IFERROR(
    MAXIFS(Aux_Datos!$A:$A, Aux_Datos!$B:$B, I165&amp;""), 
    IFERROR(MAXIFS(Aux_Datos!$A:$A, Aux_Datos!$B:$B, VALUE(I165)), "Revisar ID")
  )
)</f>
        <v>46156</v>
      </c>
      <c r="T165" s="35" t="str">
        <f t="shared" si="9"/>
        <v>PAGADA</v>
      </c>
      <c r="U165" s="35" t="str">
        <f t="shared" si="10"/>
        <v>SOLVENTE</v>
      </c>
      <c r="V165" s="32">
        <f t="shared" si="11"/>
        <v>0</v>
      </c>
      <c r="W165" s="36" t="str">
        <f>IF(P165=0, "Sin Pago", 
  LET(
    monedaPago, Q165, 
    descuentoAplicado, G165,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65" s="36" t="str">
        <f t="shared" si="12"/>
        <v/>
      </c>
      <c r="Y165" s="36">
        <v>130.0</v>
      </c>
      <c r="Z165" s="33" t="s">
        <v>596</v>
      </c>
      <c r="AA165" s="33"/>
      <c r="AB165" s="33"/>
      <c r="AC165" s="33"/>
      <c r="AD165" s="33"/>
      <c r="AE165" s="33"/>
      <c r="AF165" s="33"/>
    </row>
    <row r="166" ht="22.5" customHeight="1">
      <c r="A166" s="23" t="s">
        <v>157</v>
      </c>
      <c r="B166" s="24">
        <v>46122.65678240741</v>
      </c>
      <c r="C166" s="23" t="s">
        <v>156</v>
      </c>
      <c r="D166" s="23" t="s">
        <v>538</v>
      </c>
      <c r="E166" s="25">
        <v>183.0</v>
      </c>
      <c r="F166" s="23" t="s">
        <v>593</v>
      </c>
      <c r="G166" s="26">
        <f>IF($E166=0,0,IF(SUMIF(Aux_Datos!$B:$B,$I166,Aux_Datos!$K:$K)/$E166&gt;=VLOOKUP(IF(COUNTIFS(Aux_Datos!$B:$B,$I166,Aux_Datos!$D:$D,"&lt;&gt;USD")=0,"USD","VES"),'Limites de Descuento'!$A$2:$D$4,4,FALSE),MAX(0,1-SUMIF(Aux_Datos!$B:$B,$I166,Aux_Datos!$K:$K)/$E166),0))</f>
        <v>0</v>
      </c>
      <c r="H166" s="27"/>
      <c r="I166" s="28">
        <f t="shared" si="14"/>
        <v>202</v>
      </c>
      <c r="J166" s="29">
        <f t="shared" si="2"/>
        <v>46122</v>
      </c>
      <c r="K166" s="30">
        <f t="shared" si="3"/>
        <v>0</v>
      </c>
      <c r="L166" s="29">
        <f t="shared" si="4"/>
        <v>46123</v>
      </c>
      <c r="M166" s="30">
        <f t="shared" si="5"/>
        <v>183</v>
      </c>
      <c r="N166" s="32">
        <f t="shared" si="6"/>
        <v>77</v>
      </c>
      <c r="O166" s="33" t="str">
        <f t="shared" si="7"/>
        <v>VENCIDA</v>
      </c>
      <c r="P166" s="34">
        <f>LET(
  idVenta, I166&amp;"",
  montoTotal, M166,
  pagos, IFERROR(SUMIF(Aux_Datos!$B:$B, idVenta, Aux_Datos!$K:$K), 0),
  retenciones, IFERROR(SUMIF(Aux_Datos!$N:$N, idVenta, Aux_Datos!$R:$R), 0),
  pagos + retenciones
)</f>
        <v>107</v>
      </c>
      <c r="Q166" s="30" t="str">
        <f>IF(P166=0, "Sin Pago", 
  LET(
    idVenta, I166&amp;"",
    montoTotalPagado, P166,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66" s="30">
        <f t="shared" si="13"/>
        <v>76</v>
      </c>
      <c r="S166" s="29">
        <f>IF(P166=0, "Sin Pago", 
  IFERROR(
    MAXIFS(Aux_Datos!$A:$A, Aux_Datos!$B:$B, I166&amp;""), 
    IFERROR(MAXIFS(Aux_Datos!$A:$A, Aux_Datos!$B:$B, VALUE(I166)), "Revisar ID")
  )
)</f>
        <v>46122</v>
      </c>
      <c r="T166" s="35" t="str">
        <f t="shared" si="9"/>
        <v>PAGO PARCIAL</v>
      </c>
      <c r="U166" s="35" t="str">
        <f t="shared" si="10"/>
        <v>CRÍTICO: VENCIDA</v>
      </c>
      <c r="V166" s="32">
        <f t="shared" si="11"/>
        <v>78</v>
      </c>
      <c r="W166" s="36" t="str">
        <f>IF(P166=0, "Sin Pago", 
  LET(
    monedaPago, Q166, 
    descuentoAplicado, G166,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66" s="36" t="str">
        <f t="shared" si="12"/>
        <v/>
      </c>
      <c r="Y166" s="36">
        <v>107.0</v>
      </c>
      <c r="Z166" s="33" t="s">
        <v>609</v>
      </c>
      <c r="AA166" s="33"/>
      <c r="AB166" s="33"/>
      <c r="AC166" s="33"/>
      <c r="AD166" s="33"/>
      <c r="AE166" s="33"/>
      <c r="AF166" s="33"/>
    </row>
    <row r="167" ht="22.5" customHeight="1">
      <c r="A167" s="23" t="s">
        <v>746</v>
      </c>
      <c r="B167" s="24">
        <v>46125.37152777778</v>
      </c>
      <c r="C167" s="23" t="s">
        <v>307</v>
      </c>
      <c r="D167" s="23" t="s">
        <v>538</v>
      </c>
      <c r="E167" s="25">
        <v>104.4</v>
      </c>
      <c r="F167" s="23" t="s">
        <v>593</v>
      </c>
      <c r="G167" s="26">
        <f>IF($E167=0,0,IF(SUMIF(Aux_Datos!$B:$B,$I167,Aux_Datos!$K:$K)/$E167&gt;=VLOOKUP(IF(COUNTIFS(Aux_Datos!$B:$B,$I167,Aux_Datos!$D:$D,"&lt;&gt;USD")=0,"USD","VES"),'Limites de Descuento'!$A$2:$D$4,4,FALSE),MAX(0,1-SUMIF(Aux_Datos!$B:$B,$I167,Aux_Datos!$K:$K)/$E167),0))</f>
        <v>0</v>
      </c>
      <c r="H167" s="26"/>
      <c r="I167" s="28">
        <f t="shared" si="14"/>
        <v>203</v>
      </c>
      <c r="J167" s="29">
        <f t="shared" si="2"/>
        <v>46125</v>
      </c>
      <c r="K167" s="30">
        <f t="shared" si="3"/>
        <v>0</v>
      </c>
      <c r="L167" s="29">
        <f t="shared" si="4"/>
        <v>46126</v>
      </c>
      <c r="M167" s="30">
        <f t="shared" si="5"/>
        <v>104.4</v>
      </c>
      <c r="N167" s="32">
        <f t="shared" si="6"/>
        <v>0</v>
      </c>
      <c r="O167" s="33" t="str">
        <f t="shared" si="7"/>
        <v>PAGADA</v>
      </c>
      <c r="P167" s="34">
        <f>LET(
  idVenta, I167&amp;"",
  montoTotal, M167,
  pagos, IFERROR(SUMIF(Aux_Datos!$B:$B, idVenta, Aux_Datos!$K:$K), 0),
  retenciones, IFERROR(SUMIF(Aux_Datos!$N:$N, idVenta, Aux_Datos!$R:$R), 0),
  pagos + retenciones
)</f>
        <v>218</v>
      </c>
      <c r="Q167" s="30" t="str">
        <f>IF(P167=0, "Sin Pago", 
  LET(
    idVenta, I167&amp;"",
    montoTotalPagado, P167,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67" s="30">
        <f t="shared" si="13"/>
        <v>-113.6</v>
      </c>
      <c r="S167" s="29">
        <f>IF(P167=0, "Sin Pago", 
  IFERROR(
    MAXIFS(Aux_Datos!$A:$A, Aux_Datos!$B:$B, I167&amp;""), 
    IFERROR(MAXIFS(Aux_Datos!$A:$A, Aux_Datos!$B:$B, VALUE(I167)), "Revisar ID")
  )
)</f>
        <v>46155</v>
      </c>
      <c r="T167" s="35" t="str">
        <f t="shared" si="9"/>
        <v>PAGADA</v>
      </c>
      <c r="U167" s="35" t="str">
        <f t="shared" si="10"/>
        <v>SOLVENTE</v>
      </c>
      <c r="V167" s="32">
        <f t="shared" si="11"/>
        <v>0</v>
      </c>
      <c r="W167" s="36" t="str">
        <f>IF(P167=0, "Sin Pago", 
  LET(
    monedaPago, Q167, 
    descuentoAplicado, G167,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67" s="36" t="str">
        <f t="shared" si="12"/>
        <v/>
      </c>
      <c r="Y167" s="36">
        <v>218.0</v>
      </c>
      <c r="Z167" s="33" t="s">
        <v>596</v>
      </c>
      <c r="AA167" s="33"/>
      <c r="AB167" s="33"/>
      <c r="AC167" s="33"/>
      <c r="AD167" s="33"/>
      <c r="AE167" s="33"/>
      <c r="AF167" s="33"/>
    </row>
    <row r="168" ht="22.5" customHeight="1">
      <c r="A168" s="23" t="s">
        <v>129</v>
      </c>
      <c r="B168" s="24">
        <v>46125.370787037034</v>
      </c>
      <c r="C168" s="23" t="s">
        <v>128</v>
      </c>
      <c r="D168" s="23" t="s">
        <v>353</v>
      </c>
      <c r="E168" s="25">
        <v>721.52</v>
      </c>
      <c r="F168" s="23" t="s">
        <v>593</v>
      </c>
      <c r="G168" s="26">
        <f>IF($E168=0,0,IF(SUMIF(Aux_Datos!$B:$B,$I168,Aux_Datos!$K:$K)/$E168&gt;=VLOOKUP(IF(COUNTIFS(Aux_Datos!$B:$B,$I168,Aux_Datos!$D:$D,"&lt;&gt;USD")=0,"USD","VES"),'Limites de Descuento'!$A$2:$D$4,4,FALSE),MAX(0,1-SUMIF(Aux_Datos!$B:$B,$I168,Aux_Datos!$K:$K)/$E168),0))</f>
        <v>0</v>
      </c>
      <c r="H168" s="26"/>
      <c r="I168" s="28">
        <f t="shared" si="14"/>
        <v>204</v>
      </c>
      <c r="J168" s="29">
        <f t="shared" si="2"/>
        <v>46125</v>
      </c>
      <c r="K168" s="30">
        <f t="shared" si="3"/>
        <v>0</v>
      </c>
      <c r="L168" s="29">
        <f t="shared" si="4"/>
        <v>46126</v>
      </c>
      <c r="M168" s="30">
        <f t="shared" si="5"/>
        <v>721.52</v>
      </c>
      <c r="N168" s="32">
        <f t="shared" si="6"/>
        <v>74</v>
      </c>
      <c r="O168" s="33" t="str">
        <f t="shared" si="7"/>
        <v>VENCIDA</v>
      </c>
      <c r="P168" s="34">
        <f>LET(
  idVenta, I168&amp;"",
  montoTotal, M168,
  pagos, IFERROR(SUMIF(Aux_Datos!$B:$B, idVenta, Aux_Datos!$K:$K), 0),
  retenciones, IFERROR(SUMIF(Aux_Datos!$N:$N, idVenta, Aux_Datos!$R:$R), 0),
  pagos + retenciones
)</f>
        <v>460</v>
      </c>
      <c r="Q168" s="30" t="str">
        <f>IF(P168=0, "Sin Pago", 
  LET(
    idVenta, I168&amp;"",
    montoTotalPagado, P168,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68" s="30">
        <f t="shared" si="13"/>
        <v>261.52</v>
      </c>
      <c r="S168" s="29">
        <f>IF(P168=0, "Sin Pago", 
  IFERROR(
    MAXIFS(Aux_Datos!$A:$A, Aux_Datos!$B:$B, I168&amp;""), 
    IFERROR(MAXIFS(Aux_Datos!$A:$A, Aux_Datos!$B:$B, VALUE(I168)), "Revisar ID")
  )
)</f>
        <v>46182</v>
      </c>
      <c r="T168" s="35" t="str">
        <f t="shared" si="9"/>
        <v>PAGO PARCIAL</v>
      </c>
      <c r="U168" s="35" t="str">
        <f t="shared" si="10"/>
        <v>CRÍTICO: VENCIDA</v>
      </c>
      <c r="V168" s="32">
        <f t="shared" si="11"/>
        <v>18</v>
      </c>
      <c r="W168" s="36" t="str">
        <f>IF(P168=0, "Sin Pago", 
  LET(
    monedaPago, Q168, 
    descuentoAplicado, G168,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68" s="36" t="str">
        <f t="shared" si="12"/>
        <v/>
      </c>
      <c r="Y168" s="36">
        <v>460.0</v>
      </c>
      <c r="Z168" s="33" t="s">
        <v>609</v>
      </c>
      <c r="AA168" s="33"/>
      <c r="AB168" s="33"/>
      <c r="AC168" s="33"/>
      <c r="AD168" s="33"/>
      <c r="AE168" s="33"/>
      <c r="AF168" s="33"/>
    </row>
    <row r="169" ht="22.5" customHeight="1">
      <c r="A169" s="23" t="s">
        <v>122</v>
      </c>
      <c r="B169" s="24">
        <v>46125.37059027778</v>
      </c>
      <c r="C169" s="23" t="s">
        <v>121</v>
      </c>
      <c r="D169" s="23" t="s">
        <v>529</v>
      </c>
      <c r="E169" s="25">
        <v>429.2</v>
      </c>
      <c r="F169" s="23" t="s">
        <v>593</v>
      </c>
      <c r="G169" s="26">
        <f>IF($E169=0,0,IF(SUMIF(Aux_Datos!$B:$B,$I169,Aux_Datos!$K:$K)/$E169&gt;=VLOOKUP(IF(COUNTIFS(Aux_Datos!$B:$B,$I169,Aux_Datos!$D:$D,"&lt;&gt;USD")=0,"USD","VES"),'Limites de Descuento'!$A$2:$D$4,4,FALSE),MAX(0,1-SUMIF(Aux_Datos!$B:$B,$I169,Aux_Datos!$K:$K)/$E169),0))</f>
        <v>0</v>
      </c>
      <c r="H169" s="27"/>
      <c r="I169" s="28">
        <f t="shared" si="14"/>
        <v>205</v>
      </c>
      <c r="J169" s="29">
        <f t="shared" si="2"/>
        <v>46125</v>
      </c>
      <c r="K169" s="30">
        <f t="shared" si="3"/>
        <v>0</v>
      </c>
      <c r="L169" s="40">
        <f t="shared" si="4"/>
        <v>46126</v>
      </c>
      <c r="M169" s="30">
        <f t="shared" si="5"/>
        <v>429.2</v>
      </c>
      <c r="N169" s="32">
        <f t="shared" si="6"/>
        <v>74</v>
      </c>
      <c r="O169" s="33" t="str">
        <f t="shared" si="7"/>
        <v>VENCIDA</v>
      </c>
      <c r="P169" s="34">
        <f>LET(
  idVenta, I169&amp;"",
  montoTotal, M169,
  pagos, IFERROR(SUMIF(Aux_Datos!$B:$B, idVenta, Aux_Datos!$K:$K), 0),
  retenciones, IFERROR(SUMIF(Aux_Datos!$N:$N, idVenta, Aux_Datos!$R:$R), 0),
  pagos + retenciones
)</f>
        <v>278</v>
      </c>
      <c r="Q169" s="30" t="str">
        <f>IF(P169=0, "Sin Pago", 
  LET(
    idVenta, I169&amp;"",
    montoTotalPagado, P169,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69" s="30">
        <f t="shared" si="13"/>
        <v>151.2</v>
      </c>
      <c r="S169" s="29">
        <f>IF(P169=0, "Sin Pago", 
  IFERROR(
    MAXIFS(Aux_Datos!$A:$A, Aux_Datos!$B:$B, I169&amp;""), 
    IFERROR(MAXIFS(Aux_Datos!$A:$A, Aux_Datos!$B:$B, VALUE(I169)), "Revisar ID")
  )
)</f>
        <v>46181</v>
      </c>
      <c r="T169" s="35" t="str">
        <f t="shared" si="9"/>
        <v>PAGO PARCIAL</v>
      </c>
      <c r="U169" s="35" t="str">
        <f t="shared" si="10"/>
        <v>CRÍTICO: VENCIDA</v>
      </c>
      <c r="V169" s="32">
        <f t="shared" si="11"/>
        <v>19</v>
      </c>
      <c r="W169" s="36" t="str">
        <f>IF(P169=0, "Sin Pago", 
  LET(
    monedaPago, Q169, 
    descuentoAplicado, G169,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69" s="36" t="str">
        <f t="shared" si="12"/>
        <v/>
      </c>
      <c r="Y169" s="36">
        <v>278.0</v>
      </c>
      <c r="Z169" s="33" t="s">
        <v>609</v>
      </c>
      <c r="AA169" s="33"/>
      <c r="AB169" s="33"/>
      <c r="AC169" s="33"/>
      <c r="AD169" s="33"/>
      <c r="AE169" s="33"/>
      <c r="AF169" s="33"/>
    </row>
    <row r="170" ht="22.5" customHeight="1">
      <c r="A170" s="23" t="s">
        <v>48</v>
      </c>
      <c r="B170" s="24">
        <v>46123.406701388885</v>
      </c>
      <c r="C170" s="23" t="s">
        <v>47</v>
      </c>
      <c r="D170" s="23" t="s">
        <v>323</v>
      </c>
      <c r="E170" s="25">
        <v>361.92</v>
      </c>
      <c r="F170" s="23" t="s">
        <v>593</v>
      </c>
      <c r="G170" s="26">
        <f>IF($E170=0,0,IF(SUMIF(Aux_Datos!$B:$B,$I170,Aux_Datos!$K:$K)/$E170&gt;=VLOOKUP(IF(COUNTIFS(Aux_Datos!$B:$B,$I170,Aux_Datos!$D:$D,"&lt;&gt;USD")=0,"USD","VES"),'Limites de Descuento'!$A$2:$D$4,4,FALSE),MAX(0,1-SUMIF(Aux_Datos!$B:$B,$I170,Aux_Datos!$K:$K)/$E170),0))</f>
        <v>0</v>
      </c>
      <c r="H170" s="27"/>
      <c r="I170" s="28">
        <f t="shared" si="14"/>
        <v>206</v>
      </c>
      <c r="J170" s="29">
        <f t="shared" si="2"/>
        <v>46123</v>
      </c>
      <c r="K170" s="30">
        <f t="shared" si="3"/>
        <v>0</v>
      </c>
      <c r="L170" s="40">
        <f t="shared" si="4"/>
        <v>46124</v>
      </c>
      <c r="M170" s="30">
        <f t="shared" si="5"/>
        <v>361.92</v>
      </c>
      <c r="N170" s="32">
        <f t="shared" si="6"/>
        <v>76</v>
      </c>
      <c r="O170" s="33" t="str">
        <f t="shared" si="7"/>
        <v>VENCIDA</v>
      </c>
      <c r="P170" s="34">
        <f>LET(
  idVenta, I170&amp;"",
  montoTotal, M170,
  pagos, IFERROR(SUMIF(Aux_Datos!$B:$B, idVenta, Aux_Datos!$K:$K), 0),
  retenciones, IFERROR(SUMIF(Aux_Datos!$N:$N, idVenta, Aux_Datos!$R:$R), 0),
  pagos + retenciones
)</f>
        <v>197</v>
      </c>
      <c r="Q170" s="30" t="str">
        <f>IF(P170=0, "Sin Pago", 
  LET(
    idVenta, I170&amp;"",
    montoTotalPagado, P170,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70" s="30">
        <f t="shared" si="13"/>
        <v>164.92</v>
      </c>
      <c r="S170" s="29">
        <f>IF(P170=0, "Sin Pago", 
  IFERROR(
    MAXIFS(Aux_Datos!$A:$A, Aux_Datos!$B:$B, I170&amp;""), 
    IFERROR(MAXIFS(Aux_Datos!$A:$A, Aux_Datos!$B:$B, VALUE(I170)), "Revisar ID")
  )
)</f>
        <v>46125</v>
      </c>
      <c r="T170" s="35" t="str">
        <f t="shared" si="9"/>
        <v>PAGO PARCIAL</v>
      </c>
      <c r="U170" s="35" t="str">
        <f t="shared" si="10"/>
        <v>CRÍTICO: VENCIDA</v>
      </c>
      <c r="V170" s="32">
        <f t="shared" si="11"/>
        <v>75</v>
      </c>
      <c r="W170" s="36" t="str">
        <f>IF(P170=0, "Sin Pago", 
  LET(
    monedaPago, Q170, 
    descuentoAplicado, G170,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70" s="36" t="str">
        <f t="shared" si="12"/>
        <v/>
      </c>
      <c r="Y170" s="36">
        <v>197.0</v>
      </c>
      <c r="Z170" s="33" t="s">
        <v>609</v>
      </c>
      <c r="AA170" s="33"/>
      <c r="AB170" s="33"/>
      <c r="AC170" s="33"/>
      <c r="AD170" s="33"/>
      <c r="AE170" s="33"/>
      <c r="AF170" s="33"/>
    </row>
    <row r="171" ht="22.5" customHeight="1">
      <c r="A171" s="23" t="s">
        <v>167</v>
      </c>
      <c r="B171" s="24">
        <v>46125.70768518518</v>
      </c>
      <c r="C171" s="23" t="s">
        <v>166</v>
      </c>
      <c r="D171" s="23" t="s">
        <v>556</v>
      </c>
      <c r="E171" s="25">
        <v>756.32</v>
      </c>
      <c r="F171" s="23" t="s">
        <v>593</v>
      </c>
      <c r="G171" s="26">
        <f>IF($E171=0,0,IF(SUMIF(Aux_Datos!$B:$B,$I171,Aux_Datos!$K:$K)/$E171&gt;=VLOOKUP(IF(COUNTIFS(Aux_Datos!$B:$B,$I171,Aux_Datos!$D:$D,"&lt;&gt;USD")=0,"USD","VES"),'Limites de Descuento'!$A$2:$D$4,4,FALSE),MAX(0,1-SUMIF(Aux_Datos!$B:$B,$I171,Aux_Datos!$K:$K)/$E171),0))</f>
        <v>0</v>
      </c>
      <c r="H171" s="27"/>
      <c r="I171" s="28">
        <f t="shared" si="14"/>
        <v>207</v>
      </c>
      <c r="J171" s="29">
        <f t="shared" si="2"/>
        <v>46125</v>
      </c>
      <c r="K171" s="30">
        <f t="shared" si="3"/>
        <v>0</v>
      </c>
      <c r="L171" s="40">
        <f t="shared" si="4"/>
        <v>46126</v>
      </c>
      <c r="M171" s="30">
        <f t="shared" si="5"/>
        <v>756.32</v>
      </c>
      <c r="N171" s="32">
        <f t="shared" si="6"/>
        <v>74</v>
      </c>
      <c r="O171" s="33" t="str">
        <f t="shared" si="7"/>
        <v>VENCIDA</v>
      </c>
      <c r="P171" s="34">
        <f>LET(
  idVenta, I171&amp;"",
  montoTotal, M171,
  pagos, IFERROR(SUMIF(Aux_Datos!$B:$B, idVenta, Aux_Datos!$K:$K), 0),
  retenciones, IFERROR(SUMIF(Aux_Datos!$N:$N, idVenta, Aux_Datos!$R:$R), 0),
  pagos + retenciones
)</f>
        <v>400</v>
      </c>
      <c r="Q171" s="30" t="str">
        <f>IF(P171=0, "Sin Pago", 
  LET(
    idVenta, I171&amp;"",
    montoTotalPagado, P171,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71" s="30">
        <f t="shared" si="13"/>
        <v>356.32</v>
      </c>
      <c r="S171" s="29">
        <f>IF(P171=0, "Sin Pago", 
  IFERROR(
    MAXIFS(Aux_Datos!$A:$A, Aux_Datos!$B:$B, I171&amp;""), 
    IFERROR(MAXIFS(Aux_Datos!$A:$A, Aux_Datos!$B:$B, VALUE(I171)), "Revisar ID")
  )
)</f>
        <v>46182</v>
      </c>
      <c r="T171" s="35" t="str">
        <f t="shared" si="9"/>
        <v>PAGO PARCIAL</v>
      </c>
      <c r="U171" s="35" t="str">
        <f t="shared" si="10"/>
        <v>CRÍTICO: VENCIDA</v>
      </c>
      <c r="V171" s="32">
        <f t="shared" si="11"/>
        <v>18</v>
      </c>
      <c r="W171" s="36" t="str">
        <f>IF(P171=0, "Sin Pago", 
  LET(
    monedaPago, Q171, 
    descuentoAplicado, G171,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71" s="36" t="str">
        <f t="shared" si="12"/>
        <v/>
      </c>
      <c r="Y171" s="36">
        <v>400.0</v>
      </c>
      <c r="Z171" s="33" t="s">
        <v>609</v>
      </c>
      <c r="AA171" s="33"/>
      <c r="AB171" s="33"/>
      <c r="AC171" s="33"/>
      <c r="AD171" s="33"/>
      <c r="AE171" s="33"/>
      <c r="AF171" s="33"/>
    </row>
    <row r="172" ht="22.5" customHeight="1">
      <c r="A172" s="23" t="s">
        <v>747</v>
      </c>
      <c r="B172" s="24">
        <v>46125.66244212963</v>
      </c>
      <c r="C172" s="23" t="s">
        <v>592</v>
      </c>
      <c r="D172" s="23" t="s">
        <v>552</v>
      </c>
      <c r="E172" s="25">
        <v>227.03</v>
      </c>
      <c r="F172" s="23" t="s">
        <v>593</v>
      </c>
      <c r="G172" s="26">
        <f>IF($E172=0,0,IF(SUMIF(Aux_Datos!$B:$B,$I172,Aux_Datos!$K:$K)/$E172&gt;=VLOOKUP(IF(COUNTIFS(Aux_Datos!$B:$B,$I172,Aux_Datos!$D:$D,"&lt;&gt;USD")=0,"USD","VES"),'Limites de Descuento'!$A$2:$D$4,4,FALSE),MAX(0,1-SUMIF(Aux_Datos!$B:$B,$I172,Aux_Datos!$K:$K)/$E172),0))</f>
        <v>0.3392943664</v>
      </c>
      <c r="H172" s="27"/>
      <c r="I172" s="28">
        <f t="shared" si="14"/>
        <v>208</v>
      </c>
      <c r="J172" s="29">
        <f t="shared" si="2"/>
        <v>46125</v>
      </c>
      <c r="K172" s="30">
        <f t="shared" si="3"/>
        <v>0</v>
      </c>
      <c r="L172" s="40">
        <f t="shared" si="4"/>
        <v>46126</v>
      </c>
      <c r="M172" s="30">
        <f t="shared" si="5"/>
        <v>150</v>
      </c>
      <c r="N172" s="32">
        <f t="shared" si="6"/>
        <v>0</v>
      </c>
      <c r="O172" s="33" t="str">
        <f t="shared" si="7"/>
        <v>PAGADA</v>
      </c>
      <c r="P172" s="34">
        <f>LET(
  idVenta, I172&amp;"",
  montoTotal, M172,
  pagos, IFERROR(SUMIF(Aux_Datos!$B:$B, idVenta, Aux_Datos!$K:$K), 0),
  retenciones, IFERROR(SUMIF(Aux_Datos!$N:$N, idVenta, Aux_Datos!$R:$R), 0),
  pagos + retenciones
)</f>
        <v>150</v>
      </c>
      <c r="Q172" s="30" t="str">
        <f>IF(P172=0, "Sin Pago", 
  LET(
    idVenta, I172&amp;"",
    montoTotalPagado, P172,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72" s="30">
        <f t="shared" si="13"/>
        <v>0</v>
      </c>
      <c r="S172" s="29">
        <f>IF(P172=0, "Sin Pago", 
  IFERROR(
    MAXIFS(Aux_Datos!$A:$A, Aux_Datos!$B:$B, I172&amp;""), 
    IFERROR(MAXIFS(Aux_Datos!$A:$A, Aux_Datos!$B:$B, VALUE(I172)), "Revisar ID")
  )
)</f>
        <v>46146</v>
      </c>
      <c r="T172" s="35" t="str">
        <f t="shared" si="9"/>
        <v>PAGADA</v>
      </c>
      <c r="U172" s="35" t="str">
        <f t="shared" si="10"/>
        <v>SOLVENTE</v>
      </c>
      <c r="V172" s="32">
        <f t="shared" si="11"/>
        <v>0</v>
      </c>
      <c r="W172" s="36" t="str">
        <f>IF(P172=0, "Sin Pago", 
  LET(
    monedaPago, Q172, 
    descuentoAplicado, G172,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72" s="36" t="str">
        <f t="shared" si="12"/>
        <v/>
      </c>
      <c r="Y172" s="36">
        <v>150.0</v>
      </c>
      <c r="Z172" s="33" t="s">
        <v>596</v>
      </c>
      <c r="AA172" s="33"/>
      <c r="AB172" s="33"/>
      <c r="AC172" s="33"/>
      <c r="AD172" s="33"/>
      <c r="AE172" s="33"/>
      <c r="AF172" s="33"/>
    </row>
    <row r="173" ht="22.5" customHeight="1">
      <c r="A173" s="23" t="s">
        <v>161</v>
      </c>
      <c r="B173" s="24">
        <v>46125.662314814814</v>
      </c>
      <c r="C173" s="23" t="s">
        <v>160</v>
      </c>
      <c r="D173" s="23" t="s">
        <v>353</v>
      </c>
      <c r="E173" s="25">
        <v>539.4</v>
      </c>
      <c r="F173" s="23" t="s">
        <v>593</v>
      </c>
      <c r="G173" s="26">
        <f>IF($E173=0,0,IF(SUMIF(Aux_Datos!$B:$B,$I173,Aux_Datos!$K:$K)/$E173&gt;=VLOOKUP(IF(COUNTIFS(Aux_Datos!$B:$B,$I173,Aux_Datos!$D:$D,"&lt;&gt;USD")=0,"USD","VES"),'Limites de Descuento'!$A$2:$D$4,4,FALSE),MAX(0,1-SUMIF(Aux_Datos!$B:$B,$I173,Aux_Datos!$K:$K)/$E173),0))</f>
        <v>0</v>
      </c>
      <c r="H173" s="27"/>
      <c r="I173" s="28">
        <f t="shared" si="14"/>
        <v>209</v>
      </c>
      <c r="J173" s="29">
        <f t="shared" si="2"/>
        <v>46125</v>
      </c>
      <c r="K173" s="30">
        <f t="shared" si="3"/>
        <v>0</v>
      </c>
      <c r="L173" s="40">
        <f t="shared" si="4"/>
        <v>46126</v>
      </c>
      <c r="M173" s="30">
        <f t="shared" si="5"/>
        <v>539.4</v>
      </c>
      <c r="N173" s="32">
        <f t="shared" si="6"/>
        <v>74</v>
      </c>
      <c r="O173" s="33" t="str">
        <f t="shared" si="7"/>
        <v>VENCIDA</v>
      </c>
      <c r="P173" s="34">
        <f>LET(
  idVenta, I173&amp;"",
  montoTotal, M173,
  pagos, IFERROR(SUMIF(Aux_Datos!$B:$B, idVenta, Aux_Datos!$K:$K), 0),
  retenciones, IFERROR(SUMIF(Aux_Datos!$N:$N, idVenta, Aux_Datos!$R:$R), 0),
  pagos + retenciones
)</f>
        <v>301</v>
      </c>
      <c r="Q173" s="30" t="str">
        <f>IF(P173=0, "Sin Pago", 
  LET(
    idVenta, I173&amp;"",
    montoTotalPagado, P173,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73" s="30">
        <f t="shared" si="13"/>
        <v>238.4</v>
      </c>
      <c r="S173" s="29">
        <f>IF(P173=0, "Sin Pago", 
  IFERROR(
    MAXIFS(Aux_Datos!$A:$A, Aux_Datos!$B:$B, I173&amp;""), 
    IFERROR(MAXIFS(Aux_Datos!$A:$A, Aux_Datos!$B:$B, VALUE(I173)), "Revisar ID")
  )
)</f>
        <v>46192</v>
      </c>
      <c r="T173" s="35" t="str">
        <f t="shared" si="9"/>
        <v>PAGO PARCIAL</v>
      </c>
      <c r="U173" s="35" t="str">
        <f t="shared" si="10"/>
        <v>CRÍTICO: VENCIDA</v>
      </c>
      <c r="V173" s="32">
        <f t="shared" si="11"/>
        <v>8</v>
      </c>
      <c r="W173" s="36" t="str">
        <f>IF(P173=0, "Sin Pago", 
  LET(
    monedaPago, Q173, 
    descuentoAplicado, G173,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73" s="36" t="str">
        <f t="shared" si="12"/>
        <v/>
      </c>
      <c r="Y173" s="36">
        <v>301.0</v>
      </c>
      <c r="Z173" s="33" t="s">
        <v>609</v>
      </c>
      <c r="AA173" s="33"/>
      <c r="AB173" s="33"/>
      <c r="AC173" s="33"/>
      <c r="AD173" s="33"/>
      <c r="AE173" s="33"/>
      <c r="AF173" s="33"/>
    </row>
    <row r="174" ht="22.5" customHeight="1">
      <c r="A174" s="23" t="s">
        <v>165</v>
      </c>
      <c r="B174" s="24">
        <v>46125.66811342593</v>
      </c>
      <c r="C174" s="23" t="s">
        <v>164</v>
      </c>
      <c r="D174" s="23" t="s">
        <v>544</v>
      </c>
      <c r="E174" s="25">
        <v>183.28</v>
      </c>
      <c r="F174" s="23" t="s">
        <v>593</v>
      </c>
      <c r="G174" s="26">
        <f>IF($E174=0,0,IF(SUMIF(Aux_Datos!$B:$B,$I174,Aux_Datos!$K:$K)/$E174&gt;=VLOOKUP(IF(COUNTIFS(Aux_Datos!$B:$B,$I174,Aux_Datos!$D:$D,"&lt;&gt;USD")=0,"USD","VES"),'Limites de Descuento'!$A$2:$D$4,4,FALSE),MAX(0,1-SUMIF(Aux_Datos!$B:$B,$I174,Aux_Datos!$K:$K)/$E174),0))</f>
        <v>0</v>
      </c>
      <c r="H174" s="27"/>
      <c r="I174" s="28">
        <f t="shared" si="14"/>
        <v>210</v>
      </c>
      <c r="J174" s="29">
        <f t="shared" si="2"/>
        <v>46125</v>
      </c>
      <c r="K174" s="30">
        <f t="shared" si="3"/>
        <v>0</v>
      </c>
      <c r="L174" s="40">
        <f t="shared" si="4"/>
        <v>46126</v>
      </c>
      <c r="M174" s="30">
        <f t="shared" si="5"/>
        <v>183.28</v>
      </c>
      <c r="N174" s="32">
        <f t="shared" si="6"/>
        <v>74</v>
      </c>
      <c r="O174" s="33" t="str">
        <f t="shared" si="7"/>
        <v>VENCIDA</v>
      </c>
      <c r="P174" s="34">
        <f>LET(
  idVenta, I174&amp;"",
  montoTotal, M174,
  pagos, IFERROR(SUMIF(Aux_Datos!$B:$B, idVenta, Aux_Datos!$K:$K), 0),
  retenciones, IFERROR(SUMIF(Aux_Datos!$N:$N, idVenta, Aux_Datos!$R:$R), 0),
  pagos + retenciones
)</f>
        <v>119</v>
      </c>
      <c r="Q174" s="30" t="str">
        <f>IF(P174=0, "Sin Pago", 
  LET(
    idVenta, I174&amp;"",
    montoTotalPagado, P174,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74" s="30">
        <f t="shared" si="13"/>
        <v>64.28</v>
      </c>
      <c r="S174" s="29">
        <f>IF(P174=0, "Sin Pago", 
  IFERROR(
    MAXIFS(Aux_Datos!$A:$A, Aux_Datos!$B:$B, I174&amp;""), 
    IFERROR(MAXIFS(Aux_Datos!$A:$A, Aux_Datos!$B:$B, VALUE(I174)), "Revisar ID")
  )
)</f>
        <v>46136</v>
      </c>
      <c r="T174" s="35" t="str">
        <f t="shared" si="9"/>
        <v>PAGO PARCIAL</v>
      </c>
      <c r="U174" s="35" t="str">
        <f t="shared" si="10"/>
        <v>CRÍTICO: VENCIDA</v>
      </c>
      <c r="V174" s="32">
        <f t="shared" si="11"/>
        <v>64</v>
      </c>
      <c r="W174" s="36" t="str">
        <f>IF(P174=0, "Sin Pago", 
  LET(
    monedaPago, Q174, 
    descuentoAplicado, G174,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74" s="36" t="str">
        <f t="shared" si="12"/>
        <v/>
      </c>
      <c r="Y174" s="36">
        <v>119.0</v>
      </c>
      <c r="Z174" s="33" t="s">
        <v>609</v>
      </c>
      <c r="AA174" s="33"/>
      <c r="AB174" s="33"/>
      <c r="AC174" s="33"/>
      <c r="AD174" s="33"/>
      <c r="AE174" s="33"/>
      <c r="AF174" s="33"/>
    </row>
    <row r="175" ht="22.5" customHeight="1">
      <c r="A175" s="23" t="s">
        <v>748</v>
      </c>
      <c r="B175" s="24">
        <v>46125.70721064815</v>
      </c>
      <c r="C175" s="23" t="s">
        <v>598</v>
      </c>
      <c r="D175" s="23" t="s">
        <v>546</v>
      </c>
      <c r="E175" s="25">
        <v>98.6</v>
      </c>
      <c r="F175" s="23" t="s">
        <v>593</v>
      </c>
      <c r="G175" s="26">
        <f>IF($E175=0,0,IF(SUMIF(Aux_Datos!$B:$B,$I175,Aux_Datos!$K:$K)/$E175&gt;=VLOOKUP(IF(COUNTIFS(Aux_Datos!$B:$B,$I175,Aux_Datos!$D:$D,"&lt;&gt;USD")=0,"USD","VES"),'Limites de Descuento'!$A$2:$D$4,4,FALSE),MAX(0,1-SUMIF(Aux_Datos!$B:$B,$I175,Aux_Datos!$K:$K)/$E175),0))</f>
        <v>0</v>
      </c>
      <c r="H175" s="27"/>
      <c r="I175" s="28">
        <f t="shared" si="14"/>
        <v>211</v>
      </c>
      <c r="J175" s="29">
        <f t="shared" si="2"/>
        <v>46125</v>
      </c>
      <c r="K175" s="30">
        <f t="shared" si="3"/>
        <v>0</v>
      </c>
      <c r="L175" s="40">
        <f t="shared" si="4"/>
        <v>46126</v>
      </c>
      <c r="M175" s="30">
        <f t="shared" si="5"/>
        <v>98.6</v>
      </c>
      <c r="N175" s="32">
        <f t="shared" si="6"/>
        <v>0</v>
      </c>
      <c r="O175" s="33" t="str">
        <f t="shared" si="7"/>
        <v>PAGADA</v>
      </c>
      <c r="P175" s="34">
        <f>LET(
  idVenta, I175&amp;"",
  montoTotal, M175,
  pagos, IFERROR(SUMIF(Aux_Datos!$B:$B, idVenta, Aux_Datos!$K:$K), 0),
  retenciones, IFERROR(SUMIF(Aux_Datos!$N:$N, idVenta, Aux_Datos!$R:$R), 0),
  pagos + retenciones
)</f>
        <v>99.00002319</v>
      </c>
      <c r="Q175" s="38">
        <v>6.0</v>
      </c>
      <c r="R175" s="30">
        <f t="shared" si="13"/>
        <v>-0.4000231936</v>
      </c>
      <c r="S175" s="29">
        <f>IF(P175=0, "Sin Pago", 
  IFERROR(
    MAXIFS(Aux_Datos!$A:$A, Aux_Datos!$B:$B, I175&amp;""), 
    IFERROR(MAXIFS(Aux_Datos!$A:$A, Aux_Datos!$B:$B, VALUE(I175)), "Revisar ID")
  )
)</f>
        <v>46127</v>
      </c>
      <c r="T175" s="35" t="str">
        <f t="shared" si="9"/>
        <v>PAGADA</v>
      </c>
      <c r="U175" s="35" t="str">
        <f t="shared" si="10"/>
        <v>SOLVENTE</v>
      </c>
      <c r="V175" s="32">
        <f t="shared" si="11"/>
        <v>0</v>
      </c>
      <c r="W175" s="36" t="str">
        <f>IF(P175=0, "Sin Pago", 
  LET(
    monedaPago, Q175, 
    descuentoAplicado, G175,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75" s="36" t="str">
        <f t="shared" si="12"/>
        <v/>
      </c>
      <c r="Y175" s="36">
        <v>99.00002319356113</v>
      </c>
      <c r="Z175" s="33" t="s">
        <v>641</v>
      </c>
      <c r="AA175" s="33"/>
      <c r="AB175" s="33"/>
      <c r="AC175" s="33"/>
      <c r="AD175" s="33"/>
      <c r="AE175" s="33"/>
      <c r="AF175" s="33"/>
    </row>
    <row r="176" ht="22.5" customHeight="1">
      <c r="A176" s="23" t="s">
        <v>163</v>
      </c>
      <c r="B176" s="24">
        <v>46125.70730324074</v>
      </c>
      <c r="C176" s="23" t="s">
        <v>162</v>
      </c>
      <c r="D176" s="23" t="s">
        <v>556</v>
      </c>
      <c r="E176" s="25">
        <v>371.2</v>
      </c>
      <c r="F176" s="23" t="s">
        <v>593</v>
      </c>
      <c r="G176" s="26">
        <f>IF($E176=0,0,IF(SUMIF(Aux_Datos!$B:$B,$I176,Aux_Datos!$K:$K)/$E176&gt;=VLOOKUP(IF(COUNTIFS(Aux_Datos!$B:$B,$I176,Aux_Datos!$D:$D,"&lt;&gt;USD")=0,"USD","VES"),'Limites de Descuento'!$A$2:$D$4,4,FALSE),MAX(0,1-SUMIF(Aux_Datos!$B:$B,$I176,Aux_Datos!$K:$K)/$E176),0))</f>
        <v>0</v>
      </c>
      <c r="H176" s="27"/>
      <c r="I176" s="28">
        <f t="shared" si="14"/>
        <v>212</v>
      </c>
      <c r="J176" s="29">
        <f t="shared" si="2"/>
        <v>46125</v>
      </c>
      <c r="K176" s="30">
        <f t="shared" si="3"/>
        <v>0</v>
      </c>
      <c r="L176" s="40">
        <f t="shared" si="4"/>
        <v>46126</v>
      </c>
      <c r="M176" s="30">
        <f t="shared" si="5"/>
        <v>371.2</v>
      </c>
      <c r="N176" s="32">
        <f t="shared" si="6"/>
        <v>74</v>
      </c>
      <c r="O176" s="33" t="str">
        <f t="shared" si="7"/>
        <v>VENCIDA</v>
      </c>
      <c r="P176" s="34">
        <f>LET(
  idVenta, I176&amp;"",
  montoTotal, M176,
  pagos, IFERROR(SUMIF(Aux_Datos!$B:$B, idVenta, Aux_Datos!$K:$K), 0),
  retenciones, IFERROR(SUMIF(Aux_Datos!$N:$N, idVenta, Aux_Datos!$R:$R), 0),
  pagos + retenciones
)</f>
        <v>78.98181391</v>
      </c>
      <c r="Q176" s="30" t="str">
        <f>IF(P176=0, "Sin Pago", 
  LET(
    idVenta, I176&amp;"",
    montoTotalPagado, P176,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176" s="30">
        <f t="shared" si="13"/>
        <v>292.2181861</v>
      </c>
      <c r="S176" s="29">
        <f>IF(P176=0, "Sin Pago", 
  IFERROR(
    MAXIFS(Aux_Datos!$A:$A, Aux_Datos!$B:$B, I176&amp;""), 
    IFERROR(MAXIFS(Aux_Datos!$A:$A, Aux_Datos!$B:$B, VALUE(I176)), "Revisar ID")
  )
)</f>
        <v>46170</v>
      </c>
      <c r="T176" s="35" t="str">
        <f t="shared" si="9"/>
        <v>PAGO PARCIAL</v>
      </c>
      <c r="U176" s="35" t="str">
        <f t="shared" si="10"/>
        <v>CRÍTICO: VENCIDA</v>
      </c>
      <c r="V176" s="32">
        <f t="shared" si="11"/>
        <v>30</v>
      </c>
      <c r="W176" s="36" t="str">
        <f>IF(P176=0, "Sin Pago", 
  LET(
    monedaPago, Q176, 
    descuentoAplicado, G176,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76" s="36" t="str">
        <f t="shared" si="12"/>
        <v/>
      </c>
      <c r="Y176" s="36">
        <v>78.98181390985013</v>
      </c>
      <c r="Z176" s="33" t="s">
        <v>609</v>
      </c>
      <c r="AA176" s="33"/>
      <c r="AB176" s="33"/>
      <c r="AC176" s="33"/>
      <c r="AD176" s="33"/>
      <c r="AE176" s="33"/>
      <c r="AF176" s="33"/>
    </row>
    <row r="177" ht="22.5" customHeight="1">
      <c r="A177" s="23" t="s">
        <v>140</v>
      </c>
      <c r="B177" s="24">
        <v>46125.72222222222</v>
      </c>
      <c r="C177" s="23" t="s">
        <v>139</v>
      </c>
      <c r="D177" s="23" t="s">
        <v>550</v>
      </c>
      <c r="E177" s="25">
        <v>431.52</v>
      </c>
      <c r="F177" s="23" t="s">
        <v>593</v>
      </c>
      <c r="G177" s="26">
        <f>IF($E177=0,0,IF(SUMIF(Aux_Datos!$B:$B,$I177,Aux_Datos!$K:$K)/$E177&gt;=VLOOKUP(IF(COUNTIFS(Aux_Datos!$B:$B,$I177,Aux_Datos!$D:$D,"&lt;&gt;USD")=0,"USD","VES"),'Limites de Descuento'!$A$2:$D$4,4,FALSE),MAX(0,1-SUMIF(Aux_Datos!$B:$B,$I177,Aux_Datos!$K:$K)/$E177),0))</f>
        <v>0</v>
      </c>
      <c r="H177" s="27"/>
      <c r="I177" s="28">
        <f t="shared" si="14"/>
        <v>213</v>
      </c>
      <c r="J177" s="29">
        <f t="shared" si="2"/>
        <v>46125</v>
      </c>
      <c r="K177" s="30">
        <f t="shared" si="3"/>
        <v>0</v>
      </c>
      <c r="L177" s="40">
        <f t="shared" si="4"/>
        <v>46126</v>
      </c>
      <c r="M177" s="30">
        <f t="shared" si="5"/>
        <v>431.52</v>
      </c>
      <c r="N177" s="32">
        <f t="shared" si="6"/>
        <v>74</v>
      </c>
      <c r="O177" s="33" t="str">
        <f t="shared" si="7"/>
        <v>VENCIDA</v>
      </c>
      <c r="P177" s="34">
        <f>LET(
  idVenta, I177&amp;"",
  montoTotal, M177,
  pagos, IFERROR(SUMIF(Aux_Datos!$B:$B, idVenta, Aux_Datos!$K:$K), 0),
  retenciones, IFERROR(SUMIF(Aux_Datos!$N:$N, idVenta, Aux_Datos!$R:$R), 0),
  pagos + retenciones
)</f>
        <v>75</v>
      </c>
      <c r="Q177" s="30" t="str">
        <f>IF(P177=0, "Sin Pago", 
  LET(
    idVenta, I177&amp;"",
    montoTotalPagado, P177,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77" s="30">
        <f t="shared" si="13"/>
        <v>356.52</v>
      </c>
      <c r="S177" s="29">
        <f>IF(P177=0, "Sin Pago", 
  IFERROR(
    MAXIFS(Aux_Datos!$A:$A, Aux_Datos!$B:$B, I177&amp;""), 
    IFERROR(MAXIFS(Aux_Datos!$A:$A, Aux_Datos!$B:$B, VALUE(I177)), "Revisar ID")
  )
)</f>
        <v>46178</v>
      </c>
      <c r="T177" s="35" t="str">
        <f t="shared" si="9"/>
        <v>PAGO PARCIAL</v>
      </c>
      <c r="U177" s="35" t="str">
        <f t="shared" si="10"/>
        <v>CRÍTICO: VENCIDA</v>
      </c>
      <c r="V177" s="32">
        <f t="shared" si="11"/>
        <v>22</v>
      </c>
      <c r="W177" s="36" t="str">
        <f>IF(P177=0, "Sin Pago", 
  LET(
    monedaPago, Q177, 
    descuentoAplicado, G177,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77" s="36" t="str">
        <f t="shared" si="12"/>
        <v/>
      </c>
      <c r="Y177" s="36">
        <v>75.0</v>
      </c>
      <c r="Z177" s="33" t="s">
        <v>609</v>
      </c>
      <c r="AA177" s="33"/>
      <c r="AB177" s="33"/>
      <c r="AC177" s="33"/>
      <c r="AD177" s="33"/>
      <c r="AE177" s="33"/>
      <c r="AF177" s="33"/>
    </row>
    <row r="178" ht="22.5" customHeight="1">
      <c r="A178" s="23" t="s">
        <v>22</v>
      </c>
      <c r="B178" s="24">
        <v>46154.669594907406</v>
      </c>
      <c r="C178" s="23" t="s">
        <v>19</v>
      </c>
      <c r="D178" s="23" t="s">
        <v>208</v>
      </c>
      <c r="E178" s="25">
        <v>10077.45</v>
      </c>
      <c r="F178" s="23" t="s">
        <v>608</v>
      </c>
      <c r="G178" s="26">
        <f>IF($E178=0,0,IF(SUMIF(Aux_Datos!$B:$B,$I178,Aux_Datos!$K:$K)/$E178&gt;=VLOOKUP(IF(COUNTIFS(Aux_Datos!$B:$B,$I178,Aux_Datos!$D:$D,"&lt;&gt;USD")=0,"USD","VES"),'Limites de Descuento'!$A$2:$D$4,4,FALSE),MAX(0,1-SUMIF(Aux_Datos!$B:$B,$I178,Aux_Datos!$K:$K)/$E178),0))</f>
        <v>0</v>
      </c>
      <c r="H178" s="27"/>
      <c r="I178" s="28">
        <f t="shared" si="14"/>
        <v>214</v>
      </c>
      <c r="J178" s="29">
        <f t="shared" si="2"/>
        <v>46154</v>
      </c>
      <c r="K178" s="30">
        <f t="shared" si="3"/>
        <v>7</v>
      </c>
      <c r="L178" s="40">
        <f t="shared" si="4"/>
        <v>46162</v>
      </c>
      <c r="M178" s="30">
        <f t="shared" si="5"/>
        <v>10077.45</v>
      </c>
      <c r="N178" s="32">
        <f t="shared" si="6"/>
        <v>38</v>
      </c>
      <c r="O178" s="33" t="str">
        <f t="shared" si="7"/>
        <v>VENCIDA</v>
      </c>
      <c r="P178" s="37">
        <v>282.0</v>
      </c>
      <c r="Q178" s="30" t="str">
        <f>IF(P178=0, "Sin Pago", 
  LET(
    idVenta, I178&amp;"",
    montoTotalPagado, P178,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178" s="30">
        <f t="shared" si="13"/>
        <v>9795.45</v>
      </c>
      <c r="S178" s="29">
        <f>IF(P178=0, "Sin Pago", 
  IFERROR(
    MAXIFS(Aux_Datos!$A:$A, Aux_Datos!$B:$B, I178&amp;""), 
    IFERROR(MAXIFS(Aux_Datos!$A:$A, Aux_Datos!$B:$B, VALUE(I178)), "Revisar ID")
  )
)</f>
        <v>46163</v>
      </c>
      <c r="T178" s="35" t="str">
        <f t="shared" si="9"/>
        <v>PAGO PARCIAL</v>
      </c>
      <c r="U178" s="35" t="str">
        <f t="shared" si="10"/>
        <v>CRÍTICO: VENCIDA</v>
      </c>
      <c r="V178" s="32">
        <f t="shared" si="11"/>
        <v>37</v>
      </c>
      <c r="W178" s="36" t="str">
        <f>IF(P178=0, "Sin Pago", 
  LET(
    monedaPago, Q178, 
    descuentoAplicado, G178,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78" s="36" t="str">
        <f t="shared" si="12"/>
        <v/>
      </c>
      <c r="Y178" s="36">
        <v>6561.31493769991</v>
      </c>
      <c r="Z178" s="33" t="s">
        <v>609</v>
      </c>
      <c r="AA178" s="33"/>
      <c r="AB178" s="33"/>
      <c r="AC178" s="33"/>
      <c r="AD178" s="33"/>
      <c r="AE178" s="33"/>
      <c r="AF178" s="33"/>
    </row>
    <row r="179" ht="22.5" customHeight="1">
      <c r="A179" s="23" t="s">
        <v>176</v>
      </c>
      <c r="B179" s="24">
        <v>46126.534583333334</v>
      </c>
      <c r="C179" s="23" t="s">
        <v>175</v>
      </c>
      <c r="D179" s="23" t="s">
        <v>323</v>
      </c>
      <c r="E179" s="25">
        <v>116.0</v>
      </c>
      <c r="F179" s="23" t="s">
        <v>593</v>
      </c>
      <c r="G179" s="26">
        <f>IF($E179=0,0,IF(SUMIF(Aux_Datos!$B:$B,$I179,Aux_Datos!$K:$K)/$E179&gt;=VLOOKUP(IF(COUNTIFS(Aux_Datos!$B:$B,$I179,Aux_Datos!$D:$D,"&lt;&gt;USD")=0,"USD","VES"),'Limites de Descuento'!$A$2:$D$4,4,FALSE),MAX(0,1-SUMIF(Aux_Datos!$B:$B,$I179,Aux_Datos!$K:$K)/$E179),0))</f>
        <v>0</v>
      </c>
      <c r="H179" s="27"/>
      <c r="I179" s="28">
        <f t="shared" si="14"/>
        <v>215</v>
      </c>
      <c r="J179" s="29">
        <f t="shared" si="2"/>
        <v>46126</v>
      </c>
      <c r="K179" s="30">
        <f t="shared" si="3"/>
        <v>0</v>
      </c>
      <c r="L179" s="40">
        <f t="shared" si="4"/>
        <v>46127</v>
      </c>
      <c r="M179" s="30">
        <f t="shared" si="5"/>
        <v>116</v>
      </c>
      <c r="N179" s="32">
        <f t="shared" si="6"/>
        <v>73</v>
      </c>
      <c r="O179" s="33" t="str">
        <f t="shared" si="7"/>
        <v>VENCIDA</v>
      </c>
      <c r="P179" s="34">
        <f>LET(
  idVenta, I179&amp;"",
  montoTotal, M179,
  pagos, IFERROR(SUMIF(Aux_Datos!$B:$B, idVenta, Aux_Datos!$K:$K), 0),
  retenciones, IFERROR(SUMIF(Aux_Datos!$N:$N, idVenta, Aux_Datos!$R:$R), 0),
  pagos + retenciones
)</f>
        <v>0</v>
      </c>
      <c r="Q179" s="30" t="str">
        <f>IF(P179=0, "Sin Pago", 
  LET(
    idVenta, I179&amp;"",
    montoTotalPagado, P179,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179" s="30">
        <f t="shared" si="13"/>
        <v>116</v>
      </c>
      <c r="S179" s="29" t="str">
        <f>IF(P179=0, "Sin Pago", 
  IFERROR(
    MAXIFS(Aux_Datos!$A:$A, Aux_Datos!$B:$B, I179&amp;""), 
    IFERROR(MAXIFS(Aux_Datos!$A:$A, Aux_Datos!$B:$B, VALUE(I179)), "Revisar ID")
  )
)</f>
        <v>Sin Pago</v>
      </c>
      <c r="T179" s="35" t="str">
        <f t="shared" si="9"/>
        <v>PENDIENTE</v>
      </c>
      <c r="U179" s="35" t="str">
        <f t="shared" si="10"/>
        <v>CRÍTICO: VENCIDA</v>
      </c>
      <c r="V179" s="32">
        <f t="shared" si="11"/>
        <v>0</v>
      </c>
      <c r="W179" s="36" t="str">
        <f>IF(P179=0, "Sin Pago", 
  LET(
    monedaPago, Q179, 
    descuentoAplicado, G179,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179" s="36" t="str">
        <f t="shared" si="12"/>
        <v/>
      </c>
      <c r="Y179" s="36">
        <v>0.0</v>
      </c>
      <c r="Z179" s="33" t="s">
        <v>641</v>
      </c>
      <c r="AA179" s="33"/>
      <c r="AB179" s="33"/>
      <c r="AC179" s="33"/>
      <c r="AD179" s="33"/>
      <c r="AE179" s="33"/>
      <c r="AF179" s="33"/>
    </row>
    <row r="180" ht="22.5" customHeight="1">
      <c r="A180" s="23" t="s">
        <v>233</v>
      </c>
      <c r="B180" s="24">
        <v>46126.74553240741</v>
      </c>
      <c r="C180" s="23" t="s">
        <v>232</v>
      </c>
      <c r="D180" s="23" t="s">
        <v>529</v>
      </c>
      <c r="E180" s="25">
        <v>444.28</v>
      </c>
      <c r="F180" s="23" t="s">
        <v>619</v>
      </c>
      <c r="G180" s="26">
        <f>IF($E180=0,0,IF(SUMIF(Aux_Datos!$B:$B,$I180,Aux_Datos!$K:$K)/$E180&gt;=VLOOKUP(IF(COUNTIFS(Aux_Datos!$B:$B,$I180,Aux_Datos!$D:$D,"&lt;&gt;USD")=0,"USD","VES"),'Limites de Descuento'!$A$2:$D$4,4,FALSE),MAX(0,1-SUMIF(Aux_Datos!$B:$B,$I180,Aux_Datos!$K:$K)/$E180),0))</f>
        <v>0</v>
      </c>
      <c r="H180" s="27"/>
      <c r="I180" s="28">
        <f t="shared" si="14"/>
        <v>218</v>
      </c>
      <c r="J180" s="29">
        <f t="shared" si="2"/>
        <v>46126</v>
      </c>
      <c r="K180" s="30">
        <f t="shared" si="3"/>
        <v>15</v>
      </c>
      <c r="L180" s="40">
        <f t="shared" si="4"/>
        <v>46142</v>
      </c>
      <c r="M180" s="30">
        <f t="shared" si="5"/>
        <v>444.28</v>
      </c>
      <c r="N180" s="32">
        <f t="shared" si="6"/>
        <v>58</v>
      </c>
      <c r="O180" s="33" t="str">
        <f t="shared" si="7"/>
        <v>VENCIDA</v>
      </c>
      <c r="P180" s="34">
        <f>LET(
  idVenta, I180&amp;"",
  montoTotal, M180,
  pagos, IFERROR(SUMIF(Aux_Datos!$B:$B, idVenta, Aux_Datos!$K:$K), 0),
  retenciones, IFERROR(SUMIF(Aux_Datos!$N:$N, idVenta, Aux_Datos!$R:$R), 0),
  pagos + retenciones
)</f>
        <v>170</v>
      </c>
      <c r="Q180" s="30" t="str">
        <f>IF(P180=0, "Sin Pago", 
  LET(
    idVenta, I180&amp;"",
    montoTotalPagado, P180,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80" s="30">
        <f t="shared" si="13"/>
        <v>274.28</v>
      </c>
      <c r="S180" s="29">
        <f>IF(P180=0, "Sin Pago", 
  IFERROR(
    MAXIFS(Aux_Datos!$A:$A, Aux_Datos!$B:$B, I180&amp;""), 
    IFERROR(MAXIFS(Aux_Datos!$A:$A, Aux_Datos!$B:$B, VALUE(I180)), "Revisar ID")
  )
)</f>
        <v>46185</v>
      </c>
      <c r="T180" s="35" t="str">
        <f t="shared" si="9"/>
        <v>PAGO PARCIAL</v>
      </c>
      <c r="U180" s="35" t="str">
        <f t="shared" si="10"/>
        <v>CRÍTICO: VENCIDA</v>
      </c>
      <c r="V180" s="32">
        <f t="shared" si="11"/>
        <v>15</v>
      </c>
      <c r="W180" s="36" t="str">
        <f>IF(P180=0, "Sin Pago", 
  LET(
    monedaPago, Q180, 
    descuentoAplicado, G180,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80" s="36" t="str">
        <f t="shared" si="12"/>
        <v/>
      </c>
      <c r="Y180" s="36">
        <v>170.0</v>
      </c>
      <c r="Z180" s="33" t="s">
        <v>609</v>
      </c>
      <c r="AA180" s="33"/>
      <c r="AB180" s="33"/>
      <c r="AC180" s="33"/>
      <c r="AD180" s="33"/>
      <c r="AE180" s="33"/>
      <c r="AF180" s="33"/>
    </row>
    <row r="181" ht="22.5" customHeight="1">
      <c r="A181" s="23" t="s">
        <v>174</v>
      </c>
      <c r="B181" s="24">
        <v>46126.75471064815</v>
      </c>
      <c r="C181" s="23" t="s">
        <v>173</v>
      </c>
      <c r="D181" s="23" t="s">
        <v>556</v>
      </c>
      <c r="E181" s="25">
        <v>343.0</v>
      </c>
      <c r="F181" s="23" t="s">
        <v>593</v>
      </c>
      <c r="G181" s="26">
        <f>IF($E181=0,0,IF(SUMIF(Aux_Datos!$B:$B,$I181,Aux_Datos!$K:$K)/$E181&gt;=VLOOKUP(IF(COUNTIFS(Aux_Datos!$B:$B,$I181,Aux_Datos!$D:$D,"&lt;&gt;USD")=0,"USD","VES"),'Limites de Descuento'!$A$2:$D$4,4,FALSE),MAX(0,1-SUMIF(Aux_Datos!$B:$B,$I181,Aux_Datos!$K:$K)/$E181),0))</f>
        <v>0</v>
      </c>
      <c r="H181" s="26"/>
      <c r="I181" s="28">
        <f t="shared" si="14"/>
        <v>219</v>
      </c>
      <c r="J181" s="29">
        <f t="shared" si="2"/>
        <v>46126</v>
      </c>
      <c r="K181" s="30">
        <f t="shared" si="3"/>
        <v>0</v>
      </c>
      <c r="L181" s="40">
        <f t="shared" si="4"/>
        <v>46127</v>
      </c>
      <c r="M181" s="30">
        <f t="shared" si="5"/>
        <v>343</v>
      </c>
      <c r="N181" s="32">
        <f t="shared" si="6"/>
        <v>73</v>
      </c>
      <c r="O181" s="33" t="str">
        <f t="shared" si="7"/>
        <v>VENCIDA</v>
      </c>
      <c r="P181" s="34">
        <f>LET(
  idVenta, I181&amp;"",
  montoTotal, M181,
  pagos, IFERROR(SUMIF(Aux_Datos!$B:$B, idVenta, Aux_Datos!$K:$K), 0),
  retenciones, IFERROR(SUMIF(Aux_Datos!$N:$N, idVenta, Aux_Datos!$R:$R), 0),
  pagos + retenciones
)</f>
        <v>200</v>
      </c>
      <c r="Q181" s="30" t="str">
        <f>IF(P181=0, "Sin Pago", 
  LET(
    idVenta, I181&amp;"",
    montoTotalPagado, P181,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81" s="30">
        <f t="shared" si="13"/>
        <v>143</v>
      </c>
      <c r="S181" s="29">
        <f>IF(P181=0, "Sin Pago", 
  IFERROR(
    MAXIFS(Aux_Datos!$A:$A, Aux_Datos!$B:$B, I181&amp;""), 
    IFERROR(MAXIFS(Aux_Datos!$A:$A, Aux_Datos!$B:$B, VALUE(I181)), "Revisar ID")
  )
)</f>
        <v>46127</v>
      </c>
      <c r="T181" s="35" t="str">
        <f t="shared" si="9"/>
        <v>PAGO PARCIAL</v>
      </c>
      <c r="U181" s="35" t="str">
        <f t="shared" si="10"/>
        <v>CRÍTICO: VENCIDA</v>
      </c>
      <c r="V181" s="32">
        <f t="shared" si="11"/>
        <v>73</v>
      </c>
      <c r="W181" s="36" t="str">
        <f>IF(P181=0, "Sin Pago", 
  LET(
    monedaPago, Q181, 
    descuentoAplicado, G181,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81" s="36" t="str">
        <f t="shared" si="12"/>
        <v/>
      </c>
      <c r="Y181" s="36">
        <v>200.0</v>
      </c>
      <c r="Z181" s="33" t="s">
        <v>609</v>
      </c>
      <c r="AA181" s="33"/>
      <c r="AB181" s="33"/>
      <c r="AC181" s="33"/>
      <c r="AD181" s="33"/>
      <c r="AE181" s="33"/>
      <c r="AF181" s="33"/>
    </row>
    <row r="182" ht="22.5" customHeight="1">
      <c r="A182" s="23" t="s">
        <v>749</v>
      </c>
      <c r="B182" s="24">
        <v>46127.57173611111</v>
      </c>
      <c r="C182" s="23" t="s">
        <v>28</v>
      </c>
      <c r="D182" s="23" t="s">
        <v>556</v>
      </c>
      <c r="E182" s="25">
        <v>125.28</v>
      </c>
      <c r="F182" s="23" t="s">
        <v>593</v>
      </c>
      <c r="G182" s="26">
        <f>IF($E182=0,0,IF(SUMIF(Aux_Datos!$B:$B,$I182,Aux_Datos!$K:$K)/$E182&gt;=VLOOKUP(IF(COUNTIFS(Aux_Datos!$B:$B,$I182,Aux_Datos!$D:$D,"&lt;&gt;USD")=0,"USD","VES"),'Limites de Descuento'!$A$2:$D$4,4,FALSE),MAX(0,1-SUMIF(Aux_Datos!$B:$B,$I182,Aux_Datos!$K:$K)/$E182),0))</f>
        <v>0.1139846743</v>
      </c>
      <c r="H182" s="27"/>
      <c r="I182" s="28">
        <f t="shared" si="14"/>
        <v>220</v>
      </c>
      <c r="J182" s="29">
        <f t="shared" si="2"/>
        <v>46127</v>
      </c>
      <c r="K182" s="30">
        <f t="shared" si="3"/>
        <v>0</v>
      </c>
      <c r="L182" s="40">
        <f t="shared" si="4"/>
        <v>46128</v>
      </c>
      <c r="M182" s="30">
        <f t="shared" si="5"/>
        <v>111</v>
      </c>
      <c r="N182" s="32">
        <f t="shared" si="6"/>
        <v>0</v>
      </c>
      <c r="O182" s="33" t="str">
        <f t="shared" si="7"/>
        <v>PAGADA</v>
      </c>
      <c r="P182" s="34">
        <f>LET(
  idVenta, I182&amp;"",
  montoTotal, M182,
  pagos, IFERROR(SUMIF(Aux_Datos!$B:$B, idVenta, Aux_Datos!$K:$K), 0),
  retenciones, IFERROR(SUMIF(Aux_Datos!$N:$N, idVenta, Aux_Datos!$R:$R), 0),
  pagos + retenciones
)</f>
        <v>111</v>
      </c>
      <c r="Q182" s="30" t="str">
        <f>IF(P182=0, "Sin Pago", 
  LET(
    idVenta, I182&amp;"",
    montoTotalPagado, P182,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82" s="30">
        <f t="shared" si="13"/>
        <v>0</v>
      </c>
      <c r="S182" s="29">
        <f>IF(P182=0, "Sin Pago", 
  IFERROR(
    MAXIFS(Aux_Datos!$A:$A, Aux_Datos!$B:$B, I182&amp;""), 
    IFERROR(MAXIFS(Aux_Datos!$A:$A, Aux_Datos!$B:$B, VALUE(I182)), "Revisar ID")
  )
)</f>
        <v>46142</v>
      </c>
      <c r="T182" s="35" t="str">
        <f t="shared" si="9"/>
        <v>PAGADA</v>
      </c>
      <c r="U182" s="35" t="str">
        <f t="shared" si="10"/>
        <v>SOLVENTE</v>
      </c>
      <c r="V182" s="32">
        <f t="shared" si="11"/>
        <v>0</v>
      </c>
      <c r="W182" s="36" t="str">
        <f>IF(P182=0, "Sin Pago", 
  LET(
    monedaPago, Q182, 
    descuentoAplicado, G182,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82" s="36" t="str">
        <f t="shared" si="12"/>
        <v/>
      </c>
      <c r="Y182" s="36">
        <v>111.0</v>
      </c>
      <c r="Z182" s="33" t="s">
        <v>596</v>
      </c>
      <c r="AA182" s="33"/>
      <c r="AB182" s="33"/>
      <c r="AC182" s="33"/>
      <c r="AD182" s="33"/>
      <c r="AE182" s="33"/>
      <c r="AF182" s="33"/>
    </row>
    <row r="183" ht="22.5" customHeight="1">
      <c r="A183" s="23" t="s">
        <v>45</v>
      </c>
      <c r="B183" s="24">
        <v>46127.542280092595</v>
      </c>
      <c r="C183" s="23" t="s">
        <v>44</v>
      </c>
      <c r="D183" s="23" t="s">
        <v>556</v>
      </c>
      <c r="E183" s="25">
        <v>215.33</v>
      </c>
      <c r="F183" s="23" t="s">
        <v>593</v>
      </c>
      <c r="G183" s="26">
        <f>IF($E183=0,0,IF(SUMIF(Aux_Datos!$B:$B,$I183,Aux_Datos!$K:$K)/$E183&gt;=VLOOKUP(IF(COUNTIFS(Aux_Datos!$B:$B,$I183,Aux_Datos!$D:$D,"&lt;&gt;USD")=0,"USD","VES"),'Limites de Descuento'!$A$2:$D$4,4,FALSE),MAX(0,1-SUMIF(Aux_Datos!$B:$B,$I183,Aux_Datos!$K:$K)/$E183),0))</f>
        <v>0</v>
      </c>
      <c r="H183" s="27"/>
      <c r="I183" s="28">
        <f t="shared" si="14"/>
        <v>221</v>
      </c>
      <c r="J183" s="29">
        <f t="shared" si="2"/>
        <v>46127</v>
      </c>
      <c r="K183" s="30">
        <f t="shared" si="3"/>
        <v>0</v>
      </c>
      <c r="L183" s="40">
        <f t="shared" si="4"/>
        <v>46128</v>
      </c>
      <c r="M183" s="30">
        <f t="shared" si="5"/>
        <v>215.33</v>
      </c>
      <c r="N183" s="32">
        <f t="shared" si="6"/>
        <v>72</v>
      </c>
      <c r="O183" s="33" t="str">
        <f t="shared" si="7"/>
        <v>VENCIDA</v>
      </c>
      <c r="P183" s="34">
        <f>LET(
  idVenta, I183&amp;"",
  montoTotal, M183,
  pagos, IFERROR(SUMIF(Aux_Datos!$B:$B, idVenta, Aux_Datos!$K:$K), 0),
  retenciones, IFERROR(SUMIF(Aux_Datos!$N:$N, idVenta, Aux_Datos!$R:$R), 0),
  pagos + retenciones
)</f>
        <v>133</v>
      </c>
      <c r="Q183" s="30" t="str">
        <f>IF(P183=0, "Sin Pago", 
  LET(
    idVenta, I183&amp;"",
    montoTotalPagado, P183,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83" s="30">
        <f t="shared" si="13"/>
        <v>82.33</v>
      </c>
      <c r="S183" s="29">
        <f>IF(P183=0, "Sin Pago", 
  IFERROR(
    MAXIFS(Aux_Datos!$A:$A, Aux_Datos!$B:$B, I183&amp;""), 
    IFERROR(MAXIFS(Aux_Datos!$A:$A, Aux_Datos!$B:$B, VALUE(I183)), "Revisar ID")
  )
)</f>
        <v>46146</v>
      </c>
      <c r="T183" s="35" t="str">
        <f t="shared" si="9"/>
        <v>PAGO PARCIAL</v>
      </c>
      <c r="U183" s="35" t="str">
        <f t="shared" si="10"/>
        <v>CRÍTICO: VENCIDA</v>
      </c>
      <c r="V183" s="32">
        <f t="shared" si="11"/>
        <v>54</v>
      </c>
      <c r="W183" s="36" t="str">
        <f>IF(P183=0, "Sin Pago", 
  LET(
    monedaPago, Q183, 
    descuentoAplicado, G183,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83" s="36" t="str">
        <f t="shared" si="12"/>
        <v/>
      </c>
      <c r="Y183" s="36">
        <v>133.0</v>
      </c>
      <c r="Z183" s="33" t="s">
        <v>609</v>
      </c>
      <c r="AA183" s="33"/>
      <c r="AB183" s="33"/>
      <c r="AC183" s="33"/>
      <c r="AD183" s="33"/>
      <c r="AE183" s="33"/>
      <c r="AF183" s="33"/>
    </row>
    <row r="184" ht="22.5" customHeight="1">
      <c r="A184" s="23" t="s">
        <v>245</v>
      </c>
      <c r="B184" s="24">
        <v>46127.503287037034</v>
      </c>
      <c r="C184" s="23" t="s">
        <v>244</v>
      </c>
      <c r="D184" s="23" t="s">
        <v>353</v>
      </c>
      <c r="E184" s="25">
        <v>498.8</v>
      </c>
      <c r="F184" s="23" t="s">
        <v>619</v>
      </c>
      <c r="G184" s="26">
        <f>IF($E184=0,0,IF(SUMIF(Aux_Datos!$B:$B,$I184,Aux_Datos!$K:$K)/$E184&gt;=VLOOKUP(IF(COUNTIFS(Aux_Datos!$B:$B,$I184,Aux_Datos!$D:$D,"&lt;&gt;USD")=0,"USD","VES"),'Limites de Descuento'!$A$2:$D$4,4,FALSE),MAX(0,1-SUMIF(Aux_Datos!$B:$B,$I184,Aux_Datos!$K:$K)/$E184),0))</f>
        <v>0</v>
      </c>
      <c r="H184" s="27"/>
      <c r="I184" s="28">
        <f t="shared" si="14"/>
        <v>222</v>
      </c>
      <c r="J184" s="29">
        <f t="shared" si="2"/>
        <v>46127</v>
      </c>
      <c r="K184" s="30">
        <f t="shared" si="3"/>
        <v>15</v>
      </c>
      <c r="L184" s="40">
        <f t="shared" si="4"/>
        <v>46143</v>
      </c>
      <c r="M184" s="30">
        <f t="shared" si="5"/>
        <v>498.8</v>
      </c>
      <c r="N184" s="32">
        <f t="shared" si="6"/>
        <v>57</v>
      </c>
      <c r="O184" s="33" t="str">
        <f t="shared" si="7"/>
        <v>VENCIDA</v>
      </c>
      <c r="P184" s="34">
        <f>LET(
  idVenta, I184&amp;"",
  montoTotal, M184,
  pagos, IFERROR(SUMIF(Aux_Datos!$B:$B, idVenta, Aux_Datos!$K:$K), 0),
  retenciones, IFERROR(SUMIF(Aux_Datos!$N:$N, idVenta, Aux_Datos!$R:$R), 0),
  pagos + retenciones
)</f>
        <v>240</v>
      </c>
      <c r="Q184" s="30" t="str">
        <f>IF(P184=0, "Sin Pago", 
  LET(
    idVenta, I184&amp;"",
    montoTotalPagado, P184,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84" s="30">
        <f t="shared" si="13"/>
        <v>258.8</v>
      </c>
      <c r="S184" s="29">
        <f>IF(P184=0, "Sin Pago", 
  IFERROR(
    MAXIFS(Aux_Datos!$A:$A, Aux_Datos!$B:$B, I184&amp;""), 
    IFERROR(MAXIFS(Aux_Datos!$A:$A, Aux_Datos!$B:$B, VALUE(I184)), "Revisar ID")
  )
)</f>
        <v>46196</v>
      </c>
      <c r="T184" s="35" t="str">
        <f t="shared" si="9"/>
        <v>PAGO PARCIAL</v>
      </c>
      <c r="U184" s="35" t="str">
        <f t="shared" si="10"/>
        <v>CRÍTICO: VENCIDA</v>
      </c>
      <c r="V184" s="32">
        <f t="shared" si="11"/>
        <v>4</v>
      </c>
      <c r="W184" s="36" t="str">
        <f>IF(P184=0, "Sin Pago", 
  LET(
    monedaPago, Q184, 
    descuentoAplicado, G184,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84" s="36" t="str">
        <f t="shared" si="12"/>
        <v/>
      </c>
      <c r="Y184" s="36">
        <v>240.0</v>
      </c>
      <c r="Z184" s="33" t="s">
        <v>609</v>
      </c>
      <c r="AA184" s="33"/>
      <c r="AB184" s="33"/>
      <c r="AC184" s="33"/>
      <c r="AD184" s="33"/>
      <c r="AE184" s="33"/>
      <c r="AF184" s="33"/>
    </row>
    <row r="185" ht="22.5" customHeight="1">
      <c r="A185" s="23" t="s">
        <v>247</v>
      </c>
      <c r="B185" s="24">
        <v>46127.53072916667</v>
      </c>
      <c r="C185" s="23" t="s">
        <v>246</v>
      </c>
      <c r="D185" s="23" t="s">
        <v>546</v>
      </c>
      <c r="E185" s="25">
        <v>431.52</v>
      </c>
      <c r="F185" s="23" t="s">
        <v>619</v>
      </c>
      <c r="G185" s="26">
        <f>IF($E185=0,0,IF(SUMIF(Aux_Datos!$B:$B,$I185,Aux_Datos!$K:$K)/$E185&gt;=VLOOKUP(IF(COUNTIFS(Aux_Datos!$B:$B,$I185,Aux_Datos!$D:$D,"&lt;&gt;USD")=0,"USD","VES"),'Limites de Descuento'!$A$2:$D$4,4,FALSE),MAX(0,1-SUMIF(Aux_Datos!$B:$B,$I185,Aux_Datos!$K:$K)/$E185),0))</f>
        <v>0</v>
      </c>
      <c r="H185" s="27"/>
      <c r="I185" s="28">
        <f t="shared" si="14"/>
        <v>223</v>
      </c>
      <c r="J185" s="29">
        <f t="shared" si="2"/>
        <v>46127</v>
      </c>
      <c r="K185" s="30">
        <f t="shared" si="3"/>
        <v>15</v>
      </c>
      <c r="L185" s="40">
        <f t="shared" si="4"/>
        <v>46143</v>
      </c>
      <c r="M185" s="30">
        <f t="shared" si="5"/>
        <v>431.52</v>
      </c>
      <c r="N185" s="32">
        <f t="shared" si="6"/>
        <v>57</v>
      </c>
      <c r="O185" s="33" t="str">
        <f t="shared" si="7"/>
        <v>VENCIDA</v>
      </c>
      <c r="P185" s="34">
        <f>LET(
  idVenta, I185&amp;"",
  montoTotal, M185,
  pagos, IFERROR(SUMIF(Aux_Datos!$B:$B, idVenta, Aux_Datos!$K:$K), 0),
  retenciones, IFERROR(SUMIF(Aux_Datos!$N:$N, idVenta, Aux_Datos!$R:$R), 0),
  pagos + retenciones
)</f>
        <v>275</v>
      </c>
      <c r="Q185" s="30" t="str">
        <f>IF(P185=0, "Sin Pago", 
  LET(
    idVenta, I185&amp;"",
    montoTotalPagado, P185,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85" s="30">
        <f t="shared" si="13"/>
        <v>156.52</v>
      </c>
      <c r="S185" s="29">
        <f>IF(P185=0, "Sin Pago", 
  IFERROR(
    MAXIFS(Aux_Datos!$A:$A, Aux_Datos!$B:$B, I185&amp;""), 
    IFERROR(MAXIFS(Aux_Datos!$A:$A, Aux_Datos!$B:$B, VALUE(I185)), "Revisar ID")
  )
)</f>
        <v>46176</v>
      </c>
      <c r="T185" s="35" t="str">
        <f t="shared" si="9"/>
        <v>PAGO PARCIAL</v>
      </c>
      <c r="U185" s="35" t="str">
        <f t="shared" si="10"/>
        <v>CRÍTICO: VENCIDA</v>
      </c>
      <c r="V185" s="32">
        <f t="shared" si="11"/>
        <v>24</v>
      </c>
      <c r="W185" s="36" t="str">
        <f>IF(P185=0, "Sin Pago", 
  LET(
    monedaPago, Q185, 
    descuentoAplicado, G185,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85" s="36" t="str">
        <f t="shared" si="12"/>
        <v/>
      </c>
      <c r="Y185" s="36">
        <v>275.0</v>
      </c>
      <c r="Z185" s="33" t="s">
        <v>609</v>
      </c>
      <c r="AA185" s="33"/>
      <c r="AB185" s="33"/>
      <c r="AC185" s="33"/>
      <c r="AD185" s="33"/>
      <c r="AE185" s="33"/>
      <c r="AF185" s="33"/>
    </row>
    <row r="186" ht="22.5" customHeight="1">
      <c r="A186" s="23" t="s">
        <v>750</v>
      </c>
      <c r="B186" s="24">
        <v>46127.67702546297</v>
      </c>
      <c r="C186" s="23" t="s">
        <v>19</v>
      </c>
      <c r="D186" s="23" t="s">
        <v>323</v>
      </c>
      <c r="E186" s="25">
        <v>3991.56</v>
      </c>
      <c r="F186" s="23" t="s">
        <v>593</v>
      </c>
      <c r="G186" s="26">
        <f>IF($E186=0,0,IF(SUMIF(Aux_Datos!$B:$B,$I186,Aux_Datos!$K:$K)/$E186&gt;=VLOOKUP(IF(COUNTIFS(Aux_Datos!$B:$B,$I186,Aux_Datos!$D:$D,"&lt;&gt;USD")=0,"USD","VES"),'Limites de Descuento'!$A$2:$D$4,4,FALSE),MAX(0,1-SUMIF(Aux_Datos!$B:$B,$I186,Aux_Datos!$K:$K)/$E186),0))</f>
        <v>0</v>
      </c>
      <c r="H186" s="27"/>
      <c r="I186" s="28">
        <f t="shared" si="14"/>
        <v>225</v>
      </c>
      <c r="J186" s="29">
        <f t="shared" si="2"/>
        <v>46127</v>
      </c>
      <c r="K186" s="30">
        <f t="shared" si="3"/>
        <v>0</v>
      </c>
      <c r="L186" s="40">
        <f t="shared" si="4"/>
        <v>46128</v>
      </c>
      <c r="M186" s="30">
        <f t="shared" si="5"/>
        <v>3991.56</v>
      </c>
      <c r="N186" s="32">
        <f t="shared" si="6"/>
        <v>0</v>
      </c>
      <c r="O186" s="33" t="str">
        <f t="shared" si="7"/>
        <v>PAGADA</v>
      </c>
      <c r="P186" s="34">
        <f>LET(
  idVenta, I186&amp;"",
  montoTotal, M186,
  pagos, IFERROR(SUMIF(Aux_Datos!$B:$B, idVenta, Aux_Datos!$K:$K), 0),
  retenciones, IFERROR(SUMIF(Aux_Datos!$N:$N, idVenta, Aux_Datos!$R:$R), 0),
  pagos + retenciones
)</f>
        <v>3991.560009</v>
      </c>
      <c r="Q186" s="30" t="str">
        <f>IF(P186=0, "Sin Pago", 
  LET(
    idVenta, I186&amp;"",
    montoTotalPagado, P186,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186" s="30">
        <f t="shared" si="13"/>
        <v>-0.000009369362942</v>
      </c>
      <c r="S186" s="29">
        <f>IF(P186=0, "Sin Pago", 
  IFERROR(
    MAXIFS(Aux_Datos!$A:$A, Aux_Datos!$B:$B, I186&amp;""), 
    IFERROR(MAXIFS(Aux_Datos!$A:$A, Aux_Datos!$B:$B, VALUE(I186)), "Revisar ID")
  )
)</f>
        <v>46127</v>
      </c>
      <c r="T186" s="35" t="str">
        <f t="shared" si="9"/>
        <v>PAGADA</v>
      </c>
      <c r="U186" s="35" t="str">
        <f t="shared" si="10"/>
        <v>SOLVENTE</v>
      </c>
      <c r="V186" s="32">
        <f t="shared" si="11"/>
        <v>0</v>
      </c>
      <c r="W186" s="36" t="str">
        <f>IF(P186=0, "Sin Pago", 
  LET(
    monedaPago, Q186, 
    descuentoAplicado, G186,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86" s="36" t="str">
        <f t="shared" si="12"/>
        <v/>
      </c>
      <c r="Y186" s="36">
        <v>3991.560009369363</v>
      </c>
      <c r="Z186" s="33" t="s">
        <v>596</v>
      </c>
      <c r="AA186" s="33"/>
      <c r="AB186" s="33"/>
      <c r="AC186" s="33"/>
      <c r="AD186" s="33"/>
      <c r="AE186" s="33"/>
      <c r="AF186" s="33"/>
    </row>
    <row r="187" ht="22.5" customHeight="1">
      <c r="A187" s="23" t="s">
        <v>212</v>
      </c>
      <c r="B187" s="24">
        <v>46128.414351851854</v>
      </c>
      <c r="C187" s="23" t="s">
        <v>211</v>
      </c>
      <c r="D187" s="23" t="s">
        <v>544</v>
      </c>
      <c r="E187" s="25">
        <v>406.14</v>
      </c>
      <c r="F187" s="23" t="s">
        <v>608</v>
      </c>
      <c r="G187" s="26">
        <f>IF($E187=0,0,IF(SUMIF(Aux_Datos!$B:$B,$I187,Aux_Datos!$K:$K)/$E187&gt;=VLOOKUP(IF(COUNTIFS(Aux_Datos!$B:$B,$I187,Aux_Datos!$D:$D,"&lt;&gt;USD")=0,"USD","VES"),'Limites de Descuento'!$A$2:$D$4,4,FALSE),MAX(0,1-SUMIF(Aux_Datos!$B:$B,$I187,Aux_Datos!$K:$K)/$E187),0))</f>
        <v>0</v>
      </c>
      <c r="H187" s="27"/>
      <c r="I187" s="28">
        <f t="shared" si="14"/>
        <v>226</v>
      </c>
      <c r="J187" s="29">
        <f t="shared" si="2"/>
        <v>46128</v>
      </c>
      <c r="K187" s="30">
        <f t="shared" si="3"/>
        <v>7</v>
      </c>
      <c r="L187" s="40">
        <f t="shared" si="4"/>
        <v>46136</v>
      </c>
      <c r="M187" s="30">
        <f t="shared" si="5"/>
        <v>406.14</v>
      </c>
      <c r="N187" s="32">
        <f t="shared" si="6"/>
        <v>64</v>
      </c>
      <c r="O187" s="33" t="str">
        <f t="shared" si="7"/>
        <v>VENCIDA</v>
      </c>
      <c r="P187" s="34">
        <f>LET(
  idVenta, I187&amp;"",
  montoTotal, M187,
  pagos, IFERROR(SUMIF(Aux_Datos!$B:$B, idVenta, Aux_Datos!$K:$K), 0),
  retenciones, IFERROR(SUMIF(Aux_Datos!$N:$N, idVenta, Aux_Datos!$R:$R), 0),
  pagos + retenciones
)</f>
        <v>88</v>
      </c>
      <c r="Q187" s="30" t="str">
        <f>IF(P187=0, "Sin Pago", 
  LET(
    idVenta, I187&amp;"",
    montoTotalPagado, P187,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87" s="30">
        <f t="shared" si="13"/>
        <v>318.14</v>
      </c>
      <c r="S187" s="29">
        <f>IF(P187=0, "Sin Pago", 
  IFERROR(
    MAXIFS(Aux_Datos!$A:$A, Aux_Datos!$B:$B, I187&amp;""), 
    IFERROR(MAXIFS(Aux_Datos!$A:$A, Aux_Datos!$B:$B, VALUE(I187)), "Revisar ID")
  )
)</f>
        <v>46183</v>
      </c>
      <c r="T187" s="35" t="str">
        <f t="shared" si="9"/>
        <v>PAGO PARCIAL</v>
      </c>
      <c r="U187" s="35" t="str">
        <f t="shared" si="10"/>
        <v>CRÍTICO: VENCIDA</v>
      </c>
      <c r="V187" s="32">
        <f t="shared" si="11"/>
        <v>17</v>
      </c>
      <c r="W187" s="36" t="str">
        <f>IF(P187=0, "Sin Pago", 
  LET(
    monedaPago, Q187, 
    descuentoAplicado, G187,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87" s="36" t="str">
        <f t="shared" si="12"/>
        <v/>
      </c>
      <c r="Y187" s="36">
        <v>88.0</v>
      </c>
      <c r="Z187" s="33" t="s">
        <v>609</v>
      </c>
      <c r="AA187" s="33"/>
      <c r="AB187" s="33"/>
      <c r="AC187" s="33"/>
      <c r="AD187" s="33"/>
      <c r="AE187" s="33"/>
      <c r="AF187" s="33"/>
    </row>
    <row r="188" ht="22.5" customHeight="1">
      <c r="A188" s="23" t="s">
        <v>751</v>
      </c>
      <c r="B188" s="24">
        <v>46128.49582175926</v>
      </c>
      <c r="C188" s="23" t="s">
        <v>752</v>
      </c>
      <c r="D188" s="23" t="s">
        <v>556</v>
      </c>
      <c r="E188" s="25">
        <v>676.28</v>
      </c>
      <c r="F188" s="23" t="s">
        <v>608</v>
      </c>
      <c r="G188" s="26">
        <f>IF($E188=0,0,IF(SUMIF(Aux_Datos!$B:$B,$I188,Aux_Datos!$K:$K)/$E188&gt;=VLOOKUP(IF(COUNTIFS(Aux_Datos!$B:$B,$I188,Aux_Datos!$D:$D,"&lt;&gt;USD")=0,"USD","VES"),'Limites de Descuento'!$A$2:$D$4,4,FALSE),MAX(0,1-SUMIF(Aux_Datos!$B:$B,$I188,Aux_Datos!$K:$K)/$E188),0))</f>
        <v>0.1034490974</v>
      </c>
      <c r="H188" s="27"/>
      <c r="I188" s="28">
        <f t="shared" si="14"/>
        <v>227</v>
      </c>
      <c r="J188" s="29">
        <f t="shared" si="2"/>
        <v>46128</v>
      </c>
      <c r="K188" s="30">
        <f t="shared" si="3"/>
        <v>7</v>
      </c>
      <c r="L188" s="40">
        <f t="shared" si="4"/>
        <v>46136</v>
      </c>
      <c r="M188" s="30">
        <f t="shared" si="5"/>
        <v>606.3194444</v>
      </c>
      <c r="N188" s="32">
        <f t="shared" si="6"/>
        <v>0</v>
      </c>
      <c r="O188" s="33" t="str">
        <f t="shared" si="7"/>
        <v>PAGADA</v>
      </c>
      <c r="P188" s="34">
        <f>LET(
  idVenta, I188&amp;"",
  montoTotal, M188,
  pagos, IFERROR(SUMIF(Aux_Datos!$B:$B, idVenta, Aux_Datos!$K:$K), 0),
  retenciones, IFERROR(SUMIF(Aux_Datos!$N:$N, idVenta, Aux_Datos!$R:$R), 0),
  pagos + retenciones
)</f>
        <v>606.3194444</v>
      </c>
      <c r="Q188" s="30" t="str">
        <f>IF(P188=0, "Sin Pago", 
  LET(
    idVenta, I188&amp;"",
    montoTotalPagado, P188,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188" s="30">
        <f t="shared" si="13"/>
        <v>0</v>
      </c>
      <c r="S188" s="29">
        <f>IF(P188=0, "Sin Pago", 
  IFERROR(
    MAXIFS(Aux_Datos!$A:$A, Aux_Datos!$B:$B, I188&amp;""), 
    IFERROR(MAXIFS(Aux_Datos!$A:$A, Aux_Datos!$B:$B, VALUE(I188)), "Revisar ID")
  )
)</f>
        <v>46139</v>
      </c>
      <c r="T188" s="35" t="str">
        <f t="shared" si="9"/>
        <v>PAGADA</v>
      </c>
      <c r="U188" s="35" t="str">
        <f t="shared" si="10"/>
        <v>SOLVENTE</v>
      </c>
      <c r="V188" s="32">
        <f t="shared" si="11"/>
        <v>0</v>
      </c>
      <c r="W188" s="36" t="str">
        <f>IF(P188=0, "Sin Pago", 
  LET(
    monedaPago, Q188, 
    descuentoAplicado, G188,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88" s="36" t="str">
        <f t="shared" si="12"/>
        <v/>
      </c>
      <c r="Y188" s="36">
        <v>606.31944438714</v>
      </c>
      <c r="Z188" s="33" t="s">
        <v>596</v>
      </c>
      <c r="AA188" s="33"/>
      <c r="AB188" s="33"/>
      <c r="AC188" s="33"/>
      <c r="AD188" s="33"/>
      <c r="AE188" s="33"/>
      <c r="AF188" s="33"/>
    </row>
    <row r="189" ht="22.5" customHeight="1">
      <c r="A189" s="23" t="s">
        <v>753</v>
      </c>
      <c r="B189" s="24">
        <v>46128.49600694444</v>
      </c>
      <c r="C189" s="23" t="s">
        <v>754</v>
      </c>
      <c r="D189" s="23" t="s">
        <v>552</v>
      </c>
      <c r="E189" s="25">
        <v>295.8</v>
      </c>
      <c r="F189" s="23" t="s">
        <v>619</v>
      </c>
      <c r="G189" s="26">
        <f>IF($E189=0,0,IF(SUMIF(Aux_Datos!$B:$B,$I189,Aux_Datos!$K:$K)/$E189&gt;=VLOOKUP(IF(COUNTIFS(Aux_Datos!$B:$B,$I189,Aux_Datos!$D:$D,"&lt;&gt;USD")=0,"USD","VES"),'Limites de Descuento'!$A$2:$D$4,4,FALSE),MAX(0,1-SUMIF(Aux_Datos!$B:$B,$I189,Aux_Datos!$K:$K)/$E189),0))</f>
        <v>0.006072511108</v>
      </c>
      <c r="H189" s="27"/>
      <c r="I189" s="28">
        <f t="shared" si="14"/>
        <v>228</v>
      </c>
      <c r="J189" s="29">
        <f t="shared" si="2"/>
        <v>46128</v>
      </c>
      <c r="K189" s="30">
        <f t="shared" si="3"/>
        <v>15</v>
      </c>
      <c r="L189" s="40">
        <f t="shared" si="4"/>
        <v>46144</v>
      </c>
      <c r="M189" s="30">
        <f t="shared" si="5"/>
        <v>294.0037512</v>
      </c>
      <c r="N189" s="32">
        <f t="shared" si="6"/>
        <v>0</v>
      </c>
      <c r="O189" s="33" t="str">
        <f t="shared" si="7"/>
        <v>PAGADA</v>
      </c>
      <c r="P189" s="34">
        <f>LET(
  idVenta, I189&amp;"",
  montoTotal, M189,
  pagos, IFERROR(SUMIF(Aux_Datos!$B:$B, idVenta, Aux_Datos!$K:$K), 0),
  retenciones, IFERROR(SUMIF(Aux_Datos!$N:$N, idVenta, Aux_Datos!$R:$R), 0),
  pagos + retenciones
)</f>
        <v>294.0037512</v>
      </c>
      <c r="Q189" s="30" t="str">
        <f>IF(P189=0, "Sin Pago", 
  LET(
    idVenta, I189&amp;"",
    montoTotalPagado, P189,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189" s="30">
        <f t="shared" si="13"/>
        <v>0</v>
      </c>
      <c r="S189" s="29">
        <f>IF(P189=0, "Sin Pago", 
  IFERROR(
    MAXIFS(Aux_Datos!$A:$A, Aux_Datos!$B:$B, I189&amp;""), 
    IFERROR(MAXIFS(Aux_Datos!$A:$A, Aux_Datos!$B:$B, VALUE(I189)), "Revisar ID")
  )
)</f>
        <v>46163</v>
      </c>
      <c r="T189" s="35" t="str">
        <f t="shared" si="9"/>
        <v>PAGADA</v>
      </c>
      <c r="U189" s="35" t="str">
        <f t="shared" si="10"/>
        <v>SOLVENTE</v>
      </c>
      <c r="V189" s="32">
        <f t="shared" si="11"/>
        <v>0</v>
      </c>
      <c r="W189" s="36" t="str">
        <f>IF(P189=0, "Sin Pago", 
  LET(
    monedaPago, Q189, 
    descuentoAplicado, G189,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89" s="36" t="str">
        <f t="shared" si="12"/>
        <v/>
      </c>
      <c r="Y189" s="36">
        <v>294.00375121424776</v>
      </c>
      <c r="Z189" s="33" t="s">
        <v>596</v>
      </c>
      <c r="AA189" s="33"/>
      <c r="AB189" s="33"/>
      <c r="AC189" s="33"/>
      <c r="AD189" s="33"/>
      <c r="AE189" s="33"/>
      <c r="AF189" s="33"/>
    </row>
    <row r="190" ht="22.5" customHeight="1">
      <c r="A190" s="23" t="s">
        <v>755</v>
      </c>
      <c r="B190" s="24">
        <v>46128.50670138889</v>
      </c>
      <c r="C190" s="23" t="s">
        <v>756</v>
      </c>
      <c r="D190" s="23" t="s">
        <v>542</v>
      </c>
      <c r="E190" s="25">
        <v>514.93</v>
      </c>
      <c r="F190" s="23" t="s">
        <v>608</v>
      </c>
      <c r="G190" s="26">
        <f>IF($E190=0,0,IF(SUMIF(Aux_Datos!$B:$B,$I190,Aux_Datos!$K:$K)/$E190&gt;=VLOOKUP(IF(COUNTIFS(Aux_Datos!$B:$B,$I190,Aux_Datos!$D:$D,"&lt;&gt;USD")=0,"USD","VES"),'Limites de Descuento'!$A$2:$D$4,4,FALSE),MAX(0,1-SUMIF(Aux_Datos!$B:$B,$I190,Aux_Datos!$K:$K)/$E190),0))</f>
        <v>0</v>
      </c>
      <c r="H190" s="27"/>
      <c r="I190" s="28">
        <f t="shared" si="14"/>
        <v>229</v>
      </c>
      <c r="J190" s="29">
        <f t="shared" si="2"/>
        <v>46128</v>
      </c>
      <c r="K190" s="30">
        <f t="shared" si="3"/>
        <v>7</v>
      </c>
      <c r="L190" s="40">
        <f t="shared" si="4"/>
        <v>46136</v>
      </c>
      <c r="M190" s="30">
        <f t="shared" si="5"/>
        <v>514.93</v>
      </c>
      <c r="N190" s="32">
        <f t="shared" si="6"/>
        <v>0</v>
      </c>
      <c r="O190" s="33" t="str">
        <f t="shared" si="7"/>
        <v>PAGADA</v>
      </c>
      <c r="P190" s="34">
        <f>LET(
  idVenta, I190&amp;"",
  montoTotal, M190,
  pagos, IFERROR(SUMIF(Aux_Datos!$B:$B, idVenta, Aux_Datos!$K:$K), 0),
  retenciones, IFERROR(SUMIF(Aux_Datos!$N:$N, idVenta, Aux_Datos!$R:$R), 0),
  pagos + retenciones
)</f>
        <v>514.93</v>
      </c>
      <c r="Q190" s="30" t="str">
        <f>IF(P190=0, "Sin Pago", 
  LET(
    idVenta, I190&amp;"",
    montoTotalPagado, P190,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90" s="30">
        <f t="shared" si="13"/>
        <v>0</v>
      </c>
      <c r="S190" s="29">
        <f>IF(P190=0, "Sin Pago", 
  IFERROR(
    MAXIFS(Aux_Datos!$A:$A, Aux_Datos!$B:$B, I190&amp;""), 
    IFERROR(MAXIFS(Aux_Datos!$A:$A, Aux_Datos!$B:$B, VALUE(I190)), "Revisar ID")
  )
)</f>
        <v>46129</v>
      </c>
      <c r="T190" s="35" t="str">
        <f t="shared" si="9"/>
        <v>PAGADA</v>
      </c>
      <c r="U190" s="35" t="str">
        <f t="shared" si="10"/>
        <v>SOLVENTE</v>
      </c>
      <c r="V190" s="32">
        <f t="shared" si="11"/>
        <v>0</v>
      </c>
      <c r="W190" s="36" t="str">
        <f>IF(P190=0, "Sin Pago", 
  LET(
    monedaPago, Q190, 
    descuentoAplicado, G190,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90" s="36" t="str">
        <f t="shared" si="12"/>
        <v/>
      </c>
      <c r="Y190" s="36">
        <v>514.93</v>
      </c>
      <c r="Z190" s="33" t="s">
        <v>596</v>
      </c>
      <c r="AA190" s="33"/>
      <c r="AB190" s="33"/>
      <c r="AC190" s="33"/>
      <c r="AD190" s="33"/>
      <c r="AE190" s="33"/>
      <c r="AF190" s="33"/>
    </row>
    <row r="191" ht="22.5" customHeight="1">
      <c r="A191" s="23" t="s">
        <v>757</v>
      </c>
      <c r="B191" s="24">
        <v>46128.64438657407</v>
      </c>
      <c r="C191" s="23" t="s">
        <v>600</v>
      </c>
      <c r="D191" s="23" t="s">
        <v>529</v>
      </c>
      <c r="E191" s="25">
        <v>1409.4</v>
      </c>
      <c r="F191" s="23" t="s">
        <v>608</v>
      </c>
      <c r="G191" s="26">
        <f>IF($E191=0,0,IF(SUMIF(Aux_Datos!$B:$B,$I191,Aux_Datos!$K:$K)/$E191&gt;=VLOOKUP(IF(COUNTIFS(Aux_Datos!$B:$B,$I191,Aux_Datos!$D:$D,"&lt;&gt;USD")=0,"USD","VES"),'Limites de Descuento'!$A$2:$D$4,4,FALSE),MAX(0,1-SUMIF(Aux_Datos!$B:$B,$I191,Aux_Datos!$K:$K)/$E191),0))</f>
        <v>0.06246366189</v>
      </c>
      <c r="H191" s="27"/>
      <c r="I191" s="28">
        <f t="shared" si="14"/>
        <v>230</v>
      </c>
      <c r="J191" s="29">
        <f t="shared" si="2"/>
        <v>46128</v>
      </c>
      <c r="K191" s="30">
        <f t="shared" si="3"/>
        <v>7</v>
      </c>
      <c r="L191" s="40">
        <f t="shared" si="4"/>
        <v>46136</v>
      </c>
      <c r="M191" s="30">
        <f t="shared" si="5"/>
        <v>1321.363715</v>
      </c>
      <c r="N191" s="32">
        <f t="shared" si="6"/>
        <v>0</v>
      </c>
      <c r="O191" s="33" t="str">
        <f t="shared" si="7"/>
        <v>PAGADA</v>
      </c>
      <c r="P191" s="34">
        <f>LET(
  idVenta, I191&amp;"",
  montoTotal, M191,
  pagos, IFERROR(SUMIF(Aux_Datos!$B:$B, idVenta, Aux_Datos!$K:$K), 0),
  retenciones, IFERROR(SUMIF(Aux_Datos!$N:$N, idVenta, Aux_Datos!$R:$R), 0),
  pagos + retenciones
)</f>
        <v>1321.363715</v>
      </c>
      <c r="Q191" s="30" t="str">
        <f>IF(P191=0, "Sin Pago", 
  LET(
    idVenta, I191&amp;"",
    montoTotalPagado, P191,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191" s="30">
        <f t="shared" si="13"/>
        <v>0</v>
      </c>
      <c r="S191" s="29">
        <f>IF(P191=0, "Sin Pago", 
  IFERROR(
    MAXIFS(Aux_Datos!$A:$A, Aux_Datos!$B:$B, I191&amp;""), 
    IFERROR(MAXIFS(Aux_Datos!$A:$A, Aux_Datos!$B:$B, VALUE(I191)), "Revisar ID")
  )
)</f>
        <v>46153</v>
      </c>
      <c r="T191" s="35" t="str">
        <f t="shared" si="9"/>
        <v>PAGADA</v>
      </c>
      <c r="U191" s="35" t="str">
        <f t="shared" si="10"/>
        <v>SOLVENTE</v>
      </c>
      <c r="V191" s="32">
        <f t="shared" si="11"/>
        <v>0</v>
      </c>
      <c r="W191" s="36" t="str">
        <f>IF(P191=0, "Sin Pago", 
  LET(
    monedaPago, Q191, 
    descuentoAplicado, G191,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91" s="36" t="str">
        <f t="shared" si="12"/>
        <v/>
      </c>
      <c r="Y191" s="36">
        <v>1321.363714931283</v>
      </c>
      <c r="Z191" s="33" t="s">
        <v>596</v>
      </c>
      <c r="AA191" s="33"/>
      <c r="AB191" s="33"/>
      <c r="AC191" s="33"/>
      <c r="AD191" s="33"/>
      <c r="AE191" s="33"/>
      <c r="AF191" s="33"/>
    </row>
    <row r="192" ht="22.5" customHeight="1">
      <c r="A192" s="23" t="s">
        <v>253</v>
      </c>
      <c r="B192" s="24">
        <v>46128.644594907404</v>
      </c>
      <c r="C192" s="23" t="s">
        <v>252</v>
      </c>
      <c r="D192" s="23" t="s">
        <v>353</v>
      </c>
      <c r="E192" s="25">
        <v>1057.92</v>
      </c>
      <c r="F192" s="23" t="s">
        <v>619</v>
      </c>
      <c r="G192" s="26">
        <f>IF($E192=0,0,IF(SUMIF(Aux_Datos!$B:$B,$I192,Aux_Datos!$K:$K)/$E192&gt;=VLOOKUP(IF(COUNTIFS(Aux_Datos!$B:$B,$I192,Aux_Datos!$D:$D,"&lt;&gt;USD")=0,"USD","VES"),'Limites de Descuento'!$A$2:$D$4,4,FALSE),MAX(0,1-SUMIF(Aux_Datos!$B:$B,$I192,Aux_Datos!$K:$K)/$E192),0))</f>
        <v>0</v>
      </c>
      <c r="H192" s="27"/>
      <c r="I192" s="28">
        <f t="shared" si="14"/>
        <v>231</v>
      </c>
      <c r="J192" s="29">
        <f t="shared" si="2"/>
        <v>46128</v>
      </c>
      <c r="K192" s="30">
        <f t="shared" si="3"/>
        <v>15</v>
      </c>
      <c r="L192" s="40">
        <f t="shared" si="4"/>
        <v>46144</v>
      </c>
      <c r="M192" s="30">
        <f t="shared" si="5"/>
        <v>1057.92</v>
      </c>
      <c r="N192" s="32">
        <f t="shared" si="6"/>
        <v>56</v>
      </c>
      <c r="O192" s="33" t="str">
        <f t="shared" si="7"/>
        <v>VENCIDA</v>
      </c>
      <c r="P192" s="34">
        <f>LET(
  idVenta, I192&amp;"",
  montoTotal, M192,
  pagos, IFERROR(SUMIF(Aux_Datos!$B:$B, idVenta, Aux_Datos!$K:$K), 0),
  retenciones, IFERROR(SUMIF(Aux_Datos!$N:$N, idVenta, Aux_Datos!$R:$R), 0),
  pagos + retenciones
)</f>
        <v>674</v>
      </c>
      <c r="Q192" s="30" t="str">
        <f>IF(P192=0, "Sin Pago", 
  LET(
    idVenta, I192&amp;"",
    montoTotalPagado, P192,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92" s="30">
        <f t="shared" si="13"/>
        <v>383.92</v>
      </c>
      <c r="S192" s="29">
        <f>IF(P192=0, "Sin Pago", 
  IFERROR(
    MAXIFS(Aux_Datos!$A:$A, Aux_Datos!$B:$B, I192&amp;""), 
    IFERROR(MAXIFS(Aux_Datos!$A:$A, Aux_Datos!$B:$B, VALUE(I192)), "Revisar ID")
  )
)</f>
        <v>46184</v>
      </c>
      <c r="T192" s="35" t="str">
        <f t="shared" si="9"/>
        <v>PAGO PARCIAL</v>
      </c>
      <c r="U192" s="35" t="str">
        <f t="shared" si="10"/>
        <v>CRÍTICO: VENCIDA</v>
      </c>
      <c r="V192" s="32">
        <f t="shared" si="11"/>
        <v>16</v>
      </c>
      <c r="W192" s="36" t="str">
        <f>IF(P192=0, "Sin Pago", 
  LET(
    monedaPago, Q192, 
    descuentoAplicado, G192,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92" s="36" t="str">
        <f t="shared" si="12"/>
        <v/>
      </c>
      <c r="Y192" s="36">
        <v>674.0</v>
      </c>
      <c r="Z192" s="33" t="s">
        <v>609</v>
      </c>
      <c r="AA192" s="33"/>
      <c r="AB192" s="33"/>
      <c r="AC192" s="33"/>
      <c r="AD192" s="33"/>
      <c r="AE192" s="33"/>
      <c r="AF192" s="33"/>
    </row>
    <row r="193" ht="22.5" customHeight="1">
      <c r="A193" s="23" t="s">
        <v>758</v>
      </c>
      <c r="B193" s="24">
        <v>46128.692245370374</v>
      </c>
      <c r="C193" s="23" t="s">
        <v>759</v>
      </c>
      <c r="D193" s="23" t="s">
        <v>546</v>
      </c>
      <c r="E193" s="25">
        <v>164.72</v>
      </c>
      <c r="F193" s="23" t="s">
        <v>608</v>
      </c>
      <c r="G193" s="26">
        <f>IF($E193=0,0,IF(SUMIF(Aux_Datos!$B:$B,$I193,Aux_Datos!$K:$K)/$E193&gt;=VLOOKUP(IF(COUNTIFS(Aux_Datos!$B:$B,$I193,Aux_Datos!$D:$D,"&lt;&gt;USD")=0,"USD","VES"),'Limites de Descuento'!$A$2:$D$4,4,FALSE),MAX(0,1-SUMIF(Aux_Datos!$B:$B,$I193,Aux_Datos!$K:$K)/$E193),0))</f>
        <v>0.001934947336</v>
      </c>
      <c r="H193" s="27"/>
      <c r="I193" s="28">
        <f t="shared" si="14"/>
        <v>233</v>
      </c>
      <c r="J193" s="29">
        <f t="shared" si="2"/>
        <v>46128</v>
      </c>
      <c r="K193" s="30">
        <f t="shared" si="3"/>
        <v>7</v>
      </c>
      <c r="L193" s="40">
        <f t="shared" si="4"/>
        <v>46136</v>
      </c>
      <c r="M193" s="30">
        <f t="shared" si="5"/>
        <v>164.4012755</v>
      </c>
      <c r="N193" s="32">
        <f t="shared" si="6"/>
        <v>0</v>
      </c>
      <c r="O193" s="33" t="str">
        <f t="shared" si="7"/>
        <v>PAGADA</v>
      </c>
      <c r="P193" s="34">
        <f>LET(
  idVenta, I193&amp;"",
  montoTotal, M193,
  pagos, IFERROR(SUMIF(Aux_Datos!$B:$B, idVenta, Aux_Datos!$K:$K), 0),
  retenciones, IFERROR(SUMIF(Aux_Datos!$N:$N, idVenta, Aux_Datos!$R:$R), 0),
  pagos + retenciones
)</f>
        <v>164.4012755</v>
      </c>
      <c r="Q193" s="30" t="str">
        <f>IF(P193=0, "Sin Pago", 
  LET(
    idVenta, I193&amp;"",
    montoTotalPagado, P193,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193" s="30">
        <f t="shared" si="13"/>
        <v>0</v>
      </c>
      <c r="S193" s="29">
        <f>IF(P193=0, "Sin Pago", 
  IFERROR(
    MAXIFS(Aux_Datos!$A:$A, Aux_Datos!$B:$B, I193&amp;""), 
    IFERROR(MAXIFS(Aux_Datos!$A:$A, Aux_Datos!$B:$B, VALUE(I193)), "Revisar ID")
  )
)</f>
        <v>46181</v>
      </c>
      <c r="T193" s="35" t="str">
        <f t="shared" si="9"/>
        <v>PAGADA</v>
      </c>
      <c r="U193" s="35" t="str">
        <f t="shared" si="10"/>
        <v>SOLVENTE</v>
      </c>
      <c r="V193" s="32">
        <f t="shared" si="11"/>
        <v>0</v>
      </c>
      <c r="W193" s="36" t="str">
        <f>IF(P193=0, "Sin Pago", 
  LET(
    monedaPago, Q193, 
    descuentoAplicado, G193,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93" s="36" t="str">
        <f t="shared" si="12"/>
        <v/>
      </c>
      <c r="Y193" s="36">
        <v>164.4012754748009</v>
      </c>
      <c r="Z193" s="33" t="s">
        <v>596</v>
      </c>
      <c r="AA193" s="33"/>
      <c r="AB193" s="33"/>
      <c r="AC193" s="33"/>
      <c r="AD193" s="33"/>
      <c r="AE193" s="33"/>
      <c r="AF193" s="33"/>
    </row>
    <row r="194" ht="22.5" customHeight="1">
      <c r="A194" s="23" t="s">
        <v>760</v>
      </c>
      <c r="B194" s="24">
        <v>46128.775289351855</v>
      </c>
      <c r="C194" s="23" t="s">
        <v>761</v>
      </c>
      <c r="D194" s="23" t="s">
        <v>538</v>
      </c>
      <c r="E194" s="25">
        <v>251.99</v>
      </c>
      <c r="F194" s="23" t="s">
        <v>608</v>
      </c>
      <c r="G194" s="26">
        <f>IF($E194=0,0,IF(SUMIF(Aux_Datos!$B:$B,$I194,Aux_Datos!$K:$K)/$E194&gt;=VLOOKUP(IF(COUNTIFS(Aux_Datos!$B:$B,$I194,Aux_Datos!$D:$D,"&lt;&gt;USD")=0,"USD","VES"),'Limites de Descuento'!$A$2:$D$4,4,FALSE),MAX(0,1-SUMIF(Aux_Datos!$B:$B,$I194,Aux_Datos!$K:$K)/$E194),0))</f>
        <v>0</v>
      </c>
      <c r="H194" s="26">
        <v>0.05</v>
      </c>
      <c r="I194" s="28">
        <f t="shared" si="14"/>
        <v>234</v>
      </c>
      <c r="J194" s="29">
        <f t="shared" si="2"/>
        <v>46128</v>
      </c>
      <c r="K194" s="30">
        <f t="shared" si="3"/>
        <v>7</v>
      </c>
      <c r="L194" s="29">
        <f t="shared" si="4"/>
        <v>46136</v>
      </c>
      <c r="M194" s="30">
        <f t="shared" si="5"/>
        <v>239.3905</v>
      </c>
      <c r="N194" s="32">
        <f t="shared" si="6"/>
        <v>0</v>
      </c>
      <c r="O194" s="33" t="str">
        <f t="shared" si="7"/>
        <v>PAGADA</v>
      </c>
      <c r="P194" s="34">
        <f>LET(
  idVenta, I194&amp;"",
  montoTotal, M194,
  pagos, IFERROR(SUMIF(Aux_Datos!$B:$B, idVenta, Aux_Datos!$K:$K), 0),
  retenciones, IFERROR(SUMIF(Aux_Datos!$N:$N, idVenta, Aux_Datos!$R:$R), 0),
  pagos + retenciones
)</f>
        <v>252</v>
      </c>
      <c r="Q194" s="30" t="str">
        <f>IF(P194=0, "Sin Pago", 
  LET(
    idVenta, I194&amp;"",
    montoTotalPagado, P194,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94" s="30">
        <f t="shared" si="13"/>
        <v>-12.6095</v>
      </c>
      <c r="S194" s="29">
        <f>IF(P194=0, "Sin Pago", 
  IFERROR(
    MAXIFS(Aux_Datos!$A:$A, Aux_Datos!$B:$B, I194&amp;""), 
    IFERROR(MAXIFS(Aux_Datos!$A:$A, Aux_Datos!$B:$B, VALUE(I194)), "Revisar ID")
  )
)</f>
        <v>46132</v>
      </c>
      <c r="T194" s="35" t="str">
        <f t="shared" si="9"/>
        <v>PAGADA</v>
      </c>
      <c r="U194" s="35" t="str">
        <f t="shared" si="10"/>
        <v>SOLVENTE</v>
      </c>
      <c r="V194" s="32">
        <f t="shared" si="11"/>
        <v>0</v>
      </c>
      <c r="W194" s="36" t="str">
        <f>IF(P194=0, "Sin Pago", 
  LET(
    monedaPago, Q194, 
    descuentoAplicado, G194,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94" s="36" t="str">
        <f t="shared" si="12"/>
        <v>OK</v>
      </c>
      <c r="Y194" s="36">
        <v>252.0</v>
      </c>
      <c r="Z194" s="33" t="s">
        <v>596</v>
      </c>
      <c r="AA194" s="33"/>
      <c r="AB194" s="33"/>
      <c r="AC194" s="33"/>
      <c r="AD194" s="33"/>
      <c r="AE194" s="33"/>
      <c r="AF194" s="33"/>
    </row>
    <row r="195" ht="22.5" customHeight="1">
      <c r="A195" s="23" t="s">
        <v>61</v>
      </c>
      <c r="B195" s="24">
        <v>46129.448159722226</v>
      </c>
      <c r="C195" s="23" t="s">
        <v>59</v>
      </c>
      <c r="D195" s="23" t="s">
        <v>538</v>
      </c>
      <c r="E195" s="25">
        <v>5968.02</v>
      </c>
      <c r="F195" s="23" t="s">
        <v>680</v>
      </c>
      <c r="G195" s="26">
        <f>IF($E195=0,0,IF(SUMIF(Aux_Datos!$B:$B,$I195,Aux_Datos!$K:$K)/$E195&gt;=VLOOKUP(IF(COUNTIFS(Aux_Datos!$B:$B,$I195,Aux_Datos!$D:$D,"&lt;&gt;USD")=0,"USD","VES"),'Limites de Descuento'!$A$2:$D$4,4,FALSE),MAX(0,1-SUMIF(Aux_Datos!$B:$B,$I195,Aux_Datos!$K:$K)/$E195),0))</f>
        <v>0</v>
      </c>
      <c r="H195" s="27"/>
      <c r="I195" s="28">
        <f t="shared" si="14"/>
        <v>235</v>
      </c>
      <c r="J195" s="29">
        <f t="shared" si="2"/>
        <v>46129</v>
      </c>
      <c r="K195" s="30">
        <f t="shared" si="3"/>
        <v>30</v>
      </c>
      <c r="L195" s="29">
        <f t="shared" si="4"/>
        <v>46160</v>
      </c>
      <c r="M195" s="30">
        <f t="shared" si="5"/>
        <v>5968.02</v>
      </c>
      <c r="N195" s="32">
        <f t="shared" si="6"/>
        <v>40</v>
      </c>
      <c r="O195" s="33" t="str">
        <f t="shared" si="7"/>
        <v>VENCIDA</v>
      </c>
      <c r="P195" s="34">
        <f>LET(
  idVenta, I195&amp;"",
  montoTotal, M195,
  pagos, IFERROR(SUMIF(Aux_Datos!$B:$B, idVenta, Aux_Datos!$K:$K), 0),
  retenciones, IFERROR(SUMIF(Aux_Datos!$N:$N, idVenta, Aux_Datos!$R:$R), 0),
  pagos + retenciones
)</f>
        <v>0</v>
      </c>
      <c r="Q195" s="30" t="str">
        <f>IF(P195=0, "Sin Pago", 
  LET(
    idVenta, I195&amp;"",
    montoTotalPagado, P195,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195" s="30">
        <f t="shared" si="13"/>
        <v>5968.02</v>
      </c>
      <c r="S195" s="29" t="str">
        <f>IF(P195=0, "Sin Pago", 
  IFERROR(
    MAXIFS(Aux_Datos!$A:$A, Aux_Datos!$B:$B, I195&amp;""), 
    IFERROR(MAXIFS(Aux_Datos!$A:$A, Aux_Datos!$B:$B, VALUE(I195)), "Revisar ID")
  )
)</f>
        <v>Sin Pago</v>
      </c>
      <c r="T195" s="35" t="str">
        <f t="shared" si="9"/>
        <v>PENDIENTE</v>
      </c>
      <c r="U195" s="35" t="str">
        <f t="shared" si="10"/>
        <v>CRÍTICO: VENCIDA</v>
      </c>
      <c r="V195" s="32">
        <f t="shared" si="11"/>
        <v>0</v>
      </c>
      <c r="W195" s="36" t="str">
        <f>IF(P195=0, "Sin Pago", 
  LET(
    monedaPago, Q195, 
    descuentoAplicado, G195,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195" s="36" t="str">
        <f t="shared" si="12"/>
        <v/>
      </c>
      <c r="Y195" s="36">
        <v>0.0</v>
      </c>
      <c r="Z195" s="33" t="s">
        <v>641</v>
      </c>
      <c r="AA195" s="33"/>
      <c r="AB195" s="33"/>
      <c r="AC195" s="33"/>
      <c r="AD195" s="33"/>
      <c r="AE195" s="33"/>
      <c r="AF195" s="33"/>
    </row>
    <row r="196" ht="22.5" customHeight="1">
      <c r="A196" s="23" t="s">
        <v>60</v>
      </c>
      <c r="B196" s="24">
        <v>46129.44797453703</v>
      </c>
      <c r="C196" s="23" t="s">
        <v>59</v>
      </c>
      <c r="D196" s="23" t="s">
        <v>538</v>
      </c>
      <c r="E196" s="25">
        <v>4875.25</v>
      </c>
      <c r="F196" s="23" t="s">
        <v>608</v>
      </c>
      <c r="G196" s="26">
        <f>IF($E196=0,0,IF(SUMIF(Aux_Datos!$B:$B,$I196,Aux_Datos!$K:$K)/$E196&gt;=VLOOKUP(IF(COUNTIFS(Aux_Datos!$B:$B,$I196,Aux_Datos!$D:$D,"&lt;&gt;USD")=0,"USD","VES"),'Limites de Descuento'!$A$2:$D$4,4,FALSE),MAX(0,1-SUMIF(Aux_Datos!$B:$B,$I196,Aux_Datos!$K:$K)/$E196),0))</f>
        <v>0</v>
      </c>
      <c r="H196" s="27"/>
      <c r="I196" s="28">
        <f t="shared" si="14"/>
        <v>236</v>
      </c>
      <c r="J196" s="29">
        <f t="shared" si="2"/>
        <v>46129</v>
      </c>
      <c r="K196" s="30">
        <f t="shared" si="3"/>
        <v>7</v>
      </c>
      <c r="L196" s="29">
        <f t="shared" si="4"/>
        <v>46137</v>
      </c>
      <c r="M196" s="30">
        <f t="shared" si="5"/>
        <v>4875.25</v>
      </c>
      <c r="N196" s="32">
        <f t="shared" si="6"/>
        <v>63</v>
      </c>
      <c r="O196" s="33" t="str">
        <f t="shared" si="7"/>
        <v>VENCIDA</v>
      </c>
      <c r="P196" s="34">
        <f>LET(
  idVenta, I196&amp;"",
  montoTotal, M196,
  pagos, IFERROR(SUMIF(Aux_Datos!$B:$B, idVenta, Aux_Datos!$K:$K), 0),
  retenciones, IFERROR(SUMIF(Aux_Datos!$N:$N, idVenta, Aux_Datos!$R:$R), 0),
  pagos + retenciones
)</f>
        <v>0</v>
      </c>
      <c r="Q196" s="30" t="str">
        <f>IF(P196=0, "Sin Pago", 
  LET(
    idVenta, I196&amp;"",
    montoTotalPagado, P196,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196" s="30">
        <f t="shared" si="13"/>
        <v>4875.25</v>
      </c>
      <c r="S196" s="29" t="str">
        <f>IF(P196=0, "Sin Pago", 
  IFERROR(
    MAXIFS(Aux_Datos!$A:$A, Aux_Datos!$B:$B, I196&amp;""), 
    IFERROR(MAXIFS(Aux_Datos!$A:$A, Aux_Datos!$B:$B, VALUE(I196)), "Revisar ID")
  )
)</f>
        <v>Sin Pago</v>
      </c>
      <c r="T196" s="35" t="str">
        <f t="shared" si="9"/>
        <v>PENDIENTE</v>
      </c>
      <c r="U196" s="35" t="str">
        <f t="shared" si="10"/>
        <v>CRÍTICO: VENCIDA</v>
      </c>
      <c r="V196" s="32">
        <f t="shared" si="11"/>
        <v>0</v>
      </c>
      <c r="W196" s="36" t="str">
        <f>IF(P196=0, "Sin Pago", 
  LET(
    monedaPago, Q196, 
    descuentoAplicado, G196,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196" s="36" t="str">
        <f t="shared" si="12"/>
        <v/>
      </c>
      <c r="Y196" s="36">
        <v>0.0</v>
      </c>
      <c r="Z196" s="33" t="s">
        <v>641</v>
      </c>
      <c r="AA196" s="33"/>
      <c r="AB196" s="33"/>
      <c r="AC196" s="33"/>
      <c r="AD196" s="33"/>
      <c r="AE196" s="33"/>
      <c r="AF196" s="33"/>
    </row>
    <row r="197" ht="22.5" customHeight="1">
      <c r="A197" s="23" t="s">
        <v>762</v>
      </c>
      <c r="B197" s="24">
        <v>46129.44835648148</v>
      </c>
      <c r="C197" s="23" t="s">
        <v>744</v>
      </c>
      <c r="D197" s="23" t="s">
        <v>546</v>
      </c>
      <c r="E197" s="25">
        <v>445.44</v>
      </c>
      <c r="F197" s="23" t="s">
        <v>608</v>
      </c>
      <c r="G197" s="26">
        <f>IF($E197=0,0,IF(SUMIF(Aux_Datos!$B:$B,$I197,Aux_Datos!$K:$K)/$E197&gt;=VLOOKUP(IF(COUNTIFS(Aux_Datos!$B:$B,$I197,Aux_Datos!$D:$D,"&lt;&gt;USD")=0,"USD","VES"),'Limites de Descuento'!$A$2:$D$4,4,FALSE),MAX(0,1-SUMIF(Aux_Datos!$B:$B,$I197,Aux_Datos!$K:$K)/$E197),0))</f>
        <v>0.1332411851</v>
      </c>
      <c r="H197" s="27"/>
      <c r="I197" s="28">
        <f t="shared" si="14"/>
        <v>237</v>
      </c>
      <c r="J197" s="29">
        <f t="shared" si="2"/>
        <v>46129</v>
      </c>
      <c r="K197" s="30">
        <f t="shared" si="3"/>
        <v>7</v>
      </c>
      <c r="L197" s="29">
        <f t="shared" si="4"/>
        <v>46137</v>
      </c>
      <c r="M197" s="30">
        <f t="shared" si="5"/>
        <v>386.0890465</v>
      </c>
      <c r="N197" s="32">
        <f t="shared" si="6"/>
        <v>0</v>
      </c>
      <c r="O197" s="33" t="str">
        <f t="shared" si="7"/>
        <v>PAGADA</v>
      </c>
      <c r="P197" s="34">
        <f>LET(
  idVenta, I197&amp;"",
  montoTotal, M197,
  pagos, IFERROR(SUMIF(Aux_Datos!$B:$B, idVenta, Aux_Datos!$K:$K), 0),
  retenciones, IFERROR(SUMIF(Aux_Datos!$N:$N, idVenta, Aux_Datos!$R:$R), 0),
  pagos + retenciones
)</f>
        <v>386.0890465</v>
      </c>
      <c r="Q197" s="30" t="str">
        <f>IF(P197=0, "Sin Pago", 
  LET(
    idVenta, I197&amp;"",
    montoTotalPagado, P197,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197" s="30">
        <f t="shared" si="13"/>
        <v>0</v>
      </c>
      <c r="S197" s="29">
        <f>IF(P197=0, "Sin Pago", 
  IFERROR(
    MAXIFS(Aux_Datos!$A:$A, Aux_Datos!$B:$B, I197&amp;""), 
    IFERROR(MAXIFS(Aux_Datos!$A:$A, Aux_Datos!$B:$B, VALUE(I197)), "Revisar ID")
  )
)</f>
        <v>46168</v>
      </c>
      <c r="T197" s="35" t="str">
        <f t="shared" si="9"/>
        <v>PAGADA</v>
      </c>
      <c r="U197" s="35" t="str">
        <f t="shared" si="10"/>
        <v>SOLVENTE</v>
      </c>
      <c r="V197" s="32">
        <f t="shared" si="11"/>
        <v>0</v>
      </c>
      <c r="W197" s="36" t="str">
        <f>IF(P197=0, "Sin Pago", 
  LET(
    monedaPago, Q197, 
    descuentoAplicado, G197,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97" s="36" t="str">
        <f t="shared" si="12"/>
        <v/>
      </c>
      <c r="Y197" s="36">
        <v>386.08904652406403</v>
      </c>
      <c r="Z197" s="33" t="s">
        <v>596</v>
      </c>
      <c r="AA197" s="33"/>
      <c r="AB197" s="33"/>
      <c r="AC197" s="33"/>
      <c r="AD197" s="33"/>
      <c r="AE197" s="33"/>
      <c r="AF197" s="33"/>
    </row>
    <row r="198" ht="22.5" customHeight="1">
      <c r="A198" s="23" t="s">
        <v>763</v>
      </c>
      <c r="B198" s="24">
        <v>46129.57784722222</v>
      </c>
      <c r="C198" s="23" t="s">
        <v>764</v>
      </c>
      <c r="D198" s="23" t="s">
        <v>208</v>
      </c>
      <c r="E198" s="25">
        <v>74.99</v>
      </c>
      <c r="F198" s="23" t="s">
        <v>593</v>
      </c>
      <c r="G198" s="26">
        <f>IF($E198=0,0,IF(SUMIF(Aux_Datos!$B:$B,$I198,Aux_Datos!$K:$K)/$E198&gt;=VLOOKUP(IF(COUNTIFS(Aux_Datos!$B:$B,$I198,Aux_Datos!$D:$D,"&lt;&gt;USD")=0,"USD","VES"),'Limites de Descuento'!$A$2:$D$4,4,FALSE),MAX(0,1-SUMIF(Aux_Datos!$B:$B,$I198,Aux_Datos!$K:$K)/$E198),0))</f>
        <v>0</v>
      </c>
      <c r="H198" s="27"/>
      <c r="I198" s="28">
        <f t="shared" si="14"/>
        <v>238</v>
      </c>
      <c r="J198" s="29">
        <f t="shared" si="2"/>
        <v>46129</v>
      </c>
      <c r="K198" s="30">
        <f t="shared" si="3"/>
        <v>0</v>
      </c>
      <c r="L198" s="29">
        <f t="shared" si="4"/>
        <v>46130</v>
      </c>
      <c r="M198" s="30">
        <f t="shared" si="5"/>
        <v>74.99</v>
      </c>
      <c r="N198" s="32">
        <f t="shared" si="6"/>
        <v>0</v>
      </c>
      <c r="O198" s="33" t="str">
        <f t="shared" si="7"/>
        <v>PAGADA</v>
      </c>
      <c r="P198" s="34">
        <f>LET(
  idVenta, I198&amp;"",
  montoTotal, M198,
  pagos, IFERROR(SUMIF(Aux_Datos!$B:$B, idVenta, Aux_Datos!$K:$K), 0),
  retenciones, IFERROR(SUMIF(Aux_Datos!$N:$N, idVenta, Aux_Datos!$R:$R), 0),
  pagos + retenciones
)</f>
        <v>75</v>
      </c>
      <c r="Q198" s="30" t="str">
        <f>IF(P198=0, "Sin Pago", 
  LET(
    idVenta, I198&amp;"",
    montoTotalPagado, P198,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98" s="30">
        <f t="shared" si="13"/>
        <v>-0.01</v>
      </c>
      <c r="S198" s="29">
        <f>IF(P198=0, "Sin Pago", 
  IFERROR(
    MAXIFS(Aux_Datos!$A:$A, Aux_Datos!$B:$B, I198&amp;""), 
    IFERROR(MAXIFS(Aux_Datos!$A:$A, Aux_Datos!$B:$B, VALUE(I198)), "Revisar ID")
  )
)</f>
        <v>46129</v>
      </c>
      <c r="T198" s="35" t="str">
        <f t="shared" si="9"/>
        <v>PAGADA</v>
      </c>
      <c r="U198" s="35" t="str">
        <f t="shared" si="10"/>
        <v>SOLVENTE</v>
      </c>
      <c r="V198" s="32">
        <f t="shared" si="11"/>
        <v>0</v>
      </c>
      <c r="W198" s="36" t="str">
        <f>IF(P198=0, "Sin Pago", 
  LET(
    monedaPago, Q198, 
    descuentoAplicado, G198,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98" s="36" t="str">
        <f t="shared" si="12"/>
        <v/>
      </c>
      <c r="Y198" s="36">
        <v>75.0</v>
      </c>
      <c r="Z198" s="33" t="s">
        <v>596</v>
      </c>
      <c r="AA198" s="33"/>
      <c r="AB198" s="33"/>
      <c r="AC198" s="33"/>
      <c r="AD198" s="33"/>
      <c r="AE198" s="33"/>
      <c r="AF198" s="33"/>
    </row>
    <row r="199" ht="22.5" customHeight="1">
      <c r="A199" s="23" t="s">
        <v>765</v>
      </c>
      <c r="B199" s="24">
        <v>46129.61530092593</v>
      </c>
      <c r="C199" s="23" t="s">
        <v>766</v>
      </c>
      <c r="D199" s="23" t="s">
        <v>323</v>
      </c>
      <c r="E199" s="25">
        <v>64.99</v>
      </c>
      <c r="F199" s="23" t="s">
        <v>593</v>
      </c>
      <c r="G199" s="26">
        <f>IF($E199=0,0,IF(SUMIF(Aux_Datos!$B:$B,$I199,Aux_Datos!$K:$K)/$E199&gt;=VLOOKUP(IF(COUNTIFS(Aux_Datos!$B:$B,$I199,Aux_Datos!$D:$D,"&lt;&gt;USD")=0,"USD","VES"),'Limites de Descuento'!$A$2:$D$4,4,FALSE),MAX(0,1-SUMIF(Aux_Datos!$B:$B,$I199,Aux_Datos!$K:$K)/$E199),0))</f>
        <v>0</v>
      </c>
      <c r="H199" s="27"/>
      <c r="I199" s="28">
        <f t="shared" si="14"/>
        <v>239</v>
      </c>
      <c r="J199" s="29">
        <f t="shared" si="2"/>
        <v>46129</v>
      </c>
      <c r="K199" s="30">
        <f t="shared" si="3"/>
        <v>0</v>
      </c>
      <c r="L199" s="29">
        <f t="shared" si="4"/>
        <v>46130</v>
      </c>
      <c r="M199" s="30">
        <f t="shared" si="5"/>
        <v>64.99</v>
      </c>
      <c r="N199" s="32">
        <f t="shared" si="6"/>
        <v>0</v>
      </c>
      <c r="O199" s="33" t="str">
        <f t="shared" si="7"/>
        <v>PAGADA</v>
      </c>
      <c r="P199" s="34">
        <f>LET(
  idVenta, I199&amp;"",
  montoTotal, M199,
  pagos, IFERROR(SUMIF(Aux_Datos!$B:$B, idVenta, Aux_Datos!$K:$K), 0),
  retenciones, IFERROR(SUMIF(Aux_Datos!$N:$N, idVenta, Aux_Datos!$R:$R), 0),
  pagos + retenciones
)</f>
        <v>65</v>
      </c>
      <c r="Q199" s="30" t="str">
        <f>IF(P199=0, "Sin Pago", 
  LET(
    idVenta, I199&amp;"",
    montoTotalPagado, P199,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199" s="30">
        <f t="shared" si="13"/>
        <v>-0.01</v>
      </c>
      <c r="S199" s="29">
        <f>IF(P199=0, "Sin Pago", 
  IFERROR(
    MAXIFS(Aux_Datos!$A:$A, Aux_Datos!$B:$B, I199&amp;""), 
    IFERROR(MAXIFS(Aux_Datos!$A:$A, Aux_Datos!$B:$B, VALUE(I199)), "Revisar ID")
  )
)</f>
        <v>46129</v>
      </c>
      <c r="T199" s="35" t="str">
        <f t="shared" si="9"/>
        <v>PAGADA</v>
      </c>
      <c r="U199" s="35" t="str">
        <f t="shared" si="10"/>
        <v>SOLVENTE</v>
      </c>
      <c r="V199" s="32">
        <f t="shared" si="11"/>
        <v>0</v>
      </c>
      <c r="W199" s="36" t="str">
        <f>IF(P199=0, "Sin Pago", 
  LET(
    monedaPago, Q199, 
    descuentoAplicado, G199,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199" s="36" t="str">
        <f t="shared" si="12"/>
        <v/>
      </c>
      <c r="Y199" s="36">
        <v>65.0</v>
      </c>
      <c r="Z199" s="33" t="s">
        <v>596</v>
      </c>
      <c r="AA199" s="33"/>
      <c r="AB199" s="33"/>
      <c r="AC199" s="33"/>
      <c r="AD199" s="33"/>
      <c r="AE199" s="33"/>
      <c r="AF199" s="33"/>
    </row>
    <row r="200" ht="22.5" customHeight="1">
      <c r="A200" s="23" t="s">
        <v>767</v>
      </c>
      <c r="B200" s="41">
        <v>46132.42681712963</v>
      </c>
      <c r="C200" s="23" t="s">
        <v>441</v>
      </c>
      <c r="D200" s="23" t="s">
        <v>552</v>
      </c>
      <c r="E200" s="25">
        <v>116.0</v>
      </c>
      <c r="F200" s="23" t="s">
        <v>608</v>
      </c>
      <c r="G200" s="26">
        <f>IF($E200=0,0,IF(SUMIF(Aux_Datos!$B:$B,$I200,Aux_Datos!$K:$K)/$E200&gt;=VLOOKUP(IF(COUNTIFS(Aux_Datos!$B:$B,$I200,Aux_Datos!$D:$D,"&lt;&gt;USD")=0,"USD","VES"),'Limites de Descuento'!$A$2:$D$4,4,FALSE),MAX(0,1-SUMIF(Aux_Datos!$B:$B,$I200,Aux_Datos!$K:$K)/$E200),0))</f>
        <v>0.3448275862</v>
      </c>
      <c r="H200" s="27"/>
      <c r="I200" s="28">
        <f t="shared" si="14"/>
        <v>240</v>
      </c>
      <c r="J200" s="29">
        <f t="shared" si="2"/>
        <v>46132</v>
      </c>
      <c r="K200" s="30">
        <f t="shared" si="3"/>
        <v>7</v>
      </c>
      <c r="L200" s="29">
        <f t="shared" si="4"/>
        <v>46140</v>
      </c>
      <c r="M200" s="30">
        <f t="shared" si="5"/>
        <v>76</v>
      </c>
      <c r="N200" s="32">
        <f t="shared" si="6"/>
        <v>0</v>
      </c>
      <c r="O200" s="33" t="str">
        <f t="shared" si="7"/>
        <v>PAGADA</v>
      </c>
      <c r="P200" s="34">
        <f>LET(
  idVenta, I200&amp;"",
  montoTotal, M200,
  pagos, IFERROR(SUMIF(Aux_Datos!$B:$B, idVenta, Aux_Datos!$K:$K), 0),
  retenciones, IFERROR(SUMIF(Aux_Datos!$N:$N, idVenta, Aux_Datos!$R:$R), 0),
  pagos + retenciones
)</f>
        <v>76</v>
      </c>
      <c r="Q200" s="30" t="str">
        <f>IF(P200=0, "Sin Pago", 
  LET(
    idVenta, I200&amp;"",
    montoTotalPagado, P200,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00" s="30">
        <f t="shared" si="13"/>
        <v>0</v>
      </c>
      <c r="S200" s="29">
        <f>IF(P200=0, "Sin Pago", 
  IFERROR(
    MAXIFS(Aux_Datos!$A:$A, Aux_Datos!$B:$B, I200&amp;""), 
    IFERROR(MAXIFS(Aux_Datos!$A:$A, Aux_Datos!$B:$B, VALUE(I200)), "Revisar ID")
  )
)</f>
        <v>46154</v>
      </c>
      <c r="T200" s="35" t="str">
        <f t="shared" si="9"/>
        <v>PAGADA</v>
      </c>
      <c r="U200" s="35" t="str">
        <f t="shared" si="10"/>
        <v>SOLVENTE</v>
      </c>
      <c r="V200" s="32">
        <f t="shared" si="11"/>
        <v>0</v>
      </c>
      <c r="W200" s="36" t="str">
        <f>IF(P200=0, "Sin Pago", 
  LET(
    monedaPago, Q200, 
    descuentoAplicado, G200,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00" s="36" t="str">
        <f t="shared" si="12"/>
        <v/>
      </c>
      <c r="Y200" s="36">
        <v>76.0</v>
      </c>
      <c r="Z200" s="33" t="s">
        <v>596</v>
      </c>
      <c r="AA200" s="33"/>
      <c r="AB200" s="33"/>
      <c r="AC200" s="33"/>
      <c r="AD200" s="33"/>
      <c r="AE200" s="33"/>
      <c r="AF200" s="33"/>
    </row>
    <row r="201" ht="22.5" customHeight="1">
      <c r="A201" s="23" t="s">
        <v>768</v>
      </c>
      <c r="B201" s="41">
        <v>46132.4955787037</v>
      </c>
      <c r="C201" s="23" t="s">
        <v>5</v>
      </c>
      <c r="D201" s="23" t="s">
        <v>552</v>
      </c>
      <c r="E201" s="25">
        <v>161.0</v>
      </c>
      <c r="F201" s="23" t="s">
        <v>608</v>
      </c>
      <c r="G201" s="26">
        <f>IF($E201=0,0,IF(SUMIF(Aux_Datos!$B:$B,$I201,Aux_Datos!$K:$K)/$E201&gt;=VLOOKUP(IF(COUNTIFS(Aux_Datos!$B:$B,$I201,Aux_Datos!$D:$D,"&lt;&gt;USD")=0,"USD","VES"),'Limites de Descuento'!$A$2:$D$4,4,FALSE),MAX(0,1-SUMIF(Aux_Datos!$B:$B,$I201,Aux_Datos!$K:$K)/$E201),0))</f>
        <v>0</v>
      </c>
      <c r="H201" s="27"/>
      <c r="I201" s="28">
        <f t="shared" si="14"/>
        <v>241</v>
      </c>
      <c r="J201" s="29">
        <f t="shared" si="2"/>
        <v>46132</v>
      </c>
      <c r="K201" s="30">
        <f t="shared" si="3"/>
        <v>7</v>
      </c>
      <c r="L201" s="29">
        <f t="shared" si="4"/>
        <v>46140</v>
      </c>
      <c r="M201" s="30">
        <f t="shared" si="5"/>
        <v>161</v>
      </c>
      <c r="N201" s="32">
        <f t="shared" si="6"/>
        <v>0</v>
      </c>
      <c r="O201" s="33" t="str">
        <f t="shared" si="7"/>
        <v>PAGADA</v>
      </c>
      <c r="P201" s="34">
        <f>LET(
  idVenta, I201&amp;"",
  montoTotal, M201,
  pagos, IFERROR(SUMIF(Aux_Datos!$B:$B, idVenta, Aux_Datos!$K:$K), 0),
  retenciones, IFERROR(SUMIF(Aux_Datos!$N:$N, idVenta, Aux_Datos!$R:$R), 0),
  pagos + retenciones
)</f>
        <v>161</v>
      </c>
      <c r="Q201" s="30" t="str">
        <f>IF(P201=0, "Sin Pago", 
  LET(
    idVenta, I201&amp;"",
    montoTotalPagado, P201,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01" s="30">
        <f t="shared" si="13"/>
        <v>0</v>
      </c>
      <c r="S201" s="29">
        <f>IF(P201=0, "Sin Pago", 
  IFERROR(
    MAXIFS(Aux_Datos!$A:$A, Aux_Datos!$B:$B, I201&amp;""), 
    IFERROR(MAXIFS(Aux_Datos!$A:$A, Aux_Datos!$B:$B, VALUE(I201)), "Revisar ID")
  )
)</f>
        <v>46134</v>
      </c>
      <c r="T201" s="35" t="str">
        <f t="shared" si="9"/>
        <v>PAGADA</v>
      </c>
      <c r="U201" s="35" t="str">
        <f t="shared" si="10"/>
        <v>SOLVENTE</v>
      </c>
      <c r="V201" s="32">
        <f t="shared" si="11"/>
        <v>0</v>
      </c>
      <c r="W201" s="36" t="str">
        <f>IF(P201=0, "Sin Pago", 
  LET(
    monedaPago, Q201, 
    descuentoAplicado, G201,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01" s="36" t="str">
        <f t="shared" si="12"/>
        <v/>
      </c>
      <c r="Y201" s="36">
        <v>161.0</v>
      </c>
      <c r="Z201" s="33" t="s">
        <v>596</v>
      </c>
      <c r="AA201" s="33"/>
      <c r="AB201" s="33"/>
      <c r="AC201" s="33"/>
      <c r="AD201" s="33"/>
      <c r="AE201" s="33"/>
      <c r="AF201" s="33"/>
    </row>
    <row r="202" ht="22.5" customHeight="1">
      <c r="A202" s="23" t="s">
        <v>769</v>
      </c>
      <c r="B202" s="41">
        <v>46132.499189814815</v>
      </c>
      <c r="C202" s="23" t="s">
        <v>770</v>
      </c>
      <c r="D202" s="23" t="s">
        <v>546</v>
      </c>
      <c r="E202" s="25">
        <v>1090.4</v>
      </c>
      <c r="F202" s="23" t="s">
        <v>619</v>
      </c>
      <c r="G202" s="26">
        <f>IF($E202=0,0,IF(SUMIF(Aux_Datos!$B:$B,$I202,Aux_Datos!$K:$K)/$E202&gt;=VLOOKUP(IF(COUNTIFS(Aux_Datos!$B:$B,$I202,Aux_Datos!$D:$D,"&lt;&gt;USD")=0,"USD","VES"),'Limites de Descuento'!$A$2:$D$4,4,FALSE),MAX(0,1-SUMIF(Aux_Datos!$B:$B,$I202,Aux_Datos!$K:$K)/$E202),0))</f>
        <v>0.1344311944</v>
      </c>
      <c r="H202" s="27"/>
      <c r="I202" s="28">
        <f t="shared" si="14"/>
        <v>242</v>
      </c>
      <c r="J202" s="29">
        <f t="shared" si="2"/>
        <v>46132</v>
      </c>
      <c r="K202" s="30">
        <f t="shared" si="3"/>
        <v>15</v>
      </c>
      <c r="L202" s="29">
        <f t="shared" si="4"/>
        <v>46148</v>
      </c>
      <c r="M202" s="30">
        <f t="shared" si="5"/>
        <v>943.8162257</v>
      </c>
      <c r="N202" s="32">
        <f t="shared" si="6"/>
        <v>0</v>
      </c>
      <c r="O202" s="33" t="str">
        <f t="shared" si="7"/>
        <v>PAGADA</v>
      </c>
      <c r="P202" s="34">
        <f>LET(
  idVenta, I202&amp;"",
  montoTotal, M202,
  pagos, IFERROR(SUMIF(Aux_Datos!$B:$B, idVenta, Aux_Datos!$K:$K), 0),
  retenciones, IFERROR(SUMIF(Aux_Datos!$N:$N, idVenta, Aux_Datos!$R:$R), 0),
  pagos + retenciones
)</f>
        <v>943.8162257</v>
      </c>
      <c r="Q202" s="30" t="str">
        <f>IF(P202=0, "Sin Pago", 
  LET(
    idVenta, I202&amp;"",
    montoTotalPagado, P202,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202" s="30">
        <f t="shared" si="13"/>
        <v>0</v>
      </c>
      <c r="S202" s="29">
        <f>IF(P202=0, "Sin Pago", 
  IFERROR(
    MAXIFS(Aux_Datos!$A:$A, Aux_Datos!$B:$B, I202&amp;""), 
    IFERROR(MAXIFS(Aux_Datos!$A:$A, Aux_Datos!$B:$B, VALUE(I202)), "Revisar ID")
  )
)</f>
        <v>46171</v>
      </c>
      <c r="T202" s="35" t="str">
        <f t="shared" si="9"/>
        <v>PAGADA</v>
      </c>
      <c r="U202" s="35" t="str">
        <f t="shared" si="10"/>
        <v>SOLVENTE</v>
      </c>
      <c r="V202" s="32">
        <f t="shared" si="11"/>
        <v>0</v>
      </c>
      <c r="W202" s="36" t="str">
        <f>IF(P202=0, "Sin Pago", 
  LET(
    monedaPago, Q202, 
    descuentoAplicado, G202,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02" s="36" t="str">
        <f t="shared" si="12"/>
        <v/>
      </c>
      <c r="Y202" s="36">
        <v>943.8162256658335</v>
      </c>
      <c r="Z202" s="33" t="s">
        <v>596</v>
      </c>
      <c r="AA202" s="33"/>
      <c r="AB202" s="33"/>
      <c r="AC202" s="33"/>
      <c r="AD202" s="33"/>
      <c r="AE202" s="33"/>
      <c r="AF202" s="33"/>
    </row>
    <row r="203" ht="22.5" customHeight="1">
      <c r="A203" s="23" t="s">
        <v>221</v>
      </c>
      <c r="B203" s="41">
        <v>46132.49905092592</v>
      </c>
      <c r="C203" s="23" t="s">
        <v>220</v>
      </c>
      <c r="D203" s="23" t="s">
        <v>538</v>
      </c>
      <c r="E203" s="25">
        <v>394.4</v>
      </c>
      <c r="F203" s="23" t="s">
        <v>608</v>
      </c>
      <c r="G203" s="26">
        <f>IF($E203=0,0,IF(SUMIF(Aux_Datos!$B:$B,$I203,Aux_Datos!$K:$K)/$E203&gt;=VLOOKUP(IF(COUNTIFS(Aux_Datos!$B:$B,$I203,Aux_Datos!$D:$D,"&lt;&gt;USD")=0,"USD","VES"),'Limites de Descuento'!$A$2:$D$4,4,FALSE),MAX(0,1-SUMIF(Aux_Datos!$B:$B,$I203,Aux_Datos!$K:$K)/$E203),0))</f>
        <v>0</v>
      </c>
      <c r="H203" s="27"/>
      <c r="I203" s="28">
        <f t="shared" si="14"/>
        <v>243</v>
      </c>
      <c r="J203" s="29">
        <f t="shared" si="2"/>
        <v>46132</v>
      </c>
      <c r="K203" s="30">
        <f t="shared" si="3"/>
        <v>7</v>
      </c>
      <c r="L203" s="29">
        <f t="shared" si="4"/>
        <v>46140</v>
      </c>
      <c r="M203" s="30">
        <f t="shared" si="5"/>
        <v>394.4</v>
      </c>
      <c r="N203" s="32">
        <f t="shared" si="6"/>
        <v>60</v>
      </c>
      <c r="O203" s="33" t="str">
        <f t="shared" si="7"/>
        <v>VENCIDA</v>
      </c>
      <c r="P203" s="34">
        <f>LET(
  idVenta, I203&amp;"",
  montoTotal, M203,
  pagos, IFERROR(SUMIF(Aux_Datos!$B:$B, idVenta, Aux_Datos!$K:$K), 0),
  retenciones, IFERROR(SUMIF(Aux_Datos!$N:$N, idVenta, Aux_Datos!$R:$R), 0),
  pagos + retenciones
)</f>
        <v>227.8439282</v>
      </c>
      <c r="Q203" s="30" t="str">
        <f>IF(P203=0, "Sin Pago", 
  LET(
    idVenta, I203&amp;"",
    montoTotalPagado, P203,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203" s="30">
        <f t="shared" si="13"/>
        <v>166.5560718</v>
      </c>
      <c r="S203" s="29">
        <f>IF(P203=0, "Sin Pago", 
  IFERROR(
    MAXIFS(Aux_Datos!$A:$A, Aux_Datos!$B:$B, I203&amp;""), 
    IFERROR(MAXIFS(Aux_Datos!$A:$A, Aux_Datos!$B:$B, VALUE(I203)), "Revisar ID")
  )
)</f>
        <v>46196</v>
      </c>
      <c r="T203" s="35" t="str">
        <f t="shared" si="9"/>
        <v>PAGO PARCIAL</v>
      </c>
      <c r="U203" s="35" t="str">
        <f t="shared" si="10"/>
        <v>CRÍTICO: VENCIDA</v>
      </c>
      <c r="V203" s="32">
        <f t="shared" si="11"/>
        <v>4</v>
      </c>
      <c r="W203" s="36" t="str">
        <f>IF(P203=0, "Sin Pago", 
  LET(
    monedaPago, Q203, 
    descuentoAplicado, G203,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03" s="36" t="str">
        <f t="shared" si="12"/>
        <v/>
      </c>
      <c r="Y203" s="36">
        <v>227.84392824309774</v>
      </c>
      <c r="Z203" s="33" t="s">
        <v>609</v>
      </c>
      <c r="AA203" s="33"/>
      <c r="AB203" s="33"/>
      <c r="AC203" s="33"/>
      <c r="AD203" s="33"/>
      <c r="AE203" s="33"/>
      <c r="AF203" s="33"/>
    </row>
    <row r="204" ht="22.5" customHeight="1">
      <c r="A204" s="23" t="s">
        <v>219</v>
      </c>
      <c r="B204" s="41">
        <v>46132.67055555555</v>
      </c>
      <c r="C204" s="23" t="s">
        <v>218</v>
      </c>
      <c r="D204" s="23" t="s">
        <v>353</v>
      </c>
      <c r="E204" s="25">
        <v>464.0</v>
      </c>
      <c r="F204" s="23" t="s">
        <v>608</v>
      </c>
      <c r="G204" s="26">
        <f>IF($E204=0,0,IF(SUMIF(Aux_Datos!$B:$B,$I204,Aux_Datos!$K:$K)/$E204&gt;=VLOOKUP(IF(COUNTIFS(Aux_Datos!$B:$B,$I204,Aux_Datos!$D:$D,"&lt;&gt;USD")=0,"USD","VES"),'Limites de Descuento'!$A$2:$D$4,4,FALSE),MAX(0,1-SUMIF(Aux_Datos!$B:$B,$I204,Aux_Datos!$K:$K)/$E204),0))</f>
        <v>0</v>
      </c>
      <c r="H204" s="27"/>
      <c r="I204" s="28">
        <f t="shared" si="14"/>
        <v>244</v>
      </c>
      <c r="J204" s="29">
        <f t="shared" si="2"/>
        <v>46132</v>
      </c>
      <c r="K204" s="30">
        <f t="shared" si="3"/>
        <v>7</v>
      </c>
      <c r="L204" s="29">
        <f t="shared" si="4"/>
        <v>46140</v>
      </c>
      <c r="M204" s="30">
        <f t="shared" si="5"/>
        <v>464</v>
      </c>
      <c r="N204" s="32">
        <f t="shared" si="6"/>
        <v>60</v>
      </c>
      <c r="O204" s="33" t="str">
        <f t="shared" si="7"/>
        <v>VENCIDA</v>
      </c>
      <c r="P204" s="34">
        <f>LET(
  idVenta, I204&amp;"",
  montoTotal, M204,
  pagos, IFERROR(SUMIF(Aux_Datos!$B:$B, idVenta, Aux_Datos!$K:$K), 0),
  retenciones, IFERROR(SUMIF(Aux_Datos!$N:$N, idVenta, Aux_Datos!$R:$R), 0),
  pagos + retenciones
)</f>
        <v>200</v>
      </c>
      <c r="Q204" s="30" t="str">
        <f>IF(P204=0, "Sin Pago", 
  LET(
    idVenta, I204&amp;"",
    montoTotalPagado, P204,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04" s="30">
        <f t="shared" si="13"/>
        <v>264</v>
      </c>
      <c r="S204" s="29">
        <f>IF(P204=0, "Sin Pago", 
  IFERROR(
    MAXIFS(Aux_Datos!$A:$A, Aux_Datos!$B:$B, I204&amp;""), 
    IFERROR(MAXIFS(Aux_Datos!$A:$A, Aux_Datos!$B:$B, VALUE(I204)), "Revisar ID")
  )
)</f>
        <v>46195</v>
      </c>
      <c r="T204" s="35" t="str">
        <f t="shared" si="9"/>
        <v>PAGO PARCIAL</v>
      </c>
      <c r="U204" s="35" t="str">
        <f t="shared" si="10"/>
        <v>CRÍTICO: VENCIDA</v>
      </c>
      <c r="V204" s="32">
        <f t="shared" si="11"/>
        <v>5</v>
      </c>
      <c r="W204" s="36" t="str">
        <f>IF(P204=0, "Sin Pago", 
  LET(
    monedaPago, Q204, 
    descuentoAplicado, G204,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04" s="36" t="str">
        <f t="shared" si="12"/>
        <v/>
      </c>
      <c r="Y204" s="36">
        <v>200.0</v>
      </c>
      <c r="Z204" s="33" t="s">
        <v>609</v>
      </c>
      <c r="AA204" s="33"/>
      <c r="AB204" s="33"/>
      <c r="AC204" s="33"/>
      <c r="AD204" s="33"/>
      <c r="AE204" s="33"/>
      <c r="AF204" s="33"/>
    </row>
    <row r="205" ht="22.5" customHeight="1">
      <c r="A205" s="23" t="s">
        <v>227</v>
      </c>
      <c r="B205" s="41">
        <v>46133.369421296295</v>
      </c>
      <c r="C205" s="23" t="s">
        <v>226</v>
      </c>
      <c r="D205" s="23" t="s">
        <v>552</v>
      </c>
      <c r="E205" s="25">
        <v>111.36</v>
      </c>
      <c r="F205" s="23" t="s">
        <v>608</v>
      </c>
      <c r="G205" s="26">
        <f>IF($E205=0,0,IF(SUMIF(Aux_Datos!$B:$B,$I205,Aux_Datos!$K:$K)/$E205&gt;=VLOOKUP(IF(COUNTIFS(Aux_Datos!$B:$B,$I205,Aux_Datos!$D:$D,"&lt;&gt;USD")=0,"USD","VES"),'Limites de Descuento'!$A$2:$D$4,4,FALSE),MAX(0,1-SUMIF(Aux_Datos!$B:$B,$I205,Aux_Datos!$K:$K)/$E205),0))</f>
        <v>0</v>
      </c>
      <c r="H205" s="27"/>
      <c r="I205" s="28">
        <f t="shared" si="14"/>
        <v>245</v>
      </c>
      <c r="J205" s="29">
        <f t="shared" si="2"/>
        <v>46133</v>
      </c>
      <c r="K205" s="30">
        <f t="shared" si="3"/>
        <v>7</v>
      </c>
      <c r="L205" s="29">
        <f t="shared" si="4"/>
        <v>46141</v>
      </c>
      <c r="M205" s="30">
        <f t="shared" si="5"/>
        <v>111.36</v>
      </c>
      <c r="N205" s="32">
        <f t="shared" si="6"/>
        <v>59</v>
      </c>
      <c r="O205" s="33" t="str">
        <f t="shared" si="7"/>
        <v>VENCIDA</v>
      </c>
      <c r="P205" s="34">
        <f>LET(
  idVenta, I205&amp;"",
  montoTotal, M205,
  pagos, IFERROR(SUMIF(Aux_Datos!$B:$B, idVenta, Aux_Datos!$K:$K), 0),
  retenciones, IFERROR(SUMIF(Aux_Datos!$N:$N, idVenta, Aux_Datos!$R:$R), 0),
  pagos + retenciones
)</f>
        <v>72</v>
      </c>
      <c r="Q205" s="30" t="str">
        <f>IF(P205=0, "Sin Pago", 
  LET(
    idVenta, I205&amp;"",
    montoTotalPagado, P205,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05" s="30">
        <f t="shared" si="13"/>
        <v>39.36</v>
      </c>
      <c r="S205" s="29">
        <f>IF(P205=0, "Sin Pago", 
  IFERROR(
    MAXIFS(Aux_Datos!$A:$A, Aux_Datos!$B:$B, I205&amp;""), 
    IFERROR(MAXIFS(Aux_Datos!$A:$A, Aux_Datos!$B:$B, VALUE(I205)), "Revisar ID")
  )
)</f>
        <v>46196</v>
      </c>
      <c r="T205" s="35" t="str">
        <f t="shared" si="9"/>
        <v>PAGO PARCIAL</v>
      </c>
      <c r="U205" s="35" t="str">
        <f t="shared" si="10"/>
        <v>CRÍTICO: VENCIDA</v>
      </c>
      <c r="V205" s="32">
        <f t="shared" si="11"/>
        <v>4</v>
      </c>
      <c r="W205" s="36" t="str">
        <f>IF(P205=0, "Sin Pago", 
  LET(
    monedaPago, Q205, 
    descuentoAplicado, G205,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05" s="36" t="str">
        <f t="shared" si="12"/>
        <v/>
      </c>
      <c r="Y205" s="36">
        <v>72.0</v>
      </c>
      <c r="Z205" s="33" t="s">
        <v>609</v>
      </c>
      <c r="AA205" s="33"/>
      <c r="AB205" s="33"/>
      <c r="AC205" s="33"/>
      <c r="AD205" s="33"/>
      <c r="AE205" s="33"/>
      <c r="AF205" s="33"/>
    </row>
    <row r="206" ht="22.5" customHeight="1">
      <c r="A206" s="23" t="s">
        <v>771</v>
      </c>
      <c r="B206" s="41">
        <v>46136.53581018518</v>
      </c>
      <c r="C206" s="23" t="s">
        <v>402</v>
      </c>
      <c r="D206" s="23" t="s">
        <v>548</v>
      </c>
      <c r="E206" s="25">
        <v>3853.52</v>
      </c>
      <c r="F206" s="23" t="s">
        <v>608</v>
      </c>
      <c r="G206" s="26">
        <f>IF($E206=0,0,IF(SUMIF(Aux_Datos!$B:$B,$I206,Aux_Datos!$K:$K)/$E206&gt;=VLOOKUP(IF(COUNTIFS(Aux_Datos!$B:$B,$I206,Aux_Datos!$D:$D,"&lt;&gt;USD")=0,"USD","VES"),'Limites de Descuento'!$A$2:$D$4,4,FALSE),MAX(0,1-SUMIF(Aux_Datos!$B:$B,$I206,Aux_Datos!$K:$K)/$E206),0))</f>
        <v>0.0001349415599</v>
      </c>
      <c r="H206" s="27"/>
      <c r="I206" s="28">
        <f t="shared" si="14"/>
        <v>246</v>
      </c>
      <c r="J206" s="29">
        <f t="shared" si="2"/>
        <v>46136</v>
      </c>
      <c r="K206" s="30">
        <f t="shared" si="3"/>
        <v>7</v>
      </c>
      <c r="L206" s="29">
        <f t="shared" si="4"/>
        <v>46144</v>
      </c>
      <c r="M206" s="30">
        <f t="shared" si="5"/>
        <v>3853</v>
      </c>
      <c r="N206" s="32">
        <f t="shared" si="6"/>
        <v>0</v>
      </c>
      <c r="O206" s="33" t="str">
        <f t="shared" si="7"/>
        <v>PAGADA</v>
      </c>
      <c r="P206" s="34">
        <f>LET(
  idVenta, I206&amp;"",
  montoTotal, M206,
  pagos, IFERROR(SUMIF(Aux_Datos!$B:$B, idVenta, Aux_Datos!$K:$K), 0),
  retenciones, IFERROR(SUMIF(Aux_Datos!$N:$N, idVenta, Aux_Datos!$R:$R), 0),
  pagos + retenciones
)</f>
        <v>3853</v>
      </c>
      <c r="Q206" s="30" t="str">
        <f>IF(P206=0, "Sin Pago", 
  LET(
    idVenta, I206&amp;"",
    montoTotalPagado, P206,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06" s="30">
        <f t="shared" si="13"/>
        <v>0</v>
      </c>
      <c r="S206" s="29">
        <f>IF(P206=0, "Sin Pago", 
  IFERROR(
    MAXIFS(Aux_Datos!$A:$A, Aux_Datos!$B:$B, I206&amp;""), 
    IFERROR(MAXIFS(Aux_Datos!$A:$A, Aux_Datos!$B:$B, VALUE(I206)), "Revisar ID")
  )
)</f>
        <v>46154</v>
      </c>
      <c r="T206" s="35" t="str">
        <f t="shared" si="9"/>
        <v>PAGADA</v>
      </c>
      <c r="U206" s="35" t="str">
        <f t="shared" si="10"/>
        <v>SOLVENTE</v>
      </c>
      <c r="V206" s="32">
        <f t="shared" si="11"/>
        <v>0</v>
      </c>
      <c r="W206" s="36" t="str">
        <f>IF(P206=0, "Sin Pago", 
  LET(
    monedaPago, Q206, 
    descuentoAplicado, G206,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06" s="36" t="str">
        <f t="shared" si="12"/>
        <v/>
      </c>
      <c r="Y206" s="36">
        <v>3853.0</v>
      </c>
      <c r="Z206" s="33" t="s">
        <v>596</v>
      </c>
      <c r="AA206" s="33"/>
      <c r="AB206" s="33"/>
      <c r="AC206" s="33"/>
      <c r="AD206" s="33"/>
      <c r="AE206" s="33"/>
      <c r="AF206" s="33"/>
    </row>
    <row r="207" ht="22.5" customHeight="1">
      <c r="A207" s="23" t="s">
        <v>223</v>
      </c>
      <c r="B207" s="41">
        <v>46133.651655092595</v>
      </c>
      <c r="C207" s="23" t="s">
        <v>222</v>
      </c>
      <c r="D207" s="23" t="s">
        <v>544</v>
      </c>
      <c r="E207" s="25">
        <v>453.59</v>
      </c>
      <c r="F207" s="23" t="s">
        <v>608</v>
      </c>
      <c r="G207" s="26">
        <f>IF($E207=0,0,IF(SUMIF(Aux_Datos!$B:$B,$I207,Aux_Datos!$K:$K)/$E207&gt;=VLOOKUP(IF(COUNTIFS(Aux_Datos!$B:$B,$I207,Aux_Datos!$D:$D,"&lt;&gt;USD")=0,"USD","VES"),'Limites de Descuento'!$A$2:$D$4,4,FALSE),MAX(0,1-SUMIF(Aux_Datos!$B:$B,$I207,Aux_Datos!$K:$K)/$E207),0))</f>
        <v>0</v>
      </c>
      <c r="H207" s="27"/>
      <c r="I207" s="28">
        <f t="shared" si="14"/>
        <v>247</v>
      </c>
      <c r="J207" s="29">
        <f t="shared" si="2"/>
        <v>46133</v>
      </c>
      <c r="K207" s="30">
        <f t="shared" si="3"/>
        <v>7</v>
      </c>
      <c r="L207" s="29">
        <f t="shared" si="4"/>
        <v>46141</v>
      </c>
      <c r="M207" s="30">
        <f t="shared" si="5"/>
        <v>453.59</v>
      </c>
      <c r="N207" s="32">
        <f t="shared" si="6"/>
        <v>59</v>
      </c>
      <c r="O207" s="33" t="str">
        <f t="shared" si="7"/>
        <v>VENCIDA</v>
      </c>
      <c r="P207" s="34">
        <f>LET(
  idVenta, I207&amp;"",
  montoTotal, M207,
  pagos, IFERROR(SUMIF(Aux_Datos!$B:$B, idVenta, Aux_Datos!$K:$K), 0),
  retenciones, IFERROR(SUMIF(Aux_Datos!$N:$N, idVenta, Aux_Datos!$R:$R), 0),
  pagos + retenciones
)</f>
        <v>0</v>
      </c>
      <c r="Q207" s="30" t="str">
        <f>IF(P207=0, "Sin Pago", 
  LET(
    idVenta, I207&amp;"",
    montoTotalPagado, P207,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207" s="30">
        <f t="shared" si="13"/>
        <v>453.59</v>
      </c>
      <c r="S207" s="29" t="str">
        <f>IF(P207=0, "Sin Pago", 
  IFERROR(
    MAXIFS(Aux_Datos!$A:$A, Aux_Datos!$B:$B, I207&amp;""), 
    IFERROR(MAXIFS(Aux_Datos!$A:$A, Aux_Datos!$B:$B, VALUE(I207)), "Revisar ID")
  )
)</f>
        <v>Sin Pago</v>
      </c>
      <c r="T207" s="35" t="str">
        <f t="shared" si="9"/>
        <v>PENDIENTE</v>
      </c>
      <c r="U207" s="35" t="str">
        <f t="shared" si="10"/>
        <v>CRÍTICO: VENCIDA</v>
      </c>
      <c r="V207" s="32">
        <f t="shared" si="11"/>
        <v>0</v>
      </c>
      <c r="W207" s="36" t="str">
        <f>IF(P207=0, "Sin Pago", 
  LET(
    monedaPago, Q207, 
    descuentoAplicado, G207,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207" s="36" t="str">
        <f t="shared" si="12"/>
        <v/>
      </c>
      <c r="Y207" s="36">
        <v>0.0</v>
      </c>
      <c r="Z207" s="33" t="s">
        <v>641</v>
      </c>
      <c r="AA207" s="33"/>
      <c r="AB207" s="33"/>
      <c r="AC207" s="33"/>
      <c r="AD207" s="33"/>
      <c r="AE207" s="33"/>
      <c r="AF207" s="33"/>
    </row>
    <row r="208" ht="22.5" customHeight="1">
      <c r="A208" s="23" t="s">
        <v>326</v>
      </c>
      <c r="B208" s="41">
        <v>46133.65181712963</v>
      </c>
      <c r="C208" s="23" t="s">
        <v>325</v>
      </c>
      <c r="D208" s="23" t="s">
        <v>544</v>
      </c>
      <c r="E208" s="25">
        <v>104.4</v>
      </c>
      <c r="F208" s="23" t="s">
        <v>680</v>
      </c>
      <c r="G208" s="26">
        <f>IF($E208=0,0,IF(SUMIF(Aux_Datos!$B:$B,$I208,Aux_Datos!$K:$K)/$E208&gt;=VLOOKUP(IF(COUNTIFS(Aux_Datos!$B:$B,$I208,Aux_Datos!$D:$D,"&lt;&gt;USD")=0,"USD","VES"),'Limites de Descuento'!$A$2:$D$4,4,FALSE),MAX(0,1-SUMIF(Aux_Datos!$B:$B,$I208,Aux_Datos!$K:$K)/$E208),0))</f>
        <v>0</v>
      </c>
      <c r="H208" s="27"/>
      <c r="I208" s="28">
        <f t="shared" si="14"/>
        <v>248</v>
      </c>
      <c r="J208" s="29">
        <f t="shared" si="2"/>
        <v>46133</v>
      </c>
      <c r="K208" s="30">
        <f t="shared" si="3"/>
        <v>30</v>
      </c>
      <c r="L208" s="29">
        <f t="shared" si="4"/>
        <v>46164</v>
      </c>
      <c r="M208" s="30">
        <f t="shared" si="5"/>
        <v>104.4</v>
      </c>
      <c r="N208" s="32">
        <f t="shared" si="6"/>
        <v>36</v>
      </c>
      <c r="O208" s="33" t="str">
        <f t="shared" si="7"/>
        <v>VENCIDA</v>
      </c>
      <c r="P208" s="34">
        <f>LET(
  idVenta, I208&amp;"",
  montoTotal, M208,
  pagos, IFERROR(SUMIF(Aux_Datos!$B:$B, idVenta, Aux_Datos!$K:$K), 0),
  retenciones, IFERROR(SUMIF(Aux_Datos!$N:$N, idVenta, Aux_Datos!$R:$R), 0),
  pagos + retenciones
)</f>
        <v>67</v>
      </c>
      <c r="Q208" s="30" t="str">
        <f>IF(P208=0, "Sin Pago", 
  LET(
    idVenta, I208&amp;"",
    montoTotalPagado, P208,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08" s="30">
        <f t="shared" si="13"/>
        <v>37.4</v>
      </c>
      <c r="S208" s="29">
        <f>IF(P208=0, "Sin Pago", 
  IFERROR(
    MAXIFS(Aux_Datos!$A:$A, Aux_Datos!$B:$B, I208&amp;""), 
    IFERROR(MAXIFS(Aux_Datos!$A:$A, Aux_Datos!$B:$B, VALUE(I208)), "Revisar ID")
  )
)</f>
        <v>46190</v>
      </c>
      <c r="T208" s="35" t="str">
        <f t="shared" si="9"/>
        <v>PAGO PARCIAL</v>
      </c>
      <c r="U208" s="35" t="str">
        <f t="shared" si="10"/>
        <v>CRÍTICO: VENCIDA</v>
      </c>
      <c r="V208" s="32">
        <f t="shared" si="11"/>
        <v>10</v>
      </c>
      <c r="W208" s="36" t="str">
        <f>IF(P208=0, "Sin Pago", 
  LET(
    monedaPago, Q208, 
    descuentoAplicado, G208,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08" s="36" t="str">
        <f t="shared" si="12"/>
        <v/>
      </c>
      <c r="Y208" s="36">
        <v>67.0</v>
      </c>
      <c r="Z208" s="33" t="s">
        <v>609</v>
      </c>
      <c r="AA208" s="33"/>
      <c r="AB208" s="33"/>
      <c r="AC208" s="33"/>
      <c r="AD208" s="33"/>
      <c r="AE208" s="33"/>
      <c r="AF208" s="33"/>
    </row>
    <row r="209" ht="22.5" customHeight="1">
      <c r="A209" s="23" t="s">
        <v>225</v>
      </c>
      <c r="B209" s="41">
        <v>46133.734814814816</v>
      </c>
      <c r="C209" s="23" t="s">
        <v>224</v>
      </c>
      <c r="D209" s="23" t="s">
        <v>529</v>
      </c>
      <c r="E209" s="25">
        <v>777.2</v>
      </c>
      <c r="F209" s="23" t="s">
        <v>608</v>
      </c>
      <c r="G209" s="26">
        <f>IF($E209=0,0,IF(SUMIF(Aux_Datos!$B:$B,$I209,Aux_Datos!$K:$K)/$E209&gt;=VLOOKUP(IF(COUNTIFS(Aux_Datos!$B:$B,$I209,Aux_Datos!$D:$D,"&lt;&gt;USD")=0,"USD","VES"),'Limites de Descuento'!$A$2:$D$4,4,FALSE),MAX(0,1-SUMIF(Aux_Datos!$B:$B,$I209,Aux_Datos!$K:$K)/$E209),0))</f>
        <v>0</v>
      </c>
      <c r="H209" s="27"/>
      <c r="I209" s="28">
        <f t="shared" si="14"/>
        <v>249</v>
      </c>
      <c r="J209" s="29">
        <f t="shared" si="2"/>
        <v>46133</v>
      </c>
      <c r="K209" s="30">
        <f t="shared" si="3"/>
        <v>7</v>
      </c>
      <c r="L209" s="29">
        <f t="shared" si="4"/>
        <v>46141</v>
      </c>
      <c r="M209" s="30">
        <f t="shared" si="5"/>
        <v>777.2</v>
      </c>
      <c r="N209" s="32">
        <f t="shared" si="6"/>
        <v>59</v>
      </c>
      <c r="O209" s="33" t="str">
        <f t="shared" si="7"/>
        <v>VENCIDA</v>
      </c>
      <c r="P209" s="34">
        <f>LET(
  idVenta, I209&amp;"",
  montoTotal, M209,
  pagos, IFERROR(SUMIF(Aux_Datos!$B:$B, idVenta, Aux_Datos!$K:$K), 0),
  retenciones, IFERROR(SUMIF(Aux_Datos!$N:$N, idVenta, Aux_Datos!$R:$R), 0),
  pagos + retenciones
)</f>
        <v>300</v>
      </c>
      <c r="Q209" s="30" t="str">
        <f>IF(P209=0, "Sin Pago", 
  LET(
    idVenta, I209&amp;"",
    montoTotalPagado, P209,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09" s="30">
        <f t="shared" si="13"/>
        <v>477.2</v>
      </c>
      <c r="S209" s="29">
        <f>IF(P209=0, "Sin Pago", 
  IFERROR(
    MAXIFS(Aux_Datos!$A:$A, Aux_Datos!$B:$B, I209&amp;""), 
    IFERROR(MAXIFS(Aux_Datos!$A:$A, Aux_Datos!$B:$B, VALUE(I209)), "Revisar ID")
  )
)</f>
        <v>46185</v>
      </c>
      <c r="T209" s="35" t="str">
        <f t="shared" si="9"/>
        <v>PAGO PARCIAL</v>
      </c>
      <c r="U209" s="35" t="str">
        <f t="shared" si="10"/>
        <v>CRÍTICO: VENCIDA</v>
      </c>
      <c r="V209" s="32">
        <f t="shared" si="11"/>
        <v>15</v>
      </c>
      <c r="W209" s="36" t="str">
        <f>IF(P209=0, "Sin Pago", 
  LET(
    monedaPago, Q209, 
    descuentoAplicado, G209,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09" s="36" t="str">
        <f t="shared" si="12"/>
        <v/>
      </c>
      <c r="Y209" s="36">
        <v>300.0</v>
      </c>
      <c r="Z209" s="33" t="s">
        <v>609</v>
      </c>
      <c r="AA209" s="33"/>
      <c r="AB209" s="33"/>
      <c r="AC209" s="33"/>
      <c r="AD209" s="33"/>
      <c r="AE209" s="33"/>
      <c r="AF209" s="33"/>
    </row>
    <row r="210" ht="22.5" customHeight="1">
      <c r="A210" s="23" t="s">
        <v>207</v>
      </c>
      <c r="B210" s="41">
        <v>46134.54869212963</v>
      </c>
      <c r="C210" s="23" t="s">
        <v>206</v>
      </c>
      <c r="D210" s="23" t="s">
        <v>556</v>
      </c>
      <c r="E210" s="25">
        <v>104.4</v>
      </c>
      <c r="F210" s="23" t="s">
        <v>593</v>
      </c>
      <c r="G210" s="26">
        <f>IF($E210=0,0,IF(SUMIF(Aux_Datos!$B:$B,$I210,Aux_Datos!$K:$K)/$E210&gt;=VLOOKUP(IF(COUNTIFS(Aux_Datos!$B:$B,$I210,Aux_Datos!$D:$D,"&lt;&gt;USD")=0,"USD","VES"),'Limites de Descuento'!$A$2:$D$4,4,FALSE),MAX(0,1-SUMIF(Aux_Datos!$B:$B,$I210,Aux_Datos!$K:$K)/$E210),0))</f>
        <v>0</v>
      </c>
      <c r="H210" s="27"/>
      <c r="I210" s="28">
        <f t="shared" si="14"/>
        <v>250</v>
      </c>
      <c r="J210" s="29">
        <f t="shared" si="2"/>
        <v>46134</v>
      </c>
      <c r="K210" s="30">
        <f t="shared" si="3"/>
        <v>0</v>
      </c>
      <c r="L210" s="29">
        <f t="shared" si="4"/>
        <v>46135</v>
      </c>
      <c r="M210" s="30">
        <f t="shared" si="5"/>
        <v>104.4</v>
      </c>
      <c r="N210" s="32">
        <f t="shared" si="6"/>
        <v>65</v>
      </c>
      <c r="O210" s="33" t="str">
        <f t="shared" si="7"/>
        <v>VENCIDA</v>
      </c>
      <c r="P210" s="34">
        <f>LET(
  idVenta, I210&amp;"",
  montoTotal, M210,
  pagos, IFERROR(SUMIF(Aux_Datos!$B:$B, idVenta, Aux_Datos!$K:$K), 0),
  retenciones, IFERROR(SUMIF(Aux_Datos!$N:$N, idVenta, Aux_Datos!$R:$R), 0),
  pagos + retenciones
)</f>
        <v>40</v>
      </c>
      <c r="Q210" s="30" t="str">
        <f>IF(P210=0, "Sin Pago", 
  LET(
    idVenta, I210&amp;"",
    montoTotalPagado, P210,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10" s="30">
        <f t="shared" si="13"/>
        <v>64.4</v>
      </c>
      <c r="S210" s="29">
        <f>IF(P210=0, "Sin Pago", 
  IFERROR(
    MAXIFS(Aux_Datos!$A:$A, Aux_Datos!$B:$B, I210&amp;""), 
    IFERROR(MAXIFS(Aux_Datos!$A:$A, Aux_Datos!$B:$B, VALUE(I210)), "Revisar ID")
  )
)</f>
        <v>46169</v>
      </c>
      <c r="T210" s="35" t="str">
        <f t="shared" si="9"/>
        <v>PAGO PARCIAL</v>
      </c>
      <c r="U210" s="35" t="str">
        <f t="shared" si="10"/>
        <v>CRÍTICO: VENCIDA</v>
      </c>
      <c r="V210" s="32">
        <f t="shared" si="11"/>
        <v>31</v>
      </c>
      <c r="W210" s="36" t="str">
        <f>IF(P210=0, "Sin Pago", 
  LET(
    monedaPago, Q210, 
    descuentoAplicado, G210,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10" s="36" t="str">
        <f t="shared" si="12"/>
        <v/>
      </c>
      <c r="Y210" s="36">
        <v>40.0</v>
      </c>
      <c r="Z210" s="33" t="s">
        <v>609</v>
      </c>
      <c r="AA210" s="33"/>
      <c r="AB210" s="33"/>
      <c r="AC210" s="33"/>
      <c r="AD210" s="33"/>
      <c r="AE210" s="33"/>
      <c r="AF210" s="33"/>
    </row>
    <row r="211" ht="22.5" customHeight="1">
      <c r="A211" s="23" t="s">
        <v>235</v>
      </c>
      <c r="B211" s="41">
        <v>46134.7115625</v>
      </c>
      <c r="C211" s="23" t="s">
        <v>234</v>
      </c>
      <c r="D211" s="23" t="s">
        <v>538</v>
      </c>
      <c r="E211" s="25">
        <v>315.52</v>
      </c>
      <c r="F211" s="23" t="s">
        <v>608</v>
      </c>
      <c r="G211" s="26">
        <f>IF($E211=0,0,IF(SUMIF(Aux_Datos!$B:$B,$I211,Aux_Datos!$K:$K)/$E211&gt;=VLOOKUP(IF(COUNTIFS(Aux_Datos!$B:$B,$I211,Aux_Datos!$D:$D,"&lt;&gt;USD")=0,"USD","VES"),'Limites de Descuento'!$A$2:$D$4,4,FALSE),MAX(0,1-SUMIF(Aux_Datos!$B:$B,$I211,Aux_Datos!$K:$K)/$E211),0))</f>
        <v>0</v>
      </c>
      <c r="H211" s="27"/>
      <c r="I211" s="28">
        <f t="shared" si="14"/>
        <v>257</v>
      </c>
      <c r="J211" s="29">
        <f t="shared" si="2"/>
        <v>46134</v>
      </c>
      <c r="K211" s="30">
        <f t="shared" si="3"/>
        <v>7</v>
      </c>
      <c r="L211" s="29">
        <f t="shared" si="4"/>
        <v>46142</v>
      </c>
      <c r="M211" s="30">
        <f t="shared" si="5"/>
        <v>315.52</v>
      </c>
      <c r="N211" s="32">
        <f t="shared" si="6"/>
        <v>58</v>
      </c>
      <c r="O211" s="33" t="str">
        <f t="shared" si="7"/>
        <v>VENCIDA</v>
      </c>
      <c r="P211" s="34">
        <f>LET(
  idVenta, I211&amp;"",
  montoTotal, M211,
  pagos, IFERROR(SUMIF(Aux_Datos!$B:$B, idVenta, Aux_Datos!$K:$K), 0),
  retenciones, IFERROR(SUMIF(Aux_Datos!$N:$N, idVenta, Aux_Datos!$R:$R), 0),
  pagos + retenciones
)</f>
        <v>100</v>
      </c>
      <c r="Q211" s="30" t="str">
        <f>IF(P211=0, "Sin Pago", 
  LET(
    idVenta, I211&amp;"",
    montoTotalPagado, P211,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11" s="30">
        <f t="shared" si="13"/>
        <v>215.52</v>
      </c>
      <c r="S211" s="29">
        <f>IF(P211=0, "Sin Pago", 
  IFERROR(
    MAXIFS(Aux_Datos!$A:$A, Aux_Datos!$B:$B, I211&amp;""), 
    IFERROR(MAXIFS(Aux_Datos!$A:$A, Aux_Datos!$B:$B, VALUE(I211)), "Revisar ID")
  )
)</f>
        <v>46191</v>
      </c>
      <c r="T211" s="35" t="str">
        <f t="shared" si="9"/>
        <v>PAGO PARCIAL</v>
      </c>
      <c r="U211" s="35" t="str">
        <f t="shared" si="10"/>
        <v>CRÍTICO: VENCIDA</v>
      </c>
      <c r="V211" s="32">
        <f t="shared" si="11"/>
        <v>9</v>
      </c>
      <c r="W211" s="36" t="str">
        <f>IF(P211=0, "Sin Pago", 
  LET(
    monedaPago, Q211, 
    descuentoAplicado, G211,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11" s="36" t="str">
        <f t="shared" si="12"/>
        <v/>
      </c>
      <c r="Y211" s="36">
        <v>100.0</v>
      </c>
      <c r="Z211" s="33" t="s">
        <v>609</v>
      </c>
      <c r="AA211" s="33"/>
      <c r="AB211" s="33"/>
      <c r="AC211" s="33"/>
      <c r="AD211" s="33"/>
      <c r="AE211" s="33"/>
      <c r="AF211" s="33"/>
    </row>
    <row r="212" ht="22.5" customHeight="1">
      <c r="A212" s="23" t="s">
        <v>231</v>
      </c>
      <c r="B212" s="41">
        <v>46134.71142361111</v>
      </c>
      <c r="C212" s="23" t="s">
        <v>230</v>
      </c>
      <c r="D212" s="23" t="s">
        <v>538</v>
      </c>
      <c r="E212" s="25">
        <v>163.56</v>
      </c>
      <c r="F212" s="23" t="s">
        <v>608</v>
      </c>
      <c r="G212" s="26">
        <f>IF($E212=0,0,IF(SUMIF(Aux_Datos!$B:$B,$I212,Aux_Datos!$K:$K)/$E212&gt;=VLOOKUP(IF(COUNTIFS(Aux_Datos!$B:$B,$I212,Aux_Datos!$D:$D,"&lt;&gt;USD")=0,"USD","VES"),'Limites de Descuento'!$A$2:$D$4,4,FALSE),MAX(0,1-SUMIF(Aux_Datos!$B:$B,$I212,Aux_Datos!$K:$K)/$E212),0))</f>
        <v>0</v>
      </c>
      <c r="H212" s="27"/>
      <c r="I212" s="28">
        <f t="shared" si="14"/>
        <v>258</v>
      </c>
      <c r="J212" s="29">
        <f t="shared" si="2"/>
        <v>46134</v>
      </c>
      <c r="K212" s="30">
        <f t="shared" si="3"/>
        <v>7</v>
      </c>
      <c r="L212" s="29">
        <f t="shared" si="4"/>
        <v>46142</v>
      </c>
      <c r="M212" s="30">
        <f t="shared" si="5"/>
        <v>163.56</v>
      </c>
      <c r="N212" s="32">
        <f t="shared" si="6"/>
        <v>58</v>
      </c>
      <c r="O212" s="33" t="str">
        <f t="shared" si="7"/>
        <v>VENCIDA</v>
      </c>
      <c r="P212" s="34">
        <f>LET(
  idVenta, I212&amp;"",
  montoTotal, M212,
  pagos, IFERROR(SUMIF(Aux_Datos!$B:$B, idVenta, Aux_Datos!$K:$K), 0),
  retenciones, IFERROR(SUMIF(Aux_Datos!$N:$N, idVenta, Aux_Datos!$R:$R), 0),
  pagos + retenciones
)</f>
        <v>125.6307528</v>
      </c>
      <c r="Q212" s="30" t="str">
        <f>IF(P212=0, "Sin Pago", 
  LET(
    idVenta, I212&amp;"",
    montoTotalPagado, P212,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212" s="30">
        <f t="shared" si="13"/>
        <v>37.92924717</v>
      </c>
      <c r="S212" s="29">
        <f>IF(P212=0, "Sin Pago", 
  IFERROR(
    MAXIFS(Aux_Datos!$A:$A, Aux_Datos!$B:$B, I212&amp;""), 
    IFERROR(MAXIFS(Aux_Datos!$A:$A, Aux_Datos!$B:$B, VALUE(I212)), "Revisar ID")
  )
)</f>
        <v>46170</v>
      </c>
      <c r="T212" s="35" t="str">
        <f t="shared" si="9"/>
        <v>PAGO PARCIAL</v>
      </c>
      <c r="U212" s="35" t="str">
        <f t="shared" si="10"/>
        <v>CRÍTICO: VENCIDA</v>
      </c>
      <c r="V212" s="32">
        <f t="shared" si="11"/>
        <v>30</v>
      </c>
      <c r="W212" s="36" t="str">
        <f>IF(P212=0, "Sin Pago", 
  LET(
    monedaPago, Q212, 
    descuentoAplicado, G212,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12" s="36" t="str">
        <f t="shared" si="12"/>
        <v/>
      </c>
      <c r="Y212" s="36">
        <v>125.63075283420564</v>
      </c>
      <c r="Z212" s="33" t="s">
        <v>609</v>
      </c>
      <c r="AA212" s="33"/>
      <c r="AB212" s="33"/>
      <c r="AC212" s="33"/>
      <c r="AD212" s="33"/>
      <c r="AE212" s="33"/>
      <c r="AF212" s="33"/>
    </row>
    <row r="213" ht="22.5" customHeight="1">
      <c r="A213" s="23" t="s">
        <v>229</v>
      </c>
      <c r="B213" s="41">
        <v>46134.71130787037</v>
      </c>
      <c r="C213" s="23" t="s">
        <v>228</v>
      </c>
      <c r="D213" s="23" t="s">
        <v>538</v>
      </c>
      <c r="E213" s="25">
        <v>329.44</v>
      </c>
      <c r="F213" s="23" t="s">
        <v>608</v>
      </c>
      <c r="G213" s="26">
        <f>IF($E213=0,0,IF(SUMIF(Aux_Datos!$B:$B,$I213,Aux_Datos!$K:$K)/$E213&gt;=VLOOKUP(IF(COUNTIFS(Aux_Datos!$B:$B,$I213,Aux_Datos!$D:$D,"&lt;&gt;USD")=0,"USD","VES"),'Limites de Descuento'!$A$2:$D$4,4,FALSE),MAX(0,1-SUMIF(Aux_Datos!$B:$B,$I213,Aux_Datos!$K:$K)/$E213),0))</f>
        <v>0</v>
      </c>
      <c r="H213" s="27"/>
      <c r="I213" s="28">
        <f t="shared" si="14"/>
        <v>259</v>
      </c>
      <c r="J213" s="29">
        <f t="shared" si="2"/>
        <v>46134</v>
      </c>
      <c r="K213" s="30">
        <f t="shared" si="3"/>
        <v>7</v>
      </c>
      <c r="L213" s="29">
        <f t="shared" si="4"/>
        <v>46142</v>
      </c>
      <c r="M213" s="30">
        <f t="shared" si="5"/>
        <v>329.44</v>
      </c>
      <c r="N213" s="32">
        <f t="shared" si="6"/>
        <v>58</v>
      </c>
      <c r="O213" s="33" t="str">
        <f t="shared" si="7"/>
        <v>VENCIDA</v>
      </c>
      <c r="P213" s="34">
        <f>LET(
  idVenta, I213&amp;"",
  montoTotal, M213,
  pagos, IFERROR(SUMIF(Aux_Datos!$B:$B, idVenta, Aux_Datos!$K:$K), 0),
  retenciones, IFERROR(SUMIF(Aux_Datos!$N:$N, idVenta, Aux_Datos!$R:$R), 0),
  pagos + retenciones
)</f>
        <v>40</v>
      </c>
      <c r="Q213" s="30" t="str">
        <f>IF(P213=0, "Sin Pago", 
  LET(
    idVenta, I213&amp;"",
    montoTotalPagado, P213,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13" s="30">
        <f t="shared" si="13"/>
        <v>289.44</v>
      </c>
      <c r="S213" s="29">
        <f>IF(P213=0, "Sin Pago", 
  IFERROR(
    MAXIFS(Aux_Datos!$A:$A, Aux_Datos!$B:$B, I213&amp;""), 
    IFERROR(MAXIFS(Aux_Datos!$A:$A, Aux_Datos!$B:$B, VALUE(I213)), "Revisar ID")
  )
)</f>
        <v>46176</v>
      </c>
      <c r="T213" s="35" t="str">
        <f t="shared" si="9"/>
        <v>PAGO PARCIAL</v>
      </c>
      <c r="U213" s="35" t="str">
        <f t="shared" si="10"/>
        <v>CRÍTICO: VENCIDA</v>
      </c>
      <c r="V213" s="32">
        <f t="shared" si="11"/>
        <v>24</v>
      </c>
      <c r="W213" s="36" t="str">
        <f>IF(P213=0, "Sin Pago", 
  LET(
    monedaPago, Q213, 
    descuentoAplicado, G213,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13" s="36" t="str">
        <f t="shared" si="12"/>
        <v/>
      </c>
      <c r="Y213" s="36">
        <v>40.0</v>
      </c>
      <c r="Z213" s="33" t="s">
        <v>609</v>
      </c>
      <c r="AA213" s="33"/>
      <c r="AB213" s="33"/>
      <c r="AC213" s="33"/>
      <c r="AD213" s="33"/>
      <c r="AE213" s="33"/>
      <c r="AF213" s="33"/>
    </row>
    <row r="214" ht="22.5" customHeight="1">
      <c r="A214" s="23" t="s">
        <v>772</v>
      </c>
      <c r="B214" s="41">
        <v>46134.711180555554</v>
      </c>
      <c r="C214" s="23" t="s">
        <v>447</v>
      </c>
      <c r="D214" s="23" t="s">
        <v>556</v>
      </c>
      <c r="E214" s="25">
        <v>313.2</v>
      </c>
      <c r="F214" s="23" t="s">
        <v>608</v>
      </c>
      <c r="G214" s="26">
        <f>IF($E214=0,0,IF(SUMIF(Aux_Datos!$B:$B,$I214,Aux_Datos!$K:$K)/$E214&gt;=VLOOKUP(IF(COUNTIFS(Aux_Datos!$B:$B,$I214,Aux_Datos!$D:$D,"&lt;&gt;USD")=0,"USD","VES"),'Limites de Descuento'!$A$2:$D$4,4,FALSE),MAX(0,1-SUMIF(Aux_Datos!$B:$B,$I214,Aux_Datos!$K:$K)/$E214),0))</f>
        <v>0.0006385825026</v>
      </c>
      <c r="H214" s="27"/>
      <c r="I214" s="28">
        <f t="shared" si="14"/>
        <v>260</v>
      </c>
      <c r="J214" s="29">
        <f t="shared" si="2"/>
        <v>46134</v>
      </c>
      <c r="K214" s="30">
        <f t="shared" si="3"/>
        <v>7</v>
      </c>
      <c r="L214" s="29">
        <f t="shared" si="4"/>
        <v>46142</v>
      </c>
      <c r="M214" s="30">
        <f t="shared" si="5"/>
        <v>312.999996</v>
      </c>
      <c r="N214" s="32">
        <f t="shared" si="6"/>
        <v>0</v>
      </c>
      <c r="O214" s="33" t="str">
        <f t="shared" si="7"/>
        <v>PAGADA</v>
      </c>
      <c r="P214" s="34">
        <f>LET(
  idVenta, I214&amp;"",
  montoTotal, M214,
  pagos, IFERROR(SUMIF(Aux_Datos!$B:$B, idVenta, Aux_Datos!$K:$K), 0),
  retenciones, IFERROR(SUMIF(Aux_Datos!$N:$N, idVenta, Aux_Datos!$R:$R), 0),
  pagos + retenciones
)</f>
        <v>312.999996</v>
      </c>
      <c r="Q214" s="30" t="str">
        <f>IF(P214=0, "Sin Pago", 
  LET(
    idVenta, I214&amp;"",
    montoTotalPagado, P214,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214" s="30">
        <f t="shared" si="13"/>
        <v>0</v>
      </c>
      <c r="S214" s="29">
        <f>IF(P214=0, "Sin Pago", 
  IFERROR(
    MAXIFS(Aux_Datos!$A:$A, Aux_Datos!$B:$B, I214&amp;""), 
    IFERROR(MAXIFS(Aux_Datos!$A:$A, Aux_Datos!$B:$B, VALUE(I214)), "Revisar ID")
  )
)</f>
        <v>46170</v>
      </c>
      <c r="T214" s="35" t="str">
        <f t="shared" si="9"/>
        <v>PAGADA</v>
      </c>
      <c r="U214" s="35" t="str">
        <f t="shared" si="10"/>
        <v>SOLVENTE</v>
      </c>
      <c r="V214" s="32">
        <f t="shared" si="11"/>
        <v>0</v>
      </c>
      <c r="W214" s="36" t="str">
        <f>IF(P214=0, "Sin Pago", 
  LET(
    monedaPago, Q214, 
    descuentoAplicado, G214,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14" s="36" t="str">
        <f t="shared" si="12"/>
        <v/>
      </c>
      <c r="Y214" s="36">
        <v>312.99999596018506</v>
      </c>
      <c r="Z214" s="33" t="s">
        <v>596</v>
      </c>
      <c r="AA214" s="33"/>
      <c r="AB214" s="33"/>
      <c r="AC214" s="33"/>
      <c r="AD214" s="33"/>
      <c r="AE214" s="33"/>
      <c r="AF214" s="33"/>
    </row>
    <row r="215" ht="22.5" customHeight="1">
      <c r="A215" s="23" t="s">
        <v>267</v>
      </c>
      <c r="B215" s="41">
        <v>46135.41920138889</v>
      </c>
      <c r="C215" s="23" t="s">
        <v>266</v>
      </c>
      <c r="D215" s="23" t="s">
        <v>552</v>
      </c>
      <c r="E215" s="25">
        <v>231.72</v>
      </c>
      <c r="F215" s="23" t="s">
        <v>619</v>
      </c>
      <c r="G215" s="26">
        <f>IF($E215=0,0,IF(SUMIF(Aux_Datos!$B:$B,$I215,Aux_Datos!$K:$K)/$E215&gt;=VLOOKUP(IF(COUNTIFS(Aux_Datos!$B:$B,$I215,Aux_Datos!$D:$D,"&lt;&gt;USD")=0,"USD","VES"),'Limites de Descuento'!$A$2:$D$4,4,FALSE),MAX(0,1-SUMIF(Aux_Datos!$B:$B,$I215,Aux_Datos!$K:$K)/$E215),0))</f>
        <v>0</v>
      </c>
      <c r="H215" s="27"/>
      <c r="I215" s="28">
        <f t="shared" si="14"/>
        <v>261</v>
      </c>
      <c r="J215" s="29">
        <f t="shared" si="2"/>
        <v>46135</v>
      </c>
      <c r="K215" s="30">
        <f t="shared" si="3"/>
        <v>15</v>
      </c>
      <c r="L215" s="29">
        <f t="shared" si="4"/>
        <v>46151</v>
      </c>
      <c r="M215" s="30">
        <f t="shared" si="5"/>
        <v>231.72</v>
      </c>
      <c r="N215" s="32">
        <f t="shared" si="6"/>
        <v>49</v>
      </c>
      <c r="O215" s="33" t="str">
        <f t="shared" si="7"/>
        <v>VENCIDA</v>
      </c>
      <c r="P215" s="34">
        <f>LET(
  idVenta, I215&amp;"",
  montoTotal, M215,
  pagos, IFERROR(SUMIF(Aux_Datos!$B:$B, idVenta, Aux_Datos!$K:$K), 0),
  retenciones, IFERROR(SUMIF(Aux_Datos!$N:$N, idVenta, Aux_Datos!$R:$R), 0),
  pagos + retenciones
)</f>
        <v>150</v>
      </c>
      <c r="Q215" s="30" t="str">
        <f>IF(P215=0, "Sin Pago", 
  LET(
    idVenta, I215&amp;"",
    montoTotalPagado, P215,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15" s="30">
        <f t="shared" si="13"/>
        <v>81.72</v>
      </c>
      <c r="S215" s="29">
        <f>IF(P215=0, "Sin Pago", 
  IFERROR(
    MAXIFS(Aux_Datos!$A:$A, Aux_Datos!$B:$B, I215&amp;""), 
    IFERROR(MAXIFS(Aux_Datos!$A:$A, Aux_Datos!$B:$B, VALUE(I215)), "Revisar ID")
  )
)</f>
        <v>46183</v>
      </c>
      <c r="T215" s="35" t="str">
        <f t="shared" si="9"/>
        <v>PAGO PARCIAL</v>
      </c>
      <c r="U215" s="35" t="str">
        <f t="shared" si="10"/>
        <v>CRÍTICO: VENCIDA</v>
      </c>
      <c r="V215" s="32">
        <f t="shared" si="11"/>
        <v>17</v>
      </c>
      <c r="W215" s="36" t="str">
        <f>IF(P215=0, "Sin Pago", 
  LET(
    monedaPago, Q215, 
    descuentoAplicado, G215,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15" s="36" t="str">
        <f t="shared" si="12"/>
        <v/>
      </c>
      <c r="Y215" s="36">
        <v>150.0</v>
      </c>
      <c r="Z215" s="33" t="s">
        <v>609</v>
      </c>
      <c r="AA215" s="33"/>
      <c r="AB215" s="33"/>
      <c r="AC215" s="33"/>
      <c r="AD215" s="33"/>
      <c r="AE215" s="33"/>
      <c r="AF215" s="33"/>
    </row>
    <row r="216" ht="22.5" customHeight="1">
      <c r="A216" s="23" t="s">
        <v>773</v>
      </c>
      <c r="B216" s="41">
        <v>46140.588738425926</v>
      </c>
      <c r="C216" s="23" t="s">
        <v>774</v>
      </c>
      <c r="D216" s="23" t="s">
        <v>542</v>
      </c>
      <c r="E216" s="25">
        <v>5151.59</v>
      </c>
      <c r="F216" s="23" t="s">
        <v>680</v>
      </c>
      <c r="G216" s="26">
        <f>IF($E216=0,0,IF(SUMIF(Aux_Datos!$B:$B,$I216,Aux_Datos!$K:$K)/$E216&gt;=VLOOKUP(IF(COUNTIFS(Aux_Datos!$B:$B,$I216,Aux_Datos!$D:$D,"&lt;&gt;USD")=0,"USD","VES"),'Limites de Descuento'!$A$2:$D$4,4,FALSE),MAX(0,1-SUMIF(Aux_Datos!$B:$B,$I216,Aux_Datos!$K:$K)/$E216),0))</f>
        <v>0.00200639846</v>
      </c>
      <c r="H216" s="27"/>
      <c r="I216" s="28">
        <f t="shared" si="14"/>
        <v>262</v>
      </c>
      <c r="J216" s="29">
        <f t="shared" si="2"/>
        <v>46140</v>
      </c>
      <c r="K216" s="30">
        <f t="shared" si="3"/>
        <v>30</v>
      </c>
      <c r="L216" s="29">
        <f t="shared" si="4"/>
        <v>46171</v>
      </c>
      <c r="M216" s="30">
        <f t="shared" si="5"/>
        <v>5141.253858</v>
      </c>
      <c r="N216" s="32">
        <f t="shared" si="6"/>
        <v>0</v>
      </c>
      <c r="O216" s="33" t="str">
        <f t="shared" si="7"/>
        <v>PAGADA</v>
      </c>
      <c r="P216" s="34">
        <f>LET(
  idVenta, I216&amp;"",
  montoTotal, M216,
  pagos, IFERROR(SUMIF(Aux_Datos!$B:$B, idVenta, Aux_Datos!$K:$K), 0),
  retenciones, IFERROR(SUMIF(Aux_Datos!$N:$N, idVenta, Aux_Datos!$R:$R), 0),
  pagos + retenciones
)</f>
        <v>5141.253858</v>
      </c>
      <c r="Q216" s="30" t="str">
        <f>IF(P216=0, "Sin Pago", 
  LET(
    idVenta, I216&amp;"",
    montoTotalPagado, P216,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216" s="30">
        <f t="shared" si="13"/>
        <v>0</v>
      </c>
      <c r="S216" s="29">
        <f>IF(P216=0, "Sin Pago", 
  IFERROR(
    MAXIFS(Aux_Datos!$A:$A, Aux_Datos!$B:$B, I216&amp;""), 
    IFERROR(MAXIFS(Aux_Datos!$A:$A, Aux_Datos!$B:$B, VALUE(I216)), "Revisar ID")
  )
)</f>
        <v>46140</v>
      </c>
      <c r="T216" s="35" t="str">
        <f t="shared" si="9"/>
        <v>PAGADA</v>
      </c>
      <c r="U216" s="35" t="str">
        <f t="shared" si="10"/>
        <v>SOLVENTE</v>
      </c>
      <c r="V216" s="32">
        <f t="shared" si="11"/>
        <v>0</v>
      </c>
      <c r="W216" s="36" t="str">
        <f>IF(P216=0, "Sin Pago", 
  LET(
    monedaPago, Q216, 
    descuentoAplicado, G216,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16" s="36" t="str">
        <f t="shared" si="12"/>
        <v/>
      </c>
      <c r="Y216" s="36">
        <v>5141.253857758865</v>
      </c>
      <c r="Z216" s="33" t="s">
        <v>596</v>
      </c>
      <c r="AA216" s="33"/>
      <c r="AB216" s="33"/>
      <c r="AC216" s="33"/>
      <c r="AD216" s="33"/>
      <c r="AE216" s="33"/>
      <c r="AF216" s="33"/>
    </row>
    <row r="217" ht="22.5" customHeight="1">
      <c r="A217" s="23" t="s">
        <v>16</v>
      </c>
      <c r="B217" s="41">
        <v>46135.51936342593</v>
      </c>
      <c r="C217" s="23" t="s">
        <v>14</v>
      </c>
      <c r="D217" s="23" t="s">
        <v>353</v>
      </c>
      <c r="E217" s="25">
        <v>394.54</v>
      </c>
      <c r="F217" s="23" t="s">
        <v>593</v>
      </c>
      <c r="G217" s="26">
        <f>IF($E217=0,0,IF(SUMIF(Aux_Datos!$B:$B,$I217,Aux_Datos!$K:$K)/$E217&gt;=VLOOKUP(IF(COUNTIFS(Aux_Datos!$B:$B,$I217,Aux_Datos!$D:$D,"&lt;&gt;USD")=0,"USD","VES"),'Limites de Descuento'!$A$2:$D$4,4,FALSE),MAX(0,1-SUMIF(Aux_Datos!$B:$B,$I217,Aux_Datos!$K:$K)/$E217),0))</f>
        <v>0</v>
      </c>
      <c r="H217" s="27"/>
      <c r="I217" s="28">
        <f t="shared" si="14"/>
        <v>263</v>
      </c>
      <c r="J217" s="29">
        <f t="shared" si="2"/>
        <v>46135</v>
      </c>
      <c r="K217" s="30">
        <f t="shared" si="3"/>
        <v>0</v>
      </c>
      <c r="L217" s="29">
        <f t="shared" si="4"/>
        <v>46136</v>
      </c>
      <c r="M217" s="30">
        <f t="shared" si="5"/>
        <v>394.54</v>
      </c>
      <c r="N217" s="32">
        <f t="shared" si="6"/>
        <v>64</v>
      </c>
      <c r="O217" s="33" t="str">
        <f t="shared" si="7"/>
        <v>VENCIDA</v>
      </c>
      <c r="P217" s="34">
        <f>LET(
  idVenta, I217&amp;"",
  montoTotal, M217,
  pagos, IFERROR(SUMIF(Aux_Datos!$B:$B, idVenta, Aux_Datos!$K:$K), 0),
  retenciones, IFERROR(SUMIF(Aux_Datos!$N:$N, idVenta, Aux_Datos!$R:$R), 0),
  pagos + retenciones
)</f>
        <v>255</v>
      </c>
      <c r="Q217" s="30" t="str">
        <f>IF(P217=0, "Sin Pago", 
  LET(
    idVenta, I217&amp;"",
    montoTotalPagado, P217,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17" s="30">
        <f t="shared" si="13"/>
        <v>139.54</v>
      </c>
      <c r="S217" s="29">
        <f>IF(P217=0, "Sin Pago", 
  IFERROR(
    MAXIFS(Aux_Datos!$A:$A, Aux_Datos!$B:$B, I217&amp;""), 
    IFERROR(MAXIFS(Aux_Datos!$A:$A, Aux_Datos!$B:$B, VALUE(I217)), "Revisar ID")
  )
)</f>
        <v>46136</v>
      </c>
      <c r="T217" s="35" t="str">
        <f t="shared" si="9"/>
        <v>PAGO PARCIAL</v>
      </c>
      <c r="U217" s="35" t="str">
        <f t="shared" si="10"/>
        <v>CRÍTICO: VENCIDA</v>
      </c>
      <c r="V217" s="32">
        <f t="shared" si="11"/>
        <v>64</v>
      </c>
      <c r="W217" s="36" t="str">
        <f>IF(P217=0, "Sin Pago", 
  LET(
    monedaPago, Q217, 
    descuentoAplicado, G217,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17" s="36" t="str">
        <f t="shared" si="12"/>
        <v/>
      </c>
      <c r="Y217" s="36">
        <v>255.0</v>
      </c>
      <c r="Z217" s="33" t="s">
        <v>609</v>
      </c>
      <c r="AA217" s="33"/>
      <c r="AB217" s="33"/>
      <c r="AC217" s="33"/>
      <c r="AD217" s="33"/>
      <c r="AE217" s="33"/>
      <c r="AF217" s="33"/>
    </row>
    <row r="218" ht="22.5" customHeight="1">
      <c r="A218" s="23" t="s">
        <v>775</v>
      </c>
      <c r="B218" s="41">
        <v>46135.509884259256</v>
      </c>
      <c r="C218" s="23" t="s">
        <v>467</v>
      </c>
      <c r="D218" s="23" t="s">
        <v>546</v>
      </c>
      <c r="E218" s="25">
        <v>222.72</v>
      </c>
      <c r="F218" s="23" t="s">
        <v>608</v>
      </c>
      <c r="G218" s="26">
        <f>IF($E218=0,0,IF(SUMIF(Aux_Datos!$B:$B,$I218,Aux_Datos!$K:$K)/$E218&gt;=VLOOKUP(IF(COUNTIFS(Aux_Datos!$B:$B,$I218,Aux_Datos!$D:$D,"&lt;&gt;USD")=0,"USD","VES"),'Limites de Descuento'!$A$2:$D$4,4,FALSE),MAX(0,1-SUMIF(Aux_Datos!$B:$B,$I218,Aux_Datos!$K:$K)/$E218),0))</f>
        <v>0</v>
      </c>
      <c r="H218" s="27"/>
      <c r="I218" s="28">
        <f t="shared" si="14"/>
        <v>264</v>
      </c>
      <c r="J218" s="29">
        <f t="shared" si="2"/>
        <v>46135</v>
      </c>
      <c r="K218" s="30">
        <f t="shared" si="3"/>
        <v>7</v>
      </c>
      <c r="L218" s="29">
        <f t="shared" si="4"/>
        <v>46143</v>
      </c>
      <c r="M218" s="30">
        <f t="shared" si="5"/>
        <v>222.72</v>
      </c>
      <c r="N218" s="32">
        <f t="shared" si="6"/>
        <v>0</v>
      </c>
      <c r="O218" s="33" t="str">
        <f t="shared" si="7"/>
        <v>PAGADA</v>
      </c>
      <c r="P218" s="37">
        <v>274.0</v>
      </c>
      <c r="Q218" s="30" t="str">
        <f>IF(P218=0, "Sin Pago", 
  LET(
    idVenta, I218&amp;"",
    montoTotalPagado, P218,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MIXTO</v>
      </c>
      <c r="R218" s="30">
        <f t="shared" si="13"/>
        <v>-51.28</v>
      </c>
      <c r="S218" s="29">
        <f>IF(P218=0, "Sin Pago", 
  IFERROR(
    MAXIFS(Aux_Datos!$A:$A, Aux_Datos!$B:$B, I218&amp;""), 
    IFERROR(MAXIFS(Aux_Datos!$A:$A, Aux_Datos!$B:$B, VALUE(I218)), "Revisar ID")
  )
)</f>
        <v>46191</v>
      </c>
      <c r="T218" s="35" t="str">
        <f t="shared" si="9"/>
        <v>PAGADA</v>
      </c>
      <c r="U218" s="35" t="str">
        <f t="shared" si="10"/>
        <v>SOLVENTE</v>
      </c>
      <c r="V218" s="32">
        <f t="shared" si="11"/>
        <v>0</v>
      </c>
      <c r="W218" s="36" t="str">
        <f>IF(P218=0, "Sin Pago", 
  LET(
    monedaPago, Q218, 
    descuentoAplicado, G218,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18" s="36" t="str">
        <f t="shared" si="12"/>
        <v/>
      </c>
      <c r="Y218" s="36">
        <v>131.0</v>
      </c>
      <c r="Z218" s="33" t="s">
        <v>596</v>
      </c>
      <c r="AA218" s="33"/>
      <c r="AB218" s="33"/>
      <c r="AC218" s="33"/>
      <c r="AD218" s="33"/>
      <c r="AE218" s="33"/>
      <c r="AF218" s="33"/>
    </row>
    <row r="219" ht="22.5" customHeight="1">
      <c r="A219" s="23" t="s">
        <v>239</v>
      </c>
      <c r="B219" s="41">
        <v>46135.54888888889</v>
      </c>
      <c r="C219" s="23" t="s">
        <v>238</v>
      </c>
      <c r="D219" s="23" t="s">
        <v>546</v>
      </c>
      <c r="E219" s="25">
        <v>272.6</v>
      </c>
      <c r="F219" s="23" t="s">
        <v>608</v>
      </c>
      <c r="G219" s="26">
        <f>IF($E219=0,0,IF(SUMIF(Aux_Datos!$B:$B,$I219,Aux_Datos!$K:$K)/$E219&gt;=VLOOKUP(IF(COUNTIFS(Aux_Datos!$B:$B,$I219,Aux_Datos!$D:$D,"&lt;&gt;USD")=0,"USD","VES"),'Limites de Descuento'!$A$2:$D$4,4,FALSE),MAX(0,1-SUMIF(Aux_Datos!$B:$B,$I219,Aux_Datos!$K:$K)/$E219),0))</f>
        <v>0</v>
      </c>
      <c r="H219" s="27"/>
      <c r="I219" s="28">
        <f t="shared" si="14"/>
        <v>265</v>
      </c>
      <c r="J219" s="29">
        <f t="shared" si="2"/>
        <v>46135</v>
      </c>
      <c r="K219" s="30">
        <f t="shared" si="3"/>
        <v>7</v>
      </c>
      <c r="L219" s="29">
        <f t="shared" si="4"/>
        <v>46143</v>
      </c>
      <c r="M219" s="30">
        <f t="shared" si="5"/>
        <v>272.6</v>
      </c>
      <c r="N219" s="32">
        <f t="shared" si="6"/>
        <v>57</v>
      </c>
      <c r="O219" s="33" t="str">
        <f t="shared" si="7"/>
        <v>VENCIDA</v>
      </c>
      <c r="P219" s="34">
        <f>LET(
  idVenta, I219&amp;"",
  montoTotal, M219,
  pagos, IFERROR(SUMIF(Aux_Datos!$B:$B, idVenta, Aux_Datos!$K:$K), 0),
  retenciones, IFERROR(SUMIF(Aux_Datos!$N:$N, idVenta, Aux_Datos!$R:$R), 0),
  pagos + retenciones
)</f>
        <v>85</v>
      </c>
      <c r="Q219" s="30" t="str">
        <f>IF(P219=0, "Sin Pago", 
  LET(
    idVenta, I219&amp;"",
    montoTotalPagado, P219,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19" s="30">
        <f t="shared" si="13"/>
        <v>187.6</v>
      </c>
      <c r="S219" s="29">
        <f>IF(P219=0, "Sin Pago", 
  IFERROR(
    MAXIFS(Aux_Datos!$A:$A, Aux_Datos!$B:$B, I219&amp;""), 
    IFERROR(MAXIFS(Aux_Datos!$A:$A, Aux_Datos!$B:$B, VALUE(I219)), "Revisar ID")
  )
)</f>
        <v>46191</v>
      </c>
      <c r="T219" s="35" t="str">
        <f t="shared" si="9"/>
        <v>PAGO PARCIAL</v>
      </c>
      <c r="U219" s="35" t="str">
        <f t="shared" si="10"/>
        <v>CRÍTICO: VENCIDA</v>
      </c>
      <c r="V219" s="32">
        <f t="shared" si="11"/>
        <v>9</v>
      </c>
      <c r="W219" s="36" t="str">
        <f>IF(P219=0, "Sin Pago", 
  LET(
    monedaPago, Q219, 
    descuentoAplicado, G219,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19" s="36" t="str">
        <f t="shared" si="12"/>
        <v/>
      </c>
      <c r="Y219" s="36">
        <v>85.0</v>
      </c>
      <c r="Z219" s="33" t="s">
        <v>609</v>
      </c>
      <c r="AA219" s="33"/>
      <c r="AB219" s="33"/>
      <c r="AC219" s="33"/>
      <c r="AD219" s="33"/>
      <c r="AE219" s="33"/>
      <c r="AF219" s="33"/>
    </row>
    <row r="220" ht="22.5" customHeight="1">
      <c r="A220" s="23" t="s">
        <v>776</v>
      </c>
      <c r="B220" s="41">
        <v>46135.61335648148</v>
      </c>
      <c r="C220" s="23" t="s">
        <v>473</v>
      </c>
      <c r="D220" s="23" t="s">
        <v>544</v>
      </c>
      <c r="E220" s="25">
        <v>273.98</v>
      </c>
      <c r="F220" s="23" t="s">
        <v>680</v>
      </c>
      <c r="G220" s="26">
        <f>IF($E220=0,0,IF(SUMIF(Aux_Datos!$B:$B,$I220,Aux_Datos!$K:$K)/$E220&gt;=VLOOKUP(IF(COUNTIFS(Aux_Datos!$B:$B,$I220,Aux_Datos!$D:$D,"&lt;&gt;USD")=0,"USD","VES"),'Limites de Descuento'!$A$2:$D$4,4,FALSE),MAX(0,1-SUMIF(Aux_Datos!$B:$B,$I220,Aux_Datos!$K:$K)/$E220),0))</f>
        <v>0</v>
      </c>
      <c r="H220" s="27"/>
      <c r="I220" s="28">
        <f t="shared" si="14"/>
        <v>274</v>
      </c>
      <c r="J220" s="29">
        <f t="shared" si="2"/>
        <v>46135</v>
      </c>
      <c r="K220" s="30">
        <f t="shared" si="3"/>
        <v>30</v>
      </c>
      <c r="L220" s="29">
        <f t="shared" si="4"/>
        <v>46166</v>
      </c>
      <c r="M220" s="30">
        <f t="shared" si="5"/>
        <v>273.98</v>
      </c>
      <c r="N220" s="32">
        <f t="shared" si="6"/>
        <v>0</v>
      </c>
      <c r="O220" s="33" t="str">
        <f t="shared" si="7"/>
        <v>PAGADA</v>
      </c>
      <c r="P220" s="34">
        <f>LET(
  idVenta, I220&amp;"",
  montoTotal, M220,
  pagos, IFERROR(SUMIF(Aux_Datos!$B:$B, idVenta, Aux_Datos!$K:$K), 0),
  retenciones, IFERROR(SUMIF(Aux_Datos!$N:$N, idVenta, Aux_Datos!$R:$R), 0),
  pagos + retenciones
)</f>
        <v>309.8625018</v>
      </c>
      <c r="Q220" s="30" t="str">
        <f>IF(P220=0, "Sin Pago", 
  LET(
    idVenta, I220&amp;"",
    montoTotalPagado, P220,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220" s="30">
        <f t="shared" si="13"/>
        <v>-35.88250181</v>
      </c>
      <c r="S220" s="29">
        <f>IF(P220=0, "Sin Pago", 
  IFERROR(
    MAXIFS(Aux_Datos!$A:$A, Aux_Datos!$B:$B, I220&amp;""), 
    IFERROR(MAXIFS(Aux_Datos!$A:$A, Aux_Datos!$B:$B, VALUE(I220)), "Revisar ID")
  )
)</f>
        <v>46184</v>
      </c>
      <c r="T220" s="35" t="str">
        <f t="shared" si="9"/>
        <v>PAGADA</v>
      </c>
      <c r="U220" s="35" t="str">
        <f t="shared" si="10"/>
        <v>SOLVENTE</v>
      </c>
      <c r="V220" s="32">
        <f t="shared" si="11"/>
        <v>0</v>
      </c>
      <c r="W220" s="36" t="str">
        <f>IF(P220=0, "Sin Pago", 
  LET(
    monedaPago, Q220, 
    descuentoAplicado, G220,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20" s="36" t="str">
        <f t="shared" si="12"/>
        <v/>
      </c>
      <c r="Y220" s="36">
        <v>309.86250181116026</v>
      </c>
      <c r="Z220" s="33" t="s">
        <v>596</v>
      </c>
      <c r="AA220" s="33"/>
      <c r="AB220" s="33"/>
      <c r="AC220" s="33"/>
      <c r="AD220" s="33"/>
      <c r="AE220" s="33"/>
      <c r="AF220" s="33"/>
    </row>
    <row r="221" ht="22.5" customHeight="1">
      <c r="A221" s="23" t="s">
        <v>777</v>
      </c>
      <c r="B221" s="41">
        <v>46135.62633101852</v>
      </c>
      <c r="C221" s="23" t="s">
        <v>62</v>
      </c>
      <c r="D221" s="23" t="s">
        <v>323</v>
      </c>
      <c r="E221" s="25">
        <v>133.99</v>
      </c>
      <c r="F221" s="23" t="s">
        <v>608</v>
      </c>
      <c r="G221" s="26">
        <f>IF($E221=0,0,IF(SUMIF(Aux_Datos!$B:$B,$I221,Aux_Datos!$K:$K)/$E221&gt;=VLOOKUP(IF(COUNTIFS(Aux_Datos!$B:$B,$I221,Aux_Datos!$D:$D,"&lt;&gt;USD")=0,"USD","VES"),'Limites de Descuento'!$A$2:$D$4,4,FALSE),MAX(0,1-SUMIF(Aux_Datos!$B:$B,$I221,Aux_Datos!$K:$K)/$E221),0))</f>
        <v>0</v>
      </c>
      <c r="H221" s="27"/>
      <c r="I221" s="28">
        <f t="shared" si="14"/>
        <v>279</v>
      </c>
      <c r="J221" s="29">
        <f t="shared" si="2"/>
        <v>46135</v>
      </c>
      <c r="K221" s="30">
        <f t="shared" si="3"/>
        <v>7</v>
      </c>
      <c r="L221" s="29">
        <f t="shared" si="4"/>
        <v>46143</v>
      </c>
      <c r="M221" s="30">
        <f t="shared" si="5"/>
        <v>133.99</v>
      </c>
      <c r="N221" s="32">
        <f t="shared" si="6"/>
        <v>0</v>
      </c>
      <c r="O221" s="33" t="str">
        <f t="shared" si="7"/>
        <v>PAGADA</v>
      </c>
      <c r="P221" s="34">
        <f>LET(
  idVenta, I221&amp;"",
  montoTotal, M221,
  pagos, IFERROR(SUMIF(Aux_Datos!$B:$B, idVenta, Aux_Datos!$K:$K), 0),
  retenciones, IFERROR(SUMIF(Aux_Datos!$N:$N, idVenta, Aux_Datos!$R:$R), 0),
  pagos + retenciones
)</f>
        <v>134</v>
      </c>
      <c r="Q221" s="30" t="str">
        <f>IF(P221=0, "Sin Pago", 
  LET(
    idVenta, I221&amp;"",
    montoTotalPagado, P221,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21" s="30">
        <f t="shared" si="13"/>
        <v>-0.01</v>
      </c>
      <c r="S221" s="29">
        <f>IF(P221=0, "Sin Pago", 
  IFERROR(
    MAXIFS(Aux_Datos!$A:$A, Aux_Datos!$B:$B, I221&amp;""), 
    IFERROR(MAXIFS(Aux_Datos!$A:$A, Aux_Datos!$B:$B, VALUE(I221)), "Revisar ID")
  )
)</f>
        <v>46136</v>
      </c>
      <c r="T221" s="35" t="str">
        <f t="shared" si="9"/>
        <v>PAGADA</v>
      </c>
      <c r="U221" s="35" t="str">
        <f t="shared" si="10"/>
        <v>SOLVENTE</v>
      </c>
      <c r="V221" s="32">
        <f t="shared" si="11"/>
        <v>0</v>
      </c>
      <c r="W221" s="36" t="str">
        <f>IF(P221=0, "Sin Pago", 
  LET(
    monedaPago, Q221, 
    descuentoAplicado, G221,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21" s="36" t="str">
        <f t="shared" si="12"/>
        <v/>
      </c>
      <c r="Y221" s="36">
        <v>134.0</v>
      </c>
      <c r="Z221" s="33" t="s">
        <v>596</v>
      </c>
      <c r="AA221" s="33"/>
      <c r="AB221" s="33"/>
      <c r="AC221" s="33"/>
      <c r="AD221" s="33"/>
      <c r="AE221" s="33"/>
      <c r="AF221" s="33"/>
    </row>
    <row r="222" ht="22.5" customHeight="1">
      <c r="A222" s="23" t="s">
        <v>778</v>
      </c>
      <c r="B222" s="41">
        <v>46135.66275462963</v>
      </c>
      <c r="C222" s="23" t="s">
        <v>406</v>
      </c>
      <c r="D222" s="23" t="s">
        <v>546</v>
      </c>
      <c r="E222" s="25">
        <v>177.48</v>
      </c>
      <c r="F222" s="23" t="s">
        <v>608</v>
      </c>
      <c r="G222" s="26">
        <f>IF($E222=0,0,IF(SUMIF(Aux_Datos!$B:$B,$I222,Aux_Datos!$K:$K)/$E222&gt;=VLOOKUP(IF(COUNTIFS(Aux_Datos!$B:$B,$I222,Aux_Datos!$D:$D,"&lt;&gt;USD")=0,"USD","VES"),'Limites de Descuento'!$A$2:$D$4,4,FALSE),MAX(0,1-SUMIF(Aux_Datos!$B:$B,$I222,Aux_Datos!$K:$K)/$E222),0))</f>
        <v>0.1045292816</v>
      </c>
      <c r="H222" s="27"/>
      <c r="I222" s="28">
        <f t="shared" si="14"/>
        <v>280</v>
      </c>
      <c r="J222" s="29">
        <f t="shared" si="2"/>
        <v>46135</v>
      </c>
      <c r="K222" s="30">
        <f t="shared" si="3"/>
        <v>7</v>
      </c>
      <c r="L222" s="29">
        <f t="shared" si="4"/>
        <v>46143</v>
      </c>
      <c r="M222" s="30">
        <f t="shared" si="5"/>
        <v>158.9281431</v>
      </c>
      <c r="N222" s="32">
        <f t="shared" si="6"/>
        <v>0</v>
      </c>
      <c r="O222" s="33" t="str">
        <f t="shared" si="7"/>
        <v>PAGADA</v>
      </c>
      <c r="P222" s="34">
        <f>LET(
  idVenta, I222&amp;"",
  montoTotal, M222,
  pagos, IFERROR(SUMIF(Aux_Datos!$B:$B, idVenta, Aux_Datos!$K:$K), 0),
  retenciones, IFERROR(SUMIF(Aux_Datos!$N:$N, idVenta, Aux_Datos!$R:$R), 0),
  pagos + retenciones
)</f>
        <v>158.9281431</v>
      </c>
      <c r="Q222" s="30" t="str">
        <f>IF(P222=0, "Sin Pago", 
  LET(
    idVenta, I222&amp;"",
    montoTotalPagado, P222,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222" s="30">
        <f t="shared" si="13"/>
        <v>0</v>
      </c>
      <c r="S222" s="29">
        <f>IF(P222=0, "Sin Pago", 
  IFERROR(
    MAXIFS(Aux_Datos!$A:$A, Aux_Datos!$B:$B, I222&amp;""), 
    IFERROR(MAXIFS(Aux_Datos!$A:$A, Aux_Datos!$B:$B, VALUE(I222)), "Revisar ID")
  )
)</f>
        <v>46176</v>
      </c>
      <c r="T222" s="35" t="str">
        <f t="shared" si="9"/>
        <v>PAGADA</v>
      </c>
      <c r="U222" s="35" t="str">
        <f t="shared" si="10"/>
        <v>SOLVENTE</v>
      </c>
      <c r="V222" s="32">
        <f t="shared" si="11"/>
        <v>0</v>
      </c>
      <c r="W222" s="36" t="str">
        <f>IF(P222=0, "Sin Pago", 
  LET(
    monedaPago, Q222, 
    descuentoAplicado, G222,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22" s="36" t="str">
        <f t="shared" si="12"/>
        <v/>
      </c>
      <c r="Y222" s="36">
        <v>158.92814309516837</v>
      </c>
      <c r="Z222" s="33" t="s">
        <v>596</v>
      </c>
      <c r="AA222" s="33"/>
      <c r="AB222" s="33"/>
      <c r="AC222" s="33"/>
      <c r="AD222" s="33"/>
      <c r="AE222" s="33"/>
      <c r="AF222" s="33"/>
    </row>
    <row r="223" ht="22.5" customHeight="1">
      <c r="A223" s="23" t="s">
        <v>237</v>
      </c>
      <c r="B223" s="41">
        <v>46135.713912037034</v>
      </c>
      <c r="C223" s="23" t="s">
        <v>236</v>
      </c>
      <c r="D223" s="23" t="s">
        <v>529</v>
      </c>
      <c r="E223" s="25">
        <v>250.56</v>
      </c>
      <c r="F223" s="23" t="s">
        <v>608</v>
      </c>
      <c r="G223" s="26">
        <f>IF($E223=0,0,IF(SUMIF(Aux_Datos!$B:$B,$I223,Aux_Datos!$K:$K)/$E223&gt;=VLOOKUP(IF(COUNTIFS(Aux_Datos!$B:$B,$I223,Aux_Datos!$D:$D,"&lt;&gt;USD")=0,"USD","VES"),'Limites de Descuento'!$A$2:$D$4,4,FALSE),MAX(0,1-SUMIF(Aux_Datos!$B:$B,$I223,Aux_Datos!$K:$K)/$E223),0))</f>
        <v>0</v>
      </c>
      <c r="H223" s="27"/>
      <c r="I223" s="28">
        <f t="shared" si="14"/>
        <v>282</v>
      </c>
      <c r="J223" s="29">
        <f t="shared" si="2"/>
        <v>46135</v>
      </c>
      <c r="K223" s="30">
        <f t="shared" si="3"/>
        <v>7</v>
      </c>
      <c r="L223" s="29">
        <f t="shared" si="4"/>
        <v>46143</v>
      </c>
      <c r="M223" s="30">
        <f t="shared" si="5"/>
        <v>250.56</v>
      </c>
      <c r="N223" s="32">
        <f t="shared" si="6"/>
        <v>57</v>
      </c>
      <c r="O223" s="33" t="str">
        <f t="shared" si="7"/>
        <v>VENCIDA</v>
      </c>
      <c r="P223" s="34">
        <f>LET(
  idVenta, I223&amp;"",
  montoTotal, M223,
  pagos, IFERROR(SUMIF(Aux_Datos!$B:$B, idVenta, Aux_Datos!$K:$K), 0),
  retenciones, IFERROR(SUMIF(Aux_Datos!$N:$N, idVenta, Aux_Datos!$R:$R), 0),
  pagos + retenciones
)</f>
        <v>0</v>
      </c>
      <c r="Q223" s="30" t="str">
        <f>IF(P223=0, "Sin Pago", 
  LET(
    idVenta, I223&amp;"",
    montoTotalPagado, P223,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223" s="30">
        <f t="shared" si="13"/>
        <v>250.56</v>
      </c>
      <c r="S223" s="29" t="str">
        <f>IF(P223=0, "Sin Pago", 
  IFERROR(
    MAXIFS(Aux_Datos!$A:$A, Aux_Datos!$B:$B, I223&amp;""), 
    IFERROR(MAXIFS(Aux_Datos!$A:$A, Aux_Datos!$B:$B, VALUE(I223)), "Revisar ID")
  )
)</f>
        <v>Sin Pago</v>
      </c>
      <c r="T223" s="35" t="str">
        <f t="shared" si="9"/>
        <v>PENDIENTE</v>
      </c>
      <c r="U223" s="35" t="str">
        <f t="shared" si="10"/>
        <v>CRÍTICO: VENCIDA</v>
      </c>
      <c r="V223" s="32">
        <f t="shared" si="11"/>
        <v>0</v>
      </c>
      <c r="W223" s="36" t="str">
        <f>IF(P223=0, "Sin Pago", 
  LET(
    monedaPago, Q223, 
    descuentoAplicado, G223,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223" s="36" t="str">
        <f t="shared" si="12"/>
        <v/>
      </c>
      <c r="Y223" s="36">
        <v>0.0</v>
      </c>
      <c r="Z223" s="33" t="s">
        <v>641</v>
      </c>
      <c r="AA223" s="33"/>
      <c r="AB223" s="33"/>
      <c r="AC223" s="33"/>
      <c r="AD223" s="33"/>
      <c r="AE223" s="33"/>
      <c r="AF223" s="33"/>
    </row>
    <row r="224" ht="22.5" customHeight="1">
      <c r="A224" s="23" t="s">
        <v>241</v>
      </c>
      <c r="B224" s="41">
        <v>46135.71403935185</v>
      </c>
      <c r="C224" s="23" t="s">
        <v>240</v>
      </c>
      <c r="D224" s="23" t="s">
        <v>552</v>
      </c>
      <c r="E224" s="25">
        <v>211.12</v>
      </c>
      <c r="F224" s="23" t="s">
        <v>608</v>
      </c>
      <c r="G224" s="26">
        <f>IF($E224=0,0,IF(SUMIF(Aux_Datos!$B:$B,$I224,Aux_Datos!$K:$K)/$E224&gt;=VLOOKUP(IF(COUNTIFS(Aux_Datos!$B:$B,$I224,Aux_Datos!$D:$D,"&lt;&gt;USD")=0,"USD","VES"),'Limites de Descuento'!$A$2:$D$4,4,FALSE),MAX(0,1-SUMIF(Aux_Datos!$B:$B,$I224,Aux_Datos!$K:$K)/$E224),0))</f>
        <v>0</v>
      </c>
      <c r="H224" s="27"/>
      <c r="I224" s="28">
        <f t="shared" si="14"/>
        <v>283</v>
      </c>
      <c r="J224" s="29">
        <f t="shared" si="2"/>
        <v>46135</v>
      </c>
      <c r="K224" s="30">
        <f t="shared" si="3"/>
        <v>7</v>
      </c>
      <c r="L224" s="29">
        <f t="shared" si="4"/>
        <v>46143</v>
      </c>
      <c r="M224" s="30">
        <f t="shared" si="5"/>
        <v>211.12</v>
      </c>
      <c r="N224" s="32">
        <f t="shared" si="6"/>
        <v>57</v>
      </c>
      <c r="O224" s="33" t="str">
        <f t="shared" si="7"/>
        <v>VENCIDA</v>
      </c>
      <c r="P224" s="34">
        <f>LET(
  idVenta, I224&amp;"",
  montoTotal, M224,
  pagos, IFERROR(SUMIF(Aux_Datos!$B:$B, idVenta, Aux_Datos!$K:$K), 0),
  retenciones, IFERROR(SUMIF(Aux_Datos!$N:$N, idVenta, Aux_Datos!$R:$R), 0),
  pagos + retenciones
)</f>
        <v>92.99984325</v>
      </c>
      <c r="Q224" s="30" t="str">
        <f>IF(P224=0, "Sin Pago", 
  LET(
    idVenta, I224&amp;"",
    montoTotalPagado, P224,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224" s="30">
        <f t="shared" si="13"/>
        <v>118.1201568</v>
      </c>
      <c r="S224" s="29">
        <f>IF(P224=0, "Sin Pago", 
  IFERROR(
    MAXIFS(Aux_Datos!$A:$A, Aux_Datos!$B:$B, I224&amp;""), 
    IFERROR(MAXIFS(Aux_Datos!$A:$A, Aux_Datos!$B:$B, VALUE(I224)), "Revisar ID")
  )
)</f>
        <v>46195</v>
      </c>
      <c r="T224" s="35" t="str">
        <f t="shared" si="9"/>
        <v>PAGO PARCIAL</v>
      </c>
      <c r="U224" s="35" t="str">
        <f t="shared" si="10"/>
        <v>CRÍTICO: VENCIDA</v>
      </c>
      <c r="V224" s="32">
        <f t="shared" si="11"/>
        <v>5</v>
      </c>
      <c r="W224" s="36" t="str">
        <f>IF(P224=0, "Sin Pago", 
  LET(
    monedaPago, Q224, 
    descuentoAplicado, G224,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24" s="36" t="str">
        <f t="shared" si="12"/>
        <v/>
      </c>
      <c r="Y224" s="36">
        <v>92.99984324821058</v>
      </c>
      <c r="Z224" s="33" t="s">
        <v>609</v>
      </c>
      <c r="AA224" s="33"/>
      <c r="AB224" s="33"/>
      <c r="AC224" s="33"/>
      <c r="AD224" s="33"/>
      <c r="AE224" s="33"/>
      <c r="AF224" s="33"/>
    </row>
    <row r="225" ht="22.5" customHeight="1">
      <c r="A225" s="23" t="s">
        <v>779</v>
      </c>
      <c r="B225" s="41">
        <v>46136.57699074074</v>
      </c>
      <c r="C225" s="23" t="s">
        <v>780</v>
      </c>
      <c r="D225" s="23" t="s">
        <v>556</v>
      </c>
      <c r="E225" s="25">
        <v>59.16</v>
      </c>
      <c r="F225" s="23" t="s">
        <v>608</v>
      </c>
      <c r="G225" s="26">
        <f>IF($E225=0,0,IF(SUMIF(Aux_Datos!$B:$B,$I225,Aux_Datos!$K:$K)/$E225&gt;=VLOOKUP(IF(COUNTIFS(Aux_Datos!$B:$B,$I225,Aux_Datos!$D:$D,"&lt;&gt;USD")=0,"USD","VES"),'Limites de Descuento'!$A$2:$D$4,4,FALSE),MAX(0,1-SUMIF(Aux_Datos!$B:$B,$I225,Aux_Datos!$K:$K)/$E225),0))</f>
        <v>0.1249866377</v>
      </c>
      <c r="H225" s="27"/>
      <c r="I225" s="28">
        <f t="shared" si="14"/>
        <v>284</v>
      </c>
      <c r="J225" s="29">
        <f t="shared" si="2"/>
        <v>46136</v>
      </c>
      <c r="K225" s="30">
        <f t="shared" si="3"/>
        <v>7</v>
      </c>
      <c r="L225" s="29">
        <f t="shared" si="4"/>
        <v>46144</v>
      </c>
      <c r="M225" s="30">
        <f t="shared" si="5"/>
        <v>51.76579051</v>
      </c>
      <c r="N225" s="32">
        <f t="shared" si="6"/>
        <v>0</v>
      </c>
      <c r="O225" s="33" t="str">
        <f t="shared" si="7"/>
        <v>PAGADA</v>
      </c>
      <c r="P225" s="34">
        <f>LET(
  idVenta, I225&amp;"",
  montoTotal, M225,
  pagos, IFERROR(SUMIF(Aux_Datos!$B:$B, idVenta, Aux_Datos!$K:$K), 0),
  retenciones, IFERROR(SUMIF(Aux_Datos!$N:$N, idVenta, Aux_Datos!$R:$R), 0),
  pagos + retenciones
)</f>
        <v>51.76579051</v>
      </c>
      <c r="Q225" s="30" t="str">
        <f>IF(P225=0, "Sin Pago", 
  LET(
    idVenta, I225&amp;"",
    montoTotalPagado, P225,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225" s="30">
        <f t="shared" si="13"/>
        <v>0</v>
      </c>
      <c r="S225" s="29">
        <f>IF(P225=0, "Sin Pago", 
  IFERROR(
    MAXIFS(Aux_Datos!$A:$A, Aux_Datos!$B:$B, I225&amp;""), 
    IFERROR(MAXIFS(Aux_Datos!$A:$A, Aux_Datos!$B:$B, VALUE(I225)), "Revisar ID")
  )
)</f>
        <v>46139</v>
      </c>
      <c r="T225" s="35" t="str">
        <f t="shared" si="9"/>
        <v>PAGADA</v>
      </c>
      <c r="U225" s="35" t="str">
        <f t="shared" si="10"/>
        <v>SOLVENTE</v>
      </c>
      <c r="V225" s="32">
        <f t="shared" si="11"/>
        <v>0</v>
      </c>
      <c r="W225" s="36" t="str">
        <f>IF(P225=0, "Sin Pago", 
  LET(
    monedaPago, Q225, 
    descuentoAplicado, G225,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25" s="36" t="str">
        <f t="shared" si="12"/>
        <v/>
      </c>
      <c r="Y225" s="36">
        <v>51.7657905138503</v>
      </c>
      <c r="Z225" s="33" t="s">
        <v>596</v>
      </c>
      <c r="AA225" s="33"/>
      <c r="AB225" s="33"/>
      <c r="AC225" s="33"/>
      <c r="AD225" s="33"/>
      <c r="AE225" s="33"/>
      <c r="AF225" s="33"/>
    </row>
    <row r="226" ht="22.5" customHeight="1">
      <c r="A226" s="23" t="s">
        <v>80</v>
      </c>
      <c r="B226" s="41">
        <v>46136.57770833333</v>
      </c>
      <c r="C226" s="23" t="s">
        <v>79</v>
      </c>
      <c r="D226" s="23" t="s">
        <v>538</v>
      </c>
      <c r="E226" s="25">
        <v>116.0</v>
      </c>
      <c r="F226" s="23" t="s">
        <v>608</v>
      </c>
      <c r="G226" s="26">
        <f>IF($E226=0,0,IF(SUMIF(Aux_Datos!$B:$B,$I226,Aux_Datos!$K:$K)/$E226&gt;=VLOOKUP(IF(COUNTIFS(Aux_Datos!$B:$B,$I226,Aux_Datos!$D:$D,"&lt;&gt;USD")=0,"USD","VES"),'Limites de Descuento'!$A$2:$D$4,4,FALSE),MAX(0,1-SUMIF(Aux_Datos!$B:$B,$I226,Aux_Datos!$K:$K)/$E226),0))</f>
        <v>0</v>
      </c>
      <c r="H226" s="27"/>
      <c r="I226" s="28">
        <f t="shared" si="14"/>
        <v>285</v>
      </c>
      <c r="J226" s="29">
        <f t="shared" si="2"/>
        <v>46136</v>
      </c>
      <c r="K226" s="30">
        <f t="shared" si="3"/>
        <v>7</v>
      </c>
      <c r="L226" s="29">
        <f t="shared" si="4"/>
        <v>46144</v>
      </c>
      <c r="M226" s="30">
        <f t="shared" si="5"/>
        <v>116</v>
      </c>
      <c r="N226" s="32">
        <f t="shared" si="6"/>
        <v>56</v>
      </c>
      <c r="O226" s="33" t="str">
        <f t="shared" si="7"/>
        <v>VENCIDA</v>
      </c>
      <c r="P226" s="34">
        <f>LET(
  idVenta, I226&amp;"",
  montoTotal, M226,
  pagos, IFERROR(SUMIF(Aux_Datos!$B:$B, idVenta, Aux_Datos!$K:$K), 0),
  retenciones, IFERROR(SUMIF(Aux_Datos!$N:$N, idVenta, Aux_Datos!$R:$R), 0),
  pagos + retenciones
)</f>
        <v>75</v>
      </c>
      <c r="Q226" s="30" t="str">
        <f>IF(P226=0, "Sin Pago", 
  LET(
    idVenta, I226&amp;"",
    montoTotalPagado, P226,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26" s="30">
        <f t="shared" si="13"/>
        <v>41</v>
      </c>
      <c r="S226" s="29">
        <f>IF(P226=0, "Sin Pago", 
  IFERROR(
    MAXIFS(Aux_Datos!$A:$A, Aux_Datos!$B:$B, I226&amp;""), 
    IFERROR(MAXIFS(Aux_Datos!$A:$A, Aux_Datos!$B:$B, VALUE(I226)), "Revisar ID")
  )
)</f>
        <v>46150</v>
      </c>
      <c r="T226" s="35" t="str">
        <f t="shared" si="9"/>
        <v>PAGO PARCIAL</v>
      </c>
      <c r="U226" s="35" t="str">
        <f t="shared" si="10"/>
        <v>CRÍTICO: VENCIDA</v>
      </c>
      <c r="V226" s="32">
        <f t="shared" si="11"/>
        <v>50</v>
      </c>
      <c r="W226" s="36" t="str">
        <f>IF(P226=0, "Sin Pago", 
  LET(
    monedaPago, Q226, 
    descuentoAplicado, G226,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26" s="36" t="str">
        <f t="shared" si="12"/>
        <v/>
      </c>
      <c r="Y226" s="36">
        <v>75.0</v>
      </c>
      <c r="Z226" s="33" t="s">
        <v>609</v>
      </c>
      <c r="AA226" s="33"/>
      <c r="AB226" s="33"/>
      <c r="AC226" s="33"/>
      <c r="AD226" s="33"/>
      <c r="AE226" s="33"/>
      <c r="AF226" s="33"/>
    </row>
    <row r="227" ht="22.5" customHeight="1">
      <c r="A227" s="23" t="s">
        <v>251</v>
      </c>
      <c r="B227" s="41">
        <v>46136.577465277776</v>
      </c>
      <c r="C227" s="23" t="s">
        <v>250</v>
      </c>
      <c r="D227" s="23" t="s">
        <v>538</v>
      </c>
      <c r="E227" s="25">
        <v>172.84</v>
      </c>
      <c r="F227" s="23" t="s">
        <v>608</v>
      </c>
      <c r="G227" s="26">
        <f>IF($E227=0,0,IF(SUMIF(Aux_Datos!$B:$B,$I227,Aux_Datos!$K:$K)/$E227&gt;=VLOOKUP(IF(COUNTIFS(Aux_Datos!$B:$B,$I227,Aux_Datos!$D:$D,"&lt;&gt;USD")=0,"USD","VES"),'Limites de Descuento'!$A$2:$D$4,4,FALSE),MAX(0,1-SUMIF(Aux_Datos!$B:$B,$I227,Aux_Datos!$K:$K)/$E227),0))</f>
        <v>0</v>
      </c>
      <c r="H227" s="27"/>
      <c r="I227" s="28">
        <f t="shared" si="14"/>
        <v>286</v>
      </c>
      <c r="J227" s="29">
        <f t="shared" si="2"/>
        <v>46136</v>
      </c>
      <c r="K227" s="30">
        <f t="shared" si="3"/>
        <v>7</v>
      </c>
      <c r="L227" s="29">
        <f t="shared" si="4"/>
        <v>46144</v>
      </c>
      <c r="M227" s="30">
        <f t="shared" si="5"/>
        <v>172.84</v>
      </c>
      <c r="N227" s="32">
        <f t="shared" si="6"/>
        <v>56</v>
      </c>
      <c r="O227" s="33" t="str">
        <f t="shared" si="7"/>
        <v>VENCIDA</v>
      </c>
      <c r="P227" s="34">
        <f>LET(
  idVenta, I227&amp;"",
  montoTotal, M227,
  pagos, IFERROR(SUMIF(Aux_Datos!$B:$B, idVenta, Aux_Datos!$K:$K), 0),
  retenciones, IFERROR(SUMIF(Aux_Datos!$N:$N, idVenta, Aux_Datos!$R:$R), 0),
  pagos + retenciones
)</f>
        <v>30</v>
      </c>
      <c r="Q227" s="30" t="str">
        <f>IF(P227=0, "Sin Pago", 
  LET(
    idVenta, I227&amp;"",
    montoTotalPagado, P227,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27" s="30">
        <f t="shared" si="13"/>
        <v>142.84</v>
      </c>
      <c r="S227" s="29">
        <f>IF(P227=0, "Sin Pago", 
  IFERROR(
    MAXIFS(Aux_Datos!$A:$A, Aux_Datos!$B:$B, I227&amp;""), 
    IFERROR(MAXIFS(Aux_Datos!$A:$A, Aux_Datos!$B:$B, VALUE(I227)), "Revisar ID")
  )
)</f>
        <v>46174</v>
      </c>
      <c r="T227" s="35" t="str">
        <f t="shared" si="9"/>
        <v>PAGO PARCIAL</v>
      </c>
      <c r="U227" s="35" t="str">
        <f t="shared" si="10"/>
        <v>CRÍTICO: VENCIDA</v>
      </c>
      <c r="V227" s="32">
        <f t="shared" si="11"/>
        <v>26</v>
      </c>
      <c r="W227" s="36" t="str">
        <f>IF(P227=0, "Sin Pago", 
  LET(
    monedaPago, Q227, 
    descuentoAplicado, G227,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27" s="36" t="str">
        <f t="shared" si="12"/>
        <v/>
      </c>
      <c r="Y227" s="36">
        <v>30.0</v>
      </c>
      <c r="Z227" s="33" t="s">
        <v>609</v>
      </c>
      <c r="AA227" s="33"/>
      <c r="AB227" s="33"/>
      <c r="AC227" s="33"/>
      <c r="AD227" s="33"/>
      <c r="AE227" s="33"/>
      <c r="AF227" s="33"/>
    </row>
    <row r="228" ht="22.5" customHeight="1">
      <c r="A228" s="23" t="s">
        <v>249</v>
      </c>
      <c r="B228" s="41">
        <v>46136.57722222222</v>
      </c>
      <c r="C228" s="23" t="s">
        <v>248</v>
      </c>
      <c r="D228" s="23" t="s">
        <v>538</v>
      </c>
      <c r="E228" s="25">
        <v>1073.0</v>
      </c>
      <c r="F228" s="23" t="s">
        <v>608</v>
      </c>
      <c r="G228" s="26">
        <f>IF($E228=0,0,IF(SUMIF(Aux_Datos!$B:$B,$I228,Aux_Datos!$K:$K)/$E228&gt;=VLOOKUP(IF(COUNTIFS(Aux_Datos!$B:$B,$I228,Aux_Datos!$D:$D,"&lt;&gt;USD")=0,"USD","VES"),'Limites de Descuento'!$A$2:$D$4,4,FALSE),MAX(0,1-SUMIF(Aux_Datos!$B:$B,$I228,Aux_Datos!$K:$K)/$E228),0))</f>
        <v>0</v>
      </c>
      <c r="H228" s="27"/>
      <c r="I228" s="28">
        <f t="shared" si="14"/>
        <v>287</v>
      </c>
      <c r="J228" s="29">
        <f t="shared" si="2"/>
        <v>46136</v>
      </c>
      <c r="K228" s="30">
        <f t="shared" si="3"/>
        <v>7</v>
      </c>
      <c r="L228" s="29">
        <f t="shared" si="4"/>
        <v>46144</v>
      </c>
      <c r="M228" s="30">
        <f t="shared" si="5"/>
        <v>1073</v>
      </c>
      <c r="N228" s="32">
        <f t="shared" si="6"/>
        <v>56</v>
      </c>
      <c r="O228" s="33" t="str">
        <f t="shared" si="7"/>
        <v>VENCIDA</v>
      </c>
      <c r="P228" s="34">
        <f>LET(
  idVenta, I228&amp;"",
  montoTotal, M228,
  pagos, IFERROR(SUMIF(Aux_Datos!$B:$B, idVenta, Aux_Datos!$K:$K), 0),
  retenciones, IFERROR(SUMIF(Aux_Datos!$N:$N, idVenta, Aux_Datos!$R:$R), 0),
  pagos + retenciones
)</f>
        <v>120</v>
      </c>
      <c r="Q228" s="30" t="str">
        <f>IF(P228=0, "Sin Pago", 
  LET(
    idVenta, I228&amp;"",
    montoTotalPagado, P228,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28" s="30">
        <f t="shared" si="13"/>
        <v>953</v>
      </c>
      <c r="S228" s="29">
        <f>IF(P228=0, "Sin Pago", 
  IFERROR(
    MAXIFS(Aux_Datos!$A:$A, Aux_Datos!$B:$B, I228&amp;""), 
    IFERROR(MAXIFS(Aux_Datos!$A:$A, Aux_Datos!$B:$B, VALUE(I228)), "Revisar ID")
  )
)</f>
        <v>46168</v>
      </c>
      <c r="T228" s="35" t="str">
        <f t="shared" si="9"/>
        <v>PAGO PARCIAL</v>
      </c>
      <c r="U228" s="35" t="str">
        <f t="shared" si="10"/>
        <v>CRÍTICO: VENCIDA</v>
      </c>
      <c r="V228" s="32">
        <f t="shared" si="11"/>
        <v>32</v>
      </c>
      <c r="W228" s="36" t="str">
        <f>IF(P228=0, "Sin Pago", 
  LET(
    monedaPago, Q228, 
    descuentoAplicado, G228,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28" s="36" t="str">
        <f t="shared" si="12"/>
        <v/>
      </c>
      <c r="Y228" s="36">
        <v>120.0</v>
      </c>
      <c r="Z228" s="33" t="s">
        <v>609</v>
      </c>
      <c r="AA228" s="33"/>
      <c r="AB228" s="33"/>
      <c r="AC228" s="33"/>
      <c r="AD228" s="33"/>
      <c r="AE228" s="33"/>
      <c r="AF228" s="33"/>
    </row>
    <row r="229" ht="22.5" customHeight="1">
      <c r="A229" s="23" t="s">
        <v>781</v>
      </c>
      <c r="B229" s="41">
        <v>46136.64921296296</v>
      </c>
      <c r="C229" s="23" t="s">
        <v>47</v>
      </c>
      <c r="D229" s="23" t="s">
        <v>323</v>
      </c>
      <c r="E229" s="25">
        <v>120.59</v>
      </c>
      <c r="F229" s="23" t="s">
        <v>608</v>
      </c>
      <c r="G229" s="26">
        <f>IF($E229=0,0,IF(SUMIF(Aux_Datos!$B:$B,$I229,Aux_Datos!$K:$K)/$E229&gt;=VLOOKUP(IF(COUNTIFS(Aux_Datos!$B:$B,$I229,Aux_Datos!$D:$D,"&lt;&gt;USD")=0,"USD","VES"),'Limites de Descuento'!$A$2:$D$4,4,FALSE),MAX(0,1-SUMIF(Aux_Datos!$B:$B,$I229,Aux_Datos!$K:$K)/$E229),0))</f>
        <v>0.3283025126</v>
      </c>
      <c r="H229" s="27"/>
      <c r="I229" s="28">
        <f t="shared" si="14"/>
        <v>289</v>
      </c>
      <c r="J229" s="29">
        <f t="shared" si="2"/>
        <v>46136</v>
      </c>
      <c r="K229" s="30">
        <f t="shared" si="3"/>
        <v>7</v>
      </c>
      <c r="L229" s="29">
        <f t="shared" si="4"/>
        <v>46144</v>
      </c>
      <c r="M229" s="30">
        <f t="shared" si="5"/>
        <v>81</v>
      </c>
      <c r="N229" s="32">
        <f t="shared" si="6"/>
        <v>0</v>
      </c>
      <c r="O229" s="33" t="str">
        <f t="shared" si="7"/>
        <v>PAGADA</v>
      </c>
      <c r="P229" s="34">
        <f>LET(
  idVenta, I229&amp;"",
  montoTotal, M229,
  pagos, IFERROR(SUMIF(Aux_Datos!$B:$B, idVenta, Aux_Datos!$K:$K), 0),
  retenciones, IFERROR(SUMIF(Aux_Datos!$N:$N, idVenta, Aux_Datos!$R:$R), 0),
  pagos + retenciones
)</f>
        <v>81</v>
      </c>
      <c r="Q229" s="30" t="str">
        <f>IF(P229=0, "Sin Pago", 
  LET(
    idVenta, I229&amp;"",
    montoTotalPagado, P229,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29" s="30">
        <f t="shared" si="13"/>
        <v>0</v>
      </c>
      <c r="S229" s="29">
        <f>IF(P229=0, "Sin Pago", 
  IFERROR(
    MAXIFS(Aux_Datos!$A:$A, Aux_Datos!$B:$B, I229&amp;""), 
    IFERROR(MAXIFS(Aux_Datos!$A:$A, Aux_Datos!$B:$B, VALUE(I229)), "Revisar ID")
  )
)</f>
        <v>46136</v>
      </c>
      <c r="T229" s="35" t="str">
        <f t="shared" si="9"/>
        <v>PAGADA</v>
      </c>
      <c r="U229" s="35" t="str">
        <f t="shared" si="10"/>
        <v>SOLVENTE</v>
      </c>
      <c r="V229" s="32">
        <f t="shared" si="11"/>
        <v>0</v>
      </c>
      <c r="W229" s="36" t="str">
        <f>IF(P229=0, "Sin Pago", 
  LET(
    monedaPago, Q229, 
    descuentoAplicado, G229,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29" s="36" t="str">
        <f t="shared" si="12"/>
        <v/>
      </c>
      <c r="Y229" s="36">
        <v>81.0</v>
      </c>
      <c r="Z229" s="33" t="s">
        <v>596</v>
      </c>
      <c r="AA229" s="33"/>
      <c r="AB229" s="33"/>
      <c r="AC229" s="33"/>
      <c r="AD229" s="33"/>
      <c r="AE229" s="33"/>
      <c r="AF229" s="33"/>
    </row>
    <row r="230" ht="22.5" customHeight="1">
      <c r="A230" s="23" t="s">
        <v>782</v>
      </c>
      <c r="B230" s="41">
        <v>46160.50077546296</v>
      </c>
      <c r="C230" s="23" t="s">
        <v>381</v>
      </c>
      <c r="D230" s="23" t="s">
        <v>323</v>
      </c>
      <c r="E230" s="25">
        <v>599.72</v>
      </c>
      <c r="F230" s="23" t="s">
        <v>608</v>
      </c>
      <c r="G230" s="26">
        <f>IF($E230=0,0,IF(SUMIF(Aux_Datos!$B:$B,$I230,Aux_Datos!$K:$K)/$E230&gt;=VLOOKUP(IF(COUNTIFS(Aux_Datos!$B:$B,$I230,Aux_Datos!$D:$D,"&lt;&gt;USD")=0,"USD","VES"),'Limites de Descuento'!$A$2:$D$4,4,FALSE),MAX(0,1-SUMIF(Aux_Datos!$B:$B,$I230,Aux_Datos!$K:$K)/$E230),0))</f>
        <v>0</v>
      </c>
      <c r="H230" s="27"/>
      <c r="I230" s="28">
        <f t="shared" si="14"/>
        <v>291</v>
      </c>
      <c r="J230" s="29">
        <f t="shared" si="2"/>
        <v>46160</v>
      </c>
      <c r="K230" s="30">
        <f t="shared" si="3"/>
        <v>7</v>
      </c>
      <c r="L230" s="29">
        <f t="shared" si="4"/>
        <v>46168</v>
      </c>
      <c r="M230" s="30">
        <f t="shared" si="5"/>
        <v>599.72</v>
      </c>
      <c r="N230" s="32">
        <f t="shared" si="6"/>
        <v>0</v>
      </c>
      <c r="O230" s="33" t="str">
        <f t="shared" si="7"/>
        <v>PAGADA</v>
      </c>
      <c r="P230" s="34">
        <f>LET(
  idVenta, I230&amp;"",
  montoTotal, M230,
  pagos, IFERROR(SUMIF(Aux_Datos!$B:$B, idVenta, Aux_Datos!$K:$K), 0),
  retenciones, IFERROR(SUMIF(Aux_Datos!$N:$N, idVenta, Aux_Datos!$R:$R), 0),
  pagos + retenciones
)</f>
        <v>600</v>
      </c>
      <c r="Q230" s="30" t="str">
        <f>IF(P230=0, "Sin Pago", 
  LET(
    idVenta, I230&amp;"",
    montoTotalPagado, P230,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30" s="30">
        <f t="shared" si="13"/>
        <v>-0.28</v>
      </c>
      <c r="S230" s="29">
        <f>IF(P230=0, "Sin Pago", 
  IFERROR(
    MAXIFS(Aux_Datos!$A:$A, Aux_Datos!$B:$B, I230&amp;""), 
    IFERROR(MAXIFS(Aux_Datos!$A:$A, Aux_Datos!$B:$B, VALUE(I230)), "Revisar ID")
  )
)</f>
        <v>46160</v>
      </c>
      <c r="T230" s="35" t="str">
        <f t="shared" si="9"/>
        <v>PAGADA</v>
      </c>
      <c r="U230" s="35" t="str">
        <f t="shared" si="10"/>
        <v>SOLVENTE</v>
      </c>
      <c r="V230" s="32">
        <f t="shared" si="11"/>
        <v>0</v>
      </c>
      <c r="W230" s="36" t="str">
        <f>IF(P230=0, "Sin Pago", 
  LET(
    monedaPago, Q230, 
    descuentoAplicado, G230,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30" s="36" t="str">
        <f t="shared" si="12"/>
        <v/>
      </c>
      <c r="Y230" s="36">
        <v>600.0</v>
      </c>
      <c r="Z230" s="33" t="s">
        <v>596</v>
      </c>
      <c r="AA230" s="33"/>
      <c r="AB230" s="33"/>
      <c r="AC230" s="33"/>
      <c r="AD230" s="33"/>
      <c r="AE230" s="33"/>
      <c r="AF230" s="33"/>
    </row>
    <row r="231" ht="22.5" customHeight="1">
      <c r="A231" s="23" t="s">
        <v>184</v>
      </c>
      <c r="B231" s="41">
        <v>46136.692141203705</v>
      </c>
      <c r="C231" s="23" t="s">
        <v>183</v>
      </c>
      <c r="D231" s="23" t="s">
        <v>544</v>
      </c>
      <c r="E231" s="25">
        <v>64.96</v>
      </c>
      <c r="F231" s="23" t="s">
        <v>608</v>
      </c>
      <c r="G231" s="26">
        <f>IF($E231=0,0,IF(SUMIF(Aux_Datos!$B:$B,$I231,Aux_Datos!$K:$K)/$E231&gt;=VLOOKUP(IF(COUNTIFS(Aux_Datos!$B:$B,$I231,Aux_Datos!$D:$D,"&lt;&gt;USD")=0,"USD","VES"),'Limites de Descuento'!$A$2:$D$4,4,FALSE),MAX(0,1-SUMIF(Aux_Datos!$B:$B,$I231,Aux_Datos!$K:$K)/$E231),0))</f>
        <v>0</v>
      </c>
      <c r="H231" s="27"/>
      <c r="I231" s="28">
        <f t="shared" si="14"/>
        <v>292</v>
      </c>
      <c r="J231" s="29">
        <f t="shared" si="2"/>
        <v>46136</v>
      </c>
      <c r="K231" s="30">
        <f t="shared" si="3"/>
        <v>7</v>
      </c>
      <c r="L231" s="29">
        <f t="shared" si="4"/>
        <v>46144</v>
      </c>
      <c r="M231" s="30">
        <f t="shared" si="5"/>
        <v>64.96</v>
      </c>
      <c r="N231" s="32">
        <f t="shared" si="6"/>
        <v>56</v>
      </c>
      <c r="O231" s="33" t="str">
        <f t="shared" si="7"/>
        <v>VENCIDA</v>
      </c>
      <c r="P231" s="34">
        <f>LET(
  idVenta, I231&amp;"",
  montoTotal, M231,
  pagos, IFERROR(SUMIF(Aux_Datos!$B:$B, idVenta, Aux_Datos!$K:$K), 0),
  retenciones, IFERROR(SUMIF(Aux_Datos!$N:$N, idVenta, Aux_Datos!$R:$R), 0),
  pagos + retenciones
)</f>
        <v>42.99963605</v>
      </c>
      <c r="Q231" s="30" t="str">
        <f>IF(P231=0, "Sin Pago", 
  LET(
    idVenta, I231&amp;"",
    montoTotalPagado, P231,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31" s="30">
        <f t="shared" si="13"/>
        <v>21.96036395</v>
      </c>
      <c r="S231" s="29">
        <f>IF(P231=0, "Sin Pago", 
  IFERROR(
    MAXIFS(Aux_Datos!$A:$A, Aux_Datos!$B:$B, I231&amp;""), 
    IFERROR(MAXIFS(Aux_Datos!$A:$A, Aux_Datos!$B:$B, VALUE(I231)), "Revisar ID")
  )
)</f>
        <v>46170</v>
      </c>
      <c r="T231" s="35" t="str">
        <f t="shared" si="9"/>
        <v>PAGO PARCIAL</v>
      </c>
      <c r="U231" s="35" t="str">
        <f t="shared" si="10"/>
        <v>CRÍTICO: VENCIDA</v>
      </c>
      <c r="V231" s="32">
        <f t="shared" si="11"/>
        <v>30</v>
      </c>
      <c r="W231" s="36" t="str">
        <f>IF(P231=0, "Sin Pago", 
  LET(
    monedaPago, Q231, 
    descuentoAplicado, G231,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31" s="36" t="str">
        <f t="shared" si="12"/>
        <v/>
      </c>
      <c r="Y231" s="36">
        <v>42.99963604939886</v>
      </c>
      <c r="Z231" s="33" t="s">
        <v>596</v>
      </c>
      <c r="AA231" s="33"/>
      <c r="AB231" s="33"/>
      <c r="AC231" s="33"/>
      <c r="AD231" s="33"/>
      <c r="AE231" s="33"/>
      <c r="AF231" s="33"/>
    </row>
    <row r="232" ht="22.5" customHeight="1">
      <c r="A232" s="23" t="s">
        <v>200</v>
      </c>
      <c r="B232" s="41">
        <v>46139.372662037036</v>
      </c>
      <c r="C232" s="23" t="s">
        <v>199</v>
      </c>
      <c r="D232" s="23" t="s">
        <v>552</v>
      </c>
      <c r="E232" s="25">
        <v>306.24</v>
      </c>
      <c r="F232" s="23" t="s">
        <v>608</v>
      </c>
      <c r="G232" s="26">
        <f>IF($E232=0,0,IF(SUMIF(Aux_Datos!$B:$B,$I232,Aux_Datos!$K:$K)/$E232&gt;=VLOOKUP(IF(COUNTIFS(Aux_Datos!$B:$B,$I232,Aux_Datos!$D:$D,"&lt;&gt;USD")=0,"USD","VES"),'Limites de Descuento'!$A$2:$D$4,4,FALSE),MAX(0,1-SUMIF(Aux_Datos!$B:$B,$I232,Aux_Datos!$K:$K)/$E232),0))</f>
        <v>0</v>
      </c>
      <c r="H232" s="27"/>
      <c r="I232" s="28">
        <f t="shared" si="14"/>
        <v>293</v>
      </c>
      <c r="J232" s="29">
        <f t="shared" si="2"/>
        <v>46139</v>
      </c>
      <c r="K232" s="30">
        <f t="shared" si="3"/>
        <v>7</v>
      </c>
      <c r="L232" s="29">
        <f t="shared" si="4"/>
        <v>46147</v>
      </c>
      <c r="M232" s="30">
        <f t="shared" si="5"/>
        <v>306.24</v>
      </c>
      <c r="N232" s="32">
        <f t="shared" si="6"/>
        <v>53</v>
      </c>
      <c r="O232" s="33" t="str">
        <f t="shared" si="7"/>
        <v>VENCIDA</v>
      </c>
      <c r="P232" s="34">
        <f>LET(
  idVenta, I232&amp;"",
  montoTotal, M232,
  pagos, IFERROR(SUMIF(Aux_Datos!$B:$B, idVenta, Aux_Datos!$K:$K), 0),
  retenciones, IFERROR(SUMIF(Aux_Datos!$N:$N, idVenta, Aux_Datos!$R:$R), 0),
  pagos + retenciones
)</f>
        <v>198</v>
      </c>
      <c r="Q232" s="30" t="str">
        <f>IF(P232=0, "Sin Pago", 
  LET(
    idVenta, I232&amp;"",
    montoTotalPagado, P232,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32" s="30">
        <f t="shared" si="13"/>
        <v>108.24</v>
      </c>
      <c r="S232" s="29">
        <f>IF(P232=0, "Sin Pago", 
  IFERROR(
    MAXIFS(Aux_Datos!$A:$A, Aux_Datos!$B:$B, I232&amp;""), 
    IFERROR(MAXIFS(Aux_Datos!$A:$A, Aux_Datos!$B:$B, VALUE(I232)), "Revisar ID")
  )
)</f>
        <v>46176</v>
      </c>
      <c r="T232" s="35" t="str">
        <f t="shared" si="9"/>
        <v>PAGO PARCIAL</v>
      </c>
      <c r="U232" s="35" t="str">
        <f t="shared" si="10"/>
        <v>CRÍTICO: VENCIDA</v>
      </c>
      <c r="V232" s="32">
        <f t="shared" si="11"/>
        <v>24</v>
      </c>
      <c r="W232" s="36" t="str">
        <f>IF(P232=0, "Sin Pago", 
  LET(
    monedaPago, Q232, 
    descuentoAplicado, G232,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32" s="36" t="str">
        <f t="shared" si="12"/>
        <v/>
      </c>
      <c r="Y232" s="36">
        <v>198.0</v>
      </c>
      <c r="Z232" s="33" t="s">
        <v>609</v>
      </c>
      <c r="AA232" s="33"/>
      <c r="AB232" s="33"/>
      <c r="AC232" s="33"/>
      <c r="AD232" s="33"/>
      <c r="AE232" s="33"/>
      <c r="AF232" s="33"/>
    </row>
    <row r="233" ht="22.5" customHeight="1">
      <c r="A233" s="23" t="s">
        <v>21</v>
      </c>
      <c r="B233" s="41">
        <v>46139.49873842593</v>
      </c>
      <c r="C233" s="23" t="s">
        <v>19</v>
      </c>
      <c r="D233" s="23" t="s">
        <v>208</v>
      </c>
      <c r="E233" s="25">
        <v>3312.78</v>
      </c>
      <c r="F233" s="23" t="s">
        <v>608</v>
      </c>
      <c r="G233" s="26">
        <f>IF($E233=0,0,IF(SUMIF(Aux_Datos!$B:$B,$I233,Aux_Datos!$K:$K)/$E233&gt;=VLOOKUP(IF(COUNTIFS(Aux_Datos!$B:$B,$I233,Aux_Datos!$D:$D,"&lt;&gt;USD")=0,"USD","VES"),'Limites de Descuento'!$A$2:$D$4,4,FALSE),MAX(0,1-SUMIF(Aux_Datos!$B:$B,$I233,Aux_Datos!$K:$K)/$E233),0))</f>
        <v>0</v>
      </c>
      <c r="H233" s="27"/>
      <c r="I233" s="28">
        <f t="shared" si="14"/>
        <v>294</v>
      </c>
      <c r="J233" s="29">
        <f t="shared" si="2"/>
        <v>46139</v>
      </c>
      <c r="K233" s="30">
        <f t="shared" si="3"/>
        <v>7</v>
      </c>
      <c r="L233" s="29">
        <f t="shared" si="4"/>
        <v>46147</v>
      </c>
      <c r="M233" s="30">
        <f t="shared" si="5"/>
        <v>3312.78</v>
      </c>
      <c r="N233" s="32">
        <f t="shared" si="6"/>
        <v>53</v>
      </c>
      <c r="O233" s="33" t="str">
        <f t="shared" si="7"/>
        <v>VENCIDA</v>
      </c>
      <c r="P233" s="37">
        <v>436.16</v>
      </c>
      <c r="Q233" s="30" t="str">
        <f>IF(P233=0, "Sin Pago", 
  LET(
    idVenta, I233&amp;"",
    montoTotalPagado, P233,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233" s="30">
        <f t="shared" si="13"/>
        <v>2876.62</v>
      </c>
      <c r="S233" s="29">
        <f>IF(P233=0, "Sin Pago", 
  IFERROR(
    MAXIFS(Aux_Datos!$A:$A, Aux_Datos!$B:$B, I233&amp;""), 
    IFERROR(MAXIFS(Aux_Datos!$A:$A, Aux_Datos!$B:$B, VALUE(I233)), "Revisar ID")
  )
)</f>
        <v>46146</v>
      </c>
      <c r="T233" s="35" t="str">
        <f t="shared" si="9"/>
        <v>PAGO PARCIAL</v>
      </c>
      <c r="U233" s="35" t="str">
        <f t="shared" si="10"/>
        <v>CRÍTICO: VENCIDA</v>
      </c>
      <c r="V233" s="32">
        <f t="shared" si="11"/>
        <v>54</v>
      </c>
      <c r="W233" s="36" t="str">
        <f>IF(P233=0, "Sin Pago", 
  LET(
    monedaPago, Q233, 
    descuentoAplicado, G233,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33" s="36" t="str">
        <f t="shared" si="12"/>
        <v/>
      </c>
      <c r="Y233" s="36">
        <v>3312.786007365469</v>
      </c>
      <c r="Z233" s="33" t="s">
        <v>609</v>
      </c>
      <c r="AA233" s="33"/>
      <c r="AB233" s="33"/>
      <c r="AC233" s="33"/>
      <c r="AD233" s="33"/>
      <c r="AE233" s="33"/>
      <c r="AF233" s="33"/>
    </row>
    <row r="234" ht="22.5" customHeight="1">
      <c r="A234" s="23" t="s">
        <v>783</v>
      </c>
      <c r="B234" s="41">
        <v>46139.48171296297</v>
      </c>
      <c r="C234" s="23" t="s">
        <v>784</v>
      </c>
      <c r="D234" s="23" t="s">
        <v>552</v>
      </c>
      <c r="E234" s="25">
        <v>116.0</v>
      </c>
      <c r="F234" s="23" t="s">
        <v>608</v>
      </c>
      <c r="G234" s="26">
        <f>IF($E234=0,0,IF(SUMIF(Aux_Datos!$B:$B,$I234,Aux_Datos!$K:$K)/$E234&gt;=VLOOKUP(IF(COUNTIFS(Aux_Datos!$B:$B,$I234,Aux_Datos!$D:$D,"&lt;&gt;USD")=0,"USD","VES"),'Limites de Descuento'!$A$2:$D$4,4,FALSE),MAX(0,1-SUMIF(Aux_Datos!$B:$B,$I234,Aux_Datos!$K:$K)/$E234),0))</f>
        <v>0.3448275862</v>
      </c>
      <c r="H234" s="27"/>
      <c r="I234" s="28">
        <f t="shared" si="14"/>
        <v>295</v>
      </c>
      <c r="J234" s="29">
        <f t="shared" si="2"/>
        <v>46139</v>
      </c>
      <c r="K234" s="30">
        <f t="shared" si="3"/>
        <v>7</v>
      </c>
      <c r="L234" s="29">
        <f t="shared" si="4"/>
        <v>46147</v>
      </c>
      <c r="M234" s="30">
        <f t="shared" si="5"/>
        <v>76</v>
      </c>
      <c r="N234" s="32">
        <f t="shared" si="6"/>
        <v>0</v>
      </c>
      <c r="O234" s="33" t="str">
        <f t="shared" si="7"/>
        <v>PAGADA</v>
      </c>
      <c r="P234" s="34">
        <f>LET(
  idVenta, I234&amp;"",
  montoTotal, M234,
  pagos, IFERROR(SUMIF(Aux_Datos!$B:$B, idVenta, Aux_Datos!$K:$K), 0),
  retenciones, IFERROR(SUMIF(Aux_Datos!$N:$N, idVenta, Aux_Datos!$R:$R), 0),
  pagos + retenciones
)</f>
        <v>76</v>
      </c>
      <c r="Q234" s="30" t="str">
        <f>IF(P234=0, "Sin Pago", 
  LET(
    idVenta, I234&amp;"",
    montoTotalPagado, P234,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34" s="38">
        <v>0.0</v>
      </c>
      <c r="S234" s="29">
        <f>IF(P234=0, "Sin Pago", 
  IFERROR(
    MAXIFS(Aux_Datos!$A:$A, Aux_Datos!$B:$B, I234&amp;""), 
    IFERROR(MAXIFS(Aux_Datos!$A:$A, Aux_Datos!$B:$B, VALUE(I234)), "Revisar ID")
  )
)</f>
        <v>46146</v>
      </c>
      <c r="T234" s="35" t="str">
        <f t="shared" si="9"/>
        <v>PAGADA</v>
      </c>
      <c r="U234" s="35" t="str">
        <f t="shared" si="10"/>
        <v>SOLVENTE</v>
      </c>
      <c r="V234" s="32">
        <f t="shared" si="11"/>
        <v>0</v>
      </c>
      <c r="W234" s="36" t="str">
        <f>IF(P234=0, "Sin Pago", 
  LET(
    monedaPago, Q234, 
    descuentoAplicado, G234,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34" s="36" t="str">
        <f t="shared" si="12"/>
        <v/>
      </c>
      <c r="Y234" s="36">
        <v>76.0</v>
      </c>
      <c r="Z234" s="33" t="s">
        <v>596</v>
      </c>
      <c r="AA234" s="33"/>
      <c r="AB234" s="33"/>
      <c r="AC234" s="33"/>
      <c r="AD234" s="33"/>
      <c r="AE234" s="33"/>
      <c r="AF234" s="33"/>
    </row>
    <row r="235" ht="22.5" customHeight="1">
      <c r="A235" s="23" t="s">
        <v>20</v>
      </c>
      <c r="B235" s="41">
        <v>46139.570185185185</v>
      </c>
      <c r="C235" s="23" t="s">
        <v>19</v>
      </c>
      <c r="D235" s="23" t="s">
        <v>208</v>
      </c>
      <c r="E235" s="25">
        <v>436.16</v>
      </c>
      <c r="F235" s="23" t="s">
        <v>608</v>
      </c>
      <c r="G235" s="26">
        <f>IF($E235=0,0,IF(SUMIF(Aux_Datos!$B:$B,$I235,Aux_Datos!$K:$K)/$E235&gt;=VLOOKUP(IF(COUNTIFS(Aux_Datos!$B:$B,$I235,Aux_Datos!$D:$D,"&lt;&gt;USD")=0,"USD","VES"),'Limites de Descuento'!$A$2:$D$4,4,FALSE),MAX(0,1-SUMIF(Aux_Datos!$B:$B,$I235,Aux_Datos!$K:$K)/$E235),0))</f>
        <v>0</v>
      </c>
      <c r="H235" s="27"/>
      <c r="I235" s="28">
        <f t="shared" si="14"/>
        <v>296</v>
      </c>
      <c r="J235" s="29">
        <f t="shared" si="2"/>
        <v>46139</v>
      </c>
      <c r="K235" s="30">
        <f t="shared" si="3"/>
        <v>7</v>
      </c>
      <c r="L235" s="29">
        <f t="shared" si="4"/>
        <v>46147</v>
      </c>
      <c r="M235" s="30">
        <f t="shared" si="5"/>
        <v>436.16</v>
      </c>
      <c r="N235" s="32">
        <f t="shared" si="6"/>
        <v>53</v>
      </c>
      <c r="O235" s="33" t="str">
        <f t="shared" si="7"/>
        <v>VENCIDA</v>
      </c>
      <c r="P235" s="34">
        <f>LET(
  idVenta, I235&amp;"",
  montoTotal, M235,
  pagos, IFERROR(SUMIF(Aux_Datos!$B:$B, idVenta, Aux_Datos!$K:$K), 0),
  retenciones, IFERROR(SUMIF(Aux_Datos!$N:$N, idVenta, Aux_Datos!$R:$R), 0),
  pagos + retenciones
)</f>
        <v>0</v>
      </c>
      <c r="Q235" s="30" t="str">
        <f>IF(P235=0, "Sin Pago", 
  LET(
    idVenta, I235&amp;"",
    montoTotalPagado, P235,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235" s="30">
        <f t="shared" ref="R235:R281" si="15">M235-P235</f>
        <v>436.16</v>
      </c>
      <c r="S235" s="29" t="str">
        <f>IF(P235=0, "Sin Pago", 
  IFERROR(
    MAXIFS(Aux_Datos!$A:$A, Aux_Datos!$B:$B, I235&amp;""), 
    IFERROR(MAXIFS(Aux_Datos!$A:$A, Aux_Datos!$B:$B, VALUE(I235)), "Revisar ID")
  )
)</f>
        <v>Sin Pago</v>
      </c>
      <c r="T235" s="35" t="str">
        <f t="shared" si="9"/>
        <v>PENDIENTE</v>
      </c>
      <c r="U235" s="35" t="str">
        <f t="shared" si="10"/>
        <v>CRÍTICO: VENCIDA</v>
      </c>
      <c r="V235" s="32">
        <f t="shared" si="11"/>
        <v>0</v>
      </c>
      <c r="W235" s="36" t="str">
        <f>IF(P235=0, "Sin Pago", 
  LET(
    monedaPago, Q235, 
    descuentoAplicado, G235,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235" s="36" t="str">
        <f t="shared" si="12"/>
        <v/>
      </c>
      <c r="Y235" s="36">
        <v>0.0</v>
      </c>
      <c r="Z235" s="33" t="s">
        <v>641</v>
      </c>
      <c r="AA235" s="33"/>
      <c r="AB235" s="33"/>
      <c r="AC235" s="33"/>
      <c r="AD235" s="33"/>
      <c r="AE235" s="33"/>
      <c r="AF235" s="33"/>
    </row>
    <row r="236" ht="22.5" customHeight="1">
      <c r="A236" s="23" t="s">
        <v>255</v>
      </c>
      <c r="B236" s="41">
        <v>46139.66981481481</v>
      </c>
      <c r="C236" s="23" t="s">
        <v>254</v>
      </c>
      <c r="D236" s="23" t="s">
        <v>353</v>
      </c>
      <c r="E236" s="25">
        <v>284.61</v>
      </c>
      <c r="F236" s="23" t="s">
        <v>608</v>
      </c>
      <c r="G236" s="26">
        <f>IF($E236=0,0,IF(SUMIF(Aux_Datos!$B:$B,$I236,Aux_Datos!$K:$K)/$E236&gt;=VLOOKUP(IF(COUNTIFS(Aux_Datos!$B:$B,$I236,Aux_Datos!$D:$D,"&lt;&gt;USD")=0,"USD","VES"),'Limites de Descuento'!$A$2:$D$4,4,FALSE),MAX(0,1-SUMIF(Aux_Datos!$B:$B,$I236,Aux_Datos!$K:$K)/$E236),0))</f>
        <v>0</v>
      </c>
      <c r="H236" s="27"/>
      <c r="I236" s="28">
        <f t="shared" si="14"/>
        <v>298</v>
      </c>
      <c r="J236" s="29">
        <f t="shared" si="2"/>
        <v>46139</v>
      </c>
      <c r="K236" s="30">
        <f t="shared" si="3"/>
        <v>7</v>
      </c>
      <c r="L236" s="29">
        <f t="shared" si="4"/>
        <v>46147</v>
      </c>
      <c r="M236" s="30">
        <f t="shared" si="5"/>
        <v>284.61</v>
      </c>
      <c r="N236" s="32">
        <f t="shared" si="6"/>
        <v>53</v>
      </c>
      <c r="O236" s="33" t="str">
        <f t="shared" si="7"/>
        <v>VENCIDA</v>
      </c>
      <c r="P236" s="34">
        <f>LET(
  idVenta, I236&amp;"",
  montoTotal, M236,
  pagos, IFERROR(SUMIF(Aux_Datos!$B:$B, idVenta, Aux_Datos!$K:$K), 0),
  retenciones, IFERROR(SUMIF(Aux_Datos!$N:$N, idVenta, Aux_Datos!$R:$R), 0),
  pagos + retenciones
)</f>
        <v>180</v>
      </c>
      <c r="Q236" s="30" t="str">
        <f>IF(P236=0, "Sin Pago", 
  LET(
    idVenta, I236&amp;"",
    montoTotalPagado, P236,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36" s="30">
        <f t="shared" si="15"/>
        <v>104.61</v>
      </c>
      <c r="S236" s="29">
        <f>IF(P236=0, "Sin Pago", 
  IFERROR(
    MAXIFS(Aux_Datos!$A:$A, Aux_Datos!$B:$B, I236&amp;""), 
    IFERROR(MAXIFS(Aux_Datos!$A:$A, Aux_Datos!$B:$B, VALUE(I236)), "Revisar ID")
  )
)</f>
        <v>46185</v>
      </c>
      <c r="T236" s="35" t="str">
        <f t="shared" si="9"/>
        <v>PAGO PARCIAL</v>
      </c>
      <c r="U236" s="35" t="str">
        <f t="shared" si="10"/>
        <v>CRÍTICO: VENCIDA</v>
      </c>
      <c r="V236" s="32">
        <f t="shared" si="11"/>
        <v>15</v>
      </c>
      <c r="W236" s="36" t="str">
        <f>IF(P236=0, "Sin Pago", 
  LET(
    monedaPago, Q236, 
    descuentoAplicado, G236,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36" s="36" t="str">
        <f t="shared" si="12"/>
        <v/>
      </c>
      <c r="Y236" s="36">
        <v>180.0</v>
      </c>
      <c r="Z236" s="33" t="s">
        <v>609</v>
      </c>
      <c r="AA236" s="33"/>
      <c r="AB236" s="33"/>
      <c r="AC236" s="33"/>
      <c r="AD236" s="33"/>
      <c r="AE236" s="33"/>
      <c r="AF236" s="33"/>
    </row>
    <row r="237" ht="22.5" customHeight="1">
      <c r="A237" s="23" t="s">
        <v>197</v>
      </c>
      <c r="B237" s="41">
        <v>46139.763761574075</v>
      </c>
      <c r="C237" s="23" t="s">
        <v>196</v>
      </c>
      <c r="D237" s="23" t="s">
        <v>556</v>
      </c>
      <c r="E237" s="25">
        <v>164.0</v>
      </c>
      <c r="F237" s="23" t="s">
        <v>608</v>
      </c>
      <c r="G237" s="26">
        <f>IF($E237=0,0,IF(SUMIF(Aux_Datos!$B:$B,$I237,Aux_Datos!$K:$K)/$E237&gt;=VLOOKUP(IF(COUNTIFS(Aux_Datos!$B:$B,$I237,Aux_Datos!$D:$D,"&lt;&gt;USD")=0,"USD","VES"),'Limites de Descuento'!$A$2:$D$4,4,FALSE),MAX(0,1-SUMIF(Aux_Datos!$B:$B,$I237,Aux_Datos!$K:$K)/$E237),0))</f>
        <v>0</v>
      </c>
      <c r="H237" s="27"/>
      <c r="I237" s="28">
        <f t="shared" si="14"/>
        <v>300</v>
      </c>
      <c r="J237" s="29">
        <f t="shared" si="2"/>
        <v>46139</v>
      </c>
      <c r="K237" s="30">
        <f t="shared" si="3"/>
        <v>7</v>
      </c>
      <c r="L237" s="29">
        <f t="shared" si="4"/>
        <v>46147</v>
      </c>
      <c r="M237" s="30">
        <f t="shared" si="5"/>
        <v>164</v>
      </c>
      <c r="N237" s="32">
        <f t="shared" si="6"/>
        <v>53</v>
      </c>
      <c r="O237" s="33" t="str">
        <f t="shared" si="7"/>
        <v>VENCIDA</v>
      </c>
      <c r="P237" s="34">
        <f>LET(
  idVenta, I237&amp;"",
  montoTotal, M237,
  pagos, IFERROR(SUMIF(Aux_Datos!$B:$B, idVenta, Aux_Datos!$K:$K), 0),
  retenciones, IFERROR(SUMIF(Aux_Datos!$N:$N, idVenta, Aux_Datos!$R:$R), 0),
  pagos + retenciones
)</f>
        <v>127.2386775</v>
      </c>
      <c r="Q237" s="30" t="str">
        <f>IF(P237=0, "Sin Pago", 
  LET(
    idVenta, I237&amp;"",
    montoTotalPagado, P237,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237" s="30">
        <f t="shared" si="15"/>
        <v>36.76132253</v>
      </c>
      <c r="S237" s="29">
        <f>IF(P237=0, "Sin Pago", 
  IFERROR(
    MAXIFS(Aux_Datos!$A:$A, Aux_Datos!$B:$B, I237&amp;""), 
    IFERROR(MAXIFS(Aux_Datos!$A:$A, Aux_Datos!$B:$B, VALUE(I237)), "Revisar ID")
  )
)</f>
        <v>46140</v>
      </c>
      <c r="T237" s="35" t="str">
        <f t="shared" si="9"/>
        <v>PAGO PARCIAL</v>
      </c>
      <c r="U237" s="35" t="str">
        <f t="shared" si="10"/>
        <v>CRÍTICO: VENCIDA</v>
      </c>
      <c r="V237" s="32">
        <f t="shared" si="11"/>
        <v>60</v>
      </c>
      <c r="W237" s="36" t="str">
        <f>IF(P237=0, "Sin Pago", 
  LET(
    monedaPago, Q237, 
    descuentoAplicado, G237,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37" s="36" t="str">
        <f t="shared" si="12"/>
        <v/>
      </c>
      <c r="Y237" s="36">
        <v>127.23867747154877</v>
      </c>
      <c r="Z237" s="33" t="s">
        <v>609</v>
      </c>
      <c r="AA237" s="33"/>
      <c r="AB237" s="33"/>
      <c r="AC237" s="33"/>
      <c r="AD237" s="33"/>
      <c r="AE237" s="33"/>
      <c r="AF237" s="33"/>
    </row>
    <row r="238" ht="22.5" customHeight="1">
      <c r="A238" s="23" t="s">
        <v>281</v>
      </c>
      <c r="B238" s="41">
        <v>46140.52855324074</v>
      </c>
      <c r="C238" s="23" t="s">
        <v>280</v>
      </c>
      <c r="D238" s="23" t="s">
        <v>552</v>
      </c>
      <c r="E238" s="25">
        <v>80.0</v>
      </c>
      <c r="F238" s="23" t="s">
        <v>619</v>
      </c>
      <c r="G238" s="26">
        <f>IF($E238=0,0,IF(SUMIF(Aux_Datos!$B:$B,$I238,Aux_Datos!$K:$K)/$E238&gt;=VLOOKUP(IF(COUNTIFS(Aux_Datos!$B:$B,$I238,Aux_Datos!$D:$D,"&lt;&gt;USD")=0,"USD","VES"),'Limites de Descuento'!$A$2:$D$4,4,FALSE),MAX(0,1-SUMIF(Aux_Datos!$B:$B,$I238,Aux_Datos!$K:$K)/$E238),0))</f>
        <v>0</v>
      </c>
      <c r="H238" s="27"/>
      <c r="I238" s="28">
        <f t="shared" si="14"/>
        <v>301</v>
      </c>
      <c r="J238" s="29">
        <f t="shared" si="2"/>
        <v>46140</v>
      </c>
      <c r="K238" s="30">
        <f t="shared" si="3"/>
        <v>15</v>
      </c>
      <c r="L238" s="29">
        <f t="shared" si="4"/>
        <v>46156</v>
      </c>
      <c r="M238" s="30">
        <f t="shared" si="5"/>
        <v>80</v>
      </c>
      <c r="N238" s="32">
        <f t="shared" si="6"/>
        <v>44</v>
      </c>
      <c r="O238" s="33" t="str">
        <f t="shared" si="7"/>
        <v>VENCIDA</v>
      </c>
      <c r="P238" s="34">
        <f>LET(
  idVenta, I238&amp;"",
  montoTotal, M238,
  pagos, IFERROR(SUMIF(Aux_Datos!$B:$B, idVenta, Aux_Datos!$K:$K), 0),
  retenciones, IFERROR(SUMIF(Aux_Datos!$N:$N, idVenta, Aux_Datos!$R:$R), 0),
  pagos + retenciones
)</f>
        <v>51</v>
      </c>
      <c r="Q238" s="30" t="str">
        <f>IF(P238=0, "Sin Pago", 
  LET(
    idVenta, I238&amp;"",
    montoTotalPagado, P238,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38" s="30">
        <f t="shared" si="15"/>
        <v>29</v>
      </c>
      <c r="S238" s="29">
        <f>IF(P238=0, "Sin Pago", 
  IFERROR(
    MAXIFS(Aux_Datos!$A:$A, Aux_Datos!$B:$B, I238&amp;""), 
    IFERROR(MAXIFS(Aux_Datos!$A:$A, Aux_Datos!$B:$B, VALUE(I238)), "Revisar ID")
  )
)</f>
        <v>46164</v>
      </c>
      <c r="T238" s="35" t="str">
        <f t="shared" si="9"/>
        <v>PAGO PARCIAL</v>
      </c>
      <c r="U238" s="35" t="str">
        <f t="shared" si="10"/>
        <v>CRÍTICO: VENCIDA</v>
      </c>
      <c r="V238" s="32">
        <f t="shared" si="11"/>
        <v>36</v>
      </c>
      <c r="W238" s="36" t="str">
        <f>IF(P238=0, "Sin Pago", 
  LET(
    monedaPago, Q238, 
    descuentoAplicado, G238,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38" s="36" t="str">
        <f t="shared" si="12"/>
        <v/>
      </c>
      <c r="Y238" s="36">
        <v>51.0</v>
      </c>
      <c r="Z238" s="33" t="s">
        <v>609</v>
      </c>
      <c r="AA238" s="33"/>
      <c r="AB238" s="33"/>
      <c r="AC238" s="33"/>
      <c r="AD238" s="33"/>
      <c r="AE238" s="33"/>
      <c r="AF238" s="33"/>
    </row>
    <row r="239" ht="22.5" customHeight="1">
      <c r="A239" s="23" t="s">
        <v>785</v>
      </c>
      <c r="B239" s="41">
        <v>46141.3897337963</v>
      </c>
      <c r="C239" s="23" t="s">
        <v>786</v>
      </c>
      <c r="D239" s="23" t="s">
        <v>538</v>
      </c>
      <c r="E239" s="25">
        <v>104.4</v>
      </c>
      <c r="F239" s="23" t="s">
        <v>608</v>
      </c>
      <c r="G239" s="26">
        <f>IF($E239=0,0,IF(SUMIF(Aux_Datos!$B:$B,$I239,Aux_Datos!$K:$K)/$E239&gt;=VLOOKUP(IF(COUNTIFS(Aux_Datos!$B:$B,$I239,Aux_Datos!$D:$D,"&lt;&gt;USD")=0,"USD","VES"),'Limites de Descuento'!$A$2:$D$4,4,FALSE),MAX(0,1-SUMIF(Aux_Datos!$B:$B,$I239,Aux_Datos!$K:$K)/$E239),0))</f>
        <v>0.3486590038</v>
      </c>
      <c r="H239" s="27"/>
      <c r="I239" s="28">
        <f t="shared" si="14"/>
        <v>302</v>
      </c>
      <c r="J239" s="29">
        <f t="shared" si="2"/>
        <v>46141</v>
      </c>
      <c r="K239" s="30">
        <f t="shared" si="3"/>
        <v>7</v>
      </c>
      <c r="L239" s="29">
        <f t="shared" si="4"/>
        <v>46149</v>
      </c>
      <c r="M239" s="30">
        <f t="shared" si="5"/>
        <v>68</v>
      </c>
      <c r="N239" s="32">
        <f t="shared" si="6"/>
        <v>0</v>
      </c>
      <c r="O239" s="33" t="str">
        <f t="shared" si="7"/>
        <v>PAGADA</v>
      </c>
      <c r="P239" s="34">
        <f>LET(
  idVenta, I239&amp;"",
  montoTotal, M239,
  pagos, IFERROR(SUMIF(Aux_Datos!$B:$B, idVenta, Aux_Datos!$K:$K), 0),
  retenciones, IFERROR(SUMIF(Aux_Datos!$N:$N, idVenta, Aux_Datos!$R:$R), 0),
  pagos + retenciones
)</f>
        <v>68</v>
      </c>
      <c r="Q239" s="30" t="str">
        <f>IF(P239=0, "Sin Pago", 
  LET(
    idVenta, I239&amp;"",
    montoTotalPagado, P239,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39" s="30">
        <f t="shared" si="15"/>
        <v>0</v>
      </c>
      <c r="S239" s="29">
        <f>IF(P239=0, "Sin Pago", 
  IFERROR(
    MAXIFS(Aux_Datos!$A:$A, Aux_Datos!$B:$B, I239&amp;""), 
    IFERROR(MAXIFS(Aux_Datos!$A:$A, Aux_Datos!$B:$B, VALUE(I239)), "Revisar ID")
  )
)</f>
        <v>46161</v>
      </c>
      <c r="T239" s="35" t="str">
        <f t="shared" si="9"/>
        <v>PAGADA</v>
      </c>
      <c r="U239" s="35" t="str">
        <f t="shared" si="10"/>
        <v>SOLVENTE</v>
      </c>
      <c r="V239" s="32">
        <f t="shared" si="11"/>
        <v>0</v>
      </c>
      <c r="W239" s="36" t="str">
        <f>IF(P239=0, "Sin Pago", 
  LET(
    monedaPago, Q239, 
    descuentoAplicado, G239,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39" s="36" t="str">
        <f t="shared" si="12"/>
        <v/>
      </c>
      <c r="Y239" s="36">
        <v>68.0</v>
      </c>
      <c r="Z239" s="33" t="s">
        <v>596</v>
      </c>
      <c r="AA239" s="33"/>
      <c r="AB239" s="33"/>
      <c r="AC239" s="33"/>
      <c r="AD239" s="33"/>
      <c r="AE239" s="33"/>
      <c r="AF239" s="33"/>
    </row>
    <row r="240" ht="22.5" customHeight="1">
      <c r="A240" s="23" t="s">
        <v>8</v>
      </c>
      <c r="B240" s="41">
        <v>46141.38995370371</v>
      </c>
      <c r="C240" s="23" t="s">
        <v>5</v>
      </c>
      <c r="D240" s="23" t="s">
        <v>552</v>
      </c>
      <c r="E240" s="25">
        <v>296.37</v>
      </c>
      <c r="F240" s="23" t="s">
        <v>608</v>
      </c>
      <c r="G240" s="26">
        <f>IF($E240=0,0,IF(SUMIF(Aux_Datos!$B:$B,$I240,Aux_Datos!$K:$K)/$E240&gt;=VLOOKUP(IF(COUNTIFS(Aux_Datos!$B:$B,$I240,Aux_Datos!$D:$D,"&lt;&gt;USD")=0,"USD","VES"),'Limites de Descuento'!$A$2:$D$4,4,FALSE),MAX(0,1-SUMIF(Aux_Datos!$B:$B,$I240,Aux_Datos!$K:$K)/$E240),0))</f>
        <v>0</v>
      </c>
      <c r="H240" s="27"/>
      <c r="I240" s="28">
        <f t="shared" si="14"/>
        <v>303</v>
      </c>
      <c r="J240" s="29">
        <f t="shared" si="2"/>
        <v>46141</v>
      </c>
      <c r="K240" s="30">
        <f t="shared" si="3"/>
        <v>7</v>
      </c>
      <c r="L240" s="29">
        <f t="shared" si="4"/>
        <v>46149</v>
      </c>
      <c r="M240" s="30">
        <f t="shared" si="5"/>
        <v>296.37</v>
      </c>
      <c r="N240" s="32">
        <f t="shared" si="6"/>
        <v>51</v>
      </c>
      <c r="O240" s="33" t="str">
        <f t="shared" si="7"/>
        <v>VENCIDA</v>
      </c>
      <c r="P240" s="34">
        <f>LET(
  idVenta, I240&amp;"",
  montoTotal, M240,
  pagos, IFERROR(SUMIF(Aux_Datos!$B:$B, idVenta, Aux_Datos!$K:$K), 0),
  retenciones, IFERROR(SUMIF(Aux_Datos!$N:$N, idVenta, Aux_Datos!$R:$R), 0),
  pagos + retenciones
)</f>
        <v>188</v>
      </c>
      <c r="Q240" s="30" t="str">
        <f>IF(P240=0, "Sin Pago", 
  LET(
    idVenta, I240&amp;"",
    montoTotalPagado, P240,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40" s="30">
        <f t="shared" si="15"/>
        <v>108.37</v>
      </c>
      <c r="S240" s="29">
        <f>IF(P240=0, "Sin Pago", 
  IFERROR(
    MAXIFS(Aux_Datos!$A:$A, Aux_Datos!$B:$B, I240&amp;""), 
    IFERROR(MAXIFS(Aux_Datos!$A:$A, Aux_Datos!$B:$B, VALUE(I240)), "Revisar ID")
  )
)</f>
        <v>46142</v>
      </c>
      <c r="T240" s="35" t="str">
        <f t="shared" si="9"/>
        <v>PAGO PARCIAL</v>
      </c>
      <c r="U240" s="35" t="str">
        <f t="shared" si="10"/>
        <v>CRÍTICO: VENCIDA</v>
      </c>
      <c r="V240" s="32">
        <f t="shared" si="11"/>
        <v>58</v>
      </c>
      <c r="W240" s="36" t="str">
        <f>IF(P240=0, "Sin Pago", 
  LET(
    monedaPago, Q240, 
    descuentoAplicado, G240,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40" s="36" t="str">
        <f t="shared" si="12"/>
        <v/>
      </c>
      <c r="Y240" s="36">
        <v>188.0</v>
      </c>
      <c r="Z240" s="33" t="s">
        <v>609</v>
      </c>
      <c r="AA240" s="33"/>
      <c r="AB240" s="33"/>
      <c r="AC240" s="33"/>
      <c r="AD240" s="33"/>
      <c r="AE240" s="33"/>
      <c r="AF240" s="33"/>
    </row>
    <row r="241" ht="22.5" customHeight="1">
      <c r="A241" s="23" t="s">
        <v>85</v>
      </c>
      <c r="B241" s="41">
        <v>46141.551840277774</v>
      </c>
      <c r="C241" s="23" t="s">
        <v>84</v>
      </c>
      <c r="D241" s="23" t="s">
        <v>556</v>
      </c>
      <c r="E241" s="25">
        <v>1211.07</v>
      </c>
      <c r="F241" s="23" t="s">
        <v>608</v>
      </c>
      <c r="G241" s="26">
        <f>IF($E241=0,0,IF(SUMIF(Aux_Datos!$B:$B,$I241,Aux_Datos!$K:$K)/$E241&gt;=VLOOKUP(IF(COUNTIFS(Aux_Datos!$B:$B,$I241,Aux_Datos!$D:$D,"&lt;&gt;USD")=0,"USD","VES"),'Limites de Descuento'!$A$2:$D$4,4,FALSE),MAX(0,1-SUMIF(Aux_Datos!$B:$B,$I241,Aux_Datos!$K:$K)/$E241),0))</f>
        <v>0</v>
      </c>
      <c r="H241" s="27"/>
      <c r="I241" s="28">
        <f t="shared" si="14"/>
        <v>304</v>
      </c>
      <c r="J241" s="29">
        <f t="shared" si="2"/>
        <v>46141</v>
      </c>
      <c r="K241" s="30">
        <f t="shared" si="3"/>
        <v>7</v>
      </c>
      <c r="L241" s="29">
        <f t="shared" si="4"/>
        <v>46149</v>
      </c>
      <c r="M241" s="30">
        <f t="shared" si="5"/>
        <v>1211.07</v>
      </c>
      <c r="N241" s="32">
        <f t="shared" si="6"/>
        <v>51</v>
      </c>
      <c r="O241" s="33" t="str">
        <f t="shared" si="7"/>
        <v>VENCIDA</v>
      </c>
      <c r="P241" s="34">
        <f>LET(
  idVenta, I241&amp;"",
  montoTotal, M241,
  pagos, IFERROR(SUMIF(Aux_Datos!$B:$B, idVenta, Aux_Datos!$K:$K), 0),
  retenciones, IFERROR(SUMIF(Aux_Datos!$N:$N, idVenta, Aux_Datos!$R:$R), 0),
  pagos + retenciones
)</f>
        <v>0</v>
      </c>
      <c r="Q241" s="30" t="str">
        <f>IF(P241=0, "Sin Pago", 
  LET(
    idVenta, I241&amp;"",
    montoTotalPagado, P241,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241" s="30">
        <f t="shared" si="15"/>
        <v>1211.07</v>
      </c>
      <c r="S241" s="29" t="str">
        <f>IF(P241=0, "Sin Pago", 
  IFERROR(
    MAXIFS(Aux_Datos!$A:$A, Aux_Datos!$B:$B, I241&amp;""), 
    IFERROR(MAXIFS(Aux_Datos!$A:$A, Aux_Datos!$B:$B, VALUE(I241)), "Revisar ID")
  )
)</f>
        <v>Sin Pago</v>
      </c>
      <c r="T241" s="35" t="str">
        <f t="shared" si="9"/>
        <v>PENDIENTE</v>
      </c>
      <c r="U241" s="35" t="str">
        <f t="shared" si="10"/>
        <v>CRÍTICO: VENCIDA</v>
      </c>
      <c r="V241" s="32">
        <f t="shared" si="11"/>
        <v>0</v>
      </c>
      <c r="W241" s="36" t="str">
        <f>IF(P241=0, "Sin Pago", 
  LET(
    monedaPago, Q241, 
    descuentoAplicado, G241,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241" s="36" t="str">
        <f t="shared" si="12"/>
        <v/>
      </c>
      <c r="Y241" s="36">
        <v>0.0</v>
      </c>
      <c r="Z241" s="33" t="s">
        <v>641</v>
      </c>
      <c r="AA241" s="33"/>
      <c r="AB241" s="33"/>
      <c r="AC241" s="33"/>
      <c r="AD241" s="33"/>
      <c r="AE241" s="33"/>
      <c r="AF241" s="33"/>
    </row>
    <row r="242" ht="22.5" customHeight="1">
      <c r="A242" s="23" t="s">
        <v>787</v>
      </c>
      <c r="B242" s="41">
        <v>46141.66606481482</v>
      </c>
      <c r="C242" s="23" t="s">
        <v>503</v>
      </c>
      <c r="D242" s="23" t="s">
        <v>552</v>
      </c>
      <c r="E242" s="25">
        <v>116.0</v>
      </c>
      <c r="F242" s="23" t="s">
        <v>608</v>
      </c>
      <c r="G242" s="26">
        <f>IF($E242=0,0,IF(SUMIF(Aux_Datos!$B:$B,$I242,Aux_Datos!$K:$K)/$E242&gt;=VLOOKUP(IF(COUNTIFS(Aux_Datos!$B:$B,$I242,Aux_Datos!$D:$D,"&lt;&gt;USD")=0,"USD","VES"),'Limites de Descuento'!$A$2:$D$4,4,FALSE),MAX(0,1-SUMIF(Aux_Datos!$B:$B,$I242,Aux_Datos!$K:$K)/$E242),0))</f>
        <v>0.000008859487955</v>
      </c>
      <c r="H242" s="27"/>
      <c r="I242" s="28">
        <f t="shared" si="14"/>
        <v>305</v>
      </c>
      <c r="J242" s="29">
        <f t="shared" si="2"/>
        <v>46141</v>
      </c>
      <c r="K242" s="30">
        <f t="shared" si="3"/>
        <v>7</v>
      </c>
      <c r="L242" s="29">
        <f t="shared" si="4"/>
        <v>46149</v>
      </c>
      <c r="M242" s="30">
        <f t="shared" si="5"/>
        <v>115.9989723</v>
      </c>
      <c r="N242" s="32">
        <f t="shared" si="6"/>
        <v>0</v>
      </c>
      <c r="O242" s="33" t="str">
        <f t="shared" si="7"/>
        <v>PAGADA</v>
      </c>
      <c r="P242" s="34">
        <f>LET(
  idVenta, I242&amp;"",
  montoTotal, M242,
  pagos, IFERROR(SUMIF(Aux_Datos!$B:$B, idVenta, Aux_Datos!$K:$K), 0),
  retenciones, IFERROR(SUMIF(Aux_Datos!$N:$N, idVenta, Aux_Datos!$R:$R), 0),
  pagos + retenciones
)</f>
        <v>115.9989723</v>
      </c>
      <c r="Q242" s="30" t="str">
        <f>IF(P242=0, "Sin Pago", 
  LET(
    idVenta, I242&amp;"",
    montoTotalPagado, P242,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242" s="30">
        <f t="shared" si="15"/>
        <v>0</v>
      </c>
      <c r="S242" s="29">
        <f>IF(P242=0, "Sin Pago", 
  IFERROR(
    MAXIFS(Aux_Datos!$A:$A, Aux_Datos!$B:$B, I242&amp;""), 
    IFERROR(MAXIFS(Aux_Datos!$A:$A, Aux_Datos!$B:$B, VALUE(I242)), "Revisar ID")
  )
)</f>
        <v>46167</v>
      </c>
      <c r="T242" s="35" t="str">
        <f t="shared" si="9"/>
        <v>PAGADA</v>
      </c>
      <c r="U242" s="35" t="str">
        <f t="shared" si="10"/>
        <v>SOLVENTE</v>
      </c>
      <c r="V242" s="32">
        <f t="shared" si="11"/>
        <v>0</v>
      </c>
      <c r="W242" s="36" t="str">
        <f>IF(P242=0, "Sin Pago", 
  LET(
    monedaPago, Q242, 
    descuentoAplicado, G242,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42" s="36" t="str">
        <f t="shared" si="12"/>
        <v/>
      </c>
      <c r="Y242" s="36">
        <v>115.99897229939717</v>
      </c>
      <c r="Z242" s="33" t="s">
        <v>596</v>
      </c>
      <c r="AA242" s="33"/>
      <c r="AB242" s="33"/>
      <c r="AC242" s="33"/>
      <c r="AD242" s="33"/>
      <c r="AE242" s="33"/>
      <c r="AF242" s="33"/>
    </row>
    <row r="243" ht="22.5" customHeight="1">
      <c r="A243" s="23" t="s">
        <v>788</v>
      </c>
      <c r="B243" s="41">
        <v>46141.666493055556</v>
      </c>
      <c r="C243" s="23" t="s">
        <v>445</v>
      </c>
      <c r="D243" s="23" t="s">
        <v>552</v>
      </c>
      <c r="E243" s="25">
        <v>80.04</v>
      </c>
      <c r="F243" s="23" t="s">
        <v>608</v>
      </c>
      <c r="G243" s="26">
        <f>IF($E243=0,0,IF(SUMIF(Aux_Datos!$B:$B,$I243,Aux_Datos!$K:$K)/$E243&gt;=VLOOKUP(IF(COUNTIFS(Aux_Datos!$B:$B,$I243,Aux_Datos!$D:$D,"&lt;&gt;USD")=0,"USD","VES"),'Limites de Descuento'!$A$2:$D$4,4,FALSE),MAX(0,1-SUMIF(Aux_Datos!$B:$B,$I243,Aux_Datos!$K:$K)/$E243),0))</f>
        <v>0</v>
      </c>
      <c r="H243" s="27"/>
      <c r="I243" s="28">
        <f t="shared" si="14"/>
        <v>306</v>
      </c>
      <c r="J243" s="29">
        <f t="shared" si="2"/>
        <v>46141</v>
      </c>
      <c r="K243" s="30">
        <f t="shared" si="3"/>
        <v>7</v>
      </c>
      <c r="L243" s="29">
        <f t="shared" si="4"/>
        <v>46149</v>
      </c>
      <c r="M243" s="30">
        <f t="shared" si="5"/>
        <v>80.04</v>
      </c>
      <c r="N243" s="32">
        <f t="shared" si="6"/>
        <v>0</v>
      </c>
      <c r="O243" s="33" t="str">
        <f t="shared" si="7"/>
        <v>PAGADA</v>
      </c>
      <c r="P243" s="34">
        <f>LET(
  idVenta, I243&amp;"",
  montoTotal, M243,
  pagos, IFERROR(SUMIF(Aux_Datos!$B:$B, idVenta, Aux_Datos!$K:$K), 0),
  retenciones, IFERROR(SUMIF(Aux_Datos!$N:$N, idVenta, Aux_Datos!$R:$R), 0),
  pagos + retenciones
)</f>
        <v>80.10613241</v>
      </c>
      <c r="Q243" s="30" t="str">
        <f>IF(P243=0, "Sin Pago", 
  LET(
    idVenta, I243&amp;"",
    montoTotalPagado, P243,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243" s="30">
        <f t="shared" si="15"/>
        <v>-0.06613240737</v>
      </c>
      <c r="S243" s="29">
        <f>IF(P243=0, "Sin Pago", 
  IFERROR(
    MAXIFS(Aux_Datos!$A:$A, Aux_Datos!$B:$B, I243&amp;""), 
    IFERROR(MAXIFS(Aux_Datos!$A:$A, Aux_Datos!$B:$B, VALUE(I243)), "Revisar ID")
  )
)</f>
        <v>46169</v>
      </c>
      <c r="T243" s="35" t="str">
        <f t="shared" si="9"/>
        <v>PAGADA</v>
      </c>
      <c r="U243" s="35" t="str">
        <f t="shared" si="10"/>
        <v>SOLVENTE</v>
      </c>
      <c r="V243" s="32">
        <f t="shared" si="11"/>
        <v>0</v>
      </c>
      <c r="W243" s="36" t="str">
        <f>IF(P243=0, "Sin Pago", 
  LET(
    monedaPago, Q243, 
    descuentoAplicado, G243,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43" s="36" t="str">
        <f t="shared" si="12"/>
        <v/>
      </c>
      <c r="Y243" s="36">
        <v>80.10613240736942</v>
      </c>
      <c r="Z243" s="33" t="s">
        <v>596</v>
      </c>
      <c r="AA243" s="33"/>
      <c r="AB243" s="33"/>
      <c r="AC243" s="33"/>
      <c r="AD243" s="33"/>
      <c r="AE243" s="33"/>
      <c r="AF243" s="33"/>
    </row>
    <row r="244" ht="22.5" customHeight="1">
      <c r="A244" s="23" t="s">
        <v>243</v>
      </c>
      <c r="B244" s="41">
        <v>46142.40409722222</v>
      </c>
      <c r="C244" s="23" t="s">
        <v>242</v>
      </c>
      <c r="D244" s="23" t="s">
        <v>323</v>
      </c>
      <c r="E244" s="25">
        <v>98.41</v>
      </c>
      <c r="F244" s="23" t="s">
        <v>593</v>
      </c>
      <c r="G244" s="26">
        <f>IF($E244=0,0,IF(SUMIF(Aux_Datos!$B:$B,$I244,Aux_Datos!$K:$K)/$E244&gt;=VLOOKUP(IF(COUNTIFS(Aux_Datos!$B:$B,$I244,Aux_Datos!$D:$D,"&lt;&gt;USD")=0,"USD","VES"),'Limites de Descuento'!$A$2:$D$4,4,FALSE),MAX(0,1-SUMIF(Aux_Datos!$B:$B,$I244,Aux_Datos!$K:$K)/$E244),0))</f>
        <v>0</v>
      </c>
      <c r="H244" s="27"/>
      <c r="I244" s="28">
        <f t="shared" si="14"/>
        <v>308</v>
      </c>
      <c r="J244" s="29">
        <f t="shared" si="2"/>
        <v>46142</v>
      </c>
      <c r="K244" s="30">
        <f t="shared" si="3"/>
        <v>0</v>
      </c>
      <c r="L244" s="29">
        <f t="shared" si="4"/>
        <v>46143</v>
      </c>
      <c r="M244" s="30">
        <f t="shared" si="5"/>
        <v>98.41</v>
      </c>
      <c r="N244" s="32">
        <f t="shared" si="6"/>
        <v>57</v>
      </c>
      <c r="O244" s="33" t="str">
        <f t="shared" si="7"/>
        <v>VENCIDA</v>
      </c>
      <c r="P244" s="34">
        <f>LET(
  idVenta, I244&amp;"",
  montoTotal, M244,
  pagos, IFERROR(SUMIF(Aux_Datos!$B:$B, idVenta, Aux_Datos!$K:$K), 0),
  retenciones, IFERROR(SUMIF(Aux_Datos!$N:$N, idVenta, Aux_Datos!$R:$R), 0),
  pagos + retenciones
)</f>
        <v>0</v>
      </c>
      <c r="Q244" s="30" t="str">
        <f>IF(P244=0, "Sin Pago", 
  LET(
    idVenta, I244&amp;"",
    montoTotalPagado, P244,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244" s="30">
        <f t="shared" si="15"/>
        <v>98.41</v>
      </c>
      <c r="S244" s="29" t="str">
        <f>IF(P244=0, "Sin Pago", 
  IFERROR(
    MAXIFS(Aux_Datos!$A:$A, Aux_Datos!$B:$B, I244&amp;""), 
    IFERROR(MAXIFS(Aux_Datos!$A:$A, Aux_Datos!$B:$B, VALUE(I244)), "Revisar ID")
  )
)</f>
        <v>Sin Pago</v>
      </c>
      <c r="T244" s="35" t="str">
        <f t="shared" si="9"/>
        <v>PENDIENTE</v>
      </c>
      <c r="U244" s="35" t="str">
        <f t="shared" si="10"/>
        <v>CRÍTICO: VENCIDA</v>
      </c>
      <c r="V244" s="32">
        <f t="shared" si="11"/>
        <v>0</v>
      </c>
      <c r="W244" s="36" t="str">
        <f>IF(P244=0, "Sin Pago", 
  LET(
    monedaPago, Q244, 
    descuentoAplicado, G244,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244" s="36" t="str">
        <f t="shared" si="12"/>
        <v/>
      </c>
      <c r="Y244" s="36">
        <v>0.0</v>
      </c>
      <c r="Z244" s="33" t="s">
        <v>641</v>
      </c>
      <c r="AA244" s="33"/>
      <c r="AB244" s="33"/>
      <c r="AC244" s="33"/>
      <c r="AD244" s="33"/>
      <c r="AE244" s="33"/>
      <c r="AF244" s="33"/>
    </row>
    <row r="245" ht="22.5" customHeight="1">
      <c r="A245" s="23" t="s">
        <v>789</v>
      </c>
      <c r="B245" s="41">
        <v>46142.48578703704</v>
      </c>
      <c r="C245" s="23" t="s">
        <v>38</v>
      </c>
      <c r="D245" s="23" t="s">
        <v>552</v>
      </c>
      <c r="E245" s="25">
        <v>197.2</v>
      </c>
      <c r="F245" s="23" t="s">
        <v>608</v>
      </c>
      <c r="G245" s="26">
        <f>IF($E245=0,0,IF(SUMIF(Aux_Datos!$B:$B,$I245,Aux_Datos!$K:$K)/$E245&gt;=VLOOKUP(IF(COUNTIFS(Aux_Datos!$B:$B,$I245,Aux_Datos!$D:$D,"&lt;&gt;USD")=0,"USD","VES"),'Limites de Descuento'!$A$2:$D$4,4,FALSE),MAX(0,1-SUMIF(Aux_Datos!$B:$B,$I245,Aux_Datos!$K:$K)/$E245),0))</f>
        <v>0</v>
      </c>
      <c r="H245" s="27"/>
      <c r="I245" s="28">
        <f t="shared" si="14"/>
        <v>309</v>
      </c>
      <c r="J245" s="29">
        <f t="shared" si="2"/>
        <v>46142</v>
      </c>
      <c r="K245" s="30">
        <f t="shared" si="3"/>
        <v>7</v>
      </c>
      <c r="L245" s="29">
        <f t="shared" si="4"/>
        <v>46150</v>
      </c>
      <c r="M245" s="30">
        <f t="shared" si="5"/>
        <v>197.2</v>
      </c>
      <c r="N245" s="32">
        <f t="shared" si="6"/>
        <v>0</v>
      </c>
      <c r="O245" s="33" t="str">
        <f t="shared" si="7"/>
        <v>PAGADA</v>
      </c>
      <c r="P245" s="34">
        <f>LET(
  idVenta, I245&amp;"",
  montoTotal, M245,
  pagos, IFERROR(SUMIF(Aux_Datos!$B:$B, idVenta, Aux_Datos!$K:$K), 0),
  retenciones, IFERROR(SUMIF(Aux_Datos!$N:$N, idVenta, Aux_Datos!$R:$R), 0),
  pagos + retenciones
)</f>
        <v>199.2903744</v>
      </c>
      <c r="Q245" s="30" t="str">
        <f>IF(P245=0, "Sin Pago", 
  LET(
    idVenta, I245&amp;"",
    montoTotalPagado, P245,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245" s="30">
        <f t="shared" si="15"/>
        <v>-2.090374427</v>
      </c>
      <c r="S245" s="29">
        <f>IF(P245=0, "Sin Pago", 
  IFERROR(
    MAXIFS(Aux_Datos!$A:$A, Aux_Datos!$B:$B, I245&amp;""), 
    IFERROR(MAXIFS(Aux_Datos!$A:$A, Aux_Datos!$B:$B, VALUE(I245)), "Revisar ID")
  )
)</f>
        <v>46163</v>
      </c>
      <c r="T245" s="35" t="str">
        <f t="shared" si="9"/>
        <v>PAGADA</v>
      </c>
      <c r="U245" s="35" t="str">
        <f t="shared" si="10"/>
        <v>SOLVENTE</v>
      </c>
      <c r="V245" s="32">
        <f t="shared" si="11"/>
        <v>0</v>
      </c>
      <c r="W245" s="36" t="str">
        <f>IF(P245=0, "Sin Pago", 
  LET(
    monedaPago, Q245, 
    descuentoAplicado, G245,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45" s="36" t="str">
        <f t="shared" si="12"/>
        <v/>
      </c>
      <c r="Y245" s="36">
        <v>199.29037442675545</v>
      </c>
      <c r="Z245" s="33" t="s">
        <v>596</v>
      </c>
      <c r="AA245" s="33"/>
      <c r="AB245" s="33"/>
      <c r="AC245" s="33"/>
      <c r="AD245" s="33"/>
      <c r="AE245" s="33"/>
      <c r="AF245" s="33"/>
    </row>
    <row r="246" ht="22.5" customHeight="1">
      <c r="A246" s="23" t="s">
        <v>263</v>
      </c>
      <c r="B246" s="41">
        <v>46142.48604166666</v>
      </c>
      <c r="C246" s="23" t="s">
        <v>262</v>
      </c>
      <c r="D246" s="23" t="s">
        <v>538</v>
      </c>
      <c r="E246" s="25">
        <v>100.92</v>
      </c>
      <c r="F246" s="23" t="s">
        <v>608</v>
      </c>
      <c r="G246" s="26">
        <f>IF($E246=0,0,IF(SUMIF(Aux_Datos!$B:$B,$I246,Aux_Datos!$K:$K)/$E246&gt;=VLOOKUP(IF(COUNTIFS(Aux_Datos!$B:$B,$I246,Aux_Datos!$D:$D,"&lt;&gt;USD")=0,"USD","VES"),'Limites de Descuento'!$A$2:$D$4,4,FALSE),MAX(0,1-SUMIF(Aux_Datos!$B:$B,$I246,Aux_Datos!$K:$K)/$E246),0))</f>
        <v>0</v>
      </c>
      <c r="H246" s="27"/>
      <c r="I246" s="28">
        <f t="shared" si="14"/>
        <v>310</v>
      </c>
      <c r="J246" s="29">
        <f t="shared" si="2"/>
        <v>46142</v>
      </c>
      <c r="K246" s="30">
        <f t="shared" si="3"/>
        <v>7</v>
      </c>
      <c r="L246" s="29">
        <f t="shared" si="4"/>
        <v>46150</v>
      </c>
      <c r="M246" s="30">
        <f t="shared" si="5"/>
        <v>100.92</v>
      </c>
      <c r="N246" s="32">
        <f t="shared" si="6"/>
        <v>50</v>
      </c>
      <c r="O246" s="33" t="str">
        <f t="shared" si="7"/>
        <v>VENCIDA</v>
      </c>
      <c r="P246" s="34">
        <f>LET(
  idVenta, I246&amp;"",
  montoTotal, M246,
  pagos, IFERROR(SUMIF(Aux_Datos!$B:$B, idVenta, Aux_Datos!$K:$K), 0),
  retenciones, IFERROR(SUMIF(Aux_Datos!$N:$N, idVenta, Aux_Datos!$R:$R), 0),
  pagos + retenciones
)</f>
        <v>35</v>
      </c>
      <c r="Q246" s="30" t="str">
        <f>IF(P246=0, "Sin Pago", 
  LET(
    idVenta, I246&amp;"",
    montoTotalPagado, P246,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46" s="30">
        <f t="shared" si="15"/>
        <v>65.92</v>
      </c>
      <c r="S246" s="29">
        <f>IF(P246=0, "Sin Pago", 
  IFERROR(
    MAXIFS(Aux_Datos!$A:$A, Aux_Datos!$B:$B, I246&amp;""), 
    IFERROR(MAXIFS(Aux_Datos!$A:$A, Aux_Datos!$B:$B, VALUE(I246)), "Revisar ID")
  )
)</f>
        <v>46182</v>
      </c>
      <c r="T246" s="35" t="str">
        <f t="shared" si="9"/>
        <v>PAGO PARCIAL</v>
      </c>
      <c r="U246" s="35" t="str">
        <f t="shared" si="10"/>
        <v>CRÍTICO: VENCIDA</v>
      </c>
      <c r="V246" s="32">
        <f t="shared" si="11"/>
        <v>18</v>
      </c>
      <c r="W246" s="36" t="str">
        <f>IF(P246=0, "Sin Pago", 
  LET(
    monedaPago, Q246, 
    descuentoAplicado, G246,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46" s="36" t="str">
        <f t="shared" si="12"/>
        <v/>
      </c>
      <c r="Y246" s="36">
        <v>35.0</v>
      </c>
      <c r="Z246" s="33" t="s">
        <v>609</v>
      </c>
      <c r="AA246" s="33"/>
      <c r="AB246" s="33"/>
      <c r="AC246" s="33"/>
      <c r="AD246" s="33"/>
      <c r="AE246" s="33"/>
      <c r="AF246" s="33"/>
    </row>
    <row r="247" ht="22.5" customHeight="1">
      <c r="A247" s="23" t="s">
        <v>790</v>
      </c>
      <c r="B247" s="41">
        <v>46142.51451388889</v>
      </c>
      <c r="C247" s="23" t="s">
        <v>427</v>
      </c>
      <c r="D247" s="23" t="s">
        <v>323</v>
      </c>
      <c r="E247" s="25">
        <v>104.4</v>
      </c>
      <c r="F247" s="23" t="s">
        <v>593</v>
      </c>
      <c r="G247" s="26">
        <f>IF($E247=0,0,IF(SUMIF(Aux_Datos!$B:$B,$I247,Aux_Datos!$K:$K)/$E247&gt;=VLOOKUP(IF(COUNTIFS(Aux_Datos!$B:$B,$I247,Aux_Datos!$D:$D,"&lt;&gt;USD")=0,"USD","VES"),'Limites de Descuento'!$A$2:$D$4,4,FALSE),MAX(0,1-SUMIF(Aux_Datos!$B:$B,$I247,Aux_Datos!$K:$K)/$E247),0))</f>
        <v>0</v>
      </c>
      <c r="H247" s="27"/>
      <c r="I247" s="28">
        <f t="shared" si="14"/>
        <v>311</v>
      </c>
      <c r="J247" s="29">
        <f t="shared" si="2"/>
        <v>46142</v>
      </c>
      <c r="K247" s="30">
        <f t="shared" si="3"/>
        <v>0</v>
      </c>
      <c r="L247" s="29">
        <f t="shared" si="4"/>
        <v>46143</v>
      </c>
      <c r="M247" s="30">
        <f t="shared" si="5"/>
        <v>104.4</v>
      </c>
      <c r="N247" s="32">
        <f t="shared" si="6"/>
        <v>0</v>
      </c>
      <c r="O247" s="33" t="str">
        <f t="shared" si="7"/>
        <v>PAGADA</v>
      </c>
      <c r="P247" s="34">
        <f>LET(
  idVenta, I247&amp;"",
  montoTotal, M247,
  pagos, IFERROR(SUMIF(Aux_Datos!$B:$B, idVenta, Aux_Datos!$K:$K), 0),
  retenciones, IFERROR(SUMIF(Aux_Datos!$N:$N, idVenta, Aux_Datos!$R:$R), 0),
  pagos + retenciones
)</f>
        <v>133</v>
      </c>
      <c r="Q247" s="30" t="str">
        <f>IF(P247=0, "Sin Pago", 
  LET(
    idVenta, I247&amp;"",
    montoTotalPagado, P247,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47" s="30">
        <f t="shared" si="15"/>
        <v>-28.6</v>
      </c>
      <c r="S247" s="29">
        <f>IF(P247=0, "Sin Pago", 
  IFERROR(
    MAXIFS(Aux_Datos!$A:$A, Aux_Datos!$B:$B, I247&amp;""), 
    IFERROR(MAXIFS(Aux_Datos!$A:$A, Aux_Datos!$B:$B, VALUE(I247)), "Revisar ID")
  )
)</f>
        <v>46142</v>
      </c>
      <c r="T247" s="35" t="str">
        <f t="shared" si="9"/>
        <v>PAGADA</v>
      </c>
      <c r="U247" s="35" t="str">
        <f t="shared" si="10"/>
        <v>SOLVENTE</v>
      </c>
      <c r="V247" s="32">
        <f t="shared" si="11"/>
        <v>0</v>
      </c>
      <c r="W247" s="36" t="str">
        <f>IF(P247=0, "Sin Pago", 
  LET(
    monedaPago, Q247, 
    descuentoAplicado, G247,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47" s="36" t="str">
        <f t="shared" si="12"/>
        <v/>
      </c>
      <c r="Y247" s="36">
        <v>133.0</v>
      </c>
      <c r="Z247" s="33" t="s">
        <v>596</v>
      </c>
      <c r="AA247" s="33"/>
      <c r="AB247" s="33"/>
      <c r="AC247" s="33"/>
      <c r="AD247" s="33"/>
      <c r="AE247" s="33"/>
      <c r="AF247" s="33"/>
    </row>
    <row r="248" ht="22.5" customHeight="1">
      <c r="A248" s="23" t="s">
        <v>53</v>
      </c>
      <c r="B248" s="41">
        <v>46142.70712962963</v>
      </c>
      <c r="C248" s="23" t="s">
        <v>52</v>
      </c>
      <c r="D248" s="23" t="s">
        <v>550</v>
      </c>
      <c r="E248" s="25">
        <v>100.92</v>
      </c>
      <c r="F248" s="23" t="s">
        <v>608</v>
      </c>
      <c r="G248" s="26">
        <f>IF($E248=0,0,IF(SUMIF(Aux_Datos!$B:$B,$I248,Aux_Datos!$K:$K)/$E248&gt;=VLOOKUP(IF(COUNTIFS(Aux_Datos!$B:$B,$I248,Aux_Datos!$D:$D,"&lt;&gt;USD")=0,"USD","VES"),'Limites de Descuento'!$A$2:$D$4,4,FALSE),MAX(0,1-SUMIF(Aux_Datos!$B:$B,$I248,Aux_Datos!$K:$K)/$E248),0))</f>
        <v>0</v>
      </c>
      <c r="H248" s="27"/>
      <c r="I248" s="28">
        <f t="shared" si="14"/>
        <v>313</v>
      </c>
      <c r="J248" s="29">
        <f t="shared" si="2"/>
        <v>46142</v>
      </c>
      <c r="K248" s="30">
        <f t="shared" si="3"/>
        <v>7</v>
      </c>
      <c r="L248" s="29">
        <f t="shared" si="4"/>
        <v>46150</v>
      </c>
      <c r="M248" s="30">
        <f t="shared" si="5"/>
        <v>100.92</v>
      </c>
      <c r="N248" s="32">
        <f t="shared" si="6"/>
        <v>50</v>
      </c>
      <c r="O248" s="33" t="str">
        <f t="shared" si="7"/>
        <v>VENCIDA</v>
      </c>
      <c r="P248" s="37">
        <v>65.0</v>
      </c>
      <c r="Q248" s="30" t="str">
        <f>IF(P248=0, "Sin Pago", 
  LET(
    idVenta, I248&amp;"",
    montoTotalPagado, P248,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MIXTO</v>
      </c>
      <c r="R248" s="30">
        <f t="shared" si="15"/>
        <v>35.92</v>
      </c>
      <c r="S248" s="29">
        <f>IF(P248=0, "Sin Pago", 
  IFERROR(
    MAXIFS(Aux_Datos!$A:$A, Aux_Datos!$B:$B, I248&amp;""), 
    IFERROR(MAXIFS(Aux_Datos!$A:$A, Aux_Datos!$B:$B, VALUE(I248)), "Revisar ID")
  )
)</f>
        <v>46142</v>
      </c>
      <c r="T248" s="35" t="str">
        <f t="shared" si="9"/>
        <v>PAGO PARCIAL</v>
      </c>
      <c r="U248" s="35" t="str">
        <f t="shared" si="10"/>
        <v>CRÍTICO: VENCIDA</v>
      </c>
      <c r="V248" s="32">
        <f t="shared" si="11"/>
        <v>58</v>
      </c>
      <c r="W248" s="36" t="str">
        <f>IF(P248=0, "Sin Pago", 
  LET(
    monedaPago, Q248, 
    descuentoAplicado, G248,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48" s="36" t="str">
        <f t="shared" si="12"/>
        <v/>
      </c>
      <c r="Y248" s="36">
        <v>40.0</v>
      </c>
      <c r="Z248" s="33" t="s">
        <v>609</v>
      </c>
      <c r="AA248" s="33"/>
      <c r="AB248" s="33"/>
      <c r="AC248" s="33"/>
      <c r="AD248" s="33"/>
      <c r="AE248" s="33"/>
      <c r="AF248" s="33"/>
    </row>
    <row r="249" ht="22.5" customHeight="1">
      <c r="A249" s="23" t="s">
        <v>9</v>
      </c>
      <c r="B249" s="41">
        <v>46146.352060185185</v>
      </c>
      <c r="C249" s="23" t="s">
        <v>5</v>
      </c>
      <c r="D249" s="23" t="s">
        <v>552</v>
      </c>
      <c r="E249" s="25">
        <v>362.42</v>
      </c>
      <c r="F249" s="23" t="s">
        <v>608</v>
      </c>
      <c r="G249" s="26">
        <f>IF($E249=0,0,IF(SUMIF(Aux_Datos!$B:$B,$I249,Aux_Datos!$K:$K)/$E249&gt;=VLOOKUP(IF(COUNTIFS(Aux_Datos!$B:$B,$I249,Aux_Datos!$D:$D,"&lt;&gt;USD")=0,"USD","VES"),'Limites de Descuento'!$A$2:$D$4,4,FALSE),MAX(0,1-SUMIF(Aux_Datos!$B:$B,$I249,Aux_Datos!$K:$K)/$E249),0))</f>
        <v>0</v>
      </c>
      <c r="H249" s="27"/>
      <c r="I249" s="28">
        <f t="shared" si="14"/>
        <v>314</v>
      </c>
      <c r="J249" s="29">
        <f t="shared" si="2"/>
        <v>46146</v>
      </c>
      <c r="K249" s="30">
        <f t="shared" si="3"/>
        <v>7</v>
      </c>
      <c r="L249" s="29">
        <f t="shared" si="4"/>
        <v>46154</v>
      </c>
      <c r="M249" s="30">
        <f t="shared" si="5"/>
        <v>362.42</v>
      </c>
      <c r="N249" s="32">
        <f t="shared" si="6"/>
        <v>46</v>
      </c>
      <c r="O249" s="33" t="str">
        <f t="shared" si="7"/>
        <v>VENCIDA</v>
      </c>
      <c r="P249" s="34">
        <f>LET(
  idVenta, I249&amp;"",
  montoTotal, M249,
  pagos, IFERROR(SUMIF(Aux_Datos!$B:$B, idVenta, Aux_Datos!$K:$K), 0),
  retenciones, IFERROR(SUMIF(Aux_Datos!$N:$N, idVenta, Aux_Datos!$R:$R), 0),
  pagos + retenciones
)</f>
        <v>226</v>
      </c>
      <c r="Q249" s="30" t="str">
        <f>IF(P249=0, "Sin Pago", 
  LET(
    idVenta, I249&amp;"",
    montoTotalPagado, P249,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49" s="30">
        <f t="shared" si="15"/>
        <v>136.42</v>
      </c>
      <c r="S249" s="29">
        <f>IF(P249=0, "Sin Pago", 
  IFERROR(
    MAXIFS(Aux_Datos!$A:$A, Aux_Datos!$B:$B, I249&amp;""), 
    IFERROR(MAXIFS(Aux_Datos!$A:$A, Aux_Datos!$B:$B, VALUE(I249)), "Revisar ID")
  )
)</f>
        <v>46147</v>
      </c>
      <c r="T249" s="35" t="str">
        <f t="shared" si="9"/>
        <v>PAGO PARCIAL</v>
      </c>
      <c r="U249" s="35" t="str">
        <f t="shared" si="10"/>
        <v>CRÍTICO: VENCIDA</v>
      </c>
      <c r="V249" s="32">
        <f t="shared" si="11"/>
        <v>53</v>
      </c>
      <c r="W249" s="36" t="str">
        <f>IF(P249=0, "Sin Pago", 
  LET(
    monedaPago, Q249, 
    descuentoAplicado, G249,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49" s="36" t="str">
        <f t="shared" si="12"/>
        <v/>
      </c>
      <c r="Y249" s="36">
        <v>226.0</v>
      </c>
      <c r="Z249" s="33" t="s">
        <v>609</v>
      </c>
      <c r="AA249" s="33"/>
      <c r="AB249" s="33"/>
      <c r="AC249" s="33"/>
      <c r="AD249" s="33"/>
      <c r="AE249" s="33"/>
      <c r="AF249" s="33"/>
    </row>
    <row r="250" ht="22.5" customHeight="1">
      <c r="A250" s="23" t="s">
        <v>86</v>
      </c>
      <c r="B250" s="41">
        <v>46146.5008912037</v>
      </c>
      <c r="C250" s="23" t="s">
        <v>84</v>
      </c>
      <c r="D250" s="23" t="s">
        <v>556</v>
      </c>
      <c r="E250" s="25">
        <v>807.96</v>
      </c>
      <c r="F250" s="23" t="s">
        <v>608</v>
      </c>
      <c r="G250" s="26">
        <f>IF($E250=0,0,IF(SUMIF(Aux_Datos!$B:$B,$I250,Aux_Datos!$K:$K)/$E250&gt;=VLOOKUP(IF(COUNTIFS(Aux_Datos!$B:$B,$I250,Aux_Datos!$D:$D,"&lt;&gt;USD")=0,"USD","VES"),'Limites de Descuento'!$A$2:$D$4,4,FALSE),MAX(0,1-SUMIF(Aux_Datos!$B:$B,$I250,Aux_Datos!$K:$K)/$E250),0))</f>
        <v>0</v>
      </c>
      <c r="H250" s="27"/>
      <c r="I250" s="28">
        <f t="shared" si="14"/>
        <v>315</v>
      </c>
      <c r="J250" s="29">
        <f t="shared" si="2"/>
        <v>46146</v>
      </c>
      <c r="K250" s="30">
        <f t="shared" si="3"/>
        <v>7</v>
      </c>
      <c r="L250" s="29">
        <f t="shared" si="4"/>
        <v>46154</v>
      </c>
      <c r="M250" s="30">
        <f t="shared" si="5"/>
        <v>807.96</v>
      </c>
      <c r="N250" s="32">
        <f t="shared" si="6"/>
        <v>46</v>
      </c>
      <c r="O250" s="33" t="str">
        <f t="shared" si="7"/>
        <v>VENCIDA</v>
      </c>
      <c r="P250" s="34">
        <f>LET(
  idVenta, I250&amp;"",
  montoTotal, M250,
  pagos, IFERROR(SUMIF(Aux_Datos!$B:$B, idVenta, Aux_Datos!$K:$K), 0),
  retenciones, IFERROR(SUMIF(Aux_Datos!$N:$N, idVenta, Aux_Datos!$R:$R), 0),
  pagos + retenciones
)</f>
        <v>0</v>
      </c>
      <c r="Q250" s="30" t="str">
        <f>IF(P250=0, "Sin Pago", 
  LET(
    idVenta, I250&amp;"",
    montoTotalPagado, P250,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250" s="30">
        <f t="shared" si="15"/>
        <v>807.96</v>
      </c>
      <c r="S250" s="29" t="str">
        <f>IF(P250=0, "Sin Pago", 
  IFERROR(
    MAXIFS(Aux_Datos!$A:$A, Aux_Datos!$B:$B, I250&amp;""), 
    IFERROR(MAXIFS(Aux_Datos!$A:$A, Aux_Datos!$B:$B, VALUE(I250)), "Revisar ID")
  )
)</f>
        <v>Sin Pago</v>
      </c>
      <c r="T250" s="35" t="str">
        <f t="shared" si="9"/>
        <v>PENDIENTE</v>
      </c>
      <c r="U250" s="35" t="str">
        <f t="shared" si="10"/>
        <v>CRÍTICO: VENCIDA</v>
      </c>
      <c r="V250" s="32">
        <f t="shared" si="11"/>
        <v>0</v>
      </c>
      <c r="W250" s="36" t="str">
        <f>IF(P250=0, "Sin Pago", 
  LET(
    monedaPago, Q250, 
    descuentoAplicado, G250,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250" s="36" t="str">
        <f t="shared" si="12"/>
        <v/>
      </c>
      <c r="Y250" s="36">
        <v>0.0</v>
      </c>
      <c r="Z250" s="33" t="s">
        <v>641</v>
      </c>
      <c r="AA250" s="33"/>
      <c r="AB250" s="33"/>
      <c r="AC250" s="33"/>
      <c r="AD250" s="33"/>
      <c r="AE250" s="33"/>
      <c r="AF250" s="33"/>
    </row>
    <row r="251" ht="22.5" customHeight="1">
      <c r="A251" s="23" t="s">
        <v>791</v>
      </c>
      <c r="B251" s="41">
        <v>46146.501122685186</v>
      </c>
      <c r="C251" s="23" t="s">
        <v>792</v>
      </c>
      <c r="D251" s="23" t="s">
        <v>552</v>
      </c>
      <c r="E251" s="25">
        <v>83.52</v>
      </c>
      <c r="F251" s="23" t="s">
        <v>608</v>
      </c>
      <c r="G251" s="26">
        <f>IF($E251=0,0,IF(SUMIF(Aux_Datos!$B:$B,$I251,Aux_Datos!$K:$K)/$E251&gt;=VLOOKUP(IF(COUNTIFS(Aux_Datos!$B:$B,$I251,Aux_Datos!$D:$D,"&lt;&gt;USD")=0,"USD","VES"),'Limites de Descuento'!$A$2:$D$4,4,FALSE),MAX(0,1-SUMIF(Aux_Datos!$B:$B,$I251,Aux_Datos!$K:$K)/$E251),0))</f>
        <v>0.00556354998</v>
      </c>
      <c r="H251" s="27"/>
      <c r="I251" s="28">
        <f t="shared" si="14"/>
        <v>316</v>
      </c>
      <c r="J251" s="29">
        <f t="shared" si="2"/>
        <v>46146</v>
      </c>
      <c r="K251" s="30">
        <f t="shared" si="3"/>
        <v>7</v>
      </c>
      <c r="L251" s="29">
        <f t="shared" si="4"/>
        <v>46154</v>
      </c>
      <c r="M251" s="30">
        <f t="shared" si="5"/>
        <v>83.05533231</v>
      </c>
      <c r="N251" s="32">
        <f t="shared" si="6"/>
        <v>0</v>
      </c>
      <c r="O251" s="33" t="str">
        <f t="shared" si="7"/>
        <v>PAGADA</v>
      </c>
      <c r="P251" s="34">
        <f>LET(
  idVenta, I251&amp;"",
  montoTotal, M251,
  pagos, IFERROR(SUMIF(Aux_Datos!$B:$B, idVenta, Aux_Datos!$K:$K), 0),
  retenciones, IFERROR(SUMIF(Aux_Datos!$N:$N, idVenta, Aux_Datos!$R:$R), 0),
  pagos + retenciones
)</f>
        <v>83.05533231</v>
      </c>
      <c r="Q251" s="30" t="str">
        <f>IF(P251=0, "Sin Pago", 
  LET(
    idVenta, I251&amp;"",
    montoTotalPagado, P251,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251" s="30">
        <f t="shared" si="15"/>
        <v>0</v>
      </c>
      <c r="S251" s="29">
        <f>IF(P251=0, "Sin Pago", 
  IFERROR(
    MAXIFS(Aux_Datos!$A:$A, Aux_Datos!$B:$B, I251&amp;""), 
    IFERROR(MAXIFS(Aux_Datos!$A:$A, Aux_Datos!$B:$B, VALUE(I251)), "Revisar ID")
  )
)</f>
        <v>46168</v>
      </c>
      <c r="T251" s="35" t="str">
        <f t="shared" si="9"/>
        <v>PAGADA</v>
      </c>
      <c r="U251" s="35" t="str">
        <f t="shared" si="10"/>
        <v>SOLVENTE</v>
      </c>
      <c r="V251" s="32">
        <f t="shared" si="11"/>
        <v>0</v>
      </c>
      <c r="W251" s="36" t="str">
        <f>IF(P251=0, "Sin Pago", 
  LET(
    monedaPago, Q251, 
    descuentoAplicado, G251,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51" s="36" t="str">
        <f t="shared" si="12"/>
        <v/>
      </c>
      <c r="Y251" s="36">
        <v>83.05533230569259</v>
      </c>
      <c r="Z251" s="33" t="s">
        <v>596</v>
      </c>
      <c r="AA251" s="33"/>
      <c r="AB251" s="33"/>
      <c r="AC251" s="33"/>
      <c r="AD251" s="33"/>
      <c r="AE251" s="33"/>
      <c r="AF251" s="33"/>
    </row>
    <row r="252" ht="22.5" customHeight="1">
      <c r="A252" s="23" t="s">
        <v>46</v>
      </c>
      <c r="B252" s="41">
        <v>46146.64706018518</v>
      </c>
      <c r="C252" s="23" t="s">
        <v>44</v>
      </c>
      <c r="D252" s="23" t="s">
        <v>556</v>
      </c>
      <c r="E252" s="25">
        <v>357.28</v>
      </c>
      <c r="F252" s="23" t="s">
        <v>608</v>
      </c>
      <c r="G252" s="26">
        <f>IF($E252=0,0,IF(SUMIF(Aux_Datos!$B:$B,$I252,Aux_Datos!$K:$K)/$E252&gt;=VLOOKUP(IF(COUNTIFS(Aux_Datos!$B:$B,$I252,Aux_Datos!$D:$D,"&lt;&gt;USD")=0,"USD","VES"),'Limites de Descuento'!$A$2:$D$4,4,FALSE),MAX(0,1-SUMIF(Aux_Datos!$B:$B,$I252,Aux_Datos!$K:$K)/$E252),0))</f>
        <v>0</v>
      </c>
      <c r="H252" s="27"/>
      <c r="I252" s="28">
        <f t="shared" si="14"/>
        <v>317</v>
      </c>
      <c r="J252" s="29">
        <f t="shared" si="2"/>
        <v>46146</v>
      </c>
      <c r="K252" s="30">
        <f t="shared" si="3"/>
        <v>7</v>
      </c>
      <c r="L252" s="29">
        <f t="shared" si="4"/>
        <v>46154</v>
      </c>
      <c r="M252" s="30">
        <f t="shared" si="5"/>
        <v>357.28</v>
      </c>
      <c r="N252" s="32">
        <f t="shared" si="6"/>
        <v>46</v>
      </c>
      <c r="O252" s="33" t="str">
        <f t="shared" si="7"/>
        <v>VENCIDA</v>
      </c>
      <c r="P252" s="34">
        <f>LET(
  idVenta, I252&amp;"",
  montoTotal, M252,
  pagos, IFERROR(SUMIF(Aux_Datos!$B:$B, idVenta, Aux_Datos!$K:$K), 0),
  retenciones, IFERROR(SUMIF(Aux_Datos!$N:$N, idVenta, Aux_Datos!$R:$R), 0),
  pagos + retenciones
)</f>
        <v>100</v>
      </c>
      <c r="Q252" s="30" t="str">
        <f>IF(P252=0, "Sin Pago", 
  LET(
    idVenta, I252&amp;"",
    montoTotalPagado, P252,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52" s="30">
        <f t="shared" si="15"/>
        <v>257.28</v>
      </c>
      <c r="S252" s="29">
        <f>IF(P252=0, "Sin Pago", 
  IFERROR(
    MAXIFS(Aux_Datos!$A:$A, Aux_Datos!$B:$B, I252&amp;""), 
    IFERROR(MAXIFS(Aux_Datos!$A:$A, Aux_Datos!$B:$B, VALUE(I252)), "Revisar ID")
  )
)</f>
        <v>46188</v>
      </c>
      <c r="T252" s="35" t="str">
        <f t="shared" si="9"/>
        <v>PAGO PARCIAL</v>
      </c>
      <c r="U252" s="35" t="str">
        <f t="shared" si="10"/>
        <v>CRÍTICO: VENCIDA</v>
      </c>
      <c r="V252" s="32">
        <f t="shared" si="11"/>
        <v>12</v>
      </c>
      <c r="W252" s="36" t="str">
        <f>IF(P252=0, "Sin Pago", 
  LET(
    monedaPago, Q252, 
    descuentoAplicado, G252,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52" s="36" t="str">
        <f t="shared" si="12"/>
        <v/>
      </c>
      <c r="Y252" s="36">
        <v>100.0</v>
      </c>
      <c r="Z252" s="33" t="s">
        <v>609</v>
      </c>
      <c r="AA252" s="33"/>
      <c r="AB252" s="33"/>
      <c r="AC252" s="33"/>
      <c r="AD252" s="33"/>
      <c r="AE252" s="33"/>
      <c r="AF252" s="33"/>
    </row>
    <row r="253" ht="22.5" customHeight="1">
      <c r="A253" s="23" t="s">
        <v>793</v>
      </c>
      <c r="B253" s="41">
        <v>46146.647256944445</v>
      </c>
      <c r="C253" s="23" t="s">
        <v>372</v>
      </c>
      <c r="D253" s="23" t="s">
        <v>552</v>
      </c>
      <c r="E253" s="25">
        <v>81.2</v>
      </c>
      <c r="F253" s="23" t="s">
        <v>608</v>
      </c>
      <c r="G253" s="26">
        <f>IF($E253=0,0,IF(SUMIF(Aux_Datos!$B:$B,$I253,Aux_Datos!$K:$K)/$E253&gt;=VLOOKUP(IF(COUNTIFS(Aux_Datos!$B:$B,$I253,Aux_Datos!$D:$D,"&lt;&gt;USD")=0,"USD","VES"),'Limites de Descuento'!$A$2:$D$4,4,FALSE),MAX(0,1-SUMIF(Aux_Datos!$B:$B,$I253,Aux_Datos!$K:$K)/$E253),0))</f>
        <v>0.3472906404</v>
      </c>
      <c r="H253" s="27"/>
      <c r="I253" s="28">
        <f t="shared" si="14"/>
        <v>318</v>
      </c>
      <c r="J253" s="29">
        <f t="shared" si="2"/>
        <v>46146</v>
      </c>
      <c r="K253" s="30">
        <f t="shared" si="3"/>
        <v>7</v>
      </c>
      <c r="L253" s="29">
        <f t="shared" si="4"/>
        <v>46154</v>
      </c>
      <c r="M253" s="30">
        <f t="shared" si="5"/>
        <v>53</v>
      </c>
      <c r="N253" s="32">
        <f t="shared" si="6"/>
        <v>0</v>
      </c>
      <c r="O253" s="33" t="str">
        <f t="shared" si="7"/>
        <v>PAGADA</v>
      </c>
      <c r="P253" s="34">
        <f>LET(
  idVenta, I253&amp;"",
  montoTotal, M253,
  pagos, IFERROR(SUMIF(Aux_Datos!$B:$B, idVenta, Aux_Datos!$K:$K), 0),
  retenciones, IFERROR(SUMIF(Aux_Datos!$N:$N, idVenta, Aux_Datos!$R:$R), 0),
  pagos + retenciones
)</f>
        <v>53</v>
      </c>
      <c r="Q253" s="30" t="str">
        <f>IF(P253=0, "Sin Pago", 
  LET(
    idVenta, I253&amp;"",
    montoTotalPagado, P253,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53" s="30">
        <f t="shared" si="15"/>
        <v>0</v>
      </c>
      <c r="S253" s="29">
        <f>IF(P253=0, "Sin Pago", 
  IFERROR(
    MAXIFS(Aux_Datos!$A:$A, Aux_Datos!$B:$B, I253&amp;""), 
    IFERROR(MAXIFS(Aux_Datos!$A:$A, Aux_Datos!$B:$B, VALUE(I253)), "Revisar ID")
  )
)</f>
        <v>46168</v>
      </c>
      <c r="T253" s="35" t="str">
        <f t="shared" si="9"/>
        <v>PAGADA</v>
      </c>
      <c r="U253" s="35" t="str">
        <f t="shared" si="10"/>
        <v>SOLVENTE</v>
      </c>
      <c r="V253" s="32">
        <f t="shared" si="11"/>
        <v>0</v>
      </c>
      <c r="W253" s="36" t="str">
        <f>IF(P253=0, "Sin Pago", 
  LET(
    monedaPago, Q253, 
    descuentoAplicado, G253,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53" s="36" t="str">
        <f t="shared" si="12"/>
        <v/>
      </c>
      <c r="Y253" s="36">
        <v>53.0</v>
      </c>
      <c r="Z253" s="33" t="s">
        <v>596</v>
      </c>
      <c r="AA253" s="33"/>
      <c r="AB253" s="33"/>
      <c r="AC253" s="33"/>
      <c r="AD253" s="33"/>
      <c r="AE253" s="33"/>
      <c r="AF253" s="33"/>
    </row>
    <row r="254" ht="22.5" customHeight="1">
      <c r="A254" s="23" t="s">
        <v>275</v>
      </c>
      <c r="B254" s="41">
        <v>46146.671064814815</v>
      </c>
      <c r="C254" s="23" t="s">
        <v>274</v>
      </c>
      <c r="D254" s="23" t="s">
        <v>353</v>
      </c>
      <c r="E254" s="25">
        <v>499.96</v>
      </c>
      <c r="F254" s="23" t="s">
        <v>608</v>
      </c>
      <c r="G254" s="26">
        <f>IF($E254=0,0,IF(SUMIF(Aux_Datos!$B:$B,$I254,Aux_Datos!$K:$K)/$E254&gt;=VLOOKUP(IF(COUNTIFS(Aux_Datos!$B:$B,$I254,Aux_Datos!$D:$D,"&lt;&gt;USD")=0,"USD","VES"),'Limites de Descuento'!$A$2:$D$4,4,FALSE),MAX(0,1-SUMIF(Aux_Datos!$B:$B,$I254,Aux_Datos!$K:$K)/$E254),0))</f>
        <v>0</v>
      </c>
      <c r="H254" s="27"/>
      <c r="I254" s="28">
        <f t="shared" si="14"/>
        <v>319</v>
      </c>
      <c r="J254" s="29">
        <f t="shared" si="2"/>
        <v>46146</v>
      </c>
      <c r="K254" s="30">
        <f t="shared" si="3"/>
        <v>7</v>
      </c>
      <c r="L254" s="29">
        <f t="shared" si="4"/>
        <v>46154</v>
      </c>
      <c r="M254" s="30">
        <f t="shared" si="5"/>
        <v>499.96</v>
      </c>
      <c r="N254" s="32">
        <f t="shared" si="6"/>
        <v>46</v>
      </c>
      <c r="O254" s="33" t="str">
        <f t="shared" si="7"/>
        <v>VENCIDA</v>
      </c>
      <c r="P254" s="34">
        <f>LET(
  idVenta, I254&amp;"",
  montoTotal, M254,
  pagos, IFERROR(SUMIF(Aux_Datos!$B:$B, idVenta, Aux_Datos!$K:$K), 0),
  retenciones, IFERROR(SUMIF(Aux_Datos!$N:$N, idVenta, Aux_Datos!$R:$R), 0),
  pagos + retenciones
)</f>
        <v>0</v>
      </c>
      <c r="Q254" s="30" t="str">
        <f>IF(P254=0, "Sin Pago", 
  LET(
    idVenta, I254&amp;"",
    montoTotalPagado, P254,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254" s="30">
        <f t="shared" si="15"/>
        <v>499.96</v>
      </c>
      <c r="S254" s="29" t="str">
        <f>IF(P254=0, "Sin Pago", 
  IFERROR(
    MAXIFS(Aux_Datos!$A:$A, Aux_Datos!$B:$B, I254&amp;""), 
    IFERROR(MAXIFS(Aux_Datos!$A:$A, Aux_Datos!$B:$B, VALUE(I254)), "Revisar ID")
  )
)</f>
        <v>Sin Pago</v>
      </c>
      <c r="T254" s="35" t="str">
        <f t="shared" si="9"/>
        <v>PENDIENTE</v>
      </c>
      <c r="U254" s="35" t="str">
        <f t="shared" si="10"/>
        <v>CRÍTICO: VENCIDA</v>
      </c>
      <c r="V254" s="32">
        <f t="shared" si="11"/>
        <v>0</v>
      </c>
      <c r="W254" s="36" t="str">
        <f>IF(P254=0, "Sin Pago", 
  LET(
    monedaPago, Q254, 
    descuentoAplicado, G254,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254" s="36" t="str">
        <f t="shared" si="12"/>
        <v/>
      </c>
      <c r="Y254" s="36">
        <v>0.0</v>
      </c>
      <c r="Z254" s="33" t="s">
        <v>641</v>
      </c>
      <c r="AA254" s="33"/>
      <c r="AB254" s="33"/>
      <c r="AC254" s="33"/>
      <c r="AD254" s="33"/>
      <c r="AE254" s="33"/>
      <c r="AF254" s="33"/>
    </row>
    <row r="255" ht="22.5" customHeight="1">
      <c r="A255" s="23" t="s">
        <v>470</v>
      </c>
      <c r="B255" s="41">
        <v>46146.671215277776</v>
      </c>
      <c r="C255" s="23" t="s">
        <v>469</v>
      </c>
      <c r="D255" s="23" t="s">
        <v>544</v>
      </c>
      <c r="E255" s="25">
        <v>774.88</v>
      </c>
      <c r="F255" s="23" t="s">
        <v>640</v>
      </c>
      <c r="G255" s="26">
        <f>IF($E255=0,0,IF(SUMIF(Aux_Datos!$B:$B,$I255,Aux_Datos!$K:$K)/$E255&gt;=VLOOKUP(IF(COUNTIFS(Aux_Datos!$B:$B,$I255,Aux_Datos!$D:$D,"&lt;&gt;USD")=0,"USD","VES"),'Limites de Descuento'!$A$2:$D$4,4,FALSE),MAX(0,1-SUMIF(Aux_Datos!$B:$B,$I255,Aux_Datos!$K:$K)/$E255),0))</f>
        <v>0</v>
      </c>
      <c r="H255" s="27"/>
      <c r="I255" s="28">
        <f t="shared" si="14"/>
        <v>320</v>
      </c>
      <c r="J255" s="29">
        <f t="shared" si="2"/>
        <v>46146</v>
      </c>
      <c r="K255" s="30">
        <f t="shared" si="3"/>
        <v>45</v>
      </c>
      <c r="L255" s="29">
        <f t="shared" si="4"/>
        <v>46192</v>
      </c>
      <c r="M255" s="30">
        <f t="shared" si="5"/>
        <v>774.88</v>
      </c>
      <c r="N255" s="32">
        <f t="shared" si="6"/>
        <v>8</v>
      </c>
      <c r="O255" s="33" t="str">
        <f t="shared" si="7"/>
        <v>VENCIDA</v>
      </c>
      <c r="P255" s="34">
        <f>LET(
  idVenta, I255&amp;"",
  montoTotal, M255,
  pagos, IFERROR(SUMIF(Aux_Datos!$B:$B, idVenta, Aux_Datos!$K:$K), 0),
  retenciones, IFERROR(SUMIF(Aux_Datos!$N:$N, idVenta, Aux_Datos!$R:$R), 0),
  pagos + retenciones
)</f>
        <v>0</v>
      </c>
      <c r="Q255" s="30" t="str">
        <f>IF(P255=0, "Sin Pago", 
  LET(
    idVenta, I255&amp;"",
    montoTotalPagado, P255,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255" s="30">
        <f t="shared" si="15"/>
        <v>774.88</v>
      </c>
      <c r="S255" s="29" t="str">
        <f>IF(P255=0, "Sin Pago", 
  IFERROR(
    MAXIFS(Aux_Datos!$A:$A, Aux_Datos!$B:$B, I255&amp;""), 
    IFERROR(MAXIFS(Aux_Datos!$A:$A, Aux_Datos!$B:$B, VALUE(I255)), "Revisar ID")
  )
)</f>
        <v>Sin Pago</v>
      </c>
      <c r="T255" s="35" t="str">
        <f t="shared" si="9"/>
        <v>PENDIENTE</v>
      </c>
      <c r="U255" s="35" t="str">
        <f t="shared" si="10"/>
        <v>CRÍTICO: VENCIDA</v>
      </c>
      <c r="V255" s="32">
        <f t="shared" si="11"/>
        <v>0</v>
      </c>
      <c r="W255" s="36" t="str">
        <f>IF(P255=0, "Sin Pago", 
  LET(
    monedaPago, Q255, 
    descuentoAplicado, G255,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255" s="36" t="str">
        <f t="shared" si="12"/>
        <v/>
      </c>
      <c r="Y255" s="36">
        <v>0.0</v>
      </c>
      <c r="Z255" s="33" t="s">
        <v>641</v>
      </c>
      <c r="AA255" s="33"/>
      <c r="AB255" s="33"/>
      <c r="AC255" s="33"/>
      <c r="AD255" s="33"/>
      <c r="AE255" s="33"/>
      <c r="AF255" s="33"/>
    </row>
    <row r="256" ht="22.5" customHeight="1">
      <c r="A256" s="23" t="s">
        <v>277</v>
      </c>
      <c r="B256" s="41">
        <v>46146.69189814815</v>
      </c>
      <c r="C256" s="23" t="s">
        <v>276</v>
      </c>
      <c r="D256" s="23" t="s">
        <v>535</v>
      </c>
      <c r="E256" s="25">
        <v>146.16</v>
      </c>
      <c r="F256" s="23" t="s">
        <v>608</v>
      </c>
      <c r="G256" s="26">
        <f>IF($E256=0,0,IF(SUMIF(Aux_Datos!$B:$B,$I256,Aux_Datos!$K:$K)/$E256&gt;=VLOOKUP(IF(COUNTIFS(Aux_Datos!$B:$B,$I256,Aux_Datos!$D:$D,"&lt;&gt;USD")=0,"USD","VES"),'Limites de Descuento'!$A$2:$D$4,4,FALSE),MAX(0,1-SUMIF(Aux_Datos!$B:$B,$I256,Aux_Datos!$K:$K)/$E256),0))</f>
        <v>0</v>
      </c>
      <c r="H256" s="27"/>
      <c r="I256" s="28">
        <f t="shared" si="14"/>
        <v>321</v>
      </c>
      <c r="J256" s="29">
        <f t="shared" si="2"/>
        <v>46146</v>
      </c>
      <c r="K256" s="30">
        <f t="shared" si="3"/>
        <v>7</v>
      </c>
      <c r="L256" s="29">
        <f t="shared" si="4"/>
        <v>46154</v>
      </c>
      <c r="M256" s="30">
        <f t="shared" si="5"/>
        <v>146.16</v>
      </c>
      <c r="N256" s="32">
        <f t="shared" si="6"/>
        <v>46</v>
      </c>
      <c r="O256" s="33" t="str">
        <f t="shared" si="7"/>
        <v>VENCIDA</v>
      </c>
      <c r="P256" s="34">
        <f>LET(
  idVenta, I256&amp;"",
  montoTotal, M256,
  pagos, IFERROR(SUMIF(Aux_Datos!$B:$B, idVenta, Aux_Datos!$K:$K), 0),
  retenciones, IFERROR(SUMIF(Aux_Datos!$N:$N, idVenta, Aux_Datos!$R:$R), 0),
  pagos + retenciones
)</f>
        <v>0</v>
      </c>
      <c r="Q256" s="30" t="str">
        <f>IF(P256=0, "Sin Pago", 
  LET(
    idVenta, I256&amp;"",
    montoTotalPagado, P256,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256" s="30">
        <f t="shared" si="15"/>
        <v>146.16</v>
      </c>
      <c r="S256" s="29" t="str">
        <f>IF(P256=0, "Sin Pago", 
  IFERROR(
    MAXIFS(Aux_Datos!$A:$A, Aux_Datos!$B:$B, I256&amp;""), 
    IFERROR(MAXIFS(Aux_Datos!$A:$A, Aux_Datos!$B:$B, VALUE(I256)), "Revisar ID")
  )
)</f>
        <v>Sin Pago</v>
      </c>
      <c r="T256" s="35" t="str">
        <f t="shared" si="9"/>
        <v>PENDIENTE</v>
      </c>
      <c r="U256" s="35" t="str">
        <f t="shared" si="10"/>
        <v>CRÍTICO: VENCIDA</v>
      </c>
      <c r="V256" s="32">
        <f t="shared" si="11"/>
        <v>0</v>
      </c>
      <c r="W256" s="36" t="str">
        <f>IF(P256=0, "Sin Pago", 
  LET(
    monedaPago, Q256, 
    descuentoAplicado, G256,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256" s="36" t="str">
        <f t="shared" si="12"/>
        <v/>
      </c>
      <c r="Y256" s="36">
        <v>0.0</v>
      </c>
      <c r="Z256" s="33" t="s">
        <v>641</v>
      </c>
      <c r="AA256" s="33"/>
      <c r="AB256" s="33"/>
      <c r="AC256" s="33"/>
      <c r="AD256" s="33"/>
      <c r="AE256" s="33"/>
      <c r="AF256" s="33"/>
    </row>
    <row r="257" ht="22.5" customHeight="1">
      <c r="A257" s="23" t="s">
        <v>794</v>
      </c>
      <c r="B257" s="41">
        <v>46146.74497685185</v>
      </c>
      <c r="C257" s="23" t="s">
        <v>598</v>
      </c>
      <c r="D257" s="23" t="s">
        <v>546</v>
      </c>
      <c r="E257" s="25">
        <v>98.6</v>
      </c>
      <c r="F257" s="23" t="s">
        <v>608</v>
      </c>
      <c r="G257" s="26">
        <f>IF($E257=0,0,IF(SUMIF(Aux_Datos!$B:$B,$I257,Aux_Datos!$K:$K)/$E257&gt;=VLOOKUP(IF(COUNTIFS(Aux_Datos!$B:$B,$I257,Aux_Datos!$D:$D,"&lt;&gt;USD")=0,"USD","VES"),'Limites de Descuento'!$A$2:$D$4,4,FALSE),MAX(0,1-SUMIF(Aux_Datos!$B:$B,$I257,Aux_Datos!$K:$K)/$E257),0))</f>
        <v>0.006754032535</v>
      </c>
      <c r="H257" s="27"/>
      <c r="I257" s="28">
        <f t="shared" si="14"/>
        <v>322</v>
      </c>
      <c r="J257" s="29">
        <f t="shared" si="2"/>
        <v>46146</v>
      </c>
      <c r="K257" s="30">
        <f t="shared" si="3"/>
        <v>7</v>
      </c>
      <c r="L257" s="29">
        <f t="shared" si="4"/>
        <v>46154</v>
      </c>
      <c r="M257" s="30">
        <f t="shared" si="5"/>
        <v>97.93405239</v>
      </c>
      <c r="N257" s="32">
        <f t="shared" si="6"/>
        <v>0</v>
      </c>
      <c r="O257" s="33" t="str">
        <f t="shared" si="7"/>
        <v>PAGADA</v>
      </c>
      <c r="P257" s="34">
        <f>LET(
  idVenta, I257&amp;"",
  montoTotal, M257,
  pagos, IFERROR(SUMIF(Aux_Datos!$B:$B, idVenta, Aux_Datos!$K:$K), 0),
  retenciones, IFERROR(SUMIF(Aux_Datos!$N:$N, idVenta, Aux_Datos!$R:$R), 0),
  pagos + retenciones
)</f>
        <v>97.93405239</v>
      </c>
      <c r="Q257" s="30" t="str">
        <f>IF(P257=0, "Sin Pago", 
  LET(
    idVenta, I257&amp;"",
    montoTotalPagado, P257,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257" s="30">
        <f t="shared" si="15"/>
        <v>0</v>
      </c>
      <c r="S257" s="29">
        <f>IF(P257=0, "Sin Pago", 
  IFERROR(
    MAXIFS(Aux_Datos!$A:$A, Aux_Datos!$B:$B, I257&amp;""), 
    IFERROR(MAXIFS(Aux_Datos!$A:$A, Aux_Datos!$B:$B, VALUE(I257)), "Revisar ID")
  )
)</f>
        <v>46148</v>
      </c>
      <c r="T257" s="35" t="str">
        <f t="shared" si="9"/>
        <v>PAGADA</v>
      </c>
      <c r="U257" s="35" t="str">
        <f t="shared" si="10"/>
        <v>SOLVENTE</v>
      </c>
      <c r="V257" s="32">
        <f t="shared" si="11"/>
        <v>0</v>
      </c>
      <c r="W257" s="36" t="str">
        <f>IF(P257=0, "Sin Pago", 
  LET(
    monedaPago, Q257, 
    descuentoAplicado, G257,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57" s="36" t="str">
        <f t="shared" si="12"/>
        <v/>
      </c>
      <c r="Y257" s="36">
        <v>97.93405239203732</v>
      </c>
      <c r="Z257" s="33" t="s">
        <v>596</v>
      </c>
      <c r="AA257" s="33"/>
      <c r="AB257" s="33"/>
      <c r="AC257" s="33"/>
      <c r="AD257" s="33"/>
      <c r="AE257" s="33"/>
      <c r="AF257" s="33"/>
    </row>
    <row r="258" ht="22.5" customHeight="1">
      <c r="A258" s="23" t="s">
        <v>70</v>
      </c>
      <c r="B258" s="41">
        <v>46147.34410879629</v>
      </c>
      <c r="C258" s="23" t="s">
        <v>69</v>
      </c>
      <c r="D258" s="23" t="s">
        <v>544</v>
      </c>
      <c r="E258" s="25">
        <v>215.54</v>
      </c>
      <c r="F258" s="23" t="s">
        <v>608</v>
      </c>
      <c r="G258" s="26">
        <f>IF($E258=0,0,IF(SUMIF(Aux_Datos!$B:$B,$I258,Aux_Datos!$K:$K)/$E258&gt;=VLOOKUP(IF(COUNTIFS(Aux_Datos!$B:$B,$I258,Aux_Datos!$D:$D,"&lt;&gt;USD")=0,"USD","VES"),'Limites de Descuento'!$A$2:$D$4,4,FALSE),MAX(0,1-SUMIF(Aux_Datos!$B:$B,$I258,Aux_Datos!$K:$K)/$E258),0))</f>
        <v>0</v>
      </c>
      <c r="H258" s="27"/>
      <c r="I258" s="28">
        <f t="shared" si="14"/>
        <v>323</v>
      </c>
      <c r="J258" s="29">
        <f t="shared" si="2"/>
        <v>46147</v>
      </c>
      <c r="K258" s="30">
        <f t="shared" si="3"/>
        <v>7</v>
      </c>
      <c r="L258" s="29">
        <f t="shared" si="4"/>
        <v>46155</v>
      </c>
      <c r="M258" s="30">
        <f t="shared" si="5"/>
        <v>215.54</v>
      </c>
      <c r="N258" s="32">
        <f t="shared" si="6"/>
        <v>45</v>
      </c>
      <c r="O258" s="33" t="str">
        <f t="shared" si="7"/>
        <v>VENCIDA</v>
      </c>
      <c r="P258" s="34">
        <f>LET(
  idVenta, I258&amp;"",
  montoTotal, M258,
  pagos, IFERROR(SUMIF(Aux_Datos!$B:$B, idVenta, Aux_Datos!$K:$K), 0),
  retenciones, IFERROR(SUMIF(Aux_Datos!$N:$N, idVenta, Aux_Datos!$R:$R), 0),
  pagos + retenciones
)</f>
        <v>135</v>
      </c>
      <c r="Q258" s="30" t="str">
        <f>IF(P258=0, "Sin Pago", 
  LET(
    idVenta, I258&amp;"",
    montoTotalPagado, P258,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58" s="30">
        <f t="shared" si="15"/>
        <v>80.54</v>
      </c>
      <c r="S258" s="29">
        <f>IF(P258=0, "Sin Pago", 
  IFERROR(
    MAXIFS(Aux_Datos!$A:$A, Aux_Datos!$B:$B, I258&amp;""), 
    IFERROR(MAXIFS(Aux_Datos!$A:$A, Aux_Datos!$B:$B, VALUE(I258)), "Revisar ID")
  )
)</f>
        <v>46147</v>
      </c>
      <c r="T258" s="35" t="str">
        <f t="shared" si="9"/>
        <v>PAGO PARCIAL</v>
      </c>
      <c r="U258" s="35" t="str">
        <f t="shared" si="10"/>
        <v>CRÍTICO: VENCIDA</v>
      </c>
      <c r="V258" s="32">
        <f t="shared" si="11"/>
        <v>53</v>
      </c>
      <c r="W258" s="36" t="str">
        <f>IF(P258=0, "Sin Pago", 
  LET(
    monedaPago, Q258, 
    descuentoAplicado, G258,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58" s="36" t="str">
        <f t="shared" si="12"/>
        <v/>
      </c>
      <c r="Y258" s="36">
        <v>135.0</v>
      </c>
      <c r="Z258" s="33" t="s">
        <v>609</v>
      </c>
      <c r="AA258" s="33"/>
      <c r="AB258" s="33"/>
      <c r="AC258" s="33"/>
      <c r="AD258" s="33"/>
      <c r="AE258" s="33"/>
      <c r="AF258" s="33"/>
    </row>
    <row r="259" ht="22.5" customHeight="1">
      <c r="A259" s="23" t="s">
        <v>279</v>
      </c>
      <c r="B259" s="41">
        <v>46147.34425925926</v>
      </c>
      <c r="C259" s="23" t="s">
        <v>278</v>
      </c>
      <c r="D259" s="23" t="s">
        <v>552</v>
      </c>
      <c r="E259" s="25">
        <v>241.04</v>
      </c>
      <c r="F259" s="23" t="s">
        <v>608</v>
      </c>
      <c r="G259" s="26">
        <f>IF($E259=0,0,IF(SUMIF(Aux_Datos!$B:$B,$I259,Aux_Datos!$K:$K)/$E259&gt;=VLOOKUP(IF(COUNTIFS(Aux_Datos!$B:$B,$I259,Aux_Datos!$D:$D,"&lt;&gt;USD")=0,"USD","VES"),'Limites de Descuento'!$A$2:$D$4,4,FALSE),MAX(0,1-SUMIF(Aux_Datos!$B:$B,$I259,Aux_Datos!$K:$K)/$E259),0))</f>
        <v>0</v>
      </c>
      <c r="H259" s="27"/>
      <c r="I259" s="28">
        <f t="shared" si="14"/>
        <v>324</v>
      </c>
      <c r="J259" s="29">
        <f t="shared" si="2"/>
        <v>46147</v>
      </c>
      <c r="K259" s="30">
        <f t="shared" si="3"/>
        <v>7</v>
      </c>
      <c r="L259" s="29">
        <f t="shared" si="4"/>
        <v>46155</v>
      </c>
      <c r="M259" s="30">
        <f t="shared" si="5"/>
        <v>241.04</v>
      </c>
      <c r="N259" s="32">
        <f t="shared" si="6"/>
        <v>45</v>
      </c>
      <c r="O259" s="33" t="str">
        <f t="shared" si="7"/>
        <v>VENCIDA</v>
      </c>
      <c r="P259" s="34">
        <f>LET(
  idVenta, I259&amp;"",
  montoTotal, M259,
  pagos, IFERROR(SUMIF(Aux_Datos!$B:$B, idVenta, Aux_Datos!$K:$K), 0),
  retenciones, IFERROR(SUMIF(Aux_Datos!$N:$N, idVenta, Aux_Datos!$R:$R), 0),
  pagos + retenciones
)</f>
        <v>124</v>
      </c>
      <c r="Q259" s="30" t="str">
        <f>IF(P259=0, "Sin Pago", 
  LET(
    idVenta, I259&amp;"",
    montoTotalPagado, P259,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59" s="30">
        <f t="shared" si="15"/>
        <v>117.04</v>
      </c>
      <c r="S259" s="29">
        <f>IF(P259=0, "Sin Pago", 
  IFERROR(
    MAXIFS(Aux_Datos!$A:$A, Aux_Datos!$B:$B, I259&amp;""), 
    IFERROR(MAXIFS(Aux_Datos!$A:$A, Aux_Datos!$B:$B, VALUE(I259)), "Revisar ID")
  )
)</f>
        <v>46196</v>
      </c>
      <c r="T259" s="35" t="str">
        <f t="shared" si="9"/>
        <v>PAGO PARCIAL</v>
      </c>
      <c r="U259" s="35" t="str">
        <f t="shared" si="10"/>
        <v>CRÍTICO: VENCIDA</v>
      </c>
      <c r="V259" s="32">
        <f t="shared" si="11"/>
        <v>4</v>
      </c>
      <c r="W259" s="36" t="str">
        <f>IF(P259=0, "Sin Pago", 
  LET(
    monedaPago, Q259, 
    descuentoAplicado, G259,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59" s="36" t="str">
        <f t="shared" si="12"/>
        <v/>
      </c>
      <c r="Y259" s="36">
        <v>124.0</v>
      </c>
      <c r="Z259" s="33" t="s">
        <v>609</v>
      </c>
      <c r="AA259" s="33"/>
      <c r="AB259" s="33"/>
      <c r="AC259" s="33"/>
      <c r="AD259" s="33"/>
      <c r="AE259" s="33"/>
      <c r="AF259" s="33"/>
    </row>
    <row r="260" ht="22.5" customHeight="1">
      <c r="A260" s="23" t="s">
        <v>795</v>
      </c>
      <c r="B260" s="41">
        <v>46147.50170138889</v>
      </c>
      <c r="C260" s="23" t="s">
        <v>796</v>
      </c>
      <c r="D260" s="23" t="s">
        <v>353</v>
      </c>
      <c r="E260" s="25">
        <v>79.96</v>
      </c>
      <c r="F260" s="23" t="s">
        <v>608</v>
      </c>
      <c r="G260" s="26">
        <f>IF($E260=0,0,IF(SUMIF(Aux_Datos!$B:$B,$I260,Aux_Datos!$K:$K)/$E260&gt;=VLOOKUP(IF(COUNTIFS(Aux_Datos!$B:$B,$I260,Aux_Datos!$D:$D,"&lt;&gt;USD")=0,"USD","VES"),'Limites de Descuento'!$A$2:$D$4,4,FALSE),MAX(0,1-SUMIF(Aux_Datos!$B:$B,$I260,Aux_Datos!$K:$K)/$E260),0))</f>
        <v>0.3496748374</v>
      </c>
      <c r="H260" s="27"/>
      <c r="I260" s="28">
        <f t="shared" si="14"/>
        <v>325</v>
      </c>
      <c r="J260" s="29">
        <f t="shared" si="2"/>
        <v>46147</v>
      </c>
      <c r="K260" s="30">
        <f t="shared" si="3"/>
        <v>7</v>
      </c>
      <c r="L260" s="29">
        <f t="shared" si="4"/>
        <v>46155</v>
      </c>
      <c r="M260" s="30">
        <f t="shared" si="5"/>
        <v>52</v>
      </c>
      <c r="N260" s="32">
        <f t="shared" si="6"/>
        <v>0</v>
      </c>
      <c r="O260" s="33" t="str">
        <f t="shared" si="7"/>
        <v>PAGADA</v>
      </c>
      <c r="P260" s="34">
        <f>LET(
  idVenta, I260&amp;"",
  montoTotal, M260,
  pagos, IFERROR(SUMIF(Aux_Datos!$B:$B, idVenta, Aux_Datos!$K:$K), 0),
  retenciones, IFERROR(SUMIF(Aux_Datos!$N:$N, idVenta, Aux_Datos!$R:$R), 0),
  pagos + retenciones
)</f>
        <v>52</v>
      </c>
      <c r="Q260" s="30" t="str">
        <f>IF(P260=0, "Sin Pago", 
  LET(
    idVenta, I260&amp;"",
    montoTotalPagado, P260,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60" s="30">
        <f t="shared" si="15"/>
        <v>0</v>
      </c>
      <c r="S260" s="29">
        <f>IF(P260=0, "Sin Pago", 
  IFERROR(
    MAXIFS(Aux_Datos!$A:$A, Aux_Datos!$B:$B, I260&amp;""), 
    IFERROR(MAXIFS(Aux_Datos!$A:$A, Aux_Datos!$B:$B, VALUE(I260)), "Revisar ID")
  )
)</f>
        <v>46185</v>
      </c>
      <c r="T260" s="35" t="str">
        <f t="shared" si="9"/>
        <v>PAGADA</v>
      </c>
      <c r="U260" s="35" t="str">
        <f t="shared" si="10"/>
        <v>SOLVENTE</v>
      </c>
      <c r="V260" s="32">
        <f t="shared" si="11"/>
        <v>0</v>
      </c>
      <c r="W260" s="36" t="str">
        <f>IF(P260=0, "Sin Pago", 
  LET(
    monedaPago, Q260, 
    descuentoAplicado, G260,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60" s="36" t="str">
        <f t="shared" si="12"/>
        <v/>
      </c>
      <c r="Y260" s="36">
        <v>52.0</v>
      </c>
      <c r="Z260" s="33" t="s">
        <v>596</v>
      </c>
      <c r="AA260" s="33"/>
      <c r="AB260" s="33"/>
      <c r="AC260" s="33"/>
      <c r="AD260" s="33"/>
      <c r="AE260" s="33"/>
      <c r="AF260" s="33"/>
    </row>
    <row r="261" ht="22.5" customHeight="1">
      <c r="A261" s="23" t="s">
        <v>797</v>
      </c>
      <c r="B261" s="41">
        <v>46147.50152777778</v>
      </c>
      <c r="C261" s="23" t="s">
        <v>621</v>
      </c>
      <c r="D261" s="23" t="s">
        <v>353</v>
      </c>
      <c r="E261" s="25">
        <v>74.24</v>
      </c>
      <c r="F261" s="23" t="s">
        <v>608</v>
      </c>
      <c r="G261" s="26">
        <f>IF($E261=0,0,IF(SUMIF(Aux_Datos!$B:$B,$I261,Aux_Datos!$K:$K)/$E261&gt;=VLOOKUP(IF(COUNTIFS(Aux_Datos!$B:$B,$I261,Aux_Datos!$D:$D,"&lt;&gt;USD")=0,"USD","VES"),'Limites de Descuento'!$A$2:$D$4,4,FALSE),MAX(0,1-SUMIF(Aux_Datos!$B:$B,$I261,Aux_Datos!$K:$K)/$E261),0))</f>
        <v>0.3399784483</v>
      </c>
      <c r="H261" s="27"/>
      <c r="I261" s="28">
        <f t="shared" si="14"/>
        <v>326</v>
      </c>
      <c r="J261" s="29">
        <f t="shared" si="2"/>
        <v>46147</v>
      </c>
      <c r="K261" s="30">
        <f t="shared" si="3"/>
        <v>7</v>
      </c>
      <c r="L261" s="29">
        <f t="shared" si="4"/>
        <v>46155</v>
      </c>
      <c r="M261" s="30">
        <f t="shared" si="5"/>
        <v>49</v>
      </c>
      <c r="N261" s="32">
        <f t="shared" si="6"/>
        <v>0</v>
      </c>
      <c r="O261" s="33" t="str">
        <f t="shared" si="7"/>
        <v>PAGADA</v>
      </c>
      <c r="P261" s="34">
        <f>LET(
  idVenta, I261&amp;"",
  montoTotal, M261,
  pagos, IFERROR(SUMIF(Aux_Datos!$B:$B, idVenta, Aux_Datos!$K:$K), 0),
  retenciones, IFERROR(SUMIF(Aux_Datos!$N:$N, idVenta, Aux_Datos!$R:$R), 0),
  pagos + retenciones
)</f>
        <v>49</v>
      </c>
      <c r="Q261" s="30" t="str">
        <f>IF(P261=0, "Sin Pago", 
  LET(
    idVenta, I261&amp;"",
    montoTotalPagado, P261,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61" s="30">
        <f t="shared" si="15"/>
        <v>0</v>
      </c>
      <c r="S261" s="29">
        <f>IF(P261=0, "Sin Pago", 
  IFERROR(
    MAXIFS(Aux_Datos!$A:$A, Aux_Datos!$B:$B, I261&amp;""), 
    IFERROR(MAXIFS(Aux_Datos!$A:$A, Aux_Datos!$B:$B, VALUE(I261)), "Revisar ID")
  )
)</f>
        <v>46196</v>
      </c>
      <c r="T261" s="35" t="str">
        <f t="shared" si="9"/>
        <v>PAGADA</v>
      </c>
      <c r="U261" s="35" t="str">
        <f t="shared" si="10"/>
        <v>SOLVENTE</v>
      </c>
      <c r="V261" s="32">
        <f t="shared" si="11"/>
        <v>0</v>
      </c>
      <c r="W261" s="36" t="str">
        <f>IF(P261=0, "Sin Pago", 
  LET(
    monedaPago, Q261, 
    descuentoAplicado, G261,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61" s="36" t="str">
        <f t="shared" si="12"/>
        <v/>
      </c>
      <c r="Y261" s="36">
        <v>49.0</v>
      </c>
      <c r="Z261" s="33" t="s">
        <v>596</v>
      </c>
      <c r="AA261" s="33"/>
      <c r="AB261" s="33"/>
      <c r="AC261" s="33"/>
      <c r="AD261" s="33"/>
      <c r="AE261" s="33"/>
      <c r="AF261" s="33"/>
    </row>
    <row r="262" ht="22.5" customHeight="1">
      <c r="A262" s="23" t="s">
        <v>216</v>
      </c>
      <c r="B262" s="41">
        <v>46147.73601851852</v>
      </c>
      <c r="C262" s="23" t="s">
        <v>215</v>
      </c>
      <c r="D262" s="23" t="s">
        <v>529</v>
      </c>
      <c r="E262" s="25">
        <v>954.71</v>
      </c>
      <c r="F262" s="23" t="s">
        <v>608</v>
      </c>
      <c r="G262" s="26">
        <f>IF($E262=0,0,IF(SUMIF(Aux_Datos!$B:$B,$I262,Aux_Datos!$K:$K)/$E262&gt;=VLOOKUP(IF(COUNTIFS(Aux_Datos!$B:$B,$I262,Aux_Datos!$D:$D,"&lt;&gt;USD")=0,"USD","VES"),'Limites de Descuento'!$A$2:$D$4,4,FALSE),MAX(0,1-SUMIF(Aux_Datos!$B:$B,$I262,Aux_Datos!$K:$K)/$E262),0))</f>
        <v>0</v>
      </c>
      <c r="H262" s="27"/>
      <c r="I262" s="28">
        <f t="shared" si="14"/>
        <v>327</v>
      </c>
      <c r="J262" s="29">
        <f t="shared" si="2"/>
        <v>46147</v>
      </c>
      <c r="K262" s="30">
        <f t="shared" si="3"/>
        <v>7</v>
      </c>
      <c r="L262" s="29">
        <f t="shared" si="4"/>
        <v>46155</v>
      </c>
      <c r="M262" s="30">
        <f t="shared" si="5"/>
        <v>954.71</v>
      </c>
      <c r="N262" s="32">
        <f t="shared" si="6"/>
        <v>45</v>
      </c>
      <c r="O262" s="33" t="str">
        <f t="shared" si="7"/>
        <v>VENCIDA</v>
      </c>
      <c r="P262" s="34">
        <f>LET(
  idVenta, I262&amp;"",
  montoTotal, M262,
  pagos, IFERROR(SUMIF(Aux_Datos!$B:$B, idVenta, Aux_Datos!$K:$K), 0),
  retenciones, IFERROR(SUMIF(Aux_Datos!$N:$N, idVenta, Aux_Datos!$R:$R), 0),
  pagos + retenciones
)</f>
        <v>602</v>
      </c>
      <c r="Q262" s="30" t="str">
        <f>IF(P262=0, "Sin Pago", 
  LET(
    idVenta, I262&amp;"",
    montoTotalPagado, P262,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62" s="30">
        <f t="shared" si="15"/>
        <v>352.71</v>
      </c>
      <c r="S262" s="29">
        <f>IF(P262=0, "Sin Pago", 
  IFERROR(
    MAXIFS(Aux_Datos!$A:$A, Aux_Datos!$B:$B, I262&amp;""), 
    IFERROR(MAXIFS(Aux_Datos!$A:$A, Aux_Datos!$B:$B, VALUE(I262)), "Revisar ID")
  )
)</f>
        <v>46175</v>
      </c>
      <c r="T262" s="35" t="str">
        <f t="shared" si="9"/>
        <v>PAGO PARCIAL</v>
      </c>
      <c r="U262" s="35" t="str">
        <f t="shared" si="10"/>
        <v>CRÍTICO: VENCIDA</v>
      </c>
      <c r="V262" s="32">
        <f t="shared" si="11"/>
        <v>25</v>
      </c>
      <c r="W262" s="36" t="str">
        <f>IF(P262=0, "Sin Pago", 
  LET(
    monedaPago, Q262, 
    descuentoAplicado, G262,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62" s="36" t="str">
        <f t="shared" si="12"/>
        <v/>
      </c>
      <c r="Y262" s="36">
        <v>602.0</v>
      </c>
      <c r="Z262" s="33" t="s">
        <v>609</v>
      </c>
      <c r="AA262" s="33"/>
      <c r="AB262" s="33"/>
      <c r="AC262" s="33"/>
      <c r="AD262" s="33"/>
      <c r="AE262" s="33"/>
      <c r="AF262" s="33"/>
    </row>
    <row r="263" ht="22.5" customHeight="1">
      <c r="A263" s="23" t="s">
        <v>798</v>
      </c>
      <c r="B263" s="41">
        <v>46155.701365740744</v>
      </c>
      <c r="C263" s="23" t="s">
        <v>799</v>
      </c>
      <c r="D263" s="23" t="s">
        <v>208</v>
      </c>
      <c r="E263" s="25">
        <v>6802.37</v>
      </c>
      <c r="F263" s="23" t="s">
        <v>593</v>
      </c>
      <c r="G263" s="26">
        <f>IF($E263=0,0,IF(SUMIF(Aux_Datos!$B:$B,$I263,Aux_Datos!$K:$K)/$E263&gt;=VLOOKUP(IF(COUNTIFS(Aux_Datos!$B:$B,$I263,Aux_Datos!$D:$D,"&lt;&gt;USD")=0,"USD","VES"),'Limites de Descuento'!$A$2:$D$4,4,FALSE),MAX(0,1-SUMIF(Aux_Datos!$B:$B,$I263,Aux_Datos!$K:$K)/$E263),0))</f>
        <v>0</v>
      </c>
      <c r="H263" s="27"/>
      <c r="I263" s="28">
        <f t="shared" si="14"/>
        <v>328</v>
      </c>
      <c r="J263" s="29">
        <f t="shared" si="2"/>
        <v>46155</v>
      </c>
      <c r="K263" s="30">
        <f t="shared" si="3"/>
        <v>0</v>
      </c>
      <c r="L263" s="29">
        <f t="shared" si="4"/>
        <v>46156</v>
      </c>
      <c r="M263" s="30">
        <f t="shared" si="5"/>
        <v>6802.37</v>
      </c>
      <c r="N263" s="32">
        <f t="shared" si="6"/>
        <v>0</v>
      </c>
      <c r="O263" s="33" t="str">
        <f t="shared" si="7"/>
        <v>PAGADA</v>
      </c>
      <c r="P263" s="34">
        <f>LET(
  idVenta, I263&amp;"",
  montoTotal, M263,
  pagos, IFERROR(SUMIF(Aux_Datos!$B:$B, idVenta, Aux_Datos!$K:$K), 0),
  retenciones, IFERROR(SUMIF(Aux_Datos!$N:$N, idVenta, Aux_Datos!$R:$R), 0),
  pagos + retenciones
)</f>
        <v>6802.37</v>
      </c>
      <c r="Q263" s="30" t="str">
        <f>IF(P263=0, "Sin Pago", 
  LET(
    idVenta, I263&amp;"",
    montoTotalPagado, P263,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63" s="30">
        <f t="shared" si="15"/>
        <v>0</v>
      </c>
      <c r="S263" s="29">
        <f>IF(P263=0, "Sin Pago", 
  IFERROR(
    MAXIFS(Aux_Datos!$A:$A, Aux_Datos!$B:$B, I263&amp;""), 
    IFERROR(MAXIFS(Aux_Datos!$A:$A, Aux_Datos!$B:$B, VALUE(I263)), "Revisar ID")
  )
)</f>
        <v>46182</v>
      </c>
      <c r="T263" s="35" t="str">
        <f t="shared" si="9"/>
        <v>PAGADA</v>
      </c>
      <c r="U263" s="35" t="str">
        <f t="shared" si="10"/>
        <v>SOLVENTE</v>
      </c>
      <c r="V263" s="32">
        <f t="shared" si="11"/>
        <v>0</v>
      </c>
      <c r="W263" s="36" t="str">
        <f>IF(P263=0, "Sin Pago", 
  LET(
    monedaPago, Q263, 
    descuentoAplicado, G263,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63" s="36" t="str">
        <f t="shared" si="12"/>
        <v/>
      </c>
      <c r="Y263" s="36">
        <v>6802.37</v>
      </c>
      <c r="Z263" s="33" t="s">
        <v>596</v>
      </c>
      <c r="AA263" s="33"/>
      <c r="AB263" s="33"/>
      <c r="AC263" s="33"/>
      <c r="AD263" s="33"/>
      <c r="AE263" s="33"/>
      <c r="AF263" s="33"/>
    </row>
    <row r="264" ht="22.5" customHeight="1">
      <c r="A264" s="23" t="s">
        <v>800</v>
      </c>
      <c r="B264" s="41">
        <v>46148.69730324074</v>
      </c>
      <c r="C264" s="23" t="s">
        <v>455</v>
      </c>
      <c r="D264" s="23" t="s">
        <v>556</v>
      </c>
      <c r="E264" s="25">
        <v>280.72</v>
      </c>
      <c r="F264" s="23" t="s">
        <v>608</v>
      </c>
      <c r="G264" s="26">
        <f>IF($E264=0,0,IF(SUMIF(Aux_Datos!$B:$B,$I264,Aux_Datos!$K:$K)/$E264&gt;=VLOOKUP(IF(COUNTIFS(Aux_Datos!$B:$B,$I264,Aux_Datos!$D:$D,"&lt;&gt;USD")=0,"USD","VES"),'Limites de Descuento'!$A$2:$D$4,4,FALSE),MAX(0,1-SUMIF(Aux_Datos!$B:$B,$I264,Aux_Datos!$K:$K)/$E264),0))</f>
        <v>0.08102583213</v>
      </c>
      <c r="H264" s="27"/>
      <c r="I264" s="28">
        <f t="shared" si="14"/>
        <v>330</v>
      </c>
      <c r="J264" s="29">
        <f t="shared" si="2"/>
        <v>46148</v>
      </c>
      <c r="K264" s="30">
        <f t="shared" si="3"/>
        <v>7</v>
      </c>
      <c r="L264" s="29">
        <f t="shared" si="4"/>
        <v>46156</v>
      </c>
      <c r="M264" s="30">
        <f t="shared" si="5"/>
        <v>257.9744284</v>
      </c>
      <c r="N264" s="32">
        <f t="shared" si="6"/>
        <v>0</v>
      </c>
      <c r="O264" s="33" t="str">
        <f t="shared" si="7"/>
        <v>PAGADA</v>
      </c>
      <c r="P264" s="34">
        <f>LET(
  idVenta, I264&amp;"",
  montoTotal, M264,
  pagos, IFERROR(SUMIF(Aux_Datos!$B:$B, idVenta, Aux_Datos!$K:$K), 0),
  retenciones, IFERROR(SUMIF(Aux_Datos!$N:$N, idVenta, Aux_Datos!$R:$R), 0),
  pagos + retenciones
)</f>
        <v>257.9744284</v>
      </c>
      <c r="Q264" s="30" t="str">
        <f>IF(P264=0, "Sin Pago", 
  LET(
    idVenta, I264&amp;"",
    montoTotalPagado, P264,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264" s="30">
        <f t="shared" si="15"/>
        <v>0</v>
      </c>
      <c r="S264" s="29">
        <f>IF(P264=0, "Sin Pago", 
  IFERROR(
    MAXIFS(Aux_Datos!$A:$A, Aux_Datos!$B:$B, I264&amp;""), 
    IFERROR(MAXIFS(Aux_Datos!$A:$A, Aux_Datos!$B:$B, VALUE(I264)), "Revisar ID")
  )
)</f>
        <v>46183</v>
      </c>
      <c r="T264" s="35" t="str">
        <f t="shared" si="9"/>
        <v>PAGADA</v>
      </c>
      <c r="U264" s="35" t="str">
        <f t="shared" si="10"/>
        <v>SOLVENTE</v>
      </c>
      <c r="V264" s="32">
        <f t="shared" si="11"/>
        <v>0</v>
      </c>
      <c r="W264" s="36" t="str">
        <f>IF(P264=0, "Sin Pago", 
  LET(
    monedaPago, Q264, 
    descuentoAplicado, G264,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64" s="36" t="str">
        <f t="shared" si="12"/>
        <v/>
      </c>
      <c r="Y264" s="36">
        <v>257.9744284031261</v>
      </c>
      <c r="Z264" s="33" t="s">
        <v>596</v>
      </c>
      <c r="AA264" s="33"/>
      <c r="AB264" s="33"/>
      <c r="AC264" s="33"/>
      <c r="AD264" s="33"/>
      <c r="AE264" s="33"/>
      <c r="AF264" s="33"/>
    </row>
    <row r="265" ht="22.5" customHeight="1">
      <c r="A265" s="23" t="s">
        <v>260</v>
      </c>
      <c r="B265" s="41">
        <v>46148.69721064815</v>
      </c>
      <c r="C265" s="23" t="s">
        <v>259</v>
      </c>
      <c r="D265" s="23" t="s">
        <v>556</v>
      </c>
      <c r="E265" s="25">
        <v>106.72</v>
      </c>
      <c r="F265" s="23" t="s">
        <v>608</v>
      </c>
      <c r="G265" s="26">
        <f>IF($E265=0,0,IF(SUMIF(Aux_Datos!$B:$B,$I265,Aux_Datos!$K:$K)/$E265&gt;=VLOOKUP(IF(COUNTIFS(Aux_Datos!$B:$B,$I265,Aux_Datos!$D:$D,"&lt;&gt;USD")=0,"USD","VES"),'Limites de Descuento'!$A$2:$D$4,4,FALSE),MAX(0,1-SUMIF(Aux_Datos!$B:$B,$I265,Aux_Datos!$K:$K)/$E265),0))</f>
        <v>0</v>
      </c>
      <c r="H265" s="27"/>
      <c r="I265" s="28">
        <f t="shared" si="14"/>
        <v>331</v>
      </c>
      <c r="J265" s="29">
        <f t="shared" si="2"/>
        <v>46148</v>
      </c>
      <c r="K265" s="30">
        <f t="shared" si="3"/>
        <v>7</v>
      </c>
      <c r="L265" s="29">
        <f t="shared" si="4"/>
        <v>46156</v>
      </c>
      <c r="M265" s="30">
        <f t="shared" si="5"/>
        <v>106.72</v>
      </c>
      <c r="N265" s="32">
        <f t="shared" si="6"/>
        <v>44</v>
      </c>
      <c r="O265" s="33" t="str">
        <f t="shared" si="7"/>
        <v>VENCIDA</v>
      </c>
      <c r="P265" s="34">
        <f>LET(
  idVenta, I265&amp;"",
  montoTotal, M265,
  pagos, IFERROR(SUMIF(Aux_Datos!$B:$B, idVenta, Aux_Datos!$K:$K), 0),
  retenciones, IFERROR(SUMIF(Aux_Datos!$N:$N, idVenta, Aux_Datos!$R:$R), 0),
  pagos + retenciones
)</f>
        <v>64</v>
      </c>
      <c r="Q265" s="30" t="str">
        <f>IF(P265=0, "Sin Pago", 
  LET(
    idVenta, I265&amp;"",
    montoTotalPagado, P265,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65" s="30">
        <f t="shared" si="15"/>
        <v>42.72</v>
      </c>
      <c r="S265" s="29">
        <f>IF(P265=0, "Sin Pago", 
  IFERROR(
    MAXIFS(Aux_Datos!$A:$A, Aux_Datos!$B:$B, I265&amp;""), 
    IFERROR(MAXIFS(Aux_Datos!$A:$A, Aux_Datos!$B:$B, VALUE(I265)), "Revisar ID")
  )
)</f>
        <v>46185</v>
      </c>
      <c r="T265" s="35" t="str">
        <f t="shared" si="9"/>
        <v>PAGO PARCIAL</v>
      </c>
      <c r="U265" s="35" t="str">
        <f t="shared" si="10"/>
        <v>CRÍTICO: VENCIDA</v>
      </c>
      <c r="V265" s="32">
        <f t="shared" si="11"/>
        <v>15</v>
      </c>
      <c r="W265" s="36" t="str">
        <f>IF(P265=0, "Sin Pago", 
  LET(
    monedaPago, Q265, 
    descuentoAplicado, G265,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65" s="36" t="str">
        <f t="shared" si="12"/>
        <v/>
      </c>
      <c r="Y265" s="36">
        <v>64.0</v>
      </c>
      <c r="Z265" s="33" t="s">
        <v>609</v>
      </c>
      <c r="AA265" s="33"/>
      <c r="AB265" s="33"/>
      <c r="AC265" s="33"/>
      <c r="AD265" s="33"/>
      <c r="AE265" s="33"/>
      <c r="AF265" s="33"/>
    </row>
    <row r="266" ht="22.5" customHeight="1">
      <c r="A266" s="23" t="s">
        <v>335</v>
      </c>
      <c r="B266" s="41">
        <v>46148.697071759256</v>
      </c>
      <c r="C266" s="23" t="s">
        <v>334</v>
      </c>
      <c r="D266" s="23" t="s">
        <v>546</v>
      </c>
      <c r="E266" s="25">
        <v>176.32</v>
      </c>
      <c r="F266" s="23" t="s">
        <v>603</v>
      </c>
      <c r="G266" s="26">
        <f>IF($E266=0,0,IF(SUMIF(Aux_Datos!$B:$B,$I266,Aux_Datos!$K:$K)/$E266&gt;=VLOOKUP(IF(COUNTIFS(Aux_Datos!$B:$B,$I266,Aux_Datos!$D:$D,"&lt;&gt;USD")=0,"USD","VES"),'Limites de Descuento'!$A$2:$D$4,4,FALSE),MAX(0,1-SUMIF(Aux_Datos!$B:$B,$I266,Aux_Datos!$K:$K)/$E266),0))</f>
        <v>0</v>
      </c>
      <c r="H266" s="27"/>
      <c r="I266" s="28">
        <f t="shared" si="14"/>
        <v>332</v>
      </c>
      <c r="J266" s="29">
        <f t="shared" si="2"/>
        <v>46148</v>
      </c>
      <c r="K266" s="30">
        <f t="shared" si="3"/>
        <v>21</v>
      </c>
      <c r="L266" s="29">
        <f t="shared" si="4"/>
        <v>46170</v>
      </c>
      <c r="M266" s="30">
        <f t="shared" si="5"/>
        <v>176.32</v>
      </c>
      <c r="N266" s="32">
        <f t="shared" si="6"/>
        <v>30</v>
      </c>
      <c r="O266" s="33" t="str">
        <f t="shared" si="7"/>
        <v>VENCIDA</v>
      </c>
      <c r="P266" s="34">
        <f>LET(
  idVenta, I266&amp;"",
  montoTotal, M266,
  pagos, IFERROR(SUMIF(Aux_Datos!$B:$B, idVenta, Aux_Datos!$K:$K), 0),
  retenciones, IFERROR(SUMIF(Aux_Datos!$N:$N, idVenta, Aux_Datos!$R:$R), 0),
  pagos + retenciones
)</f>
        <v>110</v>
      </c>
      <c r="Q266" s="30" t="str">
        <f>IF(P266=0, "Sin Pago", 
  LET(
    idVenta, I266&amp;"",
    montoTotalPagado, P266,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66" s="30">
        <f t="shared" si="15"/>
        <v>66.32</v>
      </c>
      <c r="S266" s="29">
        <f>IF(P266=0, "Sin Pago", 
  IFERROR(
    MAXIFS(Aux_Datos!$A:$A, Aux_Datos!$B:$B, I266&amp;""), 
    IFERROR(MAXIFS(Aux_Datos!$A:$A, Aux_Datos!$B:$B, VALUE(I266)), "Revisar ID")
  )
)</f>
        <v>46169</v>
      </c>
      <c r="T266" s="35" t="str">
        <f t="shared" si="9"/>
        <v>PAGO PARCIAL</v>
      </c>
      <c r="U266" s="35" t="str">
        <f t="shared" si="10"/>
        <v>CRÍTICO: VENCIDA</v>
      </c>
      <c r="V266" s="32">
        <f t="shared" si="11"/>
        <v>31</v>
      </c>
      <c r="W266" s="36" t="str">
        <f>IF(P266=0, "Sin Pago", 
  LET(
    monedaPago, Q266, 
    descuentoAplicado, G266,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66" s="36" t="str">
        <f t="shared" si="12"/>
        <v/>
      </c>
      <c r="Y266" s="36">
        <v>110.0</v>
      </c>
      <c r="Z266" s="33" t="s">
        <v>609</v>
      </c>
      <c r="AA266" s="33"/>
      <c r="AB266" s="33"/>
      <c r="AC266" s="33"/>
      <c r="AD266" s="33"/>
      <c r="AE266" s="33"/>
      <c r="AF266" s="33"/>
    </row>
    <row r="267" ht="22.5" customHeight="1">
      <c r="A267" s="23" t="s">
        <v>801</v>
      </c>
      <c r="B267" s="41">
        <v>46148.70520833333</v>
      </c>
      <c r="C267" s="23" t="s">
        <v>712</v>
      </c>
      <c r="D267" s="23" t="s">
        <v>546</v>
      </c>
      <c r="E267" s="25">
        <v>299.28</v>
      </c>
      <c r="F267" s="23" t="s">
        <v>680</v>
      </c>
      <c r="G267" s="26">
        <f>IF($E267=0,0,IF(SUMIF(Aux_Datos!$B:$B,$I267,Aux_Datos!$K:$K)/$E267&gt;=VLOOKUP(IF(COUNTIFS(Aux_Datos!$B:$B,$I267,Aux_Datos!$D:$D,"&lt;&gt;USD")=0,"USD","VES"),'Limites de Descuento'!$A$2:$D$4,4,FALSE),MAX(0,1-SUMIF(Aux_Datos!$B:$B,$I267,Aux_Datos!$K:$K)/$E267),0))</f>
        <v>0.348436247</v>
      </c>
      <c r="H267" s="27"/>
      <c r="I267" s="28">
        <f t="shared" si="14"/>
        <v>334</v>
      </c>
      <c r="J267" s="29">
        <f t="shared" si="2"/>
        <v>46148</v>
      </c>
      <c r="K267" s="30">
        <f t="shared" si="3"/>
        <v>30</v>
      </c>
      <c r="L267" s="29">
        <f t="shared" si="4"/>
        <v>46179</v>
      </c>
      <c r="M267" s="30">
        <f t="shared" si="5"/>
        <v>195</v>
      </c>
      <c r="N267" s="32">
        <f t="shared" si="6"/>
        <v>0</v>
      </c>
      <c r="O267" s="33" t="str">
        <f t="shared" si="7"/>
        <v>PAGADA</v>
      </c>
      <c r="P267" s="34">
        <f>LET(
  idVenta, I267&amp;"",
  montoTotal, M267,
  pagos, IFERROR(SUMIF(Aux_Datos!$B:$B, idVenta, Aux_Datos!$K:$K), 0),
  retenciones, IFERROR(SUMIF(Aux_Datos!$N:$N, idVenta, Aux_Datos!$R:$R), 0),
  pagos + retenciones
)</f>
        <v>195</v>
      </c>
      <c r="Q267" s="30" t="str">
        <f>IF(P267=0, "Sin Pago", 
  LET(
    idVenta, I267&amp;"",
    montoTotalPagado, P267,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67" s="30">
        <f t="shared" si="15"/>
        <v>0</v>
      </c>
      <c r="S267" s="29">
        <f>IF(P267=0, "Sin Pago", 
  IFERROR(
    MAXIFS(Aux_Datos!$A:$A, Aux_Datos!$B:$B, I267&amp;""), 
    IFERROR(MAXIFS(Aux_Datos!$A:$A, Aux_Datos!$B:$B, VALUE(I267)), "Revisar ID")
  )
)</f>
        <v>46182</v>
      </c>
      <c r="T267" s="35" t="str">
        <f t="shared" si="9"/>
        <v>PAGADA</v>
      </c>
      <c r="U267" s="35" t="str">
        <f t="shared" si="10"/>
        <v>SOLVENTE</v>
      </c>
      <c r="V267" s="32">
        <f t="shared" si="11"/>
        <v>0</v>
      </c>
      <c r="W267" s="36" t="str">
        <f>IF(P267=0, "Sin Pago", 
  LET(
    monedaPago, Q267, 
    descuentoAplicado, G267,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67" s="36" t="str">
        <f t="shared" si="12"/>
        <v/>
      </c>
      <c r="Y267" s="36">
        <v>195.0</v>
      </c>
      <c r="Z267" s="33" t="s">
        <v>596</v>
      </c>
      <c r="AA267" s="33"/>
      <c r="AB267" s="33"/>
      <c r="AC267" s="33"/>
      <c r="AD267" s="33"/>
      <c r="AE267" s="33"/>
      <c r="AF267" s="33"/>
    </row>
    <row r="268" ht="22.5" customHeight="1">
      <c r="A268" s="23" t="s">
        <v>171</v>
      </c>
      <c r="B268" s="41">
        <v>46149.49358796296</v>
      </c>
      <c r="C268" s="23" t="s">
        <v>170</v>
      </c>
      <c r="D268" s="23" t="s">
        <v>353</v>
      </c>
      <c r="E268" s="25">
        <v>447.76</v>
      </c>
      <c r="F268" s="23" t="s">
        <v>608</v>
      </c>
      <c r="G268" s="26">
        <f>IF($E268=0,0,IF(SUMIF(Aux_Datos!$B:$B,$I268,Aux_Datos!$K:$K)/$E268&gt;=VLOOKUP(IF(COUNTIFS(Aux_Datos!$B:$B,$I268,Aux_Datos!$D:$D,"&lt;&gt;USD")=0,"USD","VES"),'Limites de Descuento'!$A$2:$D$4,4,FALSE),MAX(0,1-SUMIF(Aux_Datos!$B:$B,$I268,Aux_Datos!$K:$K)/$E268),0))</f>
        <v>0</v>
      </c>
      <c r="H268" s="27"/>
      <c r="I268" s="28">
        <f t="shared" si="14"/>
        <v>335</v>
      </c>
      <c r="J268" s="29">
        <f t="shared" si="2"/>
        <v>46149</v>
      </c>
      <c r="K268" s="30">
        <f t="shared" si="3"/>
        <v>7</v>
      </c>
      <c r="L268" s="29">
        <f t="shared" si="4"/>
        <v>46157</v>
      </c>
      <c r="M268" s="30">
        <f t="shared" si="5"/>
        <v>447.76</v>
      </c>
      <c r="N268" s="32">
        <f t="shared" si="6"/>
        <v>43</v>
      </c>
      <c r="O268" s="33" t="str">
        <f t="shared" si="7"/>
        <v>VENCIDA</v>
      </c>
      <c r="P268" s="34">
        <f>LET(
  idVenta, I268&amp;"",
  montoTotal, M268,
  pagos, IFERROR(SUMIF(Aux_Datos!$B:$B, idVenta, Aux_Datos!$K:$K), 0),
  retenciones, IFERROR(SUMIF(Aux_Datos!$N:$N, idVenta, Aux_Datos!$R:$R), 0),
  pagos + retenciones
)</f>
        <v>140</v>
      </c>
      <c r="Q268" s="30" t="str">
        <f>IF(P268=0, "Sin Pago", 
  LET(
    idVenta, I268&amp;"",
    montoTotalPagado, P268,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68" s="30">
        <f t="shared" si="15"/>
        <v>307.76</v>
      </c>
      <c r="S268" s="29">
        <f>IF(P268=0, "Sin Pago", 
  IFERROR(
    MAXIFS(Aux_Datos!$A:$A, Aux_Datos!$B:$B, I268&amp;""), 
    IFERROR(MAXIFS(Aux_Datos!$A:$A, Aux_Datos!$B:$B, VALUE(I268)), "Revisar ID")
  )
)</f>
        <v>46182</v>
      </c>
      <c r="T268" s="35" t="str">
        <f t="shared" si="9"/>
        <v>PAGO PARCIAL</v>
      </c>
      <c r="U268" s="35" t="str">
        <f t="shared" si="10"/>
        <v>CRÍTICO: VENCIDA</v>
      </c>
      <c r="V268" s="32">
        <f t="shared" si="11"/>
        <v>18</v>
      </c>
      <c r="W268" s="36" t="str">
        <f>IF(P268=0, "Sin Pago", 
  LET(
    monedaPago, Q268, 
    descuentoAplicado, G268,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68" s="36" t="str">
        <f t="shared" si="12"/>
        <v/>
      </c>
      <c r="Y268" s="36">
        <v>140.0</v>
      </c>
      <c r="Z268" s="33" t="s">
        <v>609</v>
      </c>
      <c r="AA268" s="33"/>
      <c r="AB268" s="33"/>
      <c r="AC268" s="33"/>
      <c r="AD268" s="33"/>
      <c r="AE268" s="33"/>
      <c r="AF268" s="33"/>
    </row>
    <row r="269" ht="22.5" customHeight="1">
      <c r="A269" s="23" t="s">
        <v>145</v>
      </c>
      <c r="B269" s="41">
        <v>46149.49375</v>
      </c>
      <c r="C269" s="23" t="s">
        <v>144</v>
      </c>
      <c r="D269" s="23" t="s">
        <v>353</v>
      </c>
      <c r="E269" s="25">
        <v>312.04</v>
      </c>
      <c r="F269" s="23" t="s">
        <v>608</v>
      </c>
      <c r="G269" s="26">
        <f>IF($E269=0,0,IF(SUMIF(Aux_Datos!$B:$B,$I269,Aux_Datos!$K:$K)/$E269&gt;=VLOOKUP(IF(COUNTIFS(Aux_Datos!$B:$B,$I269,Aux_Datos!$D:$D,"&lt;&gt;USD")=0,"USD","VES"),'Limites de Descuento'!$A$2:$D$4,4,FALSE),MAX(0,1-SUMIF(Aux_Datos!$B:$B,$I269,Aux_Datos!$K:$K)/$E269),0))</f>
        <v>0</v>
      </c>
      <c r="H269" s="27"/>
      <c r="I269" s="28">
        <f t="shared" si="14"/>
        <v>336</v>
      </c>
      <c r="J269" s="29">
        <f t="shared" si="2"/>
        <v>46149</v>
      </c>
      <c r="K269" s="30">
        <f t="shared" si="3"/>
        <v>7</v>
      </c>
      <c r="L269" s="29">
        <f t="shared" si="4"/>
        <v>46157</v>
      </c>
      <c r="M269" s="30">
        <f t="shared" si="5"/>
        <v>312.04</v>
      </c>
      <c r="N269" s="32">
        <f t="shared" si="6"/>
        <v>43</v>
      </c>
      <c r="O269" s="33" t="str">
        <f t="shared" si="7"/>
        <v>VENCIDA</v>
      </c>
      <c r="P269" s="34">
        <f>LET(
  idVenta, I269&amp;"",
  montoTotal, M269,
  pagos, IFERROR(SUMIF(Aux_Datos!$B:$B, idVenta, Aux_Datos!$K:$K), 0),
  retenciones, IFERROR(SUMIF(Aux_Datos!$N:$N, idVenta, Aux_Datos!$R:$R), 0),
  pagos + retenciones
)</f>
        <v>60</v>
      </c>
      <c r="Q269" s="30" t="str">
        <f>IF(P269=0, "Sin Pago", 
  LET(
    idVenta, I269&amp;"",
    montoTotalPagado, P269,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69" s="30">
        <f t="shared" si="15"/>
        <v>252.04</v>
      </c>
      <c r="S269" s="29">
        <f>IF(P269=0, "Sin Pago", 
  IFERROR(
    MAXIFS(Aux_Datos!$A:$A, Aux_Datos!$B:$B, I269&amp;""), 
    IFERROR(MAXIFS(Aux_Datos!$A:$A, Aux_Datos!$B:$B, VALUE(I269)), "Revisar ID")
  )
)</f>
        <v>46185</v>
      </c>
      <c r="T269" s="35" t="str">
        <f t="shared" si="9"/>
        <v>PAGO PARCIAL</v>
      </c>
      <c r="U269" s="35" t="str">
        <f t="shared" si="10"/>
        <v>CRÍTICO: VENCIDA</v>
      </c>
      <c r="V269" s="32">
        <f t="shared" si="11"/>
        <v>15</v>
      </c>
      <c r="W269" s="36" t="str">
        <f>IF(P269=0, "Sin Pago", 
  LET(
    monedaPago, Q269, 
    descuentoAplicado, G269,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69" s="36" t="str">
        <f t="shared" si="12"/>
        <v/>
      </c>
      <c r="Y269" s="36">
        <v>60.0</v>
      </c>
      <c r="Z269" s="33" t="s">
        <v>609</v>
      </c>
      <c r="AA269" s="33"/>
      <c r="AB269" s="33"/>
      <c r="AC269" s="33"/>
      <c r="AD269" s="33"/>
      <c r="AE269" s="33"/>
      <c r="AF269" s="33"/>
    </row>
    <row r="270" ht="22.5" customHeight="1">
      <c r="A270" s="23" t="s">
        <v>265</v>
      </c>
      <c r="B270" s="41">
        <v>46149.61922453704</v>
      </c>
      <c r="C270" s="23" t="s">
        <v>264</v>
      </c>
      <c r="D270" s="23" t="s">
        <v>323</v>
      </c>
      <c r="E270" s="25">
        <v>87.0</v>
      </c>
      <c r="F270" s="23" t="s">
        <v>593</v>
      </c>
      <c r="G270" s="26">
        <f>IF($E270=0,0,IF(SUMIF(Aux_Datos!$B:$B,$I270,Aux_Datos!$K:$K)/$E270&gt;=VLOOKUP(IF(COUNTIFS(Aux_Datos!$B:$B,$I270,Aux_Datos!$D:$D,"&lt;&gt;USD")=0,"USD","VES"),'Limites de Descuento'!$A$2:$D$4,4,FALSE),MAX(0,1-SUMIF(Aux_Datos!$B:$B,$I270,Aux_Datos!$K:$K)/$E270),0))</f>
        <v>0</v>
      </c>
      <c r="H270" s="27"/>
      <c r="I270" s="28">
        <f t="shared" si="14"/>
        <v>337</v>
      </c>
      <c r="J270" s="29">
        <f t="shared" si="2"/>
        <v>46149</v>
      </c>
      <c r="K270" s="30">
        <f t="shared" si="3"/>
        <v>0</v>
      </c>
      <c r="L270" s="29">
        <f t="shared" si="4"/>
        <v>46150</v>
      </c>
      <c r="M270" s="30">
        <f t="shared" si="5"/>
        <v>87</v>
      </c>
      <c r="N270" s="32">
        <f t="shared" si="6"/>
        <v>50</v>
      </c>
      <c r="O270" s="33" t="str">
        <f t="shared" si="7"/>
        <v>VENCIDA</v>
      </c>
      <c r="P270" s="34">
        <f>LET(
  idVenta, I270&amp;"",
  montoTotal, M270,
  pagos, IFERROR(SUMIF(Aux_Datos!$B:$B, idVenta, Aux_Datos!$K:$K), 0),
  retenciones, IFERROR(SUMIF(Aux_Datos!$N:$N, idVenta, Aux_Datos!$R:$R), 0),
  pagos + retenciones
)</f>
        <v>0</v>
      </c>
      <c r="Q270" s="30" t="str">
        <f>IF(P270=0, "Sin Pago", 
  LET(
    idVenta, I270&amp;"",
    montoTotalPagado, P270,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270" s="30">
        <f t="shared" si="15"/>
        <v>87</v>
      </c>
      <c r="S270" s="29" t="str">
        <f>IF(P270=0, "Sin Pago", 
  IFERROR(
    MAXIFS(Aux_Datos!$A:$A, Aux_Datos!$B:$B, I270&amp;""), 
    IFERROR(MAXIFS(Aux_Datos!$A:$A, Aux_Datos!$B:$B, VALUE(I270)), "Revisar ID")
  )
)</f>
        <v>Sin Pago</v>
      </c>
      <c r="T270" s="35" t="str">
        <f t="shared" si="9"/>
        <v>PENDIENTE</v>
      </c>
      <c r="U270" s="35" t="str">
        <f t="shared" si="10"/>
        <v>CRÍTICO: VENCIDA</v>
      </c>
      <c r="V270" s="32">
        <f t="shared" si="11"/>
        <v>0</v>
      </c>
      <c r="W270" s="36" t="str">
        <f>IF(P270=0, "Sin Pago", 
  LET(
    monedaPago, Q270, 
    descuentoAplicado, G270,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270" s="36" t="str">
        <f t="shared" si="12"/>
        <v/>
      </c>
      <c r="Y270" s="36">
        <v>0.0</v>
      </c>
      <c r="Z270" s="33" t="s">
        <v>641</v>
      </c>
      <c r="AA270" s="33"/>
      <c r="AB270" s="33"/>
      <c r="AC270" s="33"/>
      <c r="AD270" s="33"/>
      <c r="AE270" s="33"/>
      <c r="AF270" s="33"/>
    </row>
    <row r="271" ht="22.5" customHeight="1">
      <c r="A271" s="23" t="s">
        <v>283</v>
      </c>
      <c r="B271" s="41">
        <v>46149.663877314815</v>
      </c>
      <c r="C271" s="23" t="s">
        <v>282</v>
      </c>
      <c r="D271" s="23" t="s">
        <v>546</v>
      </c>
      <c r="E271" s="25">
        <v>104.4</v>
      </c>
      <c r="F271" s="23" t="s">
        <v>608</v>
      </c>
      <c r="G271" s="26">
        <f>IF($E271=0,0,IF(SUMIF(Aux_Datos!$B:$B,$I271,Aux_Datos!$K:$K)/$E271&gt;=VLOOKUP(IF(COUNTIFS(Aux_Datos!$B:$B,$I271,Aux_Datos!$D:$D,"&lt;&gt;USD")=0,"USD","VES"),'Limites de Descuento'!$A$2:$D$4,4,FALSE),MAX(0,1-SUMIF(Aux_Datos!$B:$B,$I271,Aux_Datos!$K:$K)/$E271),0))</f>
        <v>0</v>
      </c>
      <c r="H271" s="27"/>
      <c r="I271" s="28">
        <f t="shared" si="14"/>
        <v>338</v>
      </c>
      <c r="J271" s="29">
        <f t="shared" si="2"/>
        <v>46149</v>
      </c>
      <c r="K271" s="30">
        <f t="shared" si="3"/>
        <v>7</v>
      </c>
      <c r="L271" s="29">
        <f t="shared" si="4"/>
        <v>46157</v>
      </c>
      <c r="M271" s="30">
        <f t="shared" si="5"/>
        <v>104.4</v>
      </c>
      <c r="N271" s="32">
        <f t="shared" si="6"/>
        <v>43</v>
      </c>
      <c r="O271" s="33" t="str">
        <f t="shared" si="7"/>
        <v>VENCIDA</v>
      </c>
      <c r="P271" s="34">
        <f>LET(
  idVenta, I271&amp;"",
  montoTotal, M271,
  pagos, IFERROR(SUMIF(Aux_Datos!$B:$B, idVenta, Aux_Datos!$K:$K), 0),
  retenciones, IFERROR(SUMIF(Aux_Datos!$N:$N, idVenta, Aux_Datos!$R:$R), 0),
  pagos + retenciones
)</f>
        <v>66</v>
      </c>
      <c r="Q271" s="30" t="str">
        <f>IF(P271=0, "Sin Pago", 
  LET(
    idVenta, I271&amp;"",
    montoTotalPagado, P271,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71" s="30">
        <f t="shared" si="15"/>
        <v>38.4</v>
      </c>
      <c r="S271" s="29">
        <f>IF(P271=0, "Sin Pago", 
  IFERROR(
    MAXIFS(Aux_Datos!$A:$A, Aux_Datos!$B:$B, I271&amp;""), 
    IFERROR(MAXIFS(Aux_Datos!$A:$A, Aux_Datos!$B:$B, VALUE(I271)), "Revisar ID")
  )
)</f>
        <v>46181</v>
      </c>
      <c r="T271" s="35" t="str">
        <f t="shared" si="9"/>
        <v>PAGO PARCIAL</v>
      </c>
      <c r="U271" s="35" t="str">
        <f t="shared" si="10"/>
        <v>CRÍTICO: VENCIDA</v>
      </c>
      <c r="V271" s="32">
        <f t="shared" si="11"/>
        <v>19</v>
      </c>
      <c r="W271" s="36" t="str">
        <f>IF(P271=0, "Sin Pago", 
  LET(
    monedaPago, Q271, 
    descuentoAplicado, G271,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71" s="36" t="str">
        <f t="shared" si="12"/>
        <v/>
      </c>
      <c r="Y271" s="36">
        <v>66.0</v>
      </c>
      <c r="Z271" s="33" t="s">
        <v>609</v>
      </c>
      <c r="AA271" s="33"/>
      <c r="AB271" s="33"/>
      <c r="AC271" s="33"/>
      <c r="AD271" s="33"/>
      <c r="AE271" s="33"/>
      <c r="AF271" s="33"/>
    </row>
    <row r="272" ht="22.5" customHeight="1">
      <c r="A272" s="23" t="s">
        <v>37</v>
      </c>
      <c r="B272" s="41">
        <v>46149.66373842592</v>
      </c>
      <c r="C272" s="23" t="s">
        <v>35</v>
      </c>
      <c r="D272" s="23" t="s">
        <v>544</v>
      </c>
      <c r="E272" s="25">
        <v>1223.8</v>
      </c>
      <c r="F272" s="23" t="s">
        <v>608</v>
      </c>
      <c r="G272" s="26">
        <f>IF($E272=0,0,IF(SUMIF(Aux_Datos!$B:$B,$I272,Aux_Datos!$K:$K)/$E272&gt;=VLOOKUP(IF(COUNTIFS(Aux_Datos!$B:$B,$I272,Aux_Datos!$D:$D,"&lt;&gt;USD")=0,"USD","VES"),'Limites de Descuento'!$A$2:$D$4,4,FALSE),MAX(0,1-SUMIF(Aux_Datos!$B:$B,$I272,Aux_Datos!$K:$K)/$E272),0))</f>
        <v>0</v>
      </c>
      <c r="H272" s="26"/>
      <c r="I272" s="28">
        <f t="shared" si="14"/>
        <v>339</v>
      </c>
      <c r="J272" s="29">
        <f t="shared" si="2"/>
        <v>46149</v>
      </c>
      <c r="K272" s="30">
        <f t="shared" si="3"/>
        <v>7</v>
      </c>
      <c r="L272" s="29">
        <f t="shared" si="4"/>
        <v>46157</v>
      </c>
      <c r="M272" s="30">
        <f t="shared" si="5"/>
        <v>1223.8</v>
      </c>
      <c r="N272" s="32">
        <f t="shared" si="6"/>
        <v>43</v>
      </c>
      <c r="O272" s="33" t="str">
        <f t="shared" si="7"/>
        <v>VENCIDA</v>
      </c>
      <c r="P272" s="34">
        <f>LET(
  idVenta, I272&amp;"",
  montoTotal, M272,
  pagos, IFERROR(SUMIF(Aux_Datos!$B:$B, idVenta, Aux_Datos!$K:$K), 0),
  retenciones, IFERROR(SUMIF(Aux_Datos!$N:$N, idVenta, Aux_Datos!$R:$R), 0),
  pagos + retenciones
)</f>
        <v>350</v>
      </c>
      <c r="Q272" s="30" t="str">
        <f>IF(P272=0, "Sin Pago", 
  LET(
    idVenta, I272&amp;"",
    montoTotalPagado, P272,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72" s="30">
        <f t="shared" si="15"/>
        <v>873.8</v>
      </c>
      <c r="S272" s="29">
        <f>IF(P272=0, "Sin Pago", 
  IFERROR(
    MAXIFS(Aux_Datos!$A:$A, Aux_Datos!$B:$B, I272&amp;""), 
    IFERROR(MAXIFS(Aux_Datos!$A:$A, Aux_Datos!$B:$B, VALUE(I272)), "Revisar ID")
  )
)</f>
        <v>46188</v>
      </c>
      <c r="T272" s="35" t="str">
        <f t="shared" si="9"/>
        <v>PAGO PARCIAL</v>
      </c>
      <c r="U272" s="35" t="str">
        <f t="shared" si="10"/>
        <v>CRÍTICO: VENCIDA</v>
      </c>
      <c r="V272" s="32">
        <f t="shared" si="11"/>
        <v>12</v>
      </c>
      <c r="W272" s="36" t="str">
        <f>IF(P272=0, "Sin Pago", 
  LET(
    monedaPago, Q272, 
    descuentoAplicado, G272,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72" s="36" t="str">
        <f t="shared" si="12"/>
        <v/>
      </c>
      <c r="Y272" s="36">
        <v>350.0</v>
      </c>
      <c r="Z272" s="33" t="s">
        <v>609</v>
      </c>
      <c r="AA272" s="33"/>
      <c r="AB272" s="33"/>
      <c r="AC272" s="33"/>
      <c r="AD272" s="33"/>
      <c r="AE272" s="33"/>
      <c r="AF272" s="33"/>
    </row>
    <row r="273" ht="22.5" customHeight="1">
      <c r="A273" s="23" t="s">
        <v>802</v>
      </c>
      <c r="B273" s="41">
        <v>46149.69663194445</v>
      </c>
      <c r="C273" s="23" t="s">
        <v>485</v>
      </c>
      <c r="D273" s="23" t="s">
        <v>546</v>
      </c>
      <c r="E273" s="25">
        <v>225.04</v>
      </c>
      <c r="F273" s="23" t="s">
        <v>603</v>
      </c>
      <c r="G273" s="26">
        <f>IF($E273=0,0,IF(SUMIF(Aux_Datos!$B:$B,$I273,Aux_Datos!$K:$K)/$E273&gt;=VLOOKUP(IF(COUNTIFS(Aux_Datos!$B:$B,$I273,Aux_Datos!$D:$D,"&lt;&gt;USD")=0,"USD","VES"),'Limites de Descuento'!$A$2:$D$4,4,FALSE),MAX(0,1-SUMIF(Aux_Datos!$B:$B,$I273,Aux_Datos!$K:$K)/$E273),0))</f>
        <v>0.1493706827</v>
      </c>
      <c r="H273" s="42"/>
      <c r="I273" s="28">
        <f t="shared" si="14"/>
        <v>340</v>
      </c>
      <c r="J273" s="29">
        <f t="shared" si="2"/>
        <v>46149</v>
      </c>
      <c r="K273" s="30">
        <f t="shared" si="3"/>
        <v>21</v>
      </c>
      <c r="L273" s="29">
        <f t="shared" si="4"/>
        <v>46171</v>
      </c>
      <c r="M273" s="30">
        <f t="shared" si="5"/>
        <v>191.4256216</v>
      </c>
      <c r="N273" s="32">
        <f t="shared" si="6"/>
        <v>0</v>
      </c>
      <c r="O273" s="33" t="str">
        <f t="shared" si="7"/>
        <v>PAGADA</v>
      </c>
      <c r="P273" s="34">
        <f>LET(
  idVenta, I273&amp;"",
  montoTotal, M273,
  pagos, IFERROR(SUMIF(Aux_Datos!$B:$B, idVenta, Aux_Datos!$K:$K), 0),
  retenciones, IFERROR(SUMIF(Aux_Datos!$N:$N, idVenta, Aux_Datos!$R:$R), 0),
  pagos + retenciones
)</f>
        <v>191.4256216</v>
      </c>
      <c r="Q273" s="30" t="str">
        <f>IF(P273=0, "Sin Pago", 
  LET(
    idVenta, I273&amp;"",
    montoTotalPagado, P273,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273" s="30">
        <f t="shared" si="15"/>
        <v>0</v>
      </c>
      <c r="S273" s="29">
        <f>IF(P273=0, "Sin Pago", 
  IFERROR(
    MAXIFS(Aux_Datos!$A:$A, Aux_Datos!$B:$B, I273&amp;""), 
    IFERROR(MAXIFS(Aux_Datos!$A:$A, Aux_Datos!$B:$B, VALUE(I273)), "Revisar ID")
  )
)</f>
        <v>46171</v>
      </c>
      <c r="T273" s="35" t="str">
        <f t="shared" si="9"/>
        <v>PAGADA</v>
      </c>
      <c r="U273" s="35" t="str">
        <f t="shared" si="10"/>
        <v>SOLVENTE</v>
      </c>
      <c r="V273" s="32">
        <f t="shared" si="11"/>
        <v>0</v>
      </c>
      <c r="W273" s="36" t="str">
        <f>IF(P273=0, "Sin Pago", 
  LET(
    monedaPago, Q273, 
    descuentoAplicado, G273,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73" s="36" t="str">
        <f t="shared" si="12"/>
        <v/>
      </c>
      <c r="Y273" s="36">
        <v>191.4256215647114</v>
      </c>
      <c r="Z273" s="33" t="s">
        <v>596</v>
      </c>
      <c r="AA273" s="43"/>
      <c r="AB273" s="44"/>
      <c r="AC273" s="33"/>
      <c r="AD273" s="33"/>
      <c r="AE273" s="33"/>
      <c r="AF273" s="33"/>
    </row>
    <row r="274" ht="22.5" customHeight="1">
      <c r="A274" s="23" t="s">
        <v>357</v>
      </c>
      <c r="B274" s="41">
        <v>46149.69681712963</v>
      </c>
      <c r="C274" s="23" t="s">
        <v>356</v>
      </c>
      <c r="D274" s="23" t="s">
        <v>546</v>
      </c>
      <c r="E274" s="25">
        <v>116.0</v>
      </c>
      <c r="F274" s="23" t="s">
        <v>603</v>
      </c>
      <c r="G274" s="26">
        <f>IF($E274=0,0,IF(SUMIF(Aux_Datos!$B:$B,$I274,Aux_Datos!$K:$K)/$E274&gt;=VLOOKUP(IF(COUNTIFS(Aux_Datos!$B:$B,$I274,Aux_Datos!$D:$D,"&lt;&gt;USD")=0,"USD","VES"),'Limites de Descuento'!$A$2:$D$4,4,FALSE),MAX(0,1-SUMIF(Aux_Datos!$B:$B,$I274,Aux_Datos!$K:$K)/$E274),0))</f>
        <v>0</v>
      </c>
      <c r="H274" s="27"/>
      <c r="I274" s="28">
        <f t="shared" si="14"/>
        <v>341</v>
      </c>
      <c r="J274" s="29">
        <f t="shared" si="2"/>
        <v>46149</v>
      </c>
      <c r="K274" s="30">
        <f t="shared" si="3"/>
        <v>21</v>
      </c>
      <c r="L274" s="29">
        <f t="shared" si="4"/>
        <v>46171</v>
      </c>
      <c r="M274" s="30">
        <f t="shared" si="5"/>
        <v>116</v>
      </c>
      <c r="N274" s="32">
        <f t="shared" si="6"/>
        <v>29</v>
      </c>
      <c r="O274" s="33" t="str">
        <f t="shared" si="7"/>
        <v>VENCIDA</v>
      </c>
      <c r="P274" s="34">
        <f>LET(
  idVenta, I274&amp;"",
  montoTotal, M274,
  pagos, IFERROR(SUMIF(Aux_Datos!$B:$B, idVenta, Aux_Datos!$K:$K), 0),
  retenciones, IFERROR(SUMIF(Aux_Datos!$N:$N, idVenta, Aux_Datos!$R:$R), 0),
  pagos + retenciones
)</f>
        <v>73.5</v>
      </c>
      <c r="Q274" s="30" t="str">
        <f>IF(P274=0, "Sin Pago", 
  LET(
    idVenta, I274&amp;"",
    montoTotalPagado, P274,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74" s="30">
        <f t="shared" si="15"/>
        <v>42.5</v>
      </c>
      <c r="S274" s="29">
        <f>IF(P274=0, "Sin Pago", 
  IFERROR(
    MAXIFS(Aux_Datos!$A:$A, Aux_Datos!$B:$B, I274&amp;""), 
    IFERROR(MAXIFS(Aux_Datos!$A:$A, Aux_Datos!$B:$B, VALUE(I274)), "Revisar ID")
  )
)</f>
        <v>46184</v>
      </c>
      <c r="T274" s="35" t="str">
        <f t="shared" si="9"/>
        <v>PAGO PARCIAL</v>
      </c>
      <c r="U274" s="35" t="str">
        <f t="shared" si="10"/>
        <v>CRÍTICO: VENCIDA</v>
      </c>
      <c r="V274" s="32">
        <f t="shared" si="11"/>
        <v>16</v>
      </c>
      <c r="W274" s="36" t="str">
        <f>IF(P274=0, "Sin Pago", 
  LET(
    monedaPago, Q274, 
    descuentoAplicado, G274,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74" s="36" t="str">
        <f t="shared" si="12"/>
        <v/>
      </c>
      <c r="Y274" s="36">
        <v>73.5</v>
      </c>
      <c r="Z274" s="33" t="s">
        <v>609</v>
      </c>
      <c r="AA274" s="33"/>
      <c r="AB274" s="33"/>
      <c r="AC274" s="33"/>
      <c r="AD274" s="33"/>
      <c r="AE274" s="33"/>
      <c r="AF274" s="33"/>
    </row>
    <row r="275" ht="22.5" customHeight="1">
      <c r="A275" s="23" t="s">
        <v>288</v>
      </c>
      <c r="B275" s="41">
        <v>46149.70350694445</v>
      </c>
      <c r="C275" s="23" t="s">
        <v>287</v>
      </c>
      <c r="D275" s="23" t="s">
        <v>529</v>
      </c>
      <c r="E275" s="25">
        <v>382.8</v>
      </c>
      <c r="F275" s="23" t="s">
        <v>608</v>
      </c>
      <c r="G275" s="26">
        <f>IF($E275=0,0,IF(SUMIF(Aux_Datos!$B:$B,$I275,Aux_Datos!$K:$K)/$E275&gt;=VLOOKUP(IF(COUNTIFS(Aux_Datos!$B:$B,$I275,Aux_Datos!$D:$D,"&lt;&gt;USD")=0,"USD","VES"),'Limites de Descuento'!$A$2:$D$4,4,FALSE),MAX(0,1-SUMIF(Aux_Datos!$B:$B,$I275,Aux_Datos!$K:$K)/$E275),0))</f>
        <v>0</v>
      </c>
      <c r="H275" s="27"/>
      <c r="I275" s="28">
        <f t="shared" si="14"/>
        <v>343</v>
      </c>
      <c r="J275" s="29">
        <f t="shared" si="2"/>
        <v>46149</v>
      </c>
      <c r="K275" s="30">
        <f t="shared" si="3"/>
        <v>7</v>
      </c>
      <c r="L275" s="29">
        <f t="shared" si="4"/>
        <v>46157</v>
      </c>
      <c r="M275" s="30">
        <f t="shared" si="5"/>
        <v>382.8</v>
      </c>
      <c r="N275" s="32">
        <f t="shared" si="6"/>
        <v>43</v>
      </c>
      <c r="O275" s="33" t="str">
        <f t="shared" si="7"/>
        <v>VENCIDA</v>
      </c>
      <c r="P275" s="34">
        <f>LET(
  idVenta, I275&amp;"",
  montoTotal, M275,
  pagos, IFERROR(SUMIF(Aux_Datos!$B:$B, idVenta, Aux_Datos!$K:$K), 0),
  retenciones, IFERROR(SUMIF(Aux_Datos!$N:$N, idVenta, Aux_Datos!$R:$R), 0),
  pagos + retenciones
)</f>
        <v>0</v>
      </c>
      <c r="Q275" s="30" t="str">
        <f>IF(P275=0, "Sin Pago", 
  LET(
    idVenta, I275&amp;"",
    montoTotalPagado, P275,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275" s="30">
        <f t="shared" si="15"/>
        <v>382.8</v>
      </c>
      <c r="S275" s="29" t="str">
        <f>IF(P275=0, "Sin Pago", 
  IFERROR(
    MAXIFS(Aux_Datos!$A:$A, Aux_Datos!$B:$B, I275&amp;""), 
    IFERROR(MAXIFS(Aux_Datos!$A:$A, Aux_Datos!$B:$B, VALUE(I275)), "Revisar ID")
  )
)</f>
        <v>Sin Pago</v>
      </c>
      <c r="T275" s="35" t="str">
        <f t="shared" si="9"/>
        <v>PENDIENTE</v>
      </c>
      <c r="U275" s="35" t="str">
        <f t="shared" si="10"/>
        <v>CRÍTICO: VENCIDA</v>
      </c>
      <c r="V275" s="32">
        <f t="shared" si="11"/>
        <v>0</v>
      </c>
      <c r="W275" s="36" t="str">
        <f>IF(P275=0, "Sin Pago", 
  LET(
    monedaPago, Q275, 
    descuentoAplicado, G275,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275" s="36" t="str">
        <f t="shared" si="12"/>
        <v/>
      </c>
      <c r="Y275" s="36">
        <v>0.0</v>
      </c>
      <c r="Z275" s="33" t="s">
        <v>641</v>
      </c>
      <c r="AA275" s="33"/>
      <c r="AB275" s="33"/>
      <c r="AC275" s="33"/>
      <c r="AD275" s="33"/>
      <c r="AE275" s="33"/>
      <c r="AF275" s="33"/>
    </row>
    <row r="276" ht="22.5" customHeight="1">
      <c r="A276" s="23" t="s">
        <v>10</v>
      </c>
      <c r="B276" s="41">
        <v>46149.703668981485</v>
      </c>
      <c r="C276" s="23" t="s">
        <v>5</v>
      </c>
      <c r="D276" s="23" t="s">
        <v>552</v>
      </c>
      <c r="E276" s="25">
        <v>148.48</v>
      </c>
      <c r="F276" s="23" t="s">
        <v>608</v>
      </c>
      <c r="G276" s="26">
        <f>IF($E276=0,0,IF(SUMIF(Aux_Datos!$B:$B,$I276,Aux_Datos!$K:$K)/$E276&gt;=VLOOKUP(IF(COUNTIFS(Aux_Datos!$B:$B,$I276,Aux_Datos!$D:$D,"&lt;&gt;USD")=0,"USD","VES"),'Limites de Descuento'!$A$2:$D$4,4,FALSE),MAX(0,1-SUMIF(Aux_Datos!$B:$B,$I276,Aux_Datos!$K:$K)/$E276),0))</f>
        <v>0</v>
      </c>
      <c r="H276" s="27"/>
      <c r="I276" s="28">
        <f t="shared" si="14"/>
        <v>344</v>
      </c>
      <c r="J276" s="29">
        <f t="shared" si="2"/>
        <v>46149</v>
      </c>
      <c r="K276" s="30">
        <f t="shared" si="3"/>
        <v>7</v>
      </c>
      <c r="L276" s="29">
        <f t="shared" si="4"/>
        <v>46157</v>
      </c>
      <c r="M276" s="30">
        <f t="shared" si="5"/>
        <v>148.48</v>
      </c>
      <c r="N276" s="32">
        <f t="shared" si="6"/>
        <v>43</v>
      </c>
      <c r="O276" s="33" t="str">
        <f t="shared" si="7"/>
        <v>VENCIDA</v>
      </c>
      <c r="P276" s="34">
        <f>LET(
  idVenta, I276&amp;"",
  montoTotal, M276,
  pagos, IFERROR(SUMIF(Aux_Datos!$B:$B, idVenta, Aux_Datos!$K:$K), 0),
  retenciones, IFERROR(SUMIF(Aux_Datos!$N:$N, idVenta, Aux_Datos!$R:$R), 0),
  pagos + retenciones
)</f>
        <v>91</v>
      </c>
      <c r="Q276" s="30" t="str">
        <f>IF(P276=0, "Sin Pago", 
  LET(
    idVenta, I276&amp;"",
    montoTotalPagado, P276,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76" s="30">
        <f t="shared" si="15"/>
        <v>57.48</v>
      </c>
      <c r="S276" s="29">
        <f>IF(P276=0, "Sin Pago", 
  IFERROR(
    MAXIFS(Aux_Datos!$A:$A, Aux_Datos!$B:$B, I276&amp;""), 
    IFERROR(MAXIFS(Aux_Datos!$A:$A, Aux_Datos!$B:$B, VALUE(I276)), "Revisar ID")
  )
)</f>
        <v>46153</v>
      </c>
      <c r="T276" s="35" t="str">
        <f t="shared" si="9"/>
        <v>PAGO PARCIAL</v>
      </c>
      <c r="U276" s="35" t="str">
        <f t="shared" si="10"/>
        <v>CRÍTICO: VENCIDA</v>
      </c>
      <c r="V276" s="32">
        <f t="shared" si="11"/>
        <v>47</v>
      </c>
      <c r="W276" s="36" t="str">
        <f>IF(P276=0, "Sin Pago", 
  LET(
    monedaPago, Q276, 
    descuentoAplicado, G276,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76" s="36" t="str">
        <f t="shared" si="12"/>
        <v/>
      </c>
      <c r="Y276" s="36">
        <v>91.0</v>
      </c>
      <c r="Z276" s="33" t="s">
        <v>609</v>
      </c>
      <c r="AA276" s="33"/>
      <c r="AB276" s="33"/>
      <c r="AC276" s="33"/>
      <c r="AD276" s="33"/>
      <c r="AE276" s="33"/>
      <c r="AF276" s="33"/>
    </row>
    <row r="277" ht="22.5" customHeight="1">
      <c r="A277" s="23" t="s">
        <v>290</v>
      </c>
      <c r="B277" s="41">
        <v>46150.45725694444</v>
      </c>
      <c r="C277" s="23" t="s">
        <v>289</v>
      </c>
      <c r="D277" s="23" t="s">
        <v>556</v>
      </c>
      <c r="E277" s="25">
        <v>1051.51</v>
      </c>
      <c r="F277" s="23" t="s">
        <v>608</v>
      </c>
      <c r="G277" s="26">
        <f>IF($E277=0,0,IF(SUMIF(Aux_Datos!$B:$B,$I277,Aux_Datos!$K:$K)/$E277&gt;=VLOOKUP(IF(COUNTIFS(Aux_Datos!$B:$B,$I277,Aux_Datos!$D:$D,"&lt;&gt;USD")=0,"USD","VES"),'Limites de Descuento'!$A$2:$D$4,4,FALSE),MAX(0,1-SUMIF(Aux_Datos!$B:$B,$I277,Aux_Datos!$K:$K)/$E277),0))</f>
        <v>0</v>
      </c>
      <c r="H277" s="27"/>
      <c r="I277" s="28">
        <f t="shared" si="14"/>
        <v>346</v>
      </c>
      <c r="J277" s="29">
        <f t="shared" si="2"/>
        <v>46150</v>
      </c>
      <c r="K277" s="30">
        <f t="shared" si="3"/>
        <v>7</v>
      </c>
      <c r="L277" s="29">
        <f t="shared" si="4"/>
        <v>46158</v>
      </c>
      <c r="M277" s="30">
        <f t="shared" si="5"/>
        <v>1051.51</v>
      </c>
      <c r="N277" s="32">
        <f t="shared" si="6"/>
        <v>42</v>
      </c>
      <c r="O277" s="33" t="str">
        <f t="shared" si="7"/>
        <v>VENCIDA</v>
      </c>
      <c r="P277" s="34">
        <f>LET(
  idVenta, I277&amp;"",
  montoTotal, M277,
  pagos, IFERROR(SUMIF(Aux_Datos!$B:$B, idVenta, Aux_Datos!$K:$K), 0),
  retenciones, IFERROR(SUMIF(Aux_Datos!$N:$N, idVenta, Aux_Datos!$R:$R), 0),
  pagos + retenciones
)</f>
        <v>240</v>
      </c>
      <c r="Q277" s="30" t="str">
        <f>IF(P277=0, "Sin Pago", 
  LET(
    idVenta, I277&amp;"",
    montoTotalPagado, P277,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77" s="30">
        <f t="shared" si="15"/>
        <v>811.51</v>
      </c>
      <c r="S277" s="29">
        <f>IF(P277=0, "Sin Pago", 
  IFERROR(
    MAXIFS(Aux_Datos!$A:$A, Aux_Datos!$B:$B, I277&amp;""), 
    IFERROR(MAXIFS(Aux_Datos!$A:$A, Aux_Datos!$B:$B, VALUE(I277)), "Revisar ID")
  )
)</f>
        <v>46188</v>
      </c>
      <c r="T277" s="35" t="str">
        <f t="shared" si="9"/>
        <v>PAGO PARCIAL</v>
      </c>
      <c r="U277" s="35" t="str">
        <f t="shared" si="10"/>
        <v>CRÍTICO: VENCIDA</v>
      </c>
      <c r="V277" s="32">
        <f t="shared" si="11"/>
        <v>12</v>
      </c>
      <c r="W277" s="36" t="str">
        <f>IF(P277=0, "Sin Pago", 
  LET(
    monedaPago, Q277, 
    descuentoAplicado, G277,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77" s="36" t="str">
        <f t="shared" si="12"/>
        <v/>
      </c>
      <c r="Y277" s="36">
        <v>240.0</v>
      </c>
      <c r="Z277" s="33" t="s">
        <v>609</v>
      </c>
      <c r="AA277" s="33"/>
      <c r="AB277" s="33"/>
      <c r="AC277" s="33"/>
      <c r="AD277" s="33"/>
      <c r="AE277" s="33"/>
      <c r="AF277" s="33"/>
    </row>
    <row r="278" ht="22.5" customHeight="1">
      <c r="A278" s="23" t="s">
        <v>292</v>
      </c>
      <c r="B278" s="41">
        <v>46150.64166666667</v>
      </c>
      <c r="C278" s="23" t="s">
        <v>291</v>
      </c>
      <c r="D278" s="23" t="s">
        <v>546</v>
      </c>
      <c r="E278" s="25">
        <v>348.0</v>
      </c>
      <c r="F278" s="23" t="s">
        <v>608</v>
      </c>
      <c r="G278" s="26">
        <f>IF($E278=0,0,IF(SUMIF(Aux_Datos!$B:$B,$I278,Aux_Datos!$K:$K)/$E278&gt;=VLOOKUP(IF(COUNTIFS(Aux_Datos!$B:$B,$I278,Aux_Datos!$D:$D,"&lt;&gt;USD")=0,"USD","VES"),'Limites de Descuento'!$A$2:$D$4,4,FALSE),MAX(0,1-SUMIF(Aux_Datos!$B:$B,$I278,Aux_Datos!$K:$K)/$E278),0))</f>
        <v>0</v>
      </c>
      <c r="H278" s="27"/>
      <c r="I278" s="28">
        <f t="shared" si="14"/>
        <v>347</v>
      </c>
      <c r="J278" s="29">
        <f t="shared" si="2"/>
        <v>46150</v>
      </c>
      <c r="K278" s="30">
        <f t="shared" si="3"/>
        <v>7</v>
      </c>
      <c r="L278" s="29">
        <f t="shared" si="4"/>
        <v>46158</v>
      </c>
      <c r="M278" s="30">
        <f t="shared" si="5"/>
        <v>348</v>
      </c>
      <c r="N278" s="32">
        <f t="shared" si="6"/>
        <v>42</v>
      </c>
      <c r="O278" s="33" t="str">
        <f t="shared" si="7"/>
        <v>VENCIDA</v>
      </c>
      <c r="P278" s="34">
        <f>LET(
  idVenta, I278&amp;"",
  montoTotal, M278,
  pagos, IFERROR(SUMIF(Aux_Datos!$B:$B, idVenta, Aux_Datos!$K:$K), 0),
  retenciones, IFERROR(SUMIF(Aux_Datos!$N:$N, idVenta, Aux_Datos!$R:$R), 0),
  pagos + retenciones
)</f>
        <v>0</v>
      </c>
      <c r="Q278" s="30" t="str">
        <f>IF(P278=0, "Sin Pago", 
  LET(
    idVenta, I278&amp;"",
    montoTotalPagado, P278,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278" s="30">
        <f t="shared" si="15"/>
        <v>348</v>
      </c>
      <c r="S278" s="29" t="str">
        <f>IF(P278=0, "Sin Pago", 
  IFERROR(
    MAXIFS(Aux_Datos!$A:$A, Aux_Datos!$B:$B, I278&amp;""), 
    IFERROR(MAXIFS(Aux_Datos!$A:$A, Aux_Datos!$B:$B, VALUE(I278)), "Revisar ID")
  )
)</f>
        <v>Sin Pago</v>
      </c>
      <c r="T278" s="35" t="str">
        <f t="shared" si="9"/>
        <v>PENDIENTE</v>
      </c>
      <c r="U278" s="35" t="str">
        <f t="shared" si="10"/>
        <v>CRÍTICO: VENCIDA</v>
      </c>
      <c r="V278" s="32">
        <f t="shared" si="11"/>
        <v>0</v>
      </c>
      <c r="W278" s="36" t="str">
        <f>IF(P278=0, "Sin Pago", 
  LET(
    monedaPago, Q278, 
    descuentoAplicado, G278,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278" s="36" t="str">
        <f t="shared" si="12"/>
        <v/>
      </c>
      <c r="Y278" s="36">
        <v>0.0</v>
      </c>
      <c r="Z278" s="33" t="s">
        <v>641</v>
      </c>
      <c r="AA278" s="33"/>
      <c r="AB278" s="33"/>
      <c r="AC278" s="33"/>
      <c r="AD278" s="33"/>
      <c r="AE278" s="33"/>
      <c r="AF278" s="33"/>
    </row>
    <row r="279" ht="22.5" customHeight="1">
      <c r="A279" s="23" t="s">
        <v>803</v>
      </c>
      <c r="B279" s="41">
        <v>46150.640914351854</v>
      </c>
      <c r="C279" s="23" t="s">
        <v>475</v>
      </c>
      <c r="D279" s="23" t="s">
        <v>546</v>
      </c>
      <c r="E279" s="25">
        <v>487.2</v>
      </c>
      <c r="F279" s="23" t="s">
        <v>608</v>
      </c>
      <c r="G279" s="26">
        <f>IF($E279=0,0,IF(SUMIF(Aux_Datos!$B:$B,$I279,Aux_Datos!$K:$K)/$E279&gt;=VLOOKUP(IF(COUNTIFS(Aux_Datos!$B:$B,$I279,Aux_Datos!$D:$D,"&lt;&gt;USD")=0,"USD","VES"),'Limites de Descuento'!$A$2:$D$4,4,FALSE),MAX(0,1-SUMIF(Aux_Datos!$B:$B,$I279,Aux_Datos!$K:$K)/$E279),0))</f>
        <v>0.02946167733</v>
      </c>
      <c r="H279" s="27"/>
      <c r="I279" s="28">
        <f t="shared" si="14"/>
        <v>348</v>
      </c>
      <c r="J279" s="29">
        <f t="shared" si="2"/>
        <v>46150</v>
      </c>
      <c r="K279" s="30">
        <f t="shared" si="3"/>
        <v>7</v>
      </c>
      <c r="L279" s="29">
        <f t="shared" si="4"/>
        <v>46158</v>
      </c>
      <c r="M279" s="30">
        <f t="shared" si="5"/>
        <v>472.8462708</v>
      </c>
      <c r="N279" s="32">
        <f t="shared" si="6"/>
        <v>0</v>
      </c>
      <c r="O279" s="33" t="str">
        <f t="shared" si="7"/>
        <v>PAGADA</v>
      </c>
      <c r="P279" s="34">
        <f>LET(
  idVenta, I279&amp;"",
  montoTotal, M279,
  pagos, IFERROR(SUMIF(Aux_Datos!$B:$B, idVenta, Aux_Datos!$K:$K), 0),
  retenciones, IFERROR(SUMIF(Aux_Datos!$N:$N, idVenta, Aux_Datos!$R:$R), 0),
  pagos + retenciones
)</f>
        <v>472.8462708</v>
      </c>
      <c r="Q279" s="30" t="str">
        <f>IF(P279=0, "Sin Pago", 
  LET(
    idVenta, I279&amp;"",
    montoTotalPagado, P279,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279" s="30">
        <f t="shared" si="15"/>
        <v>0</v>
      </c>
      <c r="S279" s="29">
        <f>IF(P279=0, "Sin Pago", 
  IFERROR(
    MAXIFS(Aux_Datos!$A:$A, Aux_Datos!$B:$B, I279&amp;""), 
    IFERROR(MAXIFS(Aux_Datos!$A:$A, Aux_Datos!$B:$B, VALUE(I279)), "Revisar ID")
  )
)</f>
        <v>46177</v>
      </c>
      <c r="T279" s="35" t="str">
        <f t="shared" si="9"/>
        <v>PAGADA</v>
      </c>
      <c r="U279" s="35" t="str">
        <f t="shared" si="10"/>
        <v>SOLVENTE</v>
      </c>
      <c r="V279" s="32">
        <f t="shared" si="11"/>
        <v>0</v>
      </c>
      <c r="W279" s="36" t="str">
        <f>IF(P279=0, "Sin Pago", 
  LET(
    monedaPago, Q279, 
    descuentoAplicado, G279,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79" s="36" t="str">
        <f t="shared" si="12"/>
        <v/>
      </c>
      <c r="Y279" s="36">
        <v>472.8462708053072</v>
      </c>
      <c r="Z279" s="33" t="s">
        <v>596</v>
      </c>
      <c r="AA279" s="33"/>
      <c r="AB279" s="33"/>
      <c r="AC279" s="33"/>
      <c r="AD279" s="33"/>
      <c r="AE279" s="33"/>
      <c r="AF279" s="33"/>
    </row>
    <row r="280" ht="22.5" customHeight="1">
      <c r="A280" s="23" t="s">
        <v>804</v>
      </c>
      <c r="B280" s="41">
        <v>46150.713321759256</v>
      </c>
      <c r="C280" s="23" t="s">
        <v>805</v>
      </c>
      <c r="D280" s="23" t="s">
        <v>552</v>
      </c>
      <c r="E280" s="25">
        <v>74.24</v>
      </c>
      <c r="F280" s="23" t="s">
        <v>608</v>
      </c>
      <c r="G280" s="26">
        <f>IF($E280=0,0,IF(SUMIF(Aux_Datos!$B:$B,$I280,Aux_Datos!$K:$K)/$E280&gt;=VLOOKUP(IF(COUNTIFS(Aux_Datos!$B:$B,$I280,Aux_Datos!$D:$D,"&lt;&gt;USD")=0,"USD","VES"),'Limites de Descuento'!$A$2:$D$4,4,FALSE),MAX(0,1-SUMIF(Aux_Datos!$B:$B,$I280,Aux_Datos!$K:$K)/$E280),0))</f>
        <v>0</v>
      </c>
      <c r="H280" s="27"/>
      <c r="I280" s="28">
        <f t="shared" si="14"/>
        <v>349</v>
      </c>
      <c r="J280" s="29">
        <f t="shared" si="2"/>
        <v>46150</v>
      </c>
      <c r="K280" s="30">
        <f t="shared" si="3"/>
        <v>7</v>
      </c>
      <c r="L280" s="29">
        <f t="shared" si="4"/>
        <v>46158</v>
      </c>
      <c r="M280" s="30">
        <f t="shared" si="5"/>
        <v>74.24</v>
      </c>
      <c r="N280" s="32">
        <f t="shared" si="6"/>
        <v>0</v>
      </c>
      <c r="O280" s="33" t="str">
        <f t="shared" si="7"/>
        <v>PAGADA</v>
      </c>
      <c r="P280" s="34">
        <f>LET(
  idVenta, I280&amp;"",
  montoTotal, M280,
  pagos, IFERROR(SUMIF(Aux_Datos!$B:$B, idVenta, Aux_Datos!$K:$K), 0),
  retenciones, IFERROR(SUMIF(Aux_Datos!$N:$N, idVenta, Aux_Datos!$R:$R), 0),
  pagos + retenciones
)</f>
        <v>112.4004628</v>
      </c>
      <c r="Q280" s="30" t="str">
        <f>IF(P280=0, "Sin Pago", 
  LET(
    idVenta, I280&amp;"",
    montoTotalPagado, P280,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280" s="30">
        <f t="shared" si="15"/>
        <v>-38.16046278</v>
      </c>
      <c r="S280" s="29">
        <f>IF(P280=0, "Sin Pago", 
  IFERROR(
    MAXIFS(Aux_Datos!$A:$A, Aux_Datos!$B:$B, I280&amp;""), 
    IFERROR(MAXIFS(Aux_Datos!$A:$A, Aux_Datos!$B:$B, VALUE(I280)), "Revisar ID")
  )
)</f>
        <v>46188</v>
      </c>
      <c r="T280" s="35" t="str">
        <f t="shared" si="9"/>
        <v>PAGADA</v>
      </c>
      <c r="U280" s="35" t="str">
        <f t="shared" si="10"/>
        <v>SOLVENTE</v>
      </c>
      <c r="V280" s="32">
        <f t="shared" si="11"/>
        <v>0</v>
      </c>
      <c r="W280" s="36" t="str">
        <f>IF(P280=0, "Sin Pago", 
  LET(
    monedaPago, Q280, 
    descuentoAplicado, G280,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80" s="36" t="str">
        <f t="shared" si="12"/>
        <v/>
      </c>
      <c r="Y280" s="36">
        <v>112.40046278050664</v>
      </c>
      <c r="Z280" s="33" t="s">
        <v>596</v>
      </c>
      <c r="AA280" s="33"/>
      <c r="AB280" s="33"/>
      <c r="AC280" s="33"/>
      <c r="AD280" s="33"/>
      <c r="AE280" s="33"/>
      <c r="AF280" s="33"/>
    </row>
    <row r="281" ht="22.5" customHeight="1">
      <c r="A281" s="23" t="s">
        <v>488</v>
      </c>
      <c r="B281" s="41">
        <v>46150.713483796295</v>
      </c>
      <c r="C281" s="23" t="s">
        <v>487</v>
      </c>
      <c r="D281" s="23" t="s">
        <v>544</v>
      </c>
      <c r="E281" s="25">
        <v>2308.4</v>
      </c>
      <c r="F281" s="23" t="s">
        <v>640</v>
      </c>
      <c r="G281" s="26">
        <f>IF($E281=0,0,IF(SUMIF(Aux_Datos!$B:$B,$I281,Aux_Datos!$K:$K)/$E281&gt;=VLOOKUP(IF(COUNTIFS(Aux_Datos!$B:$B,$I281,Aux_Datos!$D:$D,"&lt;&gt;USD")=0,"USD","VES"),'Limites de Descuento'!$A$2:$D$4,4,FALSE),MAX(0,1-SUMIF(Aux_Datos!$B:$B,$I281,Aux_Datos!$K:$K)/$E281),0))</f>
        <v>0</v>
      </c>
      <c r="H281" s="27"/>
      <c r="I281" s="28">
        <f t="shared" si="14"/>
        <v>350</v>
      </c>
      <c r="J281" s="29">
        <f t="shared" si="2"/>
        <v>46150</v>
      </c>
      <c r="K281" s="30">
        <f t="shared" si="3"/>
        <v>45</v>
      </c>
      <c r="L281" s="29">
        <f t="shared" si="4"/>
        <v>46196</v>
      </c>
      <c r="M281" s="30">
        <f t="shared" si="5"/>
        <v>2308.4</v>
      </c>
      <c r="N281" s="32">
        <f t="shared" si="6"/>
        <v>4</v>
      </c>
      <c r="O281" s="33" t="str">
        <f t="shared" si="7"/>
        <v>VENCIDA</v>
      </c>
      <c r="P281" s="34">
        <f>LET(
  idVenta, I281&amp;"",
  montoTotal, M281,
  pagos, IFERROR(SUMIF(Aux_Datos!$B:$B, idVenta, Aux_Datos!$K:$K), 0),
  retenciones, IFERROR(SUMIF(Aux_Datos!$N:$N, idVenta, Aux_Datos!$R:$R), 0),
  pagos + retenciones
)</f>
        <v>200</v>
      </c>
      <c r="Q281" s="30" t="str">
        <f>IF(P281=0, "Sin Pago", 
  LET(
    idVenta, I281&amp;"",
    montoTotalPagado, P281,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81" s="30">
        <f t="shared" si="15"/>
        <v>2108.4</v>
      </c>
      <c r="S281" s="29">
        <f>IF(P281=0, "Sin Pago", 
  IFERROR(
    MAXIFS(Aux_Datos!$A:$A, Aux_Datos!$B:$B, I281&amp;""), 
    IFERROR(MAXIFS(Aux_Datos!$A:$A, Aux_Datos!$B:$B, VALUE(I281)), "Revisar ID")
  )
)</f>
        <v>46189</v>
      </c>
      <c r="T281" s="35" t="str">
        <f t="shared" si="9"/>
        <v>PAGO PARCIAL</v>
      </c>
      <c r="U281" s="35" t="str">
        <f t="shared" si="10"/>
        <v>CRÍTICO: VENCIDA</v>
      </c>
      <c r="V281" s="32">
        <f t="shared" si="11"/>
        <v>11</v>
      </c>
      <c r="W281" s="36" t="str">
        <f>IF(P281=0, "Sin Pago", 
  LET(
    monedaPago, Q281, 
    descuentoAplicado, G281,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81" s="36" t="str">
        <f t="shared" si="12"/>
        <v/>
      </c>
      <c r="Y281" s="36">
        <v>200.0</v>
      </c>
      <c r="Z281" s="33" t="s">
        <v>609</v>
      </c>
      <c r="AA281" s="33"/>
      <c r="AB281" s="33"/>
      <c r="AC281" s="33"/>
      <c r="AD281" s="33"/>
      <c r="AE281" s="33"/>
      <c r="AF281" s="33"/>
    </row>
    <row r="282" ht="22.5" customHeight="1">
      <c r="A282" s="23" t="s">
        <v>806</v>
      </c>
      <c r="B282" s="41">
        <v>46150.72583333333</v>
      </c>
      <c r="C282" s="23" t="s">
        <v>807</v>
      </c>
      <c r="D282" s="23" t="s">
        <v>552</v>
      </c>
      <c r="E282" s="25">
        <v>162.4</v>
      </c>
      <c r="F282" s="23" t="s">
        <v>608</v>
      </c>
      <c r="G282" s="26">
        <f>IF($E282=0,0,IF(SUMIF(Aux_Datos!$B:$B,$I282,Aux_Datos!$K:$K)/$E282&gt;=VLOOKUP(IF(COUNTIFS(Aux_Datos!$B:$B,$I282,Aux_Datos!$D:$D,"&lt;&gt;USD")=0,"USD","VES"),'Limites de Descuento'!$A$2:$D$4,4,FALSE),MAX(0,1-SUMIF(Aux_Datos!$B:$B,$I282,Aux_Datos!$K:$K)/$E282),0))</f>
        <v>0</v>
      </c>
      <c r="H282" s="27"/>
      <c r="I282" s="28">
        <f t="shared" si="14"/>
        <v>351</v>
      </c>
      <c r="J282" s="29">
        <f t="shared" si="2"/>
        <v>46150</v>
      </c>
      <c r="K282" s="30">
        <f t="shared" si="3"/>
        <v>7</v>
      </c>
      <c r="L282" s="29">
        <f t="shared" si="4"/>
        <v>46158</v>
      </c>
      <c r="M282" s="30">
        <f t="shared" si="5"/>
        <v>162.4</v>
      </c>
      <c r="N282" s="32">
        <f t="shared" si="6"/>
        <v>0</v>
      </c>
      <c r="O282" s="33" t="str">
        <f t="shared" si="7"/>
        <v>PAGADA</v>
      </c>
      <c r="P282" s="37">
        <v>162.4</v>
      </c>
      <c r="Q282" s="30" t="str">
        <f>IF(P282=0, "Sin Pago", 
  LET(
    idVenta, I282&amp;"",
    montoTotalPagado, P282,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282" s="38">
        <v>0.0</v>
      </c>
      <c r="S282" s="29">
        <f>IF(P282=0, "Sin Pago", 
  IFERROR(
    MAXIFS(Aux_Datos!$A:$A, Aux_Datos!$B:$B, I282&amp;""), 
    IFERROR(MAXIFS(Aux_Datos!$A:$A, Aux_Datos!$B:$B, VALUE(I282)), "Revisar ID")
  )
)</f>
        <v>46171</v>
      </c>
      <c r="T282" s="35" t="str">
        <f t="shared" si="9"/>
        <v>PAGADA</v>
      </c>
      <c r="U282" s="35" t="str">
        <f t="shared" si="10"/>
        <v>SOLVENTE</v>
      </c>
      <c r="V282" s="32">
        <f t="shared" si="11"/>
        <v>0</v>
      </c>
      <c r="W282" s="36" t="str">
        <f>IF(P282=0, "Sin Pago", 
  LET(
    monedaPago, Q282, 
    descuentoAplicado, G282,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82" s="36" t="str">
        <f t="shared" si="12"/>
        <v/>
      </c>
      <c r="Y282" s="36">
        <v>99.99970875815205</v>
      </c>
      <c r="Z282" s="33" t="s">
        <v>596</v>
      </c>
      <c r="AA282" s="33"/>
      <c r="AB282" s="33"/>
      <c r="AC282" s="33"/>
      <c r="AD282" s="33"/>
      <c r="AE282" s="33"/>
      <c r="AF282" s="33"/>
    </row>
    <row r="283" ht="22.5" customHeight="1">
      <c r="A283" s="23" t="s">
        <v>81</v>
      </c>
      <c r="B283" s="41">
        <v>46150.73643518519</v>
      </c>
      <c r="C283" s="23" t="s">
        <v>79</v>
      </c>
      <c r="D283" s="23" t="s">
        <v>538</v>
      </c>
      <c r="E283" s="25">
        <v>406.0</v>
      </c>
      <c r="F283" s="23" t="s">
        <v>608</v>
      </c>
      <c r="G283" s="26">
        <f>IF($E283=0,0,IF(SUMIF(Aux_Datos!$B:$B,$I283,Aux_Datos!$K:$K)/$E283&gt;=VLOOKUP(IF(COUNTIFS(Aux_Datos!$B:$B,$I283,Aux_Datos!$D:$D,"&lt;&gt;USD")=0,"USD","VES"),'Limites de Descuento'!$A$2:$D$4,4,FALSE),MAX(0,1-SUMIF(Aux_Datos!$B:$B,$I283,Aux_Datos!$K:$K)/$E283),0))</f>
        <v>0</v>
      </c>
      <c r="H283" s="27"/>
      <c r="I283" s="28">
        <f t="shared" si="14"/>
        <v>352</v>
      </c>
      <c r="J283" s="29">
        <f t="shared" si="2"/>
        <v>46150</v>
      </c>
      <c r="K283" s="30">
        <f t="shared" si="3"/>
        <v>7</v>
      </c>
      <c r="L283" s="29">
        <f t="shared" si="4"/>
        <v>46158</v>
      </c>
      <c r="M283" s="30">
        <f t="shared" si="5"/>
        <v>406</v>
      </c>
      <c r="N283" s="32">
        <f t="shared" si="6"/>
        <v>42</v>
      </c>
      <c r="O283" s="33" t="str">
        <f t="shared" si="7"/>
        <v>VENCIDA</v>
      </c>
      <c r="P283" s="34">
        <f>LET(
  idVenta, I283&amp;"",
  montoTotal, M283,
  pagos, IFERROR(SUMIF(Aux_Datos!$B:$B, idVenta, Aux_Datos!$K:$K), 0),
  retenciones, IFERROR(SUMIF(Aux_Datos!$N:$N, idVenta, Aux_Datos!$R:$R), 0),
  pagos + retenciones
)</f>
        <v>0</v>
      </c>
      <c r="Q283" s="30" t="str">
        <f>IF(P283=0, "Sin Pago", 
  LET(
    idVenta, I283&amp;"",
    montoTotalPagado, P283,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283" s="30">
        <f t="shared" ref="R283:R334" si="16">M283-P283</f>
        <v>406</v>
      </c>
      <c r="S283" s="29" t="str">
        <f>IF(P283=0, "Sin Pago", 
  IFERROR(
    MAXIFS(Aux_Datos!$A:$A, Aux_Datos!$B:$B, I283&amp;""), 
    IFERROR(MAXIFS(Aux_Datos!$A:$A, Aux_Datos!$B:$B, VALUE(I283)), "Revisar ID")
  )
)</f>
        <v>Sin Pago</v>
      </c>
      <c r="T283" s="35" t="str">
        <f t="shared" si="9"/>
        <v>PENDIENTE</v>
      </c>
      <c r="U283" s="35" t="str">
        <f t="shared" si="10"/>
        <v>CRÍTICO: VENCIDA</v>
      </c>
      <c r="V283" s="32">
        <f t="shared" si="11"/>
        <v>0</v>
      </c>
      <c r="W283" s="36" t="str">
        <f>IF(P283=0, "Sin Pago", 
  LET(
    monedaPago, Q283, 
    descuentoAplicado, G283,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283" s="36" t="str">
        <f t="shared" si="12"/>
        <v/>
      </c>
      <c r="Y283" s="36">
        <v>0.0</v>
      </c>
      <c r="Z283" s="33" t="s">
        <v>641</v>
      </c>
      <c r="AA283" s="33"/>
      <c r="AB283" s="33"/>
      <c r="AC283" s="33"/>
      <c r="AD283" s="33"/>
      <c r="AE283" s="33"/>
      <c r="AF283" s="33"/>
    </row>
    <row r="284" ht="22.5" customHeight="1">
      <c r="A284" s="23" t="s">
        <v>34</v>
      </c>
      <c r="B284" s="41">
        <v>46150.73658564815</v>
      </c>
      <c r="C284" s="23" t="s">
        <v>32</v>
      </c>
      <c r="D284" s="23" t="s">
        <v>552</v>
      </c>
      <c r="E284" s="25">
        <v>162.4</v>
      </c>
      <c r="F284" s="23" t="s">
        <v>608</v>
      </c>
      <c r="G284" s="26">
        <f>IF($E284=0,0,IF(SUMIF(Aux_Datos!$B:$B,$I284,Aux_Datos!$K:$K)/$E284&gt;=VLOOKUP(IF(COUNTIFS(Aux_Datos!$B:$B,$I284,Aux_Datos!$D:$D,"&lt;&gt;USD")=0,"USD","VES"),'Limites de Descuento'!$A$2:$D$4,4,FALSE),MAX(0,1-SUMIF(Aux_Datos!$B:$B,$I284,Aux_Datos!$K:$K)/$E284),0))</f>
        <v>0</v>
      </c>
      <c r="H284" s="27"/>
      <c r="I284" s="28">
        <f t="shared" si="14"/>
        <v>353</v>
      </c>
      <c r="J284" s="29">
        <f t="shared" si="2"/>
        <v>46150</v>
      </c>
      <c r="K284" s="30">
        <f t="shared" si="3"/>
        <v>7</v>
      </c>
      <c r="L284" s="29">
        <f t="shared" si="4"/>
        <v>46158</v>
      </c>
      <c r="M284" s="30">
        <f t="shared" si="5"/>
        <v>162.4</v>
      </c>
      <c r="N284" s="32">
        <f t="shared" si="6"/>
        <v>42</v>
      </c>
      <c r="O284" s="33" t="str">
        <f t="shared" si="7"/>
        <v>VENCIDA</v>
      </c>
      <c r="P284" s="34">
        <f>LET(
  idVenta, I284&amp;"",
  montoTotal, M284,
  pagos, IFERROR(SUMIF(Aux_Datos!$B:$B, idVenta, Aux_Datos!$K:$K), 0),
  retenciones, IFERROR(SUMIF(Aux_Datos!$N:$N, idVenta, Aux_Datos!$R:$R), 0),
  pagos + retenciones
)</f>
        <v>40</v>
      </c>
      <c r="Q284" s="30" t="str">
        <f>IF(P284=0, "Sin Pago", 
  LET(
    idVenta, I284&amp;"",
    montoTotalPagado, P284,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84" s="30">
        <f t="shared" si="16"/>
        <v>122.4</v>
      </c>
      <c r="S284" s="29">
        <f>IF(P284=0, "Sin Pago", 
  IFERROR(
    MAXIFS(Aux_Datos!$A:$A, Aux_Datos!$B:$B, I284&amp;""), 
    IFERROR(MAXIFS(Aux_Datos!$A:$A, Aux_Datos!$B:$B, VALUE(I284)), "Revisar ID")
  )
)</f>
        <v>46177</v>
      </c>
      <c r="T284" s="35" t="str">
        <f t="shared" si="9"/>
        <v>PAGO PARCIAL</v>
      </c>
      <c r="U284" s="35" t="str">
        <f t="shared" si="10"/>
        <v>CRÍTICO: VENCIDA</v>
      </c>
      <c r="V284" s="32">
        <f t="shared" si="11"/>
        <v>23</v>
      </c>
      <c r="W284" s="36" t="str">
        <f>IF(P284=0, "Sin Pago", 
  LET(
    monedaPago, Q284, 
    descuentoAplicado, G284,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84" s="36" t="str">
        <f t="shared" si="12"/>
        <v/>
      </c>
      <c r="Y284" s="36">
        <v>40.0</v>
      </c>
      <c r="Z284" s="33" t="s">
        <v>609</v>
      </c>
      <c r="AA284" s="33"/>
      <c r="AB284" s="33"/>
      <c r="AC284" s="33"/>
      <c r="AD284" s="33"/>
      <c r="AE284" s="33"/>
      <c r="AF284" s="33"/>
    </row>
    <row r="285" ht="22.5" customHeight="1">
      <c r="A285" s="23" t="s">
        <v>294</v>
      </c>
      <c r="B285" s="41">
        <v>46153.340787037036</v>
      </c>
      <c r="C285" s="23" t="s">
        <v>293</v>
      </c>
      <c r="D285" s="23" t="s">
        <v>552</v>
      </c>
      <c r="E285" s="25">
        <v>334.08</v>
      </c>
      <c r="F285" s="23" t="s">
        <v>608</v>
      </c>
      <c r="G285" s="26">
        <f>IF($E285=0,0,IF(SUMIF(Aux_Datos!$B:$B,$I285,Aux_Datos!$K:$K)/$E285&gt;=VLOOKUP(IF(COUNTIFS(Aux_Datos!$B:$B,$I285,Aux_Datos!$D:$D,"&lt;&gt;USD")=0,"USD","VES"),'Limites de Descuento'!$A$2:$D$4,4,FALSE),MAX(0,1-SUMIF(Aux_Datos!$B:$B,$I285,Aux_Datos!$K:$K)/$E285),0))</f>
        <v>0</v>
      </c>
      <c r="H285" s="27"/>
      <c r="I285" s="28">
        <f t="shared" si="14"/>
        <v>354</v>
      </c>
      <c r="J285" s="29">
        <f t="shared" si="2"/>
        <v>46153</v>
      </c>
      <c r="K285" s="30">
        <f t="shared" si="3"/>
        <v>7</v>
      </c>
      <c r="L285" s="29">
        <f t="shared" si="4"/>
        <v>46161</v>
      </c>
      <c r="M285" s="30">
        <f t="shared" si="5"/>
        <v>334.08</v>
      </c>
      <c r="N285" s="32">
        <f t="shared" si="6"/>
        <v>39</v>
      </c>
      <c r="O285" s="33" t="str">
        <f t="shared" si="7"/>
        <v>VENCIDA</v>
      </c>
      <c r="P285" s="34">
        <f>LET(
  idVenta, I285&amp;"",
  montoTotal, M285,
  pagos, IFERROR(SUMIF(Aux_Datos!$B:$B, idVenta, Aux_Datos!$K:$K), 0),
  retenciones, IFERROR(SUMIF(Aux_Datos!$N:$N, idVenta, Aux_Datos!$R:$R), 0),
  pagos + retenciones
)</f>
        <v>100</v>
      </c>
      <c r="Q285" s="30" t="str">
        <f>IF(P285=0, "Sin Pago", 
  LET(
    idVenta, I285&amp;"",
    montoTotalPagado, P285,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85" s="30">
        <f t="shared" si="16"/>
        <v>234.08</v>
      </c>
      <c r="S285" s="29">
        <f>IF(P285=0, "Sin Pago", 
  IFERROR(
    MAXIFS(Aux_Datos!$A:$A, Aux_Datos!$B:$B, I285&amp;""), 
    IFERROR(MAXIFS(Aux_Datos!$A:$A, Aux_Datos!$B:$B, VALUE(I285)), "Revisar ID")
  )
)</f>
        <v>46189</v>
      </c>
      <c r="T285" s="35" t="str">
        <f t="shared" si="9"/>
        <v>PAGO PARCIAL</v>
      </c>
      <c r="U285" s="35" t="str">
        <f t="shared" si="10"/>
        <v>CRÍTICO: VENCIDA</v>
      </c>
      <c r="V285" s="32">
        <f t="shared" si="11"/>
        <v>11</v>
      </c>
      <c r="W285" s="36" t="str">
        <f>IF(P285=0, "Sin Pago", 
  LET(
    monedaPago, Q285, 
    descuentoAplicado, G285,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85" s="36" t="str">
        <f t="shared" si="12"/>
        <v/>
      </c>
      <c r="Y285" s="36">
        <v>100.0</v>
      </c>
      <c r="Z285" s="33" t="s">
        <v>609</v>
      </c>
      <c r="AA285" s="33"/>
      <c r="AB285" s="33"/>
      <c r="AC285" s="33"/>
      <c r="AD285" s="33"/>
      <c r="AE285" s="33"/>
      <c r="AF285" s="33"/>
    </row>
    <row r="286" ht="22.5" customHeight="1">
      <c r="A286" s="23" t="s">
        <v>302</v>
      </c>
      <c r="B286" s="41">
        <v>46153.351435185185</v>
      </c>
      <c r="C286" s="23" t="s">
        <v>301</v>
      </c>
      <c r="D286" s="23" t="s">
        <v>552</v>
      </c>
      <c r="E286" s="25">
        <v>646.49</v>
      </c>
      <c r="F286" s="23" t="s">
        <v>608</v>
      </c>
      <c r="G286" s="26">
        <f>IF($E286=0,0,IF(SUMIF(Aux_Datos!$B:$B,$I286,Aux_Datos!$K:$K)/$E286&gt;=VLOOKUP(IF(COUNTIFS(Aux_Datos!$B:$B,$I286,Aux_Datos!$D:$D,"&lt;&gt;USD")=0,"USD","VES"),'Limites de Descuento'!$A$2:$D$4,4,FALSE),MAX(0,1-SUMIF(Aux_Datos!$B:$B,$I286,Aux_Datos!$K:$K)/$E286),0))</f>
        <v>0</v>
      </c>
      <c r="H286" s="27"/>
      <c r="I286" s="28">
        <f t="shared" si="14"/>
        <v>355</v>
      </c>
      <c r="J286" s="29">
        <f t="shared" si="2"/>
        <v>46153</v>
      </c>
      <c r="K286" s="30">
        <f t="shared" si="3"/>
        <v>7</v>
      </c>
      <c r="L286" s="29">
        <f t="shared" si="4"/>
        <v>46161</v>
      </c>
      <c r="M286" s="30">
        <f t="shared" si="5"/>
        <v>646.49</v>
      </c>
      <c r="N286" s="32">
        <f t="shared" si="6"/>
        <v>39</v>
      </c>
      <c r="O286" s="33" t="str">
        <f t="shared" si="7"/>
        <v>VENCIDA</v>
      </c>
      <c r="P286" s="34">
        <f>LET(
  idVenta, I286&amp;"",
  montoTotal, M286,
  pagos, IFERROR(SUMIF(Aux_Datos!$B:$B, idVenta, Aux_Datos!$K:$K), 0),
  retenciones, IFERROR(SUMIF(Aux_Datos!$N:$N, idVenta, Aux_Datos!$R:$R), 0),
  pagos + retenciones
)</f>
        <v>120</v>
      </c>
      <c r="Q286" s="30" t="str">
        <f>IF(P286=0, "Sin Pago", 
  LET(
    idVenta, I286&amp;"",
    montoTotalPagado, P286,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86" s="30">
        <f t="shared" si="16"/>
        <v>526.49</v>
      </c>
      <c r="S286" s="29">
        <f>IF(P286=0, "Sin Pago", 
  IFERROR(
    MAXIFS(Aux_Datos!$A:$A, Aux_Datos!$B:$B, I286&amp;""), 
    IFERROR(MAXIFS(Aux_Datos!$A:$A, Aux_Datos!$B:$B, VALUE(I286)), "Revisar ID")
  )
)</f>
        <v>46190</v>
      </c>
      <c r="T286" s="35" t="str">
        <f t="shared" si="9"/>
        <v>PAGO PARCIAL</v>
      </c>
      <c r="U286" s="35" t="str">
        <f t="shared" si="10"/>
        <v>CRÍTICO: VENCIDA</v>
      </c>
      <c r="V286" s="32">
        <f t="shared" si="11"/>
        <v>10</v>
      </c>
      <c r="W286" s="36" t="str">
        <f>IF(P286=0, "Sin Pago", 
  LET(
    monedaPago, Q286, 
    descuentoAplicado, G286,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86" s="36" t="str">
        <f t="shared" si="12"/>
        <v/>
      </c>
      <c r="Y286" s="36">
        <v>120.0</v>
      </c>
      <c r="Z286" s="33" t="s">
        <v>609</v>
      </c>
      <c r="AA286" s="33"/>
      <c r="AB286" s="33"/>
      <c r="AC286" s="33"/>
      <c r="AD286" s="33"/>
      <c r="AE286" s="33"/>
      <c r="AF286" s="33"/>
    </row>
    <row r="287" ht="22.5" customHeight="1">
      <c r="A287" s="23" t="s">
        <v>146</v>
      </c>
      <c r="B287" s="41">
        <v>46153.35282407407</v>
      </c>
      <c r="C287" s="23" t="s">
        <v>144</v>
      </c>
      <c r="D287" s="23" t="s">
        <v>353</v>
      </c>
      <c r="E287" s="25">
        <v>115.86</v>
      </c>
      <c r="F287" s="23" t="s">
        <v>608</v>
      </c>
      <c r="G287" s="26">
        <f>IF($E287=0,0,IF(SUMIF(Aux_Datos!$B:$B,$I287,Aux_Datos!$K:$K)/$E287&gt;=VLOOKUP(IF(COUNTIFS(Aux_Datos!$B:$B,$I287,Aux_Datos!$D:$D,"&lt;&gt;USD")=0,"USD","VES"),'Limites de Descuento'!$A$2:$D$4,4,FALSE),MAX(0,1-SUMIF(Aux_Datos!$B:$B,$I287,Aux_Datos!$K:$K)/$E287),0))</f>
        <v>0</v>
      </c>
      <c r="H287" s="27"/>
      <c r="I287" s="28">
        <f t="shared" si="14"/>
        <v>356</v>
      </c>
      <c r="J287" s="29">
        <f t="shared" si="2"/>
        <v>46153</v>
      </c>
      <c r="K287" s="30">
        <f t="shared" si="3"/>
        <v>7</v>
      </c>
      <c r="L287" s="29">
        <f t="shared" si="4"/>
        <v>46161</v>
      </c>
      <c r="M287" s="30">
        <f t="shared" si="5"/>
        <v>115.86</v>
      </c>
      <c r="N287" s="32">
        <f t="shared" si="6"/>
        <v>39</v>
      </c>
      <c r="O287" s="33" t="str">
        <f t="shared" si="7"/>
        <v>VENCIDA</v>
      </c>
      <c r="P287" s="34">
        <f>LET(
  idVenta, I287&amp;"",
  montoTotal, M287,
  pagos, IFERROR(SUMIF(Aux_Datos!$B:$B, idVenta, Aux_Datos!$K:$K), 0),
  retenciones, IFERROR(SUMIF(Aux_Datos!$N:$N, idVenta, Aux_Datos!$R:$R), 0),
  pagos + retenciones
)</f>
        <v>75</v>
      </c>
      <c r="Q287" s="30" t="str">
        <f>IF(P287=0, "Sin Pago", 
  LET(
    idVenta, I287&amp;"",
    montoTotalPagado, P287,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87" s="30">
        <f t="shared" si="16"/>
        <v>40.86</v>
      </c>
      <c r="S287" s="29">
        <f>IF(P287=0, "Sin Pago", 
  IFERROR(
    MAXIFS(Aux_Datos!$A:$A, Aux_Datos!$B:$B, I287&amp;""), 
    IFERROR(MAXIFS(Aux_Datos!$A:$A, Aux_Datos!$B:$B, VALUE(I287)), "Revisar ID")
  )
)</f>
        <v>46185</v>
      </c>
      <c r="T287" s="35" t="str">
        <f t="shared" si="9"/>
        <v>PAGO PARCIAL</v>
      </c>
      <c r="U287" s="35" t="str">
        <f t="shared" si="10"/>
        <v>CRÍTICO: VENCIDA</v>
      </c>
      <c r="V287" s="32">
        <f t="shared" si="11"/>
        <v>15</v>
      </c>
      <c r="W287" s="36" t="str">
        <f>IF(P287=0, "Sin Pago", 
  LET(
    monedaPago, Q287, 
    descuentoAplicado, G287,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87" s="36" t="str">
        <f t="shared" si="12"/>
        <v/>
      </c>
      <c r="Y287" s="36">
        <v>75.0</v>
      </c>
      <c r="Z287" s="33" t="s">
        <v>609</v>
      </c>
      <c r="AA287" s="33"/>
      <c r="AB287" s="33"/>
      <c r="AC287" s="33"/>
      <c r="AD287" s="33"/>
      <c r="AE287" s="33"/>
      <c r="AF287" s="33"/>
    </row>
    <row r="288" ht="22.5" customHeight="1">
      <c r="A288" s="23" t="s">
        <v>808</v>
      </c>
      <c r="B288" s="41">
        <v>46155.70149305555</v>
      </c>
      <c r="C288" s="23" t="s">
        <v>799</v>
      </c>
      <c r="D288" s="23" t="s">
        <v>208</v>
      </c>
      <c r="E288" s="25">
        <v>3457.96</v>
      </c>
      <c r="F288" s="23" t="s">
        <v>593</v>
      </c>
      <c r="G288" s="26">
        <f>IF($E288=0,0,IF(SUMIF(Aux_Datos!$B:$B,$I288,Aux_Datos!$K:$K)/$E288&gt;=VLOOKUP(IF(COUNTIFS(Aux_Datos!$B:$B,$I288,Aux_Datos!$D:$D,"&lt;&gt;USD")=0,"USD","VES"),'Limites de Descuento'!$A$2:$D$4,4,FALSE),MAX(0,1-SUMIF(Aux_Datos!$B:$B,$I288,Aux_Datos!$K:$K)/$E288),0))</f>
        <v>0</v>
      </c>
      <c r="H288" s="27"/>
      <c r="I288" s="28">
        <f t="shared" si="14"/>
        <v>357</v>
      </c>
      <c r="J288" s="29">
        <f t="shared" si="2"/>
        <v>46155</v>
      </c>
      <c r="K288" s="30">
        <f t="shared" si="3"/>
        <v>0</v>
      </c>
      <c r="L288" s="29">
        <f t="shared" si="4"/>
        <v>46156</v>
      </c>
      <c r="M288" s="30">
        <f t="shared" si="5"/>
        <v>3457.96</v>
      </c>
      <c r="N288" s="32">
        <f t="shared" si="6"/>
        <v>0</v>
      </c>
      <c r="O288" s="33" t="str">
        <f t="shared" si="7"/>
        <v>PAGADA</v>
      </c>
      <c r="P288" s="34">
        <f>LET(
  idVenta, I288&amp;"",
  montoTotal, M288,
  pagos, IFERROR(SUMIF(Aux_Datos!$B:$B, idVenta, Aux_Datos!$K:$K), 0),
  retenciones, IFERROR(SUMIF(Aux_Datos!$N:$N, idVenta, Aux_Datos!$R:$R), 0),
  pagos + retenciones
)</f>
        <v>3457.96</v>
      </c>
      <c r="Q288" s="30" t="str">
        <f>IF(P288=0, "Sin Pago", 
  LET(
    idVenta, I288&amp;"",
    montoTotalPagado, P288,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88" s="30">
        <f t="shared" si="16"/>
        <v>0</v>
      </c>
      <c r="S288" s="29">
        <f>IF(P288=0, "Sin Pago", 
  IFERROR(
    MAXIFS(Aux_Datos!$A:$A, Aux_Datos!$B:$B, I288&amp;""), 
    IFERROR(MAXIFS(Aux_Datos!$A:$A, Aux_Datos!$B:$B, VALUE(I288)), "Revisar ID")
  )
)</f>
        <v>46182</v>
      </c>
      <c r="T288" s="35" t="str">
        <f t="shared" si="9"/>
        <v>PAGADA</v>
      </c>
      <c r="U288" s="35" t="str">
        <f t="shared" si="10"/>
        <v>SOLVENTE</v>
      </c>
      <c r="V288" s="32">
        <f t="shared" si="11"/>
        <v>0</v>
      </c>
      <c r="W288" s="36" t="str">
        <f>IF(P288=0, "Sin Pago", 
  LET(
    monedaPago, Q288, 
    descuentoAplicado, G288,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88" s="36" t="str">
        <f t="shared" si="12"/>
        <v/>
      </c>
      <c r="Y288" s="36">
        <v>3457.96</v>
      </c>
      <c r="Z288" s="33" t="s">
        <v>596</v>
      </c>
      <c r="AA288" s="33"/>
      <c r="AB288" s="33"/>
      <c r="AC288" s="33"/>
      <c r="AD288" s="33"/>
      <c r="AE288" s="33"/>
      <c r="AF288" s="33"/>
    </row>
    <row r="289" ht="22.5" customHeight="1">
      <c r="A289" s="23" t="s">
        <v>809</v>
      </c>
      <c r="B289" s="41">
        <v>46153.56497685185</v>
      </c>
      <c r="C289" s="23" t="s">
        <v>600</v>
      </c>
      <c r="D289" s="23" t="s">
        <v>529</v>
      </c>
      <c r="E289" s="25">
        <v>1077.51</v>
      </c>
      <c r="F289" s="23" t="s">
        <v>608</v>
      </c>
      <c r="G289" s="26">
        <f>IF($E289=0,0,IF(SUMIF(Aux_Datos!$B:$B,$I289,Aux_Datos!$K:$K)/$E289&gt;=VLOOKUP(IF(COUNTIFS(Aux_Datos!$B:$B,$I289,Aux_Datos!$D:$D,"&lt;&gt;USD")=0,"USD","VES"),'Limites de Descuento'!$A$2:$D$4,4,FALSE),MAX(0,1-SUMIF(Aux_Datos!$B:$B,$I289,Aux_Datos!$K:$K)/$E289),0))</f>
        <v>0.1037871607</v>
      </c>
      <c r="H289" s="27"/>
      <c r="I289" s="28">
        <f t="shared" si="14"/>
        <v>358</v>
      </c>
      <c r="J289" s="29">
        <f t="shared" si="2"/>
        <v>46153</v>
      </c>
      <c r="K289" s="30">
        <f t="shared" si="3"/>
        <v>7</v>
      </c>
      <c r="L289" s="29">
        <f t="shared" si="4"/>
        <v>46161</v>
      </c>
      <c r="M289" s="30">
        <f t="shared" si="5"/>
        <v>965.6782965</v>
      </c>
      <c r="N289" s="32">
        <f t="shared" si="6"/>
        <v>0</v>
      </c>
      <c r="O289" s="33" t="str">
        <f t="shared" si="7"/>
        <v>PAGADA</v>
      </c>
      <c r="P289" s="34">
        <f>LET(
  idVenta, I289&amp;"",
  montoTotal, M289,
  pagos, IFERROR(SUMIF(Aux_Datos!$B:$B, idVenta, Aux_Datos!$K:$K), 0),
  retenciones, IFERROR(SUMIF(Aux_Datos!$N:$N, idVenta, Aux_Datos!$R:$R), 0),
  pagos + retenciones
)</f>
        <v>965.6782965</v>
      </c>
      <c r="Q289" s="30" t="str">
        <f>IF(P289=0, "Sin Pago", 
  LET(
    idVenta, I289&amp;"",
    montoTotalPagado, P289,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289" s="30">
        <f t="shared" si="16"/>
        <v>0</v>
      </c>
      <c r="S289" s="29">
        <f>IF(P289=0, "Sin Pago", 
  IFERROR(
    MAXIFS(Aux_Datos!$A:$A, Aux_Datos!$B:$B, I289&amp;""), 
    IFERROR(MAXIFS(Aux_Datos!$A:$A, Aux_Datos!$B:$B, VALUE(I289)), "Revisar ID")
  )
)</f>
        <v>46176</v>
      </c>
      <c r="T289" s="35" t="str">
        <f t="shared" si="9"/>
        <v>PAGADA</v>
      </c>
      <c r="U289" s="35" t="str">
        <f t="shared" si="10"/>
        <v>SOLVENTE</v>
      </c>
      <c r="V289" s="32">
        <f t="shared" si="11"/>
        <v>0</v>
      </c>
      <c r="W289" s="36" t="str">
        <f>IF(P289=0, "Sin Pago", 
  LET(
    monedaPago, Q289, 
    descuentoAplicado, G289,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89" s="36" t="str">
        <f t="shared" si="12"/>
        <v/>
      </c>
      <c r="Y289" s="36">
        <v>965.678296502457</v>
      </c>
      <c r="Z289" s="33" t="s">
        <v>596</v>
      </c>
      <c r="AA289" s="33"/>
      <c r="AB289" s="33"/>
      <c r="AC289" s="33"/>
      <c r="AD289" s="33"/>
      <c r="AE289" s="33"/>
      <c r="AF289" s="33"/>
    </row>
    <row r="290" ht="22.5" customHeight="1">
      <c r="A290" s="23" t="s">
        <v>810</v>
      </c>
      <c r="B290" s="41">
        <v>46153.56512731482</v>
      </c>
      <c r="C290" s="23" t="s">
        <v>752</v>
      </c>
      <c r="D290" s="23" t="s">
        <v>556</v>
      </c>
      <c r="E290" s="25">
        <v>324.41</v>
      </c>
      <c r="F290" s="23" t="s">
        <v>608</v>
      </c>
      <c r="G290" s="26">
        <f>IF($E290=0,0,IF(SUMIF(Aux_Datos!$B:$B,$I290,Aux_Datos!$K:$K)/$E290&gt;=VLOOKUP(IF(COUNTIFS(Aux_Datos!$B:$B,$I290,Aux_Datos!$D:$D,"&lt;&gt;USD")=0,"USD","VES"),'Limites de Descuento'!$A$2:$D$4,4,FALSE),MAX(0,1-SUMIF(Aux_Datos!$B:$B,$I290,Aux_Datos!$K:$K)/$E290),0))</f>
        <v>0.1034570672</v>
      </c>
      <c r="H290" s="27"/>
      <c r="I290" s="28">
        <f t="shared" si="14"/>
        <v>359</v>
      </c>
      <c r="J290" s="29">
        <f t="shared" si="2"/>
        <v>46153</v>
      </c>
      <c r="K290" s="30">
        <f t="shared" si="3"/>
        <v>7</v>
      </c>
      <c r="L290" s="29">
        <f t="shared" si="4"/>
        <v>46161</v>
      </c>
      <c r="M290" s="30">
        <f t="shared" si="5"/>
        <v>290.8474928</v>
      </c>
      <c r="N290" s="32">
        <f t="shared" si="6"/>
        <v>0</v>
      </c>
      <c r="O290" s="33" t="str">
        <f t="shared" si="7"/>
        <v>PAGADA</v>
      </c>
      <c r="P290" s="34">
        <f>LET(
  idVenta, I290&amp;"",
  montoTotal, M290,
  pagos, IFERROR(SUMIF(Aux_Datos!$B:$B, idVenta, Aux_Datos!$K:$K), 0),
  retenciones, IFERROR(SUMIF(Aux_Datos!$N:$N, idVenta, Aux_Datos!$R:$R), 0),
  pagos + retenciones
)</f>
        <v>290.8474928</v>
      </c>
      <c r="Q290" s="30" t="str">
        <f>IF(P290=0, "Sin Pago", 
  LET(
    idVenta, I290&amp;"",
    montoTotalPagado, P290,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290" s="30">
        <f t="shared" si="16"/>
        <v>0</v>
      </c>
      <c r="S290" s="29">
        <f>IF(P290=0, "Sin Pago", 
  IFERROR(
    MAXIFS(Aux_Datos!$A:$A, Aux_Datos!$B:$B, I290&amp;""), 
    IFERROR(MAXIFS(Aux_Datos!$A:$A, Aux_Datos!$B:$B, VALUE(I290)), "Revisar ID")
  )
)</f>
        <v>46160</v>
      </c>
      <c r="T290" s="35" t="str">
        <f t="shared" si="9"/>
        <v>PAGADA</v>
      </c>
      <c r="U290" s="35" t="str">
        <f t="shared" si="10"/>
        <v>SOLVENTE</v>
      </c>
      <c r="V290" s="32">
        <f t="shared" si="11"/>
        <v>0</v>
      </c>
      <c r="W290" s="36" t="str">
        <f>IF(P290=0, "Sin Pago", 
  LET(
    monedaPago, Q290, 
    descuentoAplicado, G290,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90" s="36" t="str">
        <f t="shared" si="12"/>
        <v/>
      </c>
      <c r="Y290" s="36">
        <v>290.84749283682834</v>
      </c>
      <c r="Z290" s="33" t="s">
        <v>596</v>
      </c>
      <c r="AA290" s="33"/>
      <c r="AB290" s="33"/>
      <c r="AC290" s="33"/>
      <c r="AD290" s="33"/>
      <c r="AE290" s="33"/>
      <c r="AF290" s="33"/>
    </row>
    <row r="291" ht="22.5" customHeight="1">
      <c r="A291" s="23" t="s">
        <v>811</v>
      </c>
      <c r="B291" s="41">
        <v>46153.7199537037</v>
      </c>
      <c r="C291" s="23" t="s">
        <v>812</v>
      </c>
      <c r="D291" s="23" t="s">
        <v>535</v>
      </c>
      <c r="E291" s="25">
        <v>318.61</v>
      </c>
      <c r="F291" s="23" t="s">
        <v>608</v>
      </c>
      <c r="G291" s="26">
        <f>IF($E291=0,0,IF(SUMIF(Aux_Datos!$B:$B,$I291,Aux_Datos!$K:$K)/$E291&gt;=VLOOKUP(IF(COUNTIFS(Aux_Datos!$B:$B,$I291,Aux_Datos!$D:$D,"&lt;&gt;USD")=0,"USD","VES"),'Limites de Descuento'!$A$2:$D$4,4,FALSE),MAX(0,1-SUMIF(Aux_Datos!$B:$B,$I291,Aux_Datos!$K:$K)/$E291),0))</f>
        <v>0</v>
      </c>
      <c r="H291" s="27"/>
      <c r="I291" s="28">
        <f t="shared" si="14"/>
        <v>361</v>
      </c>
      <c r="J291" s="29">
        <f t="shared" si="2"/>
        <v>46153</v>
      </c>
      <c r="K291" s="30">
        <f t="shared" si="3"/>
        <v>7</v>
      </c>
      <c r="L291" s="29">
        <f t="shared" si="4"/>
        <v>46161</v>
      </c>
      <c r="M291" s="30">
        <f t="shared" si="5"/>
        <v>318.61</v>
      </c>
      <c r="N291" s="32">
        <f t="shared" si="6"/>
        <v>0</v>
      </c>
      <c r="O291" s="33" t="str">
        <f t="shared" si="7"/>
        <v>PAGADA</v>
      </c>
      <c r="P291" s="34">
        <f>LET(
  idVenta, I291&amp;"",
  montoTotal, M291,
  pagos, IFERROR(SUMIF(Aux_Datos!$B:$B, idVenta, Aux_Datos!$K:$K), 0),
  retenciones, IFERROR(SUMIF(Aux_Datos!$N:$N, idVenta, Aux_Datos!$R:$R), 0),
  pagos + retenciones
)</f>
        <v>318.6118893</v>
      </c>
      <c r="Q291" s="30" t="str">
        <f>IF(P291=0, "Sin Pago", 
  LET(
    idVenta, I291&amp;"",
    montoTotalPagado, P291,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291" s="30">
        <f t="shared" si="16"/>
        <v>-0.001889330559</v>
      </c>
      <c r="S291" s="29">
        <f>IF(P291=0, "Sin Pago", 
  IFERROR(
    MAXIFS(Aux_Datos!$A:$A, Aux_Datos!$B:$B, I291&amp;""), 
    IFERROR(MAXIFS(Aux_Datos!$A:$A, Aux_Datos!$B:$B, VALUE(I291)), "Revisar ID")
  )
)</f>
        <v>46183</v>
      </c>
      <c r="T291" s="35" t="str">
        <f t="shared" si="9"/>
        <v>PAGADA</v>
      </c>
      <c r="U291" s="35" t="str">
        <f t="shared" si="10"/>
        <v>SOLVENTE</v>
      </c>
      <c r="V291" s="32">
        <f t="shared" si="11"/>
        <v>0</v>
      </c>
      <c r="W291" s="36" t="str">
        <f>IF(P291=0, "Sin Pago", 
  LET(
    monedaPago, Q291, 
    descuentoAplicado, G291,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91" s="36" t="str">
        <f t="shared" si="12"/>
        <v/>
      </c>
      <c r="Y291" s="36">
        <v>318.611889330559</v>
      </c>
      <c r="Z291" s="33" t="s">
        <v>596</v>
      </c>
      <c r="AA291" s="33"/>
      <c r="AB291" s="33"/>
      <c r="AC291" s="33"/>
      <c r="AD291" s="33"/>
      <c r="AE291" s="33"/>
      <c r="AF291" s="33"/>
    </row>
    <row r="292" ht="22.5" customHeight="1">
      <c r="A292" s="23" t="s">
        <v>304</v>
      </c>
      <c r="B292" s="41">
        <v>46153.72056712963</v>
      </c>
      <c r="C292" s="23" t="s">
        <v>303</v>
      </c>
      <c r="D292" s="23" t="s">
        <v>552</v>
      </c>
      <c r="E292" s="25">
        <v>770.48</v>
      </c>
      <c r="F292" s="23" t="s">
        <v>608</v>
      </c>
      <c r="G292" s="26">
        <f>IF($E292=0,0,IF(SUMIF(Aux_Datos!$B:$B,$I292,Aux_Datos!$K:$K)/$E292&gt;=VLOOKUP(IF(COUNTIFS(Aux_Datos!$B:$B,$I292,Aux_Datos!$D:$D,"&lt;&gt;USD")=0,"USD","VES"),'Limites de Descuento'!$A$2:$D$4,4,FALSE),MAX(0,1-SUMIF(Aux_Datos!$B:$B,$I292,Aux_Datos!$K:$K)/$E292),0))</f>
        <v>0</v>
      </c>
      <c r="H292" s="27"/>
      <c r="I292" s="28">
        <f t="shared" si="14"/>
        <v>362</v>
      </c>
      <c r="J292" s="29">
        <f t="shared" si="2"/>
        <v>46153</v>
      </c>
      <c r="K292" s="30">
        <f t="shared" si="3"/>
        <v>7</v>
      </c>
      <c r="L292" s="29">
        <f t="shared" si="4"/>
        <v>46161</v>
      </c>
      <c r="M292" s="30">
        <f t="shared" si="5"/>
        <v>770.48</v>
      </c>
      <c r="N292" s="32">
        <f t="shared" si="6"/>
        <v>39</v>
      </c>
      <c r="O292" s="33" t="str">
        <f t="shared" si="7"/>
        <v>VENCIDA</v>
      </c>
      <c r="P292" s="34">
        <f>LET(
  idVenta, I292&amp;"",
  montoTotal, M292,
  pagos, IFERROR(SUMIF(Aux_Datos!$B:$B, idVenta, Aux_Datos!$K:$K), 0),
  retenciones, IFERROR(SUMIF(Aux_Datos!$N:$N, idVenta, Aux_Datos!$R:$R), 0),
  pagos + retenciones
)</f>
        <v>0</v>
      </c>
      <c r="Q292" s="30" t="str">
        <f>IF(P292=0, "Sin Pago", 
  LET(
    idVenta, I292&amp;"",
    montoTotalPagado, P292,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292" s="30">
        <f t="shared" si="16"/>
        <v>770.48</v>
      </c>
      <c r="S292" s="29" t="str">
        <f>IF(P292=0, "Sin Pago", 
  IFERROR(
    MAXIFS(Aux_Datos!$A:$A, Aux_Datos!$B:$B, I292&amp;""), 
    IFERROR(MAXIFS(Aux_Datos!$A:$A, Aux_Datos!$B:$B, VALUE(I292)), "Revisar ID")
  )
)</f>
        <v>Sin Pago</v>
      </c>
      <c r="T292" s="35" t="str">
        <f t="shared" si="9"/>
        <v>PENDIENTE</v>
      </c>
      <c r="U292" s="35" t="str">
        <f t="shared" si="10"/>
        <v>CRÍTICO: VENCIDA</v>
      </c>
      <c r="V292" s="32">
        <f t="shared" si="11"/>
        <v>0</v>
      </c>
      <c r="W292" s="36" t="str">
        <f>IF(P292=0, "Sin Pago", 
  LET(
    monedaPago, Q292, 
    descuentoAplicado, G292,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292" s="36" t="str">
        <f t="shared" si="12"/>
        <v/>
      </c>
      <c r="Y292" s="36">
        <v>0.0</v>
      </c>
      <c r="Z292" s="33" t="s">
        <v>641</v>
      </c>
      <c r="AA292" s="33"/>
      <c r="AB292" s="33"/>
      <c r="AC292" s="33"/>
      <c r="AD292" s="33"/>
      <c r="AE292" s="33"/>
      <c r="AF292" s="33"/>
    </row>
    <row r="293" ht="22.5" customHeight="1">
      <c r="A293" s="23" t="s">
        <v>306</v>
      </c>
      <c r="B293" s="41">
        <v>46154.52240740741</v>
      </c>
      <c r="C293" s="23" t="s">
        <v>305</v>
      </c>
      <c r="D293" s="23" t="s">
        <v>556</v>
      </c>
      <c r="E293" s="25">
        <v>1071.71</v>
      </c>
      <c r="F293" s="23" t="s">
        <v>608</v>
      </c>
      <c r="G293" s="26">
        <f>IF($E293=0,0,IF(SUMIF(Aux_Datos!$B:$B,$I293,Aux_Datos!$K:$K)/$E293&gt;=VLOOKUP(IF(COUNTIFS(Aux_Datos!$B:$B,$I293,Aux_Datos!$D:$D,"&lt;&gt;USD")=0,"USD","VES"),'Limites de Descuento'!$A$2:$D$4,4,FALSE),MAX(0,1-SUMIF(Aux_Datos!$B:$B,$I293,Aux_Datos!$K:$K)/$E293),0))</f>
        <v>0</v>
      </c>
      <c r="H293" s="27"/>
      <c r="I293" s="28">
        <f t="shared" si="14"/>
        <v>363</v>
      </c>
      <c r="J293" s="29">
        <f t="shared" si="2"/>
        <v>46154</v>
      </c>
      <c r="K293" s="30">
        <f t="shared" si="3"/>
        <v>7</v>
      </c>
      <c r="L293" s="29">
        <f t="shared" si="4"/>
        <v>46162</v>
      </c>
      <c r="M293" s="30">
        <f t="shared" si="5"/>
        <v>1071.71</v>
      </c>
      <c r="N293" s="32">
        <f t="shared" si="6"/>
        <v>38</v>
      </c>
      <c r="O293" s="33" t="str">
        <f t="shared" si="7"/>
        <v>VENCIDA</v>
      </c>
      <c r="P293" s="34">
        <f>LET(
  idVenta, I293&amp;"",
  montoTotal, M293,
  pagos, IFERROR(SUMIF(Aux_Datos!$B:$B, idVenta, Aux_Datos!$K:$K), 0),
  retenciones, IFERROR(SUMIF(Aux_Datos!$N:$N, idVenta, Aux_Datos!$R:$R), 0),
  pagos + retenciones
)</f>
        <v>0</v>
      </c>
      <c r="Q293" s="30" t="str">
        <f>IF(P293=0, "Sin Pago", 
  LET(
    idVenta, I293&amp;"",
    montoTotalPagado, P293,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293" s="30">
        <f t="shared" si="16"/>
        <v>1071.71</v>
      </c>
      <c r="S293" s="29" t="str">
        <f>IF(P293=0, "Sin Pago", 
  IFERROR(
    MAXIFS(Aux_Datos!$A:$A, Aux_Datos!$B:$B, I293&amp;""), 
    IFERROR(MAXIFS(Aux_Datos!$A:$A, Aux_Datos!$B:$B, VALUE(I293)), "Revisar ID")
  )
)</f>
        <v>Sin Pago</v>
      </c>
      <c r="T293" s="35" t="str">
        <f t="shared" si="9"/>
        <v>PENDIENTE</v>
      </c>
      <c r="U293" s="35" t="str">
        <f t="shared" si="10"/>
        <v>CRÍTICO: VENCIDA</v>
      </c>
      <c r="V293" s="32">
        <f t="shared" si="11"/>
        <v>0</v>
      </c>
      <c r="W293" s="36" t="str">
        <f>IF(P293=0, "Sin Pago", 
  LET(
    monedaPago, Q293, 
    descuentoAplicado, G293,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293" s="36" t="str">
        <f t="shared" si="12"/>
        <v/>
      </c>
      <c r="Y293" s="36">
        <v>0.0</v>
      </c>
      <c r="Z293" s="33" t="s">
        <v>641</v>
      </c>
      <c r="AA293" s="33"/>
      <c r="AB293" s="33"/>
      <c r="AC293" s="33"/>
      <c r="AD293" s="33"/>
      <c r="AE293" s="33"/>
      <c r="AF293" s="33"/>
    </row>
    <row r="294" ht="22.5" customHeight="1">
      <c r="A294" s="23" t="s">
        <v>813</v>
      </c>
      <c r="B294" s="41">
        <v>46154.5222337963</v>
      </c>
      <c r="C294" s="23" t="s">
        <v>814</v>
      </c>
      <c r="D294" s="23" t="s">
        <v>556</v>
      </c>
      <c r="E294" s="25">
        <v>162.2</v>
      </c>
      <c r="F294" s="23" t="s">
        <v>608</v>
      </c>
      <c r="G294" s="26">
        <f>IF($E294=0,0,IF(SUMIF(Aux_Datos!$B:$B,$I294,Aux_Datos!$K:$K)/$E294&gt;=VLOOKUP(IF(COUNTIFS(Aux_Datos!$B:$B,$I294,Aux_Datos!$D:$D,"&lt;&gt;USD")=0,"USD","VES"),'Limites de Descuento'!$A$2:$D$4,4,FALSE),MAX(0,1-SUMIF(Aux_Datos!$B:$B,$I294,Aux_Datos!$K:$K)/$E294),0))</f>
        <v>0.34648582</v>
      </c>
      <c r="H294" s="27"/>
      <c r="I294" s="28">
        <f t="shared" si="14"/>
        <v>364</v>
      </c>
      <c r="J294" s="29">
        <f t="shared" si="2"/>
        <v>46154</v>
      </c>
      <c r="K294" s="30">
        <f t="shared" si="3"/>
        <v>7</v>
      </c>
      <c r="L294" s="29">
        <f t="shared" si="4"/>
        <v>46162</v>
      </c>
      <c r="M294" s="30">
        <f t="shared" si="5"/>
        <v>106</v>
      </c>
      <c r="N294" s="32">
        <f t="shared" si="6"/>
        <v>0</v>
      </c>
      <c r="O294" s="33" t="str">
        <f t="shared" si="7"/>
        <v>PAGADA</v>
      </c>
      <c r="P294" s="34">
        <f>LET(
  idVenta, I294&amp;"",
  montoTotal, M294,
  pagos, IFERROR(SUMIF(Aux_Datos!$B:$B, idVenta, Aux_Datos!$K:$K), 0),
  retenciones, IFERROR(SUMIF(Aux_Datos!$N:$N, idVenta, Aux_Datos!$R:$R), 0),
  pagos + retenciones
)</f>
        <v>106</v>
      </c>
      <c r="Q294" s="30" t="str">
        <f>IF(P294=0, "Sin Pago", 
  LET(
    idVenta, I294&amp;"",
    montoTotalPagado, P294,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94" s="30">
        <f t="shared" si="16"/>
        <v>0</v>
      </c>
      <c r="S294" s="29">
        <f>IF(P294=0, "Sin Pago", 
  IFERROR(
    MAXIFS(Aux_Datos!$A:$A, Aux_Datos!$B:$B, I294&amp;""), 
    IFERROR(MAXIFS(Aux_Datos!$A:$A, Aux_Datos!$B:$B, VALUE(I294)), "Revisar ID")
  )
)</f>
        <v>46182</v>
      </c>
      <c r="T294" s="35" t="str">
        <f t="shared" si="9"/>
        <v>PAGADA</v>
      </c>
      <c r="U294" s="35" t="str">
        <f t="shared" si="10"/>
        <v>SOLVENTE</v>
      </c>
      <c r="V294" s="32">
        <f t="shared" si="11"/>
        <v>0</v>
      </c>
      <c r="W294" s="36" t="str">
        <f>IF(P294=0, "Sin Pago", 
  LET(
    monedaPago, Q294, 
    descuentoAplicado, G294,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94" s="36" t="str">
        <f t="shared" si="12"/>
        <v/>
      </c>
      <c r="Y294" s="36">
        <v>106.0</v>
      </c>
      <c r="Z294" s="33" t="s">
        <v>596</v>
      </c>
      <c r="AA294" s="33"/>
      <c r="AB294" s="33"/>
      <c r="AC294" s="33"/>
      <c r="AD294" s="33"/>
      <c r="AE294" s="33"/>
      <c r="AF294" s="33"/>
    </row>
    <row r="295" ht="22.5" customHeight="1">
      <c r="A295" s="23" t="s">
        <v>815</v>
      </c>
      <c r="B295" s="41">
        <v>46154.67265046296</v>
      </c>
      <c r="C295" s="23" t="s">
        <v>816</v>
      </c>
      <c r="D295" s="23" t="s">
        <v>546</v>
      </c>
      <c r="E295" s="25">
        <v>112.38</v>
      </c>
      <c r="F295" s="23" t="s">
        <v>619</v>
      </c>
      <c r="G295" s="26">
        <f>IF($E295=0,0,IF(SUMIF(Aux_Datos!$B:$B,$I295,Aux_Datos!$K:$K)/$E295&gt;=VLOOKUP(IF(COUNTIFS(Aux_Datos!$B:$B,$I295,Aux_Datos!$D:$D,"&lt;&gt;USD")=0,"USD","VES"),'Limites de Descuento'!$A$2:$D$4,4,FALSE),MAX(0,1-SUMIF(Aux_Datos!$B:$B,$I295,Aux_Datos!$K:$K)/$E295),0))</f>
        <v>0.095028767</v>
      </c>
      <c r="H295" s="27"/>
      <c r="I295" s="28">
        <f t="shared" si="14"/>
        <v>365</v>
      </c>
      <c r="J295" s="29">
        <f t="shared" si="2"/>
        <v>46154</v>
      </c>
      <c r="K295" s="30">
        <f t="shared" si="3"/>
        <v>15</v>
      </c>
      <c r="L295" s="29">
        <f t="shared" si="4"/>
        <v>46170</v>
      </c>
      <c r="M295" s="30">
        <f t="shared" si="5"/>
        <v>101.7006672</v>
      </c>
      <c r="N295" s="32">
        <f t="shared" si="6"/>
        <v>0</v>
      </c>
      <c r="O295" s="33" t="str">
        <f t="shared" si="7"/>
        <v>PAGADA</v>
      </c>
      <c r="P295" s="34">
        <f>LET(
  idVenta, I295&amp;"",
  montoTotal, M295,
  pagos, IFERROR(SUMIF(Aux_Datos!$B:$B, idVenta, Aux_Datos!$K:$K), 0),
  retenciones, IFERROR(SUMIF(Aux_Datos!$N:$N, idVenta, Aux_Datos!$R:$R), 0),
  pagos + retenciones
)</f>
        <v>101.7006672</v>
      </c>
      <c r="Q295" s="30" t="str">
        <f>IF(P295=0, "Sin Pago", 
  LET(
    idVenta, I295&amp;"",
    montoTotalPagado, P295,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295" s="30">
        <f t="shared" si="16"/>
        <v>0</v>
      </c>
      <c r="S295" s="29">
        <f>IF(P295=0, "Sin Pago", 
  IFERROR(
    MAXIFS(Aux_Datos!$A:$A, Aux_Datos!$B:$B, I295&amp;""), 
    IFERROR(MAXIFS(Aux_Datos!$A:$A, Aux_Datos!$B:$B, VALUE(I295)), "Revisar ID")
  )
)</f>
        <v>46155</v>
      </c>
      <c r="T295" s="35" t="str">
        <f t="shared" si="9"/>
        <v>PAGADA</v>
      </c>
      <c r="U295" s="35" t="str">
        <f t="shared" si="10"/>
        <v>SOLVENTE</v>
      </c>
      <c r="V295" s="32">
        <f t="shared" si="11"/>
        <v>0</v>
      </c>
      <c r="W295" s="36" t="str">
        <f>IF(P295=0, "Sin Pago", 
  LET(
    monedaPago, Q295, 
    descuentoAplicado, G295,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95" s="36" t="str">
        <f t="shared" si="12"/>
        <v/>
      </c>
      <c r="Y295" s="36">
        <v>101.70066716424132</v>
      </c>
      <c r="Z295" s="33" t="s">
        <v>596</v>
      </c>
      <c r="AA295" s="33"/>
      <c r="AB295" s="33"/>
      <c r="AC295" s="33"/>
      <c r="AD295" s="33"/>
      <c r="AE295" s="33"/>
      <c r="AF295" s="33"/>
    </row>
    <row r="296" ht="22.5" customHeight="1">
      <c r="A296" s="23" t="s">
        <v>817</v>
      </c>
      <c r="B296" s="41">
        <v>46154.672106481485</v>
      </c>
      <c r="C296" s="23" t="s">
        <v>441</v>
      </c>
      <c r="D296" s="23" t="s">
        <v>552</v>
      </c>
      <c r="E296" s="25">
        <v>115.86</v>
      </c>
      <c r="F296" s="23" t="s">
        <v>608</v>
      </c>
      <c r="G296" s="26">
        <f>IF($E296=0,0,IF(SUMIF(Aux_Datos!$B:$B,$I296,Aux_Datos!$K:$K)/$E296&gt;=VLOOKUP(IF(COUNTIFS(Aux_Datos!$B:$B,$I296,Aux_Datos!$D:$D,"&lt;&gt;USD")=0,"USD","VES"),'Limites de Descuento'!$A$2:$D$4,4,FALSE),MAX(0,1-SUMIF(Aux_Datos!$B:$B,$I296,Aux_Datos!$K:$K)/$E296),0))</f>
        <v>0.3440359054</v>
      </c>
      <c r="H296" s="27"/>
      <c r="I296" s="28">
        <f t="shared" si="14"/>
        <v>366</v>
      </c>
      <c r="J296" s="29">
        <f t="shared" si="2"/>
        <v>46154</v>
      </c>
      <c r="K296" s="30">
        <f t="shared" si="3"/>
        <v>7</v>
      </c>
      <c r="L296" s="29">
        <f t="shared" si="4"/>
        <v>46162</v>
      </c>
      <c r="M296" s="30">
        <f t="shared" si="5"/>
        <v>76</v>
      </c>
      <c r="N296" s="32">
        <f t="shared" si="6"/>
        <v>0</v>
      </c>
      <c r="O296" s="33" t="str">
        <f t="shared" si="7"/>
        <v>PAGADA</v>
      </c>
      <c r="P296" s="34">
        <f>LET(
  idVenta, I296&amp;"",
  montoTotal, M296,
  pagos, IFERROR(SUMIF(Aux_Datos!$B:$B, idVenta, Aux_Datos!$K:$K), 0),
  retenciones, IFERROR(SUMIF(Aux_Datos!$N:$N, idVenta, Aux_Datos!$R:$R), 0),
  pagos + retenciones
)</f>
        <v>76</v>
      </c>
      <c r="Q296" s="30" t="str">
        <f>IF(P296=0, "Sin Pago", 
  LET(
    idVenta, I296&amp;"",
    montoTotalPagado, P296,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96" s="30">
        <f t="shared" si="16"/>
        <v>0</v>
      </c>
      <c r="S296" s="29">
        <f>IF(P296=0, "Sin Pago", 
  IFERROR(
    MAXIFS(Aux_Datos!$A:$A, Aux_Datos!$B:$B, I296&amp;""), 
    IFERROR(MAXIFS(Aux_Datos!$A:$A, Aux_Datos!$B:$B, VALUE(I296)), "Revisar ID")
  )
)</f>
        <v>46182</v>
      </c>
      <c r="T296" s="35" t="str">
        <f t="shared" si="9"/>
        <v>PAGADA</v>
      </c>
      <c r="U296" s="35" t="str">
        <f t="shared" si="10"/>
        <v>SOLVENTE</v>
      </c>
      <c r="V296" s="32">
        <f t="shared" si="11"/>
        <v>0</v>
      </c>
      <c r="W296" s="36" t="str">
        <f>IF(P296=0, "Sin Pago", 
  LET(
    monedaPago, Q296, 
    descuentoAplicado, G296,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96" s="36" t="str">
        <f t="shared" si="12"/>
        <v/>
      </c>
      <c r="Y296" s="36">
        <v>76.0</v>
      </c>
      <c r="Z296" s="33" t="s">
        <v>596</v>
      </c>
      <c r="AA296" s="33"/>
      <c r="AB296" s="33"/>
      <c r="AC296" s="33"/>
      <c r="AD296" s="33"/>
      <c r="AE296" s="33"/>
      <c r="AF296" s="33"/>
    </row>
    <row r="297" ht="22.5" customHeight="1">
      <c r="A297" s="23" t="s">
        <v>27</v>
      </c>
      <c r="B297" s="41">
        <v>46154.72976851852</v>
      </c>
      <c r="C297" s="23" t="s">
        <v>24</v>
      </c>
      <c r="D297" s="23" t="s">
        <v>546</v>
      </c>
      <c r="E297" s="25">
        <v>2128.45</v>
      </c>
      <c r="F297" s="23" t="s">
        <v>680</v>
      </c>
      <c r="G297" s="26">
        <f>IF($E297=0,0,IF(SUMIF(Aux_Datos!$B:$B,$I297,Aux_Datos!$K:$K)/$E297&gt;=VLOOKUP(IF(COUNTIFS(Aux_Datos!$B:$B,$I297,Aux_Datos!$D:$D,"&lt;&gt;USD")=0,"USD","VES"),'Limites de Descuento'!$A$2:$D$4,4,FALSE),MAX(0,1-SUMIF(Aux_Datos!$B:$B,$I297,Aux_Datos!$K:$K)/$E297),0))</f>
        <v>0</v>
      </c>
      <c r="H297" s="27"/>
      <c r="I297" s="28">
        <f t="shared" si="14"/>
        <v>368</v>
      </c>
      <c r="J297" s="29">
        <f t="shared" si="2"/>
        <v>46154</v>
      </c>
      <c r="K297" s="30">
        <f t="shared" si="3"/>
        <v>30</v>
      </c>
      <c r="L297" s="29">
        <f t="shared" si="4"/>
        <v>46185</v>
      </c>
      <c r="M297" s="30">
        <f t="shared" si="5"/>
        <v>2128.45</v>
      </c>
      <c r="N297" s="32">
        <f t="shared" si="6"/>
        <v>15</v>
      </c>
      <c r="O297" s="33" t="str">
        <f t="shared" si="7"/>
        <v>VENCIDA</v>
      </c>
      <c r="P297" s="34">
        <f>LET(
  idVenta, I297&amp;"",
  montoTotal, M297,
  pagos, IFERROR(SUMIF(Aux_Datos!$B:$B, idVenta, Aux_Datos!$K:$K), 0),
  retenciones, IFERROR(SUMIF(Aux_Datos!$N:$N, idVenta, Aux_Datos!$R:$R), 0),
  pagos + retenciones
)</f>
        <v>0</v>
      </c>
      <c r="Q297" s="30" t="str">
        <f>IF(P297=0, "Sin Pago", 
  LET(
    idVenta, I297&amp;"",
    montoTotalPagado, P297,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297" s="30">
        <f t="shared" si="16"/>
        <v>2128.45</v>
      </c>
      <c r="S297" s="29" t="str">
        <f>IF(P297=0, "Sin Pago", 
  IFERROR(
    MAXIFS(Aux_Datos!$A:$A, Aux_Datos!$B:$B, I297&amp;""), 
    IFERROR(MAXIFS(Aux_Datos!$A:$A, Aux_Datos!$B:$B, VALUE(I297)), "Revisar ID")
  )
)</f>
        <v>Sin Pago</v>
      </c>
      <c r="T297" s="35" t="str">
        <f t="shared" si="9"/>
        <v>PENDIENTE</v>
      </c>
      <c r="U297" s="35" t="str">
        <f t="shared" si="10"/>
        <v>CRÍTICO: VENCIDA</v>
      </c>
      <c r="V297" s="32">
        <f t="shared" si="11"/>
        <v>0</v>
      </c>
      <c r="W297" s="36" t="str">
        <f>IF(P297=0, "Sin Pago", 
  LET(
    monedaPago, Q297, 
    descuentoAplicado, G297,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297" s="36" t="str">
        <f t="shared" si="12"/>
        <v/>
      </c>
      <c r="Y297" s="36">
        <v>0.0</v>
      </c>
      <c r="Z297" s="33" t="s">
        <v>641</v>
      </c>
      <c r="AA297" s="33"/>
      <c r="AB297" s="33"/>
      <c r="AC297" s="33"/>
      <c r="AD297" s="33"/>
      <c r="AE297" s="33"/>
      <c r="AF297" s="33"/>
    </row>
    <row r="298" ht="22.5" customHeight="1">
      <c r="A298" s="23" t="s">
        <v>818</v>
      </c>
      <c r="B298" s="41">
        <v>46154.747141203705</v>
      </c>
      <c r="C298" s="23" t="s">
        <v>819</v>
      </c>
      <c r="D298" s="23" t="s">
        <v>550</v>
      </c>
      <c r="E298" s="25">
        <v>76.0</v>
      </c>
      <c r="F298" s="23" t="s">
        <v>608</v>
      </c>
      <c r="G298" s="26">
        <f>IF($E298=0,0,IF(SUMIF(Aux_Datos!$B:$B,$I298,Aux_Datos!$K:$K)/$E298&gt;=VLOOKUP(IF(COUNTIFS(Aux_Datos!$B:$B,$I298,Aux_Datos!$D:$D,"&lt;&gt;USD")=0,"USD","VES"),'Limites de Descuento'!$A$2:$D$4,4,FALSE),MAX(0,1-SUMIF(Aux_Datos!$B:$B,$I298,Aux_Datos!$K:$K)/$E298),0))</f>
        <v>0</v>
      </c>
      <c r="H298" s="27"/>
      <c r="I298" s="28">
        <f t="shared" si="14"/>
        <v>369</v>
      </c>
      <c r="J298" s="29">
        <f t="shared" si="2"/>
        <v>46154</v>
      </c>
      <c r="K298" s="30">
        <f t="shared" si="3"/>
        <v>7</v>
      </c>
      <c r="L298" s="29">
        <f t="shared" si="4"/>
        <v>46162</v>
      </c>
      <c r="M298" s="30">
        <f t="shared" si="5"/>
        <v>76</v>
      </c>
      <c r="N298" s="32">
        <f t="shared" si="6"/>
        <v>0</v>
      </c>
      <c r="O298" s="33" t="str">
        <f t="shared" si="7"/>
        <v>PAGADA</v>
      </c>
      <c r="P298" s="34">
        <f>LET(
  idVenta, I298&amp;"",
  montoTotal, M298,
  pagos, IFERROR(SUMIF(Aux_Datos!$B:$B, idVenta, Aux_Datos!$K:$K), 0),
  retenciones, IFERROR(SUMIF(Aux_Datos!$N:$N, idVenta, Aux_Datos!$R:$R), 0),
  pagos + retenciones
)</f>
        <v>76</v>
      </c>
      <c r="Q298" s="30" t="str">
        <f>IF(P298=0, "Sin Pago", 
  LET(
    idVenta, I298&amp;"",
    montoTotalPagado, P298,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298" s="30">
        <f t="shared" si="16"/>
        <v>0</v>
      </c>
      <c r="S298" s="29">
        <f>IF(P298=0, "Sin Pago", 
  IFERROR(
    MAXIFS(Aux_Datos!$A:$A, Aux_Datos!$B:$B, I298&amp;""), 
    IFERROR(MAXIFS(Aux_Datos!$A:$A, Aux_Datos!$B:$B, VALUE(I298)), "Revisar ID")
  )
)</f>
        <v>46154</v>
      </c>
      <c r="T298" s="35" t="str">
        <f t="shared" si="9"/>
        <v>PAGADA</v>
      </c>
      <c r="U298" s="35" t="str">
        <f t="shared" si="10"/>
        <v>SOLVENTE</v>
      </c>
      <c r="V298" s="32">
        <f t="shared" si="11"/>
        <v>0</v>
      </c>
      <c r="W298" s="36" t="str">
        <f>IF(P298=0, "Sin Pago", 
  LET(
    monedaPago, Q298, 
    descuentoAplicado, G298,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98" s="36" t="str">
        <f t="shared" si="12"/>
        <v/>
      </c>
      <c r="Y298" s="36">
        <v>76.0</v>
      </c>
      <c r="Z298" s="33" t="s">
        <v>596</v>
      </c>
      <c r="AA298" s="33"/>
      <c r="AB298" s="33"/>
      <c r="AC298" s="33"/>
      <c r="AD298" s="33"/>
      <c r="AE298" s="33"/>
      <c r="AF298" s="33"/>
    </row>
    <row r="299" ht="22.5" customHeight="1">
      <c r="A299" s="23" t="s">
        <v>820</v>
      </c>
      <c r="B299" s="41">
        <v>46155.59260416667</v>
      </c>
      <c r="C299" s="23" t="s">
        <v>408</v>
      </c>
      <c r="D299" s="23" t="s">
        <v>323</v>
      </c>
      <c r="E299" s="25">
        <v>644.13</v>
      </c>
      <c r="F299" s="23" t="s">
        <v>608</v>
      </c>
      <c r="G299" s="26">
        <f>IF($E299=0,0,IF(SUMIF(Aux_Datos!$B:$B,$I299,Aux_Datos!$K:$K)/$E299&gt;=VLOOKUP(IF(COUNTIFS(Aux_Datos!$B:$B,$I299,Aux_Datos!$D:$D,"&lt;&gt;USD")=0,"USD","VES"),'Limites de Descuento'!$A$2:$D$4,4,FALSE),MAX(0,1-SUMIF(Aux_Datos!$B:$B,$I299,Aux_Datos!$K:$K)/$E299),0))</f>
        <v>0.1379205952</v>
      </c>
      <c r="H299" s="27"/>
      <c r="I299" s="28">
        <f t="shared" si="14"/>
        <v>372</v>
      </c>
      <c r="J299" s="29">
        <f t="shared" si="2"/>
        <v>46155</v>
      </c>
      <c r="K299" s="30">
        <f t="shared" si="3"/>
        <v>7</v>
      </c>
      <c r="L299" s="29">
        <f t="shared" si="4"/>
        <v>46163</v>
      </c>
      <c r="M299" s="30">
        <f t="shared" si="5"/>
        <v>555.291207</v>
      </c>
      <c r="N299" s="32">
        <f t="shared" si="6"/>
        <v>0</v>
      </c>
      <c r="O299" s="33" t="str">
        <f t="shared" si="7"/>
        <v>PAGADA</v>
      </c>
      <c r="P299" s="34">
        <f>LET(
  idVenta, I299&amp;"",
  montoTotal, M299,
  pagos, IFERROR(SUMIF(Aux_Datos!$B:$B, idVenta, Aux_Datos!$K:$K), 0),
  retenciones, IFERROR(SUMIF(Aux_Datos!$N:$N, idVenta, Aux_Datos!$R:$R), 0),
  pagos + retenciones
)</f>
        <v>555.291207</v>
      </c>
      <c r="Q299" s="30" t="str">
        <f>IF(P299=0, "Sin Pago", 
  LET(
    idVenta, I299&amp;"",
    montoTotalPagado, P299,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299" s="30">
        <f t="shared" si="16"/>
        <v>0</v>
      </c>
      <c r="S299" s="29">
        <f>IF(P299=0, "Sin Pago", 
  IFERROR(
    MAXIFS(Aux_Datos!$A:$A, Aux_Datos!$B:$B, I299&amp;""), 
    IFERROR(MAXIFS(Aux_Datos!$A:$A, Aux_Datos!$B:$B, VALUE(I299)), "Revisar ID")
  )
)</f>
        <v>46155</v>
      </c>
      <c r="T299" s="35" t="str">
        <f t="shared" si="9"/>
        <v>PAGADA</v>
      </c>
      <c r="U299" s="35" t="str">
        <f t="shared" si="10"/>
        <v>SOLVENTE</v>
      </c>
      <c r="V299" s="32">
        <f t="shared" si="11"/>
        <v>0</v>
      </c>
      <c r="W299" s="36" t="str">
        <f>IF(P299=0, "Sin Pago", 
  LET(
    monedaPago, Q299, 
    descuentoAplicado, G299,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299" s="36" t="str">
        <f t="shared" si="12"/>
        <v/>
      </c>
      <c r="Y299" s="36">
        <v>555.2912070065223</v>
      </c>
      <c r="Z299" s="33" t="s">
        <v>596</v>
      </c>
      <c r="AA299" s="33"/>
      <c r="AB299" s="33"/>
      <c r="AC299" s="33"/>
      <c r="AD299" s="33"/>
      <c r="AE299" s="33"/>
      <c r="AF299" s="33"/>
    </row>
    <row r="300" ht="22.5" customHeight="1">
      <c r="A300" s="23" t="s">
        <v>310</v>
      </c>
      <c r="B300" s="41">
        <v>46155.629224537035</v>
      </c>
      <c r="C300" s="23" t="s">
        <v>309</v>
      </c>
      <c r="D300" s="23" t="s">
        <v>556</v>
      </c>
      <c r="E300" s="25">
        <v>472.01</v>
      </c>
      <c r="F300" s="23" t="s">
        <v>608</v>
      </c>
      <c r="G300" s="26">
        <f>IF($E300=0,0,IF(SUMIF(Aux_Datos!$B:$B,$I300,Aux_Datos!$K:$K)/$E300&gt;=VLOOKUP(IF(COUNTIFS(Aux_Datos!$B:$B,$I300,Aux_Datos!$D:$D,"&lt;&gt;USD")=0,"USD","VES"),'Limites de Descuento'!$A$2:$D$4,4,FALSE),MAX(0,1-SUMIF(Aux_Datos!$B:$B,$I300,Aux_Datos!$K:$K)/$E300),0))</f>
        <v>0</v>
      </c>
      <c r="H300" s="27"/>
      <c r="I300" s="28">
        <f t="shared" si="14"/>
        <v>373</v>
      </c>
      <c r="J300" s="29">
        <f t="shared" si="2"/>
        <v>46155</v>
      </c>
      <c r="K300" s="30">
        <f t="shared" si="3"/>
        <v>7</v>
      </c>
      <c r="L300" s="29">
        <f t="shared" si="4"/>
        <v>46163</v>
      </c>
      <c r="M300" s="30">
        <f t="shared" si="5"/>
        <v>472.01</v>
      </c>
      <c r="N300" s="32">
        <f t="shared" si="6"/>
        <v>37</v>
      </c>
      <c r="O300" s="33" t="str">
        <f t="shared" si="7"/>
        <v>VENCIDA</v>
      </c>
      <c r="P300" s="34">
        <f>LET(
  idVenta, I300&amp;"",
  montoTotal, M300,
  pagos, IFERROR(SUMIF(Aux_Datos!$B:$B, idVenta, Aux_Datos!$K:$K), 0),
  retenciones, IFERROR(SUMIF(Aux_Datos!$N:$N, idVenta, Aux_Datos!$R:$R), 0),
  pagos + retenciones
)</f>
        <v>100</v>
      </c>
      <c r="Q300" s="30" t="str">
        <f>IF(P300=0, "Sin Pago", 
  LET(
    idVenta, I300&amp;"",
    montoTotalPagado, P300,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00" s="30">
        <f t="shared" si="16"/>
        <v>372.01</v>
      </c>
      <c r="S300" s="29">
        <f>IF(P300=0, "Sin Pago", 
  IFERROR(
    MAXIFS(Aux_Datos!$A:$A, Aux_Datos!$B:$B, I300&amp;""), 
    IFERROR(MAXIFS(Aux_Datos!$A:$A, Aux_Datos!$B:$B, VALUE(I300)), "Revisar ID")
  )
)</f>
        <v>46195</v>
      </c>
      <c r="T300" s="35" t="str">
        <f t="shared" si="9"/>
        <v>PAGO PARCIAL</v>
      </c>
      <c r="U300" s="35" t="str">
        <f t="shared" si="10"/>
        <v>CRÍTICO: VENCIDA</v>
      </c>
      <c r="V300" s="32">
        <f t="shared" si="11"/>
        <v>5</v>
      </c>
      <c r="W300" s="36" t="str">
        <f>IF(P300=0, "Sin Pago", 
  LET(
    monedaPago, Q300, 
    descuentoAplicado, G300,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00" s="36" t="str">
        <f t="shared" si="12"/>
        <v/>
      </c>
      <c r="Y300" s="36">
        <v>100.0</v>
      </c>
      <c r="Z300" s="33" t="s">
        <v>609</v>
      </c>
      <c r="AA300" s="33"/>
      <c r="AB300" s="33"/>
      <c r="AC300" s="33"/>
      <c r="AD300" s="33"/>
      <c r="AE300" s="33"/>
      <c r="AF300" s="33"/>
    </row>
    <row r="301" ht="22.5" customHeight="1">
      <c r="A301" s="23" t="s">
        <v>821</v>
      </c>
      <c r="B301" s="41">
        <v>46155.629108796296</v>
      </c>
      <c r="C301" s="23" t="s">
        <v>128</v>
      </c>
      <c r="D301" s="23" t="s">
        <v>353</v>
      </c>
      <c r="E301" s="25">
        <v>0.0</v>
      </c>
      <c r="F301" s="23" t="s">
        <v>608</v>
      </c>
      <c r="G301" s="26">
        <f>IF($E301=0,0,IF(SUMIF(Aux_Datos!$B:$B,$I301,Aux_Datos!$K:$K)/$E301&gt;=VLOOKUP(IF(COUNTIFS(Aux_Datos!$B:$B,$I301,Aux_Datos!$D:$D,"&lt;&gt;USD")=0,"USD","VES"),'Limites de Descuento'!$A$2:$D$4,4,FALSE),MAX(0,1-SUMIF(Aux_Datos!$B:$B,$I301,Aux_Datos!$K:$K)/$E301),0))</f>
        <v>0</v>
      </c>
      <c r="H301" s="27"/>
      <c r="I301" s="28">
        <f t="shared" si="14"/>
        <v>374</v>
      </c>
      <c r="J301" s="29">
        <f t="shared" si="2"/>
        <v>46155</v>
      </c>
      <c r="K301" s="30">
        <f t="shared" si="3"/>
        <v>7</v>
      </c>
      <c r="L301" s="29">
        <f t="shared" si="4"/>
        <v>46163</v>
      </c>
      <c r="M301" s="30">
        <f t="shared" si="5"/>
        <v>0</v>
      </c>
      <c r="N301" s="32">
        <f t="shared" si="6"/>
        <v>0</v>
      </c>
      <c r="O301" s="33" t="str">
        <f t="shared" si="7"/>
        <v>PAGADA</v>
      </c>
      <c r="P301" s="34">
        <f>LET(
  idVenta, I301&amp;"",
  montoTotal, M301,
  pagos, IFERROR(SUMIF(Aux_Datos!$B:$B, idVenta, Aux_Datos!$K:$K), 0),
  retenciones, IFERROR(SUMIF(Aux_Datos!$N:$N, idVenta, Aux_Datos!$R:$R), 0),
  pagos + retenciones
)</f>
        <v>0</v>
      </c>
      <c r="Q301" s="30" t="str">
        <f>IF(P301=0, "Sin Pago", 
  LET(
    idVenta, I301&amp;"",
    montoTotalPagado, P301,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01" s="30">
        <f t="shared" si="16"/>
        <v>0</v>
      </c>
      <c r="S301" s="29" t="str">
        <f>IF(P301=0, "Sin Pago", 
  IFERROR(
    MAXIFS(Aux_Datos!$A:$A, Aux_Datos!$B:$B, I301&amp;""), 
    IFERROR(MAXIFS(Aux_Datos!$A:$A, Aux_Datos!$B:$B, VALUE(I301)), "Revisar ID")
  )
)</f>
        <v>Sin Pago</v>
      </c>
      <c r="T301" s="35" t="str">
        <f t="shared" si="9"/>
        <v>PAGADA</v>
      </c>
      <c r="U301" s="35" t="str">
        <f t="shared" si="10"/>
        <v>SOLVENTE</v>
      </c>
      <c r="V301" s="32">
        <f t="shared" si="11"/>
        <v>0</v>
      </c>
      <c r="W301" s="36" t="str">
        <f>IF(P301=0, "Sin Pago", 
  LET(
    monedaPago, Q301, 
    descuentoAplicado, G301,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01" s="36" t="str">
        <f t="shared" si="12"/>
        <v/>
      </c>
      <c r="Y301" s="36">
        <v>0.0</v>
      </c>
      <c r="Z301" s="33" t="s">
        <v>822</v>
      </c>
      <c r="AA301" s="33"/>
      <c r="AB301" s="33"/>
      <c r="AC301" s="33"/>
      <c r="AD301" s="33"/>
      <c r="AE301" s="33"/>
      <c r="AF301" s="33"/>
    </row>
    <row r="302" ht="22.5" customHeight="1">
      <c r="A302" s="23" t="s">
        <v>312</v>
      </c>
      <c r="B302" s="41">
        <v>46155.629016203704</v>
      </c>
      <c r="C302" s="23" t="s">
        <v>311</v>
      </c>
      <c r="D302" s="23" t="s">
        <v>353</v>
      </c>
      <c r="E302" s="25">
        <v>249.66</v>
      </c>
      <c r="F302" s="23" t="s">
        <v>608</v>
      </c>
      <c r="G302" s="26">
        <f>IF($E302=0,0,IF(SUMIF(Aux_Datos!$B:$B,$I302,Aux_Datos!$K:$K)/$E302&gt;=VLOOKUP(IF(COUNTIFS(Aux_Datos!$B:$B,$I302,Aux_Datos!$D:$D,"&lt;&gt;USD")=0,"USD","VES"),'Limites de Descuento'!$A$2:$D$4,4,FALSE),MAX(0,1-SUMIF(Aux_Datos!$B:$B,$I302,Aux_Datos!$K:$K)/$E302),0))</f>
        <v>0</v>
      </c>
      <c r="H302" s="27"/>
      <c r="I302" s="28">
        <f t="shared" si="14"/>
        <v>375</v>
      </c>
      <c r="J302" s="29">
        <f t="shared" si="2"/>
        <v>46155</v>
      </c>
      <c r="K302" s="30">
        <f t="shared" si="3"/>
        <v>7</v>
      </c>
      <c r="L302" s="29">
        <f t="shared" si="4"/>
        <v>46163</v>
      </c>
      <c r="M302" s="30">
        <f t="shared" si="5"/>
        <v>249.66</v>
      </c>
      <c r="N302" s="32">
        <f t="shared" si="6"/>
        <v>37</v>
      </c>
      <c r="O302" s="33" t="str">
        <f t="shared" si="7"/>
        <v>VENCIDA</v>
      </c>
      <c r="P302" s="34">
        <f>LET(
  idVenta, I302&amp;"",
  montoTotal, M302,
  pagos, IFERROR(SUMIF(Aux_Datos!$B:$B, idVenta, Aux_Datos!$K:$K), 0),
  retenciones, IFERROR(SUMIF(Aux_Datos!$N:$N, idVenta, Aux_Datos!$R:$R), 0),
  pagos + retenciones
)</f>
        <v>0</v>
      </c>
      <c r="Q302" s="30" t="str">
        <f>IF(P302=0, "Sin Pago", 
  LET(
    idVenta, I302&amp;"",
    montoTotalPagado, P302,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02" s="30">
        <f t="shared" si="16"/>
        <v>249.66</v>
      </c>
      <c r="S302" s="29" t="str">
        <f>IF(P302=0, "Sin Pago", 
  IFERROR(
    MAXIFS(Aux_Datos!$A:$A, Aux_Datos!$B:$B, I302&amp;""), 
    IFERROR(MAXIFS(Aux_Datos!$A:$A, Aux_Datos!$B:$B, VALUE(I302)), "Revisar ID")
  )
)</f>
        <v>Sin Pago</v>
      </c>
      <c r="T302" s="35" t="str">
        <f t="shared" si="9"/>
        <v>PENDIENTE</v>
      </c>
      <c r="U302" s="35" t="str">
        <f t="shared" si="10"/>
        <v>CRÍTICO: VENCIDA</v>
      </c>
      <c r="V302" s="32">
        <f t="shared" si="11"/>
        <v>0</v>
      </c>
      <c r="W302" s="36" t="str">
        <f>IF(P302=0, "Sin Pago", 
  LET(
    monedaPago, Q302, 
    descuentoAplicado, G302,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02" s="36" t="str">
        <f t="shared" si="12"/>
        <v/>
      </c>
      <c r="Y302" s="36">
        <v>0.0</v>
      </c>
      <c r="Z302" s="33" t="s">
        <v>641</v>
      </c>
      <c r="AA302" s="33"/>
      <c r="AB302" s="33"/>
      <c r="AC302" s="33"/>
      <c r="AD302" s="33"/>
      <c r="AE302" s="33"/>
      <c r="AF302" s="33"/>
    </row>
    <row r="303" ht="22.5" customHeight="1">
      <c r="A303" s="23" t="s">
        <v>823</v>
      </c>
      <c r="B303" s="41">
        <v>46155.630960648145</v>
      </c>
      <c r="C303" s="23" t="s">
        <v>805</v>
      </c>
      <c r="D303" s="23" t="s">
        <v>552</v>
      </c>
      <c r="E303" s="25">
        <v>102.6</v>
      </c>
      <c r="F303" s="23" t="s">
        <v>608</v>
      </c>
      <c r="G303" s="26">
        <f>IF($E303=0,0,IF(SUMIF(Aux_Datos!$B:$B,$I303,Aux_Datos!$K:$K)/$E303&gt;=VLOOKUP(IF(COUNTIFS(Aux_Datos!$B:$B,$I303,Aux_Datos!$D:$D,"&lt;&gt;USD")=0,"USD","VES"),'Limites de Descuento'!$A$2:$D$4,4,FALSE),MAX(0,1-SUMIF(Aux_Datos!$B:$B,$I303,Aux_Datos!$K:$K)/$E303),0))</f>
        <v>0.3469785575</v>
      </c>
      <c r="H303" s="27"/>
      <c r="I303" s="28">
        <f t="shared" si="14"/>
        <v>376</v>
      </c>
      <c r="J303" s="29">
        <f t="shared" si="2"/>
        <v>46155</v>
      </c>
      <c r="K303" s="30">
        <f t="shared" si="3"/>
        <v>7</v>
      </c>
      <c r="L303" s="29">
        <f t="shared" si="4"/>
        <v>46163</v>
      </c>
      <c r="M303" s="30">
        <f t="shared" si="5"/>
        <v>67</v>
      </c>
      <c r="N303" s="32">
        <f t="shared" si="6"/>
        <v>0</v>
      </c>
      <c r="O303" s="33" t="str">
        <f t="shared" si="7"/>
        <v>PAGADA</v>
      </c>
      <c r="P303" s="34">
        <f>LET(
  idVenta, I303&amp;"",
  montoTotal, M303,
  pagos, IFERROR(SUMIF(Aux_Datos!$B:$B, idVenta, Aux_Datos!$K:$K), 0),
  retenciones, IFERROR(SUMIF(Aux_Datos!$N:$N, idVenta, Aux_Datos!$R:$R), 0),
  pagos + retenciones
)</f>
        <v>67</v>
      </c>
      <c r="Q303" s="30" t="str">
        <f>IF(P303=0, "Sin Pago", 
  LET(
    idVenta, I303&amp;"",
    montoTotalPagado, P303,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03" s="30">
        <f t="shared" si="16"/>
        <v>0</v>
      </c>
      <c r="S303" s="29">
        <f>IF(P303=0, "Sin Pago", 
  IFERROR(
    MAXIFS(Aux_Datos!$A:$A, Aux_Datos!$B:$B, I303&amp;""), 
    IFERROR(MAXIFS(Aux_Datos!$A:$A, Aux_Datos!$B:$B, VALUE(I303)), "Revisar ID")
  )
)</f>
        <v>46181</v>
      </c>
      <c r="T303" s="35" t="str">
        <f t="shared" si="9"/>
        <v>PAGADA</v>
      </c>
      <c r="U303" s="35" t="str">
        <f t="shared" si="10"/>
        <v>SOLVENTE</v>
      </c>
      <c r="V303" s="32">
        <f t="shared" si="11"/>
        <v>0</v>
      </c>
      <c r="W303" s="36" t="str">
        <f>IF(P303=0, "Sin Pago", 
  LET(
    monedaPago, Q303, 
    descuentoAplicado, G303,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03" s="36" t="str">
        <f t="shared" si="12"/>
        <v/>
      </c>
      <c r="Y303" s="36">
        <v>67.0</v>
      </c>
      <c r="Z303" s="33" t="s">
        <v>596</v>
      </c>
      <c r="AA303" s="33"/>
      <c r="AB303" s="33"/>
      <c r="AC303" s="33"/>
      <c r="AD303" s="33"/>
      <c r="AE303" s="33"/>
      <c r="AF303" s="33"/>
    </row>
    <row r="304" ht="22.5" customHeight="1">
      <c r="A304" s="23" t="s">
        <v>350</v>
      </c>
      <c r="B304" s="41">
        <v>46155.66909722222</v>
      </c>
      <c r="C304" s="23" t="s">
        <v>349</v>
      </c>
      <c r="D304" s="23" t="s">
        <v>546</v>
      </c>
      <c r="E304" s="25">
        <v>476.55</v>
      </c>
      <c r="F304" s="23" t="s">
        <v>619</v>
      </c>
      <c r="G304" s="26">
        <f>IF($E304=0,0,IF(SUMIF(Aux_Datos!$B:$B,$I304,Aux_Datos!$K:$K)/$E304&gt;=VLOOKUP(IF(COUNTIFS(Aux_Datos!$B:$B,$I304,Aux_Datos!$D:$D,"&lt;&gt;USD")=0,"USD","VES"),'Limites de Descuento'!$A$2:$D$4,4,FALSE),MAX(0,1-SUMIF(Aux_Datos!$B:$B,$I304,Aux_Datos!$K:$K)/$E304),0))</f>
        <v>0</v>
      </c>
      <c r="H304" s="27"/>
      <c r="I304" s="28">
        <f t="shared" si="14"/>
        <v>378</v>
      </c>
      <c r="J304" s="29">
        <f t="shared" si="2"/>
        <v>46155</v>
      </c>
      <c r="K304" s="30">
        <f t="shared" si="3"/>
        <v>15</v>
      </c>
      <c r="L304" s="29">
        <f t="shared" si="4"/>
        <v>46171</v>
      </c>
      <c r="M304" s="30">
        <f t="shared" si="5"/>
        <v>476.55</v>
      </c>
      <c r="N304" s="32">
        <f t="shared" si="6"/>
        <v>29</v>
      </c>
      <c r="O304" s="33" t="str">
        <f t="shared" si="7"/>
        <v>VENCIDA</v>
      </c>
      <c r="P304" s="34">
        <f>LET(
  idVenta, I304&amp;"",
  montoTotal, M304,
  pagos, IFERROR(SUMIF(Aux_Datos!$B:$B, idVenta, Aux_Datos!$K:$K), 0),
  retenciones, IFERROR(SUMIF(Aux_Datos!$N:$N, idVenta, Aux_Datos!$R:$R), 0),
  pagos + retenciones
)</f>
        <v>0</v>
      </c>
      <c r="Q304" s="30" t="str">
        <f>IF(P304=0, "Sin Pago", 
  LET(
    idVenta, I304&amp;"",
    montoTotalPagado, P304,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04" s="30">
        <f t="shared" si="16"/>
        <v>476.55</v>
      </c>
      <c r="S304" s="29" t="str">
        <f>IF(P304=0, "Sin Pago", 
  IFERROR(
    MAXIFS(Aux_Datos!$A:$A, Aux_Datos!$B:$B, I304&amp;""), 
    IFERROR(MAXIFS(Aux_Datos!$A:$A, Aux_Datos!$B:$B, VALUE(I304)), "Revisar ID")
  )
)</f>
        <v>Sin Pago</v>
      </c>
      <c r="T304" s="35" t="str">
        <f t="shared" si="9"/>
        <v>PENDIENTE</v>
      </c>
      <c r="U304" s="35" t="str">
        <f t="shared" si="10"/>
        <v>CRÍTICO: VENCIDA</v>
      </c>
      <c r="V304" s="32">
        <f t="shared" si="11"/>
        <v>0</v>
      </c>
      <c r="W304" s="36" t="str">
        <f>IF(P304=0, "Sin Pago", 
  LET(
    monedaPago, Q304, 
    descuentoAplicado, G304,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04" s="36" t="str">
        <f t="shared" si="12"/>
        <v/>
      </c>
      <c r="Y304" s="36">
        <v>0.0</v>
      </c>
      <c r="Z304" s="33" t="s">
        <v>641</v>
      </c>
      <c r="AA304" s="33"/>
      <c r="AB304" s="33"/>
      <c r="AC304" s="33"/>
      <c r="AD304" s="33"/>
      <c r="AE304" s="33"/>
      <c r="AF304" s="33"/>
    </row>
    <row r="305" ht="22.5" customHeight="1">
      <c r="A305" s="23" t="s">
        <v>824</v>
      </c>
      <c r="B305" s="41">
        <v>46155.67458333333</v>
      </c>
      <c r="C305" s="23" t="s">
        <v>453</v>
      </c>
      <c r="D305" s="23" t="s">
        <v>546</v>
      </c>
      <c r="E305" s="25">
        <v>171.0</v>
      </c>
      <c r="F305" s="23" t="s">
        <v>608</v>
      </c>
      <c r="G305" s="26">
        <f>IF($E305=0,0,IF(SUMIF(Aux_Datos!$B:$B,$I305,Aux_Datos!$K:$K)/$E305&gt;=VLOOKUP(IF(COUNTIFS(Aux_Datos!$B:$B,$I305,Aux_Datos!$D:$D,"&lt;&gt;USD")=0,"USD","VES"),'Limites de Descuento'!$A$2:$D$4,4,FALSE),MAX(0,1-SUMIF(Aux_Datos!$B:$B,$I305,Aux_Datos!$K:$K)/$E305),0))</f>
        <v>0.1409368774</v>
      </c>
      <c r="H305" s="27"/>
      <c r="I305" s="28">
        <f t="shared" si="14"/>
        <v>379</v>
      </c>
      <c r="J305" s="29">
        <f t="shared" si="2"/>
        <v>46155</v>
      </c>
      <c r="K305" s="30">
        <f t="shared" si="3"/>
        <v>7</v>
      </c>
      <c r="L305" s="29">
        <f t="shared" si="4"/>
        <v>46163</v>
      </c>
      <c r="M305" s="30">
        <f t="shared" si="5"/>
        <v>146.899794</v>
      </c>
      <c r="N305" s="32">
        <f t="shared" si="6"/>
        <v>0</v>
      </c>
      <c r="O305" s="33" t="str">
        <f t="shared" si="7"/>
        <v>PAGADA</v>
      </c>
      <c r="P305" s="34">
        <f>LET(
  idVenta, I305&amp;"",
  montoTotal, M305,
  pagos, IFERROR(SUMIF(Aux_Datos!$B:$B, idVenta, Aux_Datos!$K:$K), 0),
  retenciones, IFERROR(SUMIF(Aux_Datos!$N:$N, idVenta, Aux_Datos!$R:$R), 0),
  pagos + retenciones
)</f>
        <v>146.899794</v>
      </c>
      <c r="Q305" s="30" t="str">
        <f>IF(P305=0, "Sin Pago", 
  LET(
    idVenta, I305&amp;"",
    montoTotalPagado, P305,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305" s="30">
        <f t="shared" si="16"/>
        <v>0</v>
      </c>
      <c r="S305" s="29">
        <f>IF(P305=0, "Sin Pago", 
  IFERROR(
    MAXIFS(Aux_Datos!$A:$A, Aux_Datos!$B:$B, I305&amp;""), 
    IFERROR(MAXIFS(Aux_Datos!$A:$A, Aux_Datos!$B:$B, VALUE(I305)), "Revisar ID")
  )
)</f>
        <v>46184</v>
      </c>
      <c r="T305" s="35" t="str">
        <f t="shared" si="9"/>
        <v>PAGADA</v>
      </c>
      <c r="U305" s="35" t="str">
        <f t="shared" si="10"/>
        <v>SOLVENTE</v>
      </c>
      <c r="V305" s="32">
        <f t="shared" si="11"/>
        <v>0</v>
      </c>
      <c r="W305" s="36" t="str">
        <f>IF(P305=0, "Sin Pago", 
  LET(
    monedaPago, Q305, 
    descuentoAplicado, G305,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05" s="36" t="str">
        <f t="shared" si="12"/>
        <v/>
      </c>
      <c r="Y305" s="36">
        <v>146.8997939712403</v>
      </c>
      <c r="Z305" s="33" t="s">
        <v>596</v>
      </c>
      <c r="AA305" s="33"/>
      <c r="AB305" s="33"/>
      <c r="AC305" s="33"/>
      <c r="AD305" s="33"/>
      <c r="AE305" s="33"/>
      <c r="AF305" s="33"/>
    </row>
    <row r="306" ht="22.5" customHeight="1">
      <c r="A306" s="23" t="s">
        <v>825</v>
      </c>
      <c r="B306" s="41">
        <v>46155.70012731481</v>
      </c>
      <c r="C306" s="23" t="s">
        <v>630</v>
      </c>
      <c r="D306" s="23" t="s">
        <v>538</v>
      </c>
      <c r="E306" s="25">
        <v>134.52</v>
      </c>
      <c r="F306" s="23" t="s">
        <v>608</v>
      </c>
      <c r="G306" s="26">
        <f>IF($E306=0,0,IF(SUMIF(Aux_Datos!$B:$B,$I306,Aux_Datos!$K:$K)/$E306&gt;=VLOOKUP(IF(COUNTIFS(Aux_Datos!$B:$B,$I306,Aux_Datos!$D:$D,"&lt;&gt;USD")=0,"USD","VES"),'Limites de Descuento'!$A$2:$D$4,4,FALSE),MAX(0,1-SUMIF(Aux_Datos!$B:$B,$I306,Aux_Datos!$K:$K)/$E306),0))</f>
        <v>0.2640499554</v>
      </c>
      <c r="H306" s="27"/>
      <c r="I306" s="28">
        <f t="shared" si="14"/>
        <v>380</v>
      </c>
      <c r="J306" s="29">
        <f t="shared" si="2"/>
        <v>46155</v>
      </c>
      <c r="K306" s="30">
        <f t="shared" si="3"/>
        <v>7</v>
      </c>
      <c r="L306" s="29">
        <f t="shared" si="4"/>
        <v>46163</v>
      </c>
      <c r="M306" s="30">
        <f t="shared" si="5"/>
        <v>99</v>
      </c>
      <c r="N306" s="32">
        <f t="shared" si="6"/>
        <v>0</v>
      </c>
      <c r="O306" s="33" t="str">
        <f t="shared" si="7"/>
        <v>PAGADA</v>
      </c>
      <c r="P306" s="34">
        <f>LET(
  idVenta, I306&amp;"",
  montoTotal, M306,
  pagos, IFERROR(SUMIF(Aux_Datos!$B:$B, idVenta, Aux_Datos!$K:$K), 0),
  retenciones, IFERROR(SUMIF(Aux_Datos!$N:$N, idVenta, Aux_Datos!$R:$R), 0),
  pagos + retenciones
)</f>
        <v>99</v>
      </c>
      <c r="Q306" s="30" t="str">
        <f>IF(P306=0, "Sin Pago", 
  LET(
    idVenta, I306&amp;"",
    montoTotalPagado, P306,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06" s="30">
        <f t="shared" si="16"/>
        <v>0</v>
      </c>
      <c r="S306" s="29">
        <f>IF(P306=0, "Sin Pago", 
  IFERROR(
    MAXIFS(Aux_Datos!$A:$A, Aux_Datos!$B:$B, I306&amp;""), 
    IFERROR(MAXIFS(Aux_Datos!$A:$A, Aux_Datos!$B:$B, VALUE(I306)), "Revisar ID")
  )
)</f>
        <v>46192</v>
      </c>
      <c r="T306" s="35" t="str">
        <f t="shared" si="9"/>
        <v>PAGADA</v>
      </c>
      <c r="U306" s="35" t="str">
        <f t="shared" si="10"/>
        <v>SOLVENTE</v>
      </c>
      <c r="V306" s="32">
        <f t="shared" si="11"/>
        <v>0</v>
      </c>
      <c r="W306" s="36" t="str">
        <f>IF(P306=0, "Sin Pago", 
  LET(
    monedaPago, Q306, 
    descuentoAplicado, G306,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06" s="36" t="str">
        <f t="shared" si="12"/>
        <v/>
      </c>
      <c r="Y306" s="36">
        <v>99.0</v>
      </c>
      <c r="Z306" s="33" t="s">
        <v>596</v>
      </c>
      <c r="AA306" s="33"/>
      <c r="AB306" s="33"/>
      <c r="AC306" s="33"/>
      <c r="AD306" s="33"/>
      <c r="AE306" s="33"/>
      <c r="AF306" s="33"/>
    </row>
    <row r="307" ht="22.5" customHeight="1">
      <c r="A307" s="23" t="s">
        <v>308</v>
      </c>
      <c r="B307" s="41">
        <v>46155.69908564815</v>
      </c>
      <c r="C307" s="23" t="s">
        <v>307</v>
      </c>
      <c r="D307" s="23" t="s">
        <v>538</v>
      </c>
      <c r="E307" s="25">
        <v>102.6</v>
      </c>
      <c r="F307" s="23" t="s">
        <v>608</v>
      </c>
      <c r="G307" s="26">
        <f>IF($E307=0,0,IF(SUMIF(Aux_Datos!$B:$B,$I307,Aux_Datos!$K:$K)/$E307&gt;=VLOOKUP(IF(COUNTIFS(Aux_Datos!$B:$B,$I307,Aux_Datos!$D:$D,"&lt;&gt;USD")=0,"USD","VES"),'Limites de Descuento'!$A$2:$D$4,4,FALSE),MAX(0,1-SUMIF(Aux_Datos!$B:$B,$I307,Aux_Datos!$K:$K)/$E307),0))</f>
        <v>0</v>
      </c>
      <c r="H307" s="27"/>
      <c r="I307" s="28">
        <f t="shared" si="14"/>
        <v>381</v>
      </c>
      <c r="J307" s="29">
        <f t="shared" si="2"/>
        <v>46155</v>
      </c>
      <c r="K307" s="30">
        <f t="shared" si="3"/>
        <v>7</v>
      </c>
      <c r="L307" s="29">
        <f t="shared" si="4"/>
        <v>46163</v>
      </c>
      <c r="M307" s="30">
        <f t="shared" si="5"/>
        <v>102.6</v>
      </c>
      <c r="N307" s="32">
        <f t="shared" si="6"/>
        <v>37</v>
      </c>
      <c r="O307" s="33" t="str">
        <f t="shared" si="7"/>
        <v>VENCIDA</v>
      </c>
      <c r="P307" s="34">
        <f>LET(
  idVenta, I307&amp;"",
  montoTotal, M307,
  pagos, IFERROR(SUMIF(Aux_Datos!$B:$B, idVenta, Aux_Datos!$K:$K), 0),
  retenciones, IFERROR(SUMIF(Aux_Datos!$N:$N, idVenta, Aux_Datos!$R:$R), 0),
  pagos + retenciones
)</f>
        <v>0</v>
      </c>
      <c r="Q307" s="30" t="str">
        <f>IF(P307=0, "Sin Pago", 
  LET(
    idVenta, I307&amp;"",
    montoTotalPagado, P307,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07" s="30">
        <f t="shared" si="16"/>
        <v>102.6</v>
      </c>
      <c r="S307" s="29" t="str">
        <f>IF(P307=0, "Sin Pago", 
  IFERROR(
    MAXIFS(Aux_Datos!$A:$A, Aux_Datos!$B:$B, I307&amp;""), 
    IFERROR(MAXIFS(Aux_Datos!$A:$A, Aux_Datos!$B:$B, VALUE(I307)), "Revisar ID")
  )
)</f>
        <v>Sin Pago</v>
      </c>
      <c r="T307" s="35" t="str">
        <f t="shared" si="9"/>
        <v>PENDIENTE</v>
      </c>
      <c r="U307" s="35" t="str">
        <f t="shared" si="10"/>
        <v>CRÍTICO: VENCIDA</v>
      </c>
      <c r="V307" s="32">
        <f t="shared" si="11"/>
        <v>0</v>
      </c>
      <c r="W307" s="36" t="str">
        <f>IF(P307=0, "Sin Pago", 
  LET(
    monedaPago, Q307, 
    descuentoAplicado, G307,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07" s="36" t="str">
        <f t="shared" si="12"/>
        <v/>
      </c>
      <c r="Y307" s="36">
        <v>0.0</v>
      </c>
      <c r="Z307" s="33" t="s">
        <v>641</v>
      </c>
      <c r="AA307" s="33"/>
      <c r="AB307" s="33"/>
      <c r="AC307" s="33"/>
      <c r="AD307" s="33"/>
      <c r="AE307" s="33"/>
      <c r="AF307" s="33"/>
    </row>
    <row r="308" ht="22.5" customHeight="1">
      <c r="A308" s="23" t="s">
        <v>826</v>
      </c>
      <c r="B308" s="41">
        <v>46155.698587962965</v>
      </c>
      <c r="C308" s="23" t="s">
        <v>173</v>
      </c>
      <c r="D308" s="23" t="s">
        <v>556</v>
      </c>
      <c r="E308" s="25">
        <v>220.13</v>
      </c>
      <c r="F308" s="23" t="s">
        <v>608</v>
      </c>
      <c r="G308" s="26">
        <f>IF($E308=0,0,IF(SUMIF(Aux_Datos!$B:$B,$I308,Aux_Datos!$K:$K)/$E308&gt;=VLOOKUP(IF(COUNTIFS(Aux_Datos!$B:$B,$I308,Aux_Datos!$D:$D,"&lt;&gt;USD")=0,"USD","VES"),'Limites de Descuento'!$A$2:$D$4,4,FALSE),MAX(0,1-SUMIF(Aux_Datos!$B:$B,$I308,Aux_Datos!$K:$K)/$E308),0))</f>
        <v>0.08005727235</v>
      </c>
      <c r="H308" s="27"/>
      <c r="I308" s="28">
        <f t="shared" si="14"/>
        <v>382</v>
      </c>
      <c r="J308" s="29">
        <f t="shared" si="2"/>
        <v>46155</v>
      </c>
      <c r="K308" s="30">
        <f t="shared" si="3"/>
        <v>7</v>
      </c>
      <c r="L308" s="29">
        <f t="shared" si="4"/>
        <v>46163</v>
      </c>
      <c r="M308" s="30">
        <f t="shared" si="5"/>
        <v>202.5069926</v>
      </c>
      <c r="N308" s="32">
        <f t="shared" si="6"/>
        <v>0</v>
      </c>
      <c r="O308" s="33" t="str">
        <f t="shared" si="7"/>
        <v>PAGADA</v>
      </c>
      <c r="P308" s="34">
        <f>LET(
  idVenta, I308&amp;"",
  montoTotal, M308,
  pagos, IFERROR(SUMIF(Aux_Datos!$B:$B, idVenta, Aux_Datos!$K:$K), 0),
  retenciones, IFERROR(SUMIF(Aux_Datos!$N:$N, idVenta, Aux_Datos!$R:$R), 0),
  pagos + retenciones
)</f>
        <v>202.5069926</v>
      </c>
      <c r="Q308" s="30" t="str">
        <f>IF(P308=0, "Sin Pago", 
  LET(
    idVenta, I308&amp;"",
    montoTotalPagado, P308,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308" s="30">
        <f t="shared" si="16"/>
        <v>0</v>
      </c>
      <c r="S308" s="29">
        <f>IF(P308=0, "Sin Pago", 
  IFERROR(
    MAXIFS(Aux_Datos!$A:$A, Aux_Datos!$B:$B, I308&amp;""), 
    IFERROR(MAXIFS(Aux_Datos!$A:$A, Aux_Datos!$B:$B, VALUE(I308)), "Revisar ID")
  )
)</f>
        <v>46156</v>
      </c>
      <c r="T308" s="35" t="str">
        <f t="shared" si="9"/>
        <v>PAGADA</v>
      </c>
      <c r="U308" s="35" t="str">
        <f t="shared" si="10"/>
        <v>SOLVENTE</v>
      </c>
      <c r="V308" s="32">
        <f t="shared" si="11"/>
        <v>0</v>
      </c>
      <c r="W308" s="36" t="str">
        <f>IF(P308=0, "Sin Pago", 
  LET(
    monedaPago, Q308, 
    descuentoAplicado, G308,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08" s="36" t="str">
        <f t="shared" si="12"/>
        <v/>
      </c>
      <c r="Y308" s="36">
        <v>202.5069926366611</v>
      </c>
      <c r="Z308" s="33" t="s">
        <v>596</v>
      </c>
      <c r="AA308" s="33"/>
      <c r="AB308" s="33"/>
      <c r="AC308" s="33"/>
      <c r="AD308" s="33"/>
      <c r="AE308" s="33"/>
      <c r="AF308" s="33"/>
    </row>
    <row r="309" ht="22.5" customHeight="1">
      <c r="A309" s="23" t="s">
        <v>209</v>
      </c>
      <c r="B309" s="41">
        <v>46156.4187962963</v>
      </c>
      <c r="C309" s="23" t="s">
        <v>208</v>
      </c>
      <c r="D309" s="23" t="s">
        <v>208</v>
      </c>
      <c r="E309" s="25">
        <v>52.22</v>
      </c>
      <c r="F309" s="23" t="s">
        <v>608</v>
      </c>
      <c r="G309" s="26">
        <f>IF($E309=0,0,IF(SUMIF(Aux_Datos!$B:$B,$I309,Aux_Datos!$K:$K)/$E309&gt;=VLOOKUP(IF(COUNTIFS(Aux_Datos!$B:$B,$I309,Aux_Datos!$D:$D,"&lt;&gt;USD")=0,"USD","VES"),'Limites de Descuento'!$A$2:$D$4,4,FALSE),MAX(0,1-SUMIF(Aux_Datos!$B:$B,$I309,Aux_Datos!$K:$K)/$E309),0))</f>
        <v>0</v>
      </c>
      <c r="H309" s="27"/>
      <c r="I309" s="28">
        <f t="shared" si="14"/>
        <v>384</v>
      </c>
      <c r="J309" s="29">
        <f t="shared" si="2"/>
        <v>46156</v>
      </c>
      <c r="K309" s="30">
        <f t="shared" si="3"/>
        <v>7</v>
      </c>
      <c r="L309" s="29">
        <f t="shared" si="4"/>
        <v>46164</v>
      </c>
      <c r="M309" s="30">
        <f t="shared" si="5"/>
        <v>52.22</v>
      </c>
      <c r="N309" s="32">
        <f t="shared" si="6"/>
        <v>36</v>
      </c>
      <c r="O309" s="33" t="str">
        <f t="shared" si="7"/>
        <v>VENCIDA</v>
      </c>
      <c r="P309" s="34">
        <f>LET(
  idVenta, I309&amp;"",
  montoTotal, M309,
  pagos, IFERROR(SUMIF(Aux_Datos!$B:$B, idVenta, Aux_Datos!$K:$K), 0),
  retenciones, IFERROR(SUMIF(Aux_Datos!$N:$N, idVenta, Aux_Datos!$R:$R), 0),
  pagos + retenciones
)</f>
        <v>0</v>
      </c>
      <c r="Q309" s="30" t="str">
        <f>IF(P309=0, "Sin Pago", 
  LET(
    idVenta, I309&amp;"",
    montoTotalPagado, P309,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09" s="30">
        <f t="shared" si="16"/>
        <v>52.22</v>
      </c>
      <c r="S309" s="29" t="str">
        <f>IF(P309=0, "Sin Pago", 
  IFERROR(
    MAXIFS(Aux_Datos!$A:$A, Aux_Datos!$B:$B, I309&amp;""), 
    IFERROR(MAXIFS(Aux_Datos!$A:$A, Aux_Datos!$B:$B, VALUE(I309)), "Revisar ID")
  )
)</f>
        <v>Sin Pago</v>
      </c>
      <c r="T309" s="35" t="str">
        <f t="shared" si="9"/>
        <v>PENDIENTE</v>
      </c>
      <c r="U309" s="35" t="str">
        <f t="shared" si="10"/>
        <v>CRÍTICO: VENCIDA</v>
      </c>
      <c r="V309" s="32">
        <f t="shared" si="11"/>
        <v>0</v>
      </c>
      <c r="W309" s="36" t="str">
        <f>IF(P309=0, "Sin Pago", 
  LET(
    monedaPago, Q309, 
    descuentoAplicado, G309,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09" s="36" t="str">
        <f t="shared" si="12"/>
        <v/>
      </c>
      <c r="Y309" s="36">
        <v>0.0</v>
      </c>
      <c r="Z309" s="33" t="s">
        <v>641</v>
      </c>
      <c r="AA309" s="33"/>
      <c r="AB309" s="33"/>
      <c r="AC309" s="33"/>
      <c r="AD309" s="33"/>
      <c r="AE309" s="33"/>
      <c r="AF309" s="33"/>
    </row>
    <row r="310" ht="22.5" customHeight="1">
      <c r="A310" s="23" t="s">
        <v>314</v>
      </c>
      <c r="B310" s="41">
        <v>46156.618483796294</v>
      </c>
      <c r="C310" s="23" t="s">
        <v>313</v>
      </c>
      <c r="D310" s="23" t="s">
        <v>323</v>
      </c>
      <c r="E310" s="25">
        <v>100.0</v>
      </c>
      <c r="F310" s="23" t="s">
        <v>608</v>
      </c>
      <c r="G310" s="26">
        <f>IF($E310=0,0,IF(SUMIF(Aux_Datos!$B:$B,$I310,Aux_Datos!$K:$K)/$E310&gt;=VLOOKUP(IF(COUNTIFS(Aux_Datos!$B:$B,$I310,Aux_Datos!$D:$D,"&lt;&gt;USD")=0,"USD","VES"),'Limites de Descuento'!$A$2:$D$4,4,FALSE),MAX(0,1-SUMIF(Aux_Datos!$B:$B,$I310,Aux_Datos!$K:$K)/$E310),0))</f>
        <v>0</v>
      </c>
      <c r="H310" s="27"/>
      <c r="I310" s="28">
        <f t="shared" si="14"/>
        <v>386</v>
      </c>
      <c r="J310" s="29">
        <f t="shared" si="2"/>
        <v>46156</v>
      </c>
      <c r="K310" s="30">
        <f t="shared" si="3"/>
        <v>7</v>
      </c>
      <c r="L310" s="29">
        <f t="shared" si="4"/>
        <v>46164</v>
      </c>
      <c r="M310" s="30">
        <f t="shared" si="5"/>
        <v>100</v>
      </c>
      <c r="N310" s="32">
        <f t="shared" si="6"/>
        <v>36</v>
      </c>
      <c r="O310" s="33" t="str">
        <f t="shared" si="7"/>
        <v>VENCIDA</v>
      </c>
      <c r="P310" s="34">
        <f>LET(
  idVenta, I310&amp;"",
  montoTotal, M310,
  pagos, IFERROR(SUMIF(Aux_Datos!$B:$B, idVenta, Aux_Datos!$K:$K), 0),
  retenciones, IFERROR(SUMIF(Aux_Datos!$N:$N, idVenta, Aux_Datos!$R:$R), 0),
  pagos + retenciones
)</f>
        <v>0</v>
      </c>
      <c r="Q310" s="30" t="str">
        <f>IF(P310=0, "Sin Pago", 
  LET(
    idVenta, I310&amp;"",
    montoTotalPagado, P310,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10" s="30">
        <f t="shared" si="16"/>
        <v>100</v>
      </c>
      <c r="S310" s="29" t="str">
        <f>IF(P310=0, "Sin Pago", 
  IFERROR(
    MAXIFS(Aux_Datos!$A:$A, Aux_Datos!$B:$B, I310&amp;""), 
    IFERROR(MAXIFS(Aux_Datos!$A:$A, Aux_Datos!$B:$B, VALUE(I310)), "Revisar ID")
  )
)</f>
        <v>Sin Pago</v>
      </c>
      <c r="T310" s="35" t="str">
        <f t="shared" si="9"/>
        <v>PENDIENTE</v>
      </c>
      <c r="U310" s="35" t="str">
        <f t="shared" si="10"/>
        <v>CRÍTICO: VENCIDA</v>
      </c>
      <c r="V310" s="32">
        <f t="shared" si="11"/>
        <v>0</v>
      </c>
      <c r="W310" s="36" t="str">
        <f>IF(P310=0, "Sin Pago", 
  LET(
    monedaPago, Q310, 
    descuentoAplicado, G310,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10" s="36" t="str">
        <f t="shared" si="12"/>
        <v/>
      </c>
      <c r="Y310" s="36">
        <v>0.0</v>
      </c>
      <c r="Z310" s="33" t="s">
        <v>641</v>
      </c>
      <c r="AA310" s="33"/>
      <c r="AB310" s="33"/>
      <c r="AC310" s="33"/>
      <c r="AD310" s="33"/>
      <c r="AE310" s="33"/>
      <c r="AF310" s="33"/>
    </row>
    <row r="311" ht="22.5" customHeight="1">
      <c r="A311" s="23" t="s">
        <v>320</v>
      </c>
      <c r="B311" s="41">
        <v>46156.62299768518</v>
      </c>
      <c r="C311" s="23" t="s">
        <v>319</v>
      </c>
      <c r="D311" s="23" t="s">
        <v>544</v>
      </c>
      <c r="E311" s="25">
        <v>425.0</v>
      </c>
      <c r="F311" s="23" t="s">
        <v>608</v>
      </c>
      <c r="G311" s="26">
        <f>IF($E311=0,0,IF(SUMIF(Aux_Datos!$B:$B,$I311,Aux_Datos!$K:$K)/$E311&gt;=VLOOKUP(IF(COUNTIFS(Aux_Datos!$B:$B,$I311,Aux_Datos!$D:$D,"&lt;&gt;USD")=0,"USD","VES"),'Limites de Descuento'!$A$2:$D$4,4,FALSE),MAX(0,1-SUMIF(Aux_Datos!$B:$B,$I311,Aux_Datos!$K:$K)/$E311),0))</f>
        <v>0</v>
      </c>
      <c r="H311" s="27"/>
      <c r="I311" s="28">
        <f t="shared" si="14"/>
        <v>387</v>
      </c>
      <c r="J311" s="29">
        <f t="shared" si="2"/>
        <v>46156</v>
      </c>
      <c r="K311" s="30">
        <f t="shared" si="3"/>
        <v>7</v>
      </c>
      <c r="L311" s="29">
        <f t="shared" si="4"/>
        <v>46164</v>
      </c>
      <c r="M311" s="30">
        <f t="shared" si="5"/>
        <v>425</v>
      </c>
      <c r="N311" s="32">
        <f t="shared" si="6"/>
        <v>36</v>
      </c>
      <c r="O311" s="33" t="str">
        <f t="shared" si="7"/>
        <v>VENCIDA</v>
      </c>
      <c r="P311" s="34">
        <f>LET(
  idVenta, I311&amp;"",
  montoTotal, M311,
  pagos, IFERROR(SUMIF(Aux_Datos!$B:$B, idVenta, Aux_Datos!$K:$K), 0),
  retenciones, IFERROR(SUMIF(Aux_Datos!$N:$N, idVenta, Aux_Datos!$R:$R), 0),
  pagos + retenciones
)</f>
        <v>0</v>
      </c>
      <c r="Q311" s="30" t="str">
        <f>IF(P311=0, "Sin Pago", 
  LET(
    idVenta, I311&amp;"",
    montoTotalPagado, P311,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11" s="30">
        <f t="shared" si="16"/>
        <v>425</v>
      </c>
      <c r="S311" s="29" t="str">
        <f>IF(P311=0, "Sin Pago", 
  IFERROR(
    MAXIFS(Aux_Datos!$A:$A, Aux_Datos!$B:$B, I311&amp;""), 
    IFERROR(MAXIFS(Aux_Datos!$A:$A, Aux_Datos!$B:$B, VALUE(I311)), "Revisar ID")
  )
)</f>
        <v>Sin Pago</v>
      </c>
      <c r="T311" s="35" t="str">
        <f t="shared" si="9"/>
        <v>PENDIENTE</v>
      </c>
      <c r="U311" s="35" t="str">
        <f t="shared" si="10"/>
        <v>CRÍTICO: VENCIDA</v>
      </c>
      <c r="V311" s="32">
        <f t="shared" si="11"/>
        <v>0</v>
      </c>
      <c r="W311" s="36" t="str">
        <f>IF(P311=0, "Sin Pago", 
  LET(
    monedaPago, Q311, 
    descuentoAplicado, G311,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11" s="36" t="str">
        <f t="shared" si="12"/>
        <v/>
      </c>
      <c r="Y311" s="36">
        <v>0.0</v>
      </c>
      <c r="Z311" s="33" t="s">
        <v>641</v>
      </c>
      <c r="AA311" s="33"/>
      <c r="AB311" s="33"/>
      <c r="AC311" s="33"/>
      <c r="AD311" s="33"/>
      <c r="AE311" s="33"/>
      <c r="AF311" s="33"/>
    </row>
    <row r="312" ht="22.5" customHeight="1">
      <c r="A312" s="23" t="s">
        <v>316</v>
      </c>
      <c r="B312" s="41">
        <v>46156.66883101852</v>
      </c>
      <c r="C312" s="23" t="s">
        <v>315</v>
      </c>
      <c r="D312" s="23" t="s">
        <v>538</v>
      </c>
      <c r="E312" s="25">
        <v>266.16</v>
      </c>
      <c r="F312" s="23" t="s">
        <v>608</v>
      </c>
      <c r="G312" s="26">
        <f>IF($E312=0,0,IF(SUMIF(Aux_Datos!$B:$B,$I312,Aux_Datos!$K:$K)/$E312&gt;=VLOOKUP(IF(COUNTIFS(Aux_Datos!$B:$B,$I312,Aux_Datos!$D:$D,"&lt;&gt;USD")=0,"USD","VES"),'Limites de Descuento'!$A$2:$D$4,4,FALSE),MAX(0,1-SUMIF(Aux_Datos!$B:$B,$I312,Aux_Datos!$K:$K)/$E312),0))</f>
        <v>0</v>
      </c>
      <c r="H312" s="27"/>
      <c r="I312" s="28">
        <f t="shared" si="14"/>
        <v>388</v>
      </c>
      <c r="J312" s="29">
        <f t="shared" si="2"/>
        <v>46156</v>
      </c>
      <c r="K312" s="30">
        <f t="shared" si="3"/>
        <v>7</v>
      </c>
      <c r="L312" s="29">
        <f t="shared" si="4"/>
        <v>46164</v>
      </c>
      <c r="M312" s="30">
        <f t="shared" si="5"/>
        <v>266.16</v>
      </c>
      <c r="N312" s="32">
        <f t="shared" si="6"/>
        <v>36</v>
      </c>
      <c r="O312" s="33" t="str">
        <f t="shared" si="7"/>
        <v>VENCIDA</v>
      </c>
      <c r="P312" s="34">
        <f>LET(
  idVenta, I312&amp;"",
  montoTotal, M312,
  pagos, IFERROR(SUMIF(Aux_Datos!$B:$B, idVenta, Aux_Datos!$K:$K), 0),
  retenciones, IFERROR(SUMIF(Aux_Datos!$N:$N, idVenta, Aux_Datos!$R:$R), 0),
  pagos + retenciones
)</f>
        <v>0</v>
      </c>
      <c r="Q312" s="30" t="str">
        <f>IF(P312=0, "Sin Pago", 
  LET(
    idVenta, I312&amp;"",
    montoTotalPagado, P312,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12" s="30">
        <f t="shared" si="16"/>
        <v>266.16</v>
      </c>
      <c r="S312" s="29" t="str">
        <f>IF(P312=0, "Sin Pago", 
  IFERROR(
    MAXIFS(Aux_Datos!$A:$A, Aux_Datos!$B:$B, I312&amp;""), 
    IFERROR(MAXIFS(Aux_Datos!$A:$A, Aux_Datos!$B:$B, VALUE(I312)), "Revisar ID")
  )
)</f>
        <v>Sin Pago</v>
      </c>
      <c r="T312" s="35" t="str">
        <f t="shared" si="9"/>
        <v>PENDIENTE</v>
      </c>
      <c r="U312" s="35" t="str">
        <f t="shared" si="10"/>
        <v>CRÍTICO: VENCIDA</v>
      </c>
      <c r="V312" s="32">
        <f t="shared" si="11"/>
        <v>0</v>
      </c>
      <c r="W312" s="36" t="str">
        <f>IF(P312=0, "Sin Pago", 
  LET(
    monedaPago, Q312, 
    descuentoAplicado, G312,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12" s="36" t="str">
        <f t="shared" si="12"/>
        <v/>
      </c>
      <c r="Y312" s="36">
        <v>0.0</v>
      </c>
      <c r="Z312" s="33" t="s">
        <v>641</v>
      </c>
      <c r="AA312" s="33"/>
      <c r="AB312" s="33"/>
      <c r="AC312" s="33"/>
      <c r="AD312" s="33"/>
      <c r="AE312" s="33"/>
      <c r="AF312" s="33"/>
    </row>
    <row r="313" ht="22.5" customHeight="1">
      <c r="A313" s="23" t="s">
        <v>318</v>
      </c>
      <c r="B313" s="41">
        <v>46156.65849537037</v>
      </c>
      <c r="C313" s="23" t="s">
        <v>317</v>
      </c>
      <c r="D313" s="23" t="s">
        <v>544</v>
      </c>
      <c r="E313" s="25">
        <v>255.0</v>
      </c>
      <c r="F313" s="23" t="s">
        <v>608</v>
      </c>
      <c r="G313" s="26">
        <f>IF($E313=0,0,IF(SUMIF(Aux_Datos!$B:$B,$I313,Aux_Datos!$K:$K)/$E313&gt;=VLOOKUP(IF(COUNTIFS(Aux_Datos!$B:$B,$I313,Aux_Datos!$D:$D,"&lt;&gt;USD")=0,"USD","VES"),'Limites de Descuento'!$A$2:$D$4,4,FALSE),MAX(0,1-SUMIF(Aux_Datos!$B:$B,$I313,Aux_Datos!$K:$K)/$E313),0))</f>
        <v>0</v>
      </c>
      <c r="H313" s="27"/>
      <c r="I313" s="28">
        <f t="shared" si="14"/>
        <v>389</v>
      </c>
      <c r="J313" s="29">
        <f t="shared" si="2"/>
        <v>46156</v>
      </c>
      <c r="K313" s="30">
        <f t="shared" si="3"/>
        <v>7</v>
      </c>
      <c r="L313" s="29">
        <f t="shared" si="4"/>
        <v>46164</v>
      </c>
      <c r="M313" s="30">
        <f t="shared" si="5"/>
        <v>255</v>
      </c>
      <c r="N313" s="32">
        <f t="shared" si="6"/>
        <v>36</v>
      </c>
      <c r="O313" s="33" t="str">
        <f t="shared" si="7"/>
        <v>VENCIDA</v>
      </c>
      <c r="P313" s="34">
        <f>LET(
  idVenta, I313&amp;"",
  montoTotal, M313,
  pagos, IFERROR(SUMIF(Aux_Datos!$B:$B, idVenta, Aux_Datos!$K:$K), 0),
  retenciones, IFERROR(SUMIF(Aux_Datos!$N:$N, idVenta, Aux_Datos!$R:$R), 0),
  pagos + retenciones
)</f>
        <v>0</v>
      </c>
      <c r="Q313" s="30" t="str">
        <f>IF(P313=0, "Sin Pago", 
  LET(
    idVenta, I313&amp;"",
    montoTotalPagado, P313,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13" s="30">
        <f t="shared" si="16"/>
        <v>255</v>
      </c>
      <c r="S313" s="29" t="str">
        <f>IF(P313=0, "Sin Pago", 
  IFERROR(
    MAXIFS(Aux_Datos!$A:$A, Aux_Datos!$B:$B, I313&amp;""), 
    IFERROR(MAXIFS(Aux_Datos!$A:$A, Aux_Datos!$B:$B, VALUE(I313)), "Revisar ID")
  )
)</f>
        <v>Sin Pago</v>
      </c>
      <c r="T313" s="35" t="str">
        <f t="shared" si="9"/>
        <v>PENDIENTE</v>
      </c>
      <c r="U313" s="35" t="str">
        <f t="shared" si="10"/>
        <v>CRÍTICO: VENCIDA</v>
      </c>
      <c r="V313" s="32">
        <f t="shared" si="11"/>
        <v>0</v>
      </c>
      <c r="W313" s="36" t="str">
        <f>IF(P313=0, "Sin Pago", 
  LET(
    monedaPago, Q313, 
    descuentoAplicado, G313,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13" s="36" t="str">
        <f t="shared" si="12"/>
        <v/>
      </c>
      <c r="Y313" s="36">
        <v>0.0</v>
      </c>
      <c r="Z313" s="33" t="s">
        <v>641</v>
      </c>
      <c r="AA313" s="33"/>
      <c r="AB313" s="33"/>
      <c r="AC313" s="33"/>
      <c r="AD313" s="33"/>
      <c r="AE313" s="33"/>
      <c r="AF313" s="33"/>
    </row>
    <row r="314" ht="22.5" customHeight="1">
      <c r="A314" s="23" t="s">
        <v>324</v>
      </c>
      <c r="B314" s="41">
        <v>46156.70042824074</v>
      </c>
      <c r="C314" s="23" t="s">
        <v>323</v>
      </c>
      <c r="D314" s="23" t="s">
        <v>552</v>
      </c>
      <c r="E314" s="25">
        <v>116.93</v>
      </c>
      <c r="F314" s="23" t="s">
        <v>608</v>
      </c>
      <c r="G314" s="26">
        <f>IF($E314=0,0,IF(SUMIF(Aux_Datos!$B:$B,$I314,Aux_Datos!$K:$K)/$E314&gt;=VLOOKUP(IF(COUNTIFS(Aux_Datos!$B:$B,$I314,Aux_Datos!$D:$D,"&lt;&gt;USD")=0,"USD","VES"),'Limites de Descuento'!$A$2:$D$4,4,FALSE),MAX(0,1-SUMIF(Aux_Datos!$B:$B,$I314,Aux_Datos!$K:$K)/$E314),0))</f>
        <v>0</v>
      </c>
      <c r="H314" s="27"/>
      <c r="I314" s="28">
        <f t="shared" si="14"/>
        <v>392</v>
      </c>
      <c r="J314" s="29">
        <f t="shared" si="2"/>
        <v>46156</v>
      </c>
      <c r="K314" s="30">
        <f t="shared" si="3"/>
        <v>7</v>
      </c>
      <c r="L314" s="29">
        <f t="shared" si="4"/>
        <v>46164</v>
      </c>
      <c r="M314" s="30">
        <f t="shared" si="5"/>
        <v>116.93</v>
      </c>
      <c r="N314" s="32">
        <f t="shared" si="6"/>
        <v>36</v>
      </c>
      <c r="O314" s="33" t="str">
        <f t="shared" si="7"/>
        <v>VENCIDA</v>
      </c>
      <c r="P314" s="34">
        <f>LET(
  idVenta, I314&amp;"",
  montoTotal, M314,
  pagos, IFERROR(SUMIF(Aux_Datos!$B:$B, idVenta, Aux_Datos!$K:$K), 0),
  retenciones, IFERROR(SUMIF(Aux_Datos!$N:$N, idVenta, Aux_Datos!$R:$R), 0),
  pagos + retenciones
)</f>
        <v>0</v>
      </c>
      <c r="Q314" s="30" t="str">
        <f>IF(P314=0, "Sin Pago", 
  LET(
    idVenta, I314&amp;"",
    montoTotalPagado, P314,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14" s="30">
        <f t="shared" si="16"/>
        <v>116.93</v>
      </c>
      <c r="S314" s="29" t="str">
        <f>IF(P314=0, "Sin Pago", 
  IFERROR(
    MAXIFS(Aux_Datos!$A:$A, Aux_Datos!$B:$B, I314&amp;""), 
    IFERROR(MAXIFS(Aux_Datos!$A:$A, Aux_Datos!$B:$B, VALUE(I314)), "Revisar ID")
  )
)</f>
        <v>Sin Pago</v>
      </c>
      <c r="T314" s="35" t="str">
        <f t="shared" si="9"/>
        <v>PENDIENTE</v>
      </c>
      <c r="U314" s="35" t="str">
        <f t="shared" si="10"/>
        <v>CRÍTICO: VENCIDA</v>
      </c>
      <c r="V314" s="32">
        <f t="shared" si="11"/>
        <v>0</v>
      </c>
      <c r="W314" s="36" t="str">
        <f>IF(P314=0, "Sin Pago", 
  LET(
    monedaPago, Q314, 
    descuentoAplicado, G314,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14" s="36" t="str">
        <f t="shared" si="12"/>
        <v/>
      </c>
      <c r="Y314" s="36">
        <v>0.0</v>
      </c>
      <c r="Z314" s="33" t="s">
        <v>641</v>
      </c>
      <c r="AA314" s="33"/>
      <c r="AB314" s="33"/>
      <c r="AC314" s="33"/>
      <c r="AD314" s="33"/>
      <c r="AE314" s="33"/>
      <c r="AF314" s="33"/>
    </row>
    <row r="315" ht="22.5" customHeight="1">
      <c r="A315" s="23" t="s">
        <v>322</v>
      </c>
      <c r="B315" s="41">
        <v>46156.75451388889</v>
      </c>
      <c r="C315" s="23" t="s">
        <v>321</v>
      </c>
      <c r="D315" s="23" t="s">
        <v>529</v>
      </c>
      <c r="E315" s="25">
        <v>306.16</v>
      </c>
      <c r="F315" s="23" t="s">
        <v>608</v>
      </c>
      <c r="G315" s="26">
        <f>IF($E315=0,0,IF(SUMIF(Aux_Datos!$B:$B,$I315,Aux_Datos!$K:$K)/$E315&gt;=VLOOKUP(IF(COUNTIFS(Aux_Datos!$B:$B,$I315,Aux_Datos!$D:$D,"&lt;&gt;USD")=0,"USD","VES"),'Limites de Descuento'!$A$2:$D$4,4,FALSE),MAX(0,1-SUMIF(Aux_Datos!$B:$B,$I315,Aux_Datos!$K:$K)/$E315),0))</f>
        <v>0</v>
      </c>
      <c r="H315" s="27"/>
      <c r="I315" s="28">
        <f t="shared" si="14"/>
        <v>393</v>
      </c>
      <c r="J315" s="29">
        <f t="shared" si="2"/>
        <v>46156</v>
      </c>
      <c r="K315" s="30">
        <f t="shared" si="3"/>
        <v>7</v>
      </c>
      <c r="L315" s="29">
        <f t="shared" si="4"/>
        <v>46164</v>
      </c>
      <c r="M315" s="30">
        <f t="shared" si="5"/>
        <v>306.16</v>
      </c>
      <c r="N315" s="32">
        <f t="shared" si="6"/>
        <v>36</v>
      </c>
      <c r="O315" s="33" t="str">
        <f t="shared" si="7"/>
        <v>VENCIDA</v>
      </c>
      <c r="P315" s="34">
        <f>LET(
  idVenta, I315&amp;"",
  montoTotal, M315,
  pagos, IFERROR(SUMIF(Aux_Datos!$B:$B, idVenta, Aux_Datos!$K:$K), 0),
  retenciones, IFERROR(SUMIF(Aux_Datos!$N:$N, idVenta, Aux_Datos!$R:$R), 0),
  pagos + retenciones
)</f>
        <v>0</v>
      </c>
      <c r="Q315" s="30" t="str">
        <f>IF(P315=0, "Sin Pago", 
  LET(
    idVenta, I315&amp;"",
    montoTotalPagado, P315,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15" s="30">
        <f t="shared" si="16"/>
        <v>306.16</v>
      </c>
      <c r="S315" s="29" t="str">
        <f>IF(P315=0, "Sin Pago", 
  IFERROR(
    MAXIFS(Aux_Datos!$A:$A, Aux_Datos!$B:$B, I315&amp;""), 
    IFERROR(MAXIFS(Aux_Datos!$A:$A, Aux_Datos!$B:$B, VALUE(I315)), "Revisar ID")
  )
)</f>
        <v>Sin Pago</v>
      </c>
      <c r="T315" s="35" t="str">
        <f t="shared" si="9"/>
        <v>PENDIENTE</v>
      </c>
      <c r="U315" s="35" t="str">
        <f t="shared" si="10"/>
        <v>CRÍTICO: VENCIDA</v>
      </c>
      <c r="V315" s="32">
        <f t="shared" si="11"/>
        <v>0</v>
      </c>
      <c r="W315" s="36" t="str">
        <f>IF(P315=0, "Sin Pago", 
  LET(
    monedaPago, Q315, 
    descuentoAplicado, G315,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15" s="36" t="str">
        <f t="shared" si="12"/>
        <v/>
      </c>
      <c r="Y315" s="36">
        <v>0.0</v>
      </c>
      <c r="Z315" s="33" t="s">
        <v>641</v>
      </c>
      <c r="AA315" s="33"/>
      <c r="AB315" s="33"/>
      <c r="AC315" s="33"/>
      <c r="AD315" s="33"/>
      <c r="AE315" s="33"/>
      <c r="AF315" s="33"/>
    </row>
    <row r="316" ht="22.5" customHeight="1">
      <c r="A316" s="23" t="s">
        <v>827</v>
      </c>
      <c r="B316" s="41">
        <v>46156.7544212963</v>
      </c>
      <c r="C316" s="23" t="s">
        <v>828</v>
      </c>
      <c r="D316" s="23" t="s">
        <v>546</v>
      </c>
      <c r="E316" s="25">
        <v>341.55</v>
      </c>
      <c r="F316" s="23" t="s">
        <v>603</v>
      </c>
      <c r="G316" s="26">
        <f>IF($E316=0,0,IF(SUMIF(Aux_Datos!$B:$B,$I316,Aux_Datos!$K:$K)/$E316&gt;=VLOOKUP(IF(COUNTIFS(Aux_Datos!$B:$B,$I316,Aux_Datos!$D:$D,"&lt;&gt;USD")=0,"USD","VES"),'Limites de Descuento'!$A$2:$D$4,4,FALSE),MAX(0,1-SUMIF(Aux_Datos!$B:$B,$I316,Aux_Datos!$K:$K)/$E316),0))</f>
        <v>0.006359266185</v>
      </c>
      <c r="H316" s="27"/>
      <c r="I316" s="28">
        <f t="shared" si="14"/>
        <v>394</v>
      </c>
      <c r="J316" s="29">
        <f t="shared" si="2"/>
        <v>46156</v>
      </c>
      <c r="K316" s="30">
        <f t="shared" si="3"/>
        <v>21</v>
      </c>
      <c r="L316" s="29">
        <f t="shared" si="4"/>
        <v>46178</v>
      </c>
      <c r="M316" s="30">
        <f t="shared" si="5"/>
        <v>339.3779926</v>
      </c>
      <c r="N316" s="32">
        <f t="shared" si="6"/>
        <v>0</v>
      </c>
      <c r="O316" s="33" t="str">
        <f t="shared" si="7"/>
        <v>PAGADA</v>
      </c>
      <c r="P316" s="34">
        <f>LET(
  idVenta, I316&amp;"",
  montoTotal, M316,
  pagos, IFERROR(SUMIF(Aux_Datos!$B:$B, idVenta, Aux_Datos!$K:$K), 0),
  retenciones, IFERROR(SUMIF(Aux_Datos!$N:$N, idVenta, Aux_Datos!$R:$R), 0),
  pagos + retenciones
)</f>
        <v>339.3779926</v>
      </c>
      <c r="Q316" s="30" t="str">
        <f>IF(P316=0, "Sin Pago", 
  LET(
    idVenta, I316&amp;"",
    montoTotalPagado, P316,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316" s="30">
        <f t="shared" si="16"/>
        <v>0</v>
      </c>
      <c r="S316" s="29">
        <f>IF(P316=0, "Sin Pago", 
  IFERROR(
    MAXIFS(Aux_Datos!$A:$A, Aux_Datos!$B:$B, I316&amp;""), 
    IFERROR(MAXIFS(Aux_Datos!$A:$A, Aux_Datos!$B:$B, VALUE(I316)), "Revisar ID")
  )
)</f>
        <v>46175</v>
      </c>
      <c r="T316" s="35" t="str">
        <f t="shared" si="9"/>
        <v>PAGADA</v>
      </c>
      <c r="U316" s="35" t="str">
        <f t="shared" si="10"/>
        <v>SOLVENTE</v>
      </c>
      <c r="V316" s="32">
        <f t="shared" si="11"/>
        <v>0</v>
      </c>
      <c r="W316" s="36" t="str">
        <f>IF(P316=0, "Sin Pago", 
  LET(
    monedaPago, Q316, 
    descuentoAplicado, G316,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16" s="36" t="str">
        <f t="shared" si="12"/>
        <v/>
      </c>
      <c r="Y316" s="36">
        <v>339.37799263442514</v>
      </c>
      <c r="Z316" s="33" t="s">
        <v>596</v>
      </c>
      <c r="AA316" s="33"/>
      <c r="AB316" s="33"/>
      <c r="AC316" s="33"/>
      <c r="AD316" s="33"/>
      <c r="AE316" s="33"/>
      <c r="AF316" s="33"/>
    </row>
    <row r="317" ht="22.5" customHeight="1">
      <c r="A317" s="23" t="s">
        <v>368</v>
      </c>
      <c r="B317" s="41">
        <v>46156.75434027778</v>
      </c>
      <c r="C317" s="23" t="s">
        <v>367</v>
      </c>
      <c r="D317" s="23" t="s">
        <v>546</v>
      </c>
      <c r="E317" s="25">
        <v>81.54</v>
      </c>
      <c r="F317" s="23" t="s">
        <v>603</v>
      </c>
      <c r="G317" s="26">
        <f>IF($E317=0,0,IF(SUMIF(Aux_Datos!$B:$B,$I317,Aux_Datos!$K:$K)/$E317&gt;=VLOOKUP(IF(COUNTIFS(Aux_Datos!$B:$B,$I317,Aux_Datos!$D:$D,"&lt;&gt;USD")=0,"USD","VES"),'Limites de Descuento'!$A$2:$D$4,4,FALSE),MAX(0,1-SUMIF(Aux_Datos!$B:$B,$I317,Aux_Datos!$K:$K)/$E317),0))</f>
        <v>0</v>
      </c>
      <c r="H317" s="27"/>
      <c r="I317" s="28">
        <f t="shared" si="14"/>
        <v>395</v>
      </c>
      <c r="J317" s="29">
        <f t="shared" si="2"/>
        <v>46156</v>
      </c>
      <c r="K317" s="30">
        <f t="shared" si="3"/>
        <v>21</v>
      </c>
      <c r="L317" s="29">
        <f t="shared" si="4"/>
        <v>46178</v>
      </c>
      <c r="M317" s="30">
        <f t="shared" si="5"/>
        <v>81.54</v>
      </c>
      <c r="N317" s="32">
        <f t="shared" si="6"/>
        <v>22</v>
      </c>
      <c r="O317" s="33" t="str">
        <f t="shared" si="7"/>
        <v>VENCIDA</v>
      </c>
      <c r="P317" s="34">
        <f>LET(
  idVenta, I317&amp;"",
  montoTotal, M317,
  pagos, IFERROR(SUMIF(Aux_Datos!$B:$B, idVenta, Aux_Datos!$K:$K), 0),
  retenciones, IFERROR(SUMIF(Aux_Datos!$N:$N, idVenta, Aux_Datos!$R:$R), 0),
  pagos + retenciones
)</f>
        <v>51.94</v>
      </c>
      <c r="Q317" s="30" t="str">
        <f>IF(P317=0, "Sin Pago", 
  LET(
    idVenta, I317&amp;"",
    montoTotalPagado, P317,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17" s="30">
        <f t="shared" si="16"/>
        <v>29.6</v>
      </c>
      <c r="S317" s="29">
        <f>IF(P317=0, "Sin Pago", 
  IFERROR(
    MAXIFS(Aux_Datos!$A:$A, Aux_Datos!$B:$B, I317&amp;""), 
    IFERROR(MAXIFS(Aux_Datos!$A:$A, Aux_Datos!$B:$B, VALUE(I317)), "Revisar ID")
  )
)</f>
        <v>46177</v>
      </c>
      <c r="T317" s="35" t="str">
        <f t="shared" si="9"/>
        <v>PAGO PARCIAL</v>
      </c>
      <c r="U317" s="35" t="str">
        <f t="shared" si="10"/>
        <v>CRÍTICO: VENCIDA</v>
      </c>
      <c r="V317" s="32">
        <f t="shared" si="11"/>
        <v>23</v>
      </c>
      <c r="W317" s="36" t="str">
        <f>IF(P317=0, "Sin Pago", 
  LET(
    monedaPago, Q317, 
    descuentoAplicado, G317,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17" s="36" t="str">
        <f t="shared" si="12"/>
        <v/>
      </c>
      <c r="Y317" s="36">
        <v>51.94</v>
      </c>
      <c r="Z317" s="33" t="s">
        <v>609</v>
      </c>
      <c r="AA317" s="33"/>
      <c r="AB317" s="33"/>
      <c r="AC317" s="33"/>
      <c r="AD317" s="33"/>
      <c r="AE317" s="33"/>
      <c r="AF317" s="33"/>
    </row>
    <row r="318" ht="22.5" customHeight="1">
      <c r="A318" s="23" t="s">
        <v>829</v>
      </c>
      <c r="B318" s="41">
        <v>46157.69667824074</v>
      </c>
      <c r="C318" s="23" t="s">
        <v>196</v>
      </c>
      <c r="D318" s="23" t="s">
        <v>556</v>
      </c>
      <c r="E318" s="25">
        <v>163.08</v>
      </c>
      <c r="F318" s="23" t="s">
        <v>608</v>
      </c>
      <c r="G318" s="26">
        <f>IF($E318=0,0,IF(SUMIF(Aux_Datos!$B:$B,$I318,Aux_Datos!$K:$K)/$E318&gt;=VLOOKUP(IF(COUNTIFS(Aux_Datos!$B:$B,$I318,Aux_Datos!$D:$D,"&lt;&gt;USD")=0,"USD","VES"),'Limites de Descuento'!$A$2:$D$4,4,FALSE),MAX(0,1-SUMIF(Aux_Datos!$B:$B,$I318,Aux_Datos!$K:$K)/$E318),0))</f>
        <v>0</v>
      </c>
      <c r="H318" s="27"/>
      <c r="I318" s="28">
        <f t="shared" si="14"/>
        <v>396</v>
      </c>
      <c r="J318" s="29">
        <f t="shared" si="2"/>
        <v>46157</v>
      </c>
      <c r="K318" s="30">
        <f t="shared" si="3"/>
        <v>7</v>
      </c>
      <c r="L318" s="29">
        <f t="shared" si="4"/>
        <v>46165</v>
      </c>
      <c r="M318" s="30">
        <f t="shared" si="5"/>
        <v>163.08</v>
      </c>
      <c r="N318" s="32">
        <f t="shared" si="6"/>
        <v>0</v>
      </c>
      <c r="O318" s="33" t="str">
        <f t="shared" si="7"/>
        <v>PAGADA</v>
      </c>
      <c r="P318" s="34">
        <f>LET(
  idVenta, I318&amp;"",
  montoTotal, M318,
  pagos, IFERROR(SUMIF(Aux_Datos!$B:$B, idVenta, Aux_Datos!$K:$K), 0),
  retenciones, IFERROR(SUMIF(Aux_Datos!$N:$N, idVenta, Aux_Datos!$R:$R), 0),
  pagos + retenciones
)</f>
        <v>273.609357</v>
      </c>
      <c r="Q318" s="30" t="str">
        <f>IF(P318=0, "Sin Pago", 
  LET(
    idVenta, I318&amp;"",
    montoTotalPagado, P318,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318" s="30">
        <f t="shared" si="16"/>
        <v>-110.529357</v>
      </c>
      <c r="S318" s="29">
        <f>IF(P318=0, "Sin Pago", 
  IFERROR(
    MAXIFS(Aux_Datos!$A:$A, Aux_Datos!$B:$B, I318&amp;""), 
    IFERROR(MAXIFS(Aux_Datos!$A:$A, Aux_Datos!$B:$B, VALUE(I318)), "Revisar ID")
  )
)</f>
        <v>46178</v>
      </c>
      <c r="T318" s="35" t="str">
        <f t="shared" si="9"/>
        <v>PAGADA</v>
      </c>
      <c r="U318" s="35" t="str">
        <f t="shared" si="10"/>
        <v>SOLVENTE</v>
      </c>
      <c r="V318" s="32">
        <f t="shared" si="11"/>
        <v>0</v>
      </c>
      <c r="W318" s="36" t="str">
        <f>IF(P318=0, "Sin Pago", 
  LET(
    monedaPago, Q318, 
    descuentoAplicado, G318,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18" s="36" t="str">
        <f t="shared" si="12"/>
        <v/>
      </c>
      <c r="Y318" s="36">
        <v>273.60935701220956</v>
      </c>
      <c r="Z318" s="33" t="s">
        <v>596</v>
      </c>
      <c r="AA318" s="33"/>
      <c r="AB318" s="33"/>
      <c r="AC318" s="33"/>
      <c r="AD318" s="33"/>
      <c r="AE318" s="33"/>
      <c r="AF318" s="33"/>
    </row>
    <row r="319" ht="22.5" customHeight="1">
      <c r="A319" s="23" t="s">
        <v>49</v>
      </c>
      <c r="B319" s="41">
        <v>46157.56930555555</v>
      </c>
      <c r="C319" s="23" t="s">
        <v>47</v>
      </c>
      <c r="D319" s="23" t="s">
        <v>323</v>
      </c>
      <c r="E319" s="25">
        <v>130.77</v>
      </c>
      <c r="F319" s="23" t="s">
        <v>608</v>
      </c>
      <c r="G319" s="26">
        <f>IF($E319=0,0,IF(SUMIF(Aux_Datos!$B:$B,$I319,Aux_Datos!$K:$K)/$E319&gt;=VLOOKUP(IF(COUNTIFS(Aux_Datos!$B:$B,$I319,Aux_Datos!$D:$D,"&lt;&gt;USD")=0,"USD","VES"),'Limites de Descuento'!$A$2:$D$4,4,FALSE),MAX(0,1-SUMIF(Aux_Datos!$B:$B,$I319,Aux_Datos!$K:$K)/$E319),0))</f>
        <v>0</v>
      </c>
      <c r="H319" s="27"/>
      <c r="I319" s="28">
        <f t="shared" si="14"/>
        <v>397</v>
      </c>
      <c r="J319" s="29">
        <f t="shared" si="2"/>
        <v>46157</v>
      </c>
      <c r="K319" s="30">
        <f t="shared" si="3"/>
        <v>7</v>
      </c>
      <c r="L319" s="29">
        <f t="shared" si="4"/>
        <v>46165</v>
      </c>
      <c r="M319" s="30">
        <f t="shared" si="5"/>
        <v>130.77</v>
      </c>
      <c r="N319" s="32">
        <f t="shared" si="6"/>
        <v>35</v>
      </c>
      <c r="O319" s="33" t="str">
        <f t="shared" si="7"/>
        <v>VENCIDA</v>
      </c>
      <c r="P319" s="34">
        <f>LET(
  idVenta, I319&amp;"",
  montoTotal, M319,
  pagos, IFERROR(SUMIF(Aux_Datos!$B:$B, idVenta, Aux_Datos!$K:$K), 0),
  retenciones, IFERROR(SUMIF(Aux_Datos!$N:$N, idVenta, Aux_Datos!$R:$R), 0),
  pagos + retenciones
)</f>
        <v>85</v>
      </c>
      <c r="Q319" s="30" t="str">
        <f>IF(P319=0, "Sin Pago", 
  LET(
    idVenta, I319&amp;"",
    montoTotalPagado, P319,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19" s="30">
        <f t="shared" si="16"/>
        <v>45.77</v>
      </c>
      <c r="S319" s="29">
        <f>IF(P319=0, "Sin Pago", 
  IFERROR(
    MAXIFS(Aux_Datos!$A:$A, Aux_Datos!$B:$B, I319&amp;""), 
    IFERROR(MAXIFS(Aux_Datos!$A:$A, Aux_Datos!$B:$B, VALUE(I319)), "Revisar ID")
  )
)</f>
        <v>46157</v>
      </c>
      <c r="T319" s="35" t="str">
        <f t="shared" si="9"/>
        <v>PAGO PARCIAL</v>
      </c>
      <c r="U319" s="35" t="str">
        <f t="shared" si="10"/>
        <v>CRÍTICO: VENCIDA</v>
      </c>
      <c r="V319" s="32">
        <f t="shared" si="11"/>
        <v>43</v>
      </c>
      <c r="W319" s="36" t="str">
        <f>IF(P319=0, "Sin Pago", 
  LET(
    monedaPago, Q319, 
    descuentoAplicado, G319,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19" s="36" t="str">
        <f t="shared" si="12"/>
        <v/>
      </c>
      <c r="Y319" s="36">
        <v>85.0</v>
      </c>
      <c r="Z319" s="33" t="s">
        <v>609</v>
      </c>
      <c r="AA319" s="33"/>
      <c r="AB319" s="33"/>
      <c r="AC319" s="33"/>
      <c r="AD319" s="33"/>
      <c r="AE319" s="33"/>
      <c r="AF319" s="33"/>
    </row>
    <row r="320" ht="22.5" customHeight="1">
      <c r="A320" s="23" t="s">
        <v>285</v>
      </c>
      <c r="B320" s="41">
        <v>46157.67875</v>
      </c>
      <c r="C320" s="23" t="s">
        <v>284</v>
      </c>
      <c r="D320" s="23" t="s">
        <v>544</v>
      </c>
      <c r="E320" s="25">
        <v>244.61</v>
      </c>
      <c r="F320" s="23" t="s">
        <v>608</v>
      </c>
      <c r="G320" s="26">
        <f>IF($E320=0,0,IF(SUMIF(Aux_Datos!$B:$B,$I320,Aux_Datos!$K:$K)/$E320&gt;=VLOOKUP(IF(COUNTIFS(Aux_Datos!$B:$B,$I320,Aux_Datos!$D:$D,"&lt;&gt;USD")=0,"USD","VES"),'Limites de Descuento'!$A$2:$D$4,4,FALSE),MAX(0,1-SUMIF(Aux_Datos!$B:$B,$I320,Aux_Datos!$K:$K)/$E320),0))</f>
        <v>0</v>
      </c>
      <c r="H320" s="27"/>
      <c r="I320" s="28">
        <f t="shared" si="14"/>
        <v>398</v>
      </c>
      <c r="J320" s="29">
        <f t="shared" si="2"/>
        <v>46157</v>
      </c>
      <c r="K320" s="30">
        <f t="shared" si="3"/>
        <v>7</v>
      </c>
      <c r="L320" s="29">
        <f t="shared" si="4"/>
        <v>46165</v>
      </c>
      <c r="M320" s="30">
        <f t="shared" si="5"/>
        <v>244.61</v>
      </c>
      <c r="N320" s="32">
        <f t="shared" si="6"/>
        <v>35</v>
      </c>
      <c r="O320" s="33" t="str">
        <f t="shared" si="7"/>
        <v>VENCIDA</v>
      </c>
      <c r="P320" s="34">
        <f>LET(
  idVenta, I320&amp;"",
  montoTotal, M320,
  pagos, IFERROR(SUMIF(Aux_Datos!$B:$B, idVenta, Aux_Datos!$K:$K), 0),
  retenciones, IFERROR(SUMIF(Aux_Datos!$N:$N, idVenta, Aux_Datos!$R:$R), 0),
  pagos + retenciones
)</f>
        <v>141.3899786</v>
      </c>
      <c r="Q320" s="30" t="str">
        <f>IF(P320=0, "Sin Pago", 
  LET(
    idVenta, I320&amp;"",
    montoTotalPagado, P320,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320" s="30">
        <f t="shared" si="16"/>
        <v>103.2200214</v>
      </c>
      <c r="S320" s="29">
        <f>IF(P320=0, "Sin Pago", 
  IFERROR(
    MAXIFS(Aux_Datos!$A:$A, Aux_Datos!$B:$B, I320&amp;""), 
    IFERROR(MAXIFS(Aux_Datos!$A:$A, Aux_Datos!$B:$B, VALUE(I320)), "Revisar ID")
  )
)</f>
        <v>46177</v>
      </c>
      <c r="T320" s="35" t="str">
        <f t="shared" si="9"/>
        <v>PAGO PARCIAL</v>
      </c>
      <c r="U320" s="35" t="str">
        <f t="shared" si="10"/>
        <v>CRÍTICO: VENCIDA</v>
      </c>
      <c r="V320" s="32">
        <f t="shared" si="11"/>
        <v>23</v>
      </c>
      <c r="W320" s="36" t="str">
        <f>IF(P320=0, "Sin Pago", 
  LET(
    monedaPago, Q320, 
    descuentoAplicado, G320,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20" s="36" t="str">
        <f t="shared" si="12"/>
        <v/>
      </c>
      <c r="Y320" s="36">
        <v>141.38997861716132</v>
      </c>
      <c r="Z320" s="33" t="s">
        <v>609</v>
      </c>
      <c r="AA320" s="33"/>
      <c r="AB320" s="33"/>
      <c r="AC320" s="33"/>
      <c r="AD320" s="33"/>
      <c r="AE320" s="33"/>
      <c r="AF320" s="33"/>
    </row>
    <row r="321" ht="22.5" customHeight="1">
      <c r="A321" s="23" t="s">
        <v>328</v>
      </c>
      <c r="B321" s="41">
        <v>46157.67863425926</v>
      </c>
      <c r="C321" s="23" t="s">
        <v>327</v>
      </c>
      <c r="D321" s="23" t="s">
        <v>544</v>
      </c>
      <c r="E321" s="25">
        <v>252.31</v>
      </c>
      <c r="F321" s="23" t="s">
        <v>608</v>
      </c>
      <c r="G321" s="26">
        <f>IF($E321=0,0,IF(SUMIF(Aux_Datos!$B:$B,$I321,Aux_Datos!$K:$K)/$E321&gt;=VLOOKUP(IF(COUNTIFS(Aux_Datos!$B:$B,$I321,Aux_Datos!$D:$D,"&lt;&gt;USD")=0,"USD","VES"),'Limites de Descuento'!$A$2:$D$4,4,FALSE),MAX(0,1-SUMIF(Aux_Datos!$B:$B,$I321,Aux_Datos!$K:$K)/$E321),0))</f>
        <v>0</v>
      </c>
      <c r="H321" s="27"/>
      <c r="I321" s="28">
        <f t="shared" si="14"/>
        <v>399</v>
      </c>
      <c r="J321" s="29">
        <f t="shared" si="2"/>
        <v>46157</v>
      </c>
      <c r="K321" s="30">
        <f t="shared" si="3"/>
        <v>7</v>
      </c>
      <c r="L321" s="29">
        <f t="shared" si="4"/>
        <v>46165</v>
      </c>
      <c r="M321" s="30">
        <f t="shared" si="5"/>
        <v>252.31</v>
      </c>
      <c r="N321" s="32">
        <f t="shared" si="6"/>
        <v>35</v>
      </c>
      <c r="O321" s="33" t="str">
        <f t="shared" si="7"/>
        <v>VENCIDA</v>
      </c>
      <c r="P321" s="34">
        <f>LET(
  idVenta, I321&amp;"",
  montoTotal, M321,
  pagos, IFERROR(SUMIF(Aux_Datos!$B:$B, idVenta, Aux_Datos!$K:$K), 0),
  retenciones, IFERROR(SUMIF(Aux_Datos!$N:$N, idVenta, Aux_Datos!$R:$R), 0),
  pagos + retenciones
)</f>
        <v>0</v>
      </c>
      <c r="Q321" s="30" t="str">
        <f>IF(P321=0, "Sin Pago", 
  LET(
    idVenta, I321&amp;"",
    montoTotalPagado, P321,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21" s="30">
        <f t="shared" si="16"/>
        <v>252.31</v>
      </c>
      <c r="S321" s="29" t="str">
        <f>IF(P321=0, "Sin Pago", 
  IFERROR(
    MAXIFS(Aux_Datos!$A:$A, Aux_Datos!$B:$B, I321&amp;""), 
    IFERROR(MAXIFS(Aux_Datos!$A:$A, Aux_Datos!$B:$B, VALUE(I321)), "Revisar ID")
  )
)</f>
        <v>Sin Pago</v>
      </c>
      <c r="T321" s="35" t="str">
        <f t="shared" si="9"/>
        <v>PENDIENTE</v>
      </c>
      <c r="U321" s="35" t="str">
        <f t="shared" si="10"/>
        <v>CRÍTICO: VENCIDA</v>
      </c>
      <c r="V321" s="32">
        <f t="shared" si="11"/>
        <v>0</v>
      </c>
      <c r="W321" s="36" t="str">
        <f>IF(P321=0, "Sin Pago", 
  LET(
    monedaPago, Q321, 
    descuentoAplicado, G321,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21" s="36" t="str">
        <f t="shared" si="12"/>
        <v/>
      </c>
      <c r="Y321" s="36">
        <v>0.0</v>
      </c>
      <c r="Z321" s="33" t="s">
        <v>641</v>
      </c>
      <c r="AA321" s="33"/>
      <c r="AB321" s="33"/>
      <c r="AC321" s="33"/>
      <c r="AD321" s="33"/>
      <c r="AE321" s="33"/>
      <c r="AF321" s="33"/>
    </row>
    <row r="322" ht="22.5" customHeight="1">
      <c r="A322" s="23" t="s">
        <v>330</v>
      </c>
      <c r="B322" s="41">
        <v>46157.67855324074</v>
      </c>
      <c r="C322" s="23" t="s">
        <v>329</v>
      </c>
      <c r="D322" s="23" t="s">
        <v>552</v>
      </c>
      <c r="E322" s="25">
        <v>215.39</v>
      </c>
      <c r="F322" s="23" t="s">
        <v>608</v>
      </c>
      <c r="G322" s="26">
        <f>IF($E322=0,0,IF(SUMIF(Aux_Datos!$B:$B,$I322,Aux_Datos!$K:$K)/$E322&gt;=VLOOKUP(IF(COUNTIFS(Aux_Datos!$B:$B,$I322,Aux_Datos!$D:$D,"&lt;&gt;USD")=0,"USD","VES"),'Limites de Descuento'!$A$2:$D$4,4,FALSE),MAX(0,1-SUMIF(Aux_Datos!$B:$B,$I322,Aux_Datos!$K:$K)/$E322),0))</f>
        <v>0</v>
      </c>
      <c r="H322" s="27"/>
      <c r="I322" s="28">
        <f t="shared" si="14"/>
        <v>400</v>
      </c>
      <c r="J322" s="29">
        <f t="shared" si="2"/>
        <v>46157</v>
      </c>
      <c r="K322" s="30">
        <f t="shared" si="3"/>
        <v>7</v>
      </c>
      <c r="L322" s="29">
        <f t="shared" si="4"/>
        <v>46165</v>
      </c>
      <c r="M322" s="30">
        <f t="shared" si="5"/>
        <v>215.39</v>
      </c>
      <c r="N322" s="32">
        <f t="shared" si="6"/>
        <v>35</v>
      </c>
      <c r="O322" s="33" t="str">
        <f t="shared" si="7"/>
        <v>VENCIDA</v>
      </c>
      <c r="P322" s="34">
        <f>LET(
  idVenta, I322&amp;"",
  montoTotal, M322,
  pagos, IFERROR(SUMIF(Aux_Datos!$B:$B, idVenta, Aux_Datos!$K:$K), 0),
  retenciones, IFERROR(SUMIF(Aux_Datos!$N:$N, idVenta, Aux_Datos!$R:$R), 0),
  pagos + retenciones
)</f>
        <v>29.76782104</v>
      </c>
      <c r="Q322" s="30" t="str">
        <f>IF(P322=0, "Sin Pago", 
  LET(
    idVenta, I322&amp;"",
    montoTotalPagado, P322,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322" s="30">
        <f t="shared" si="16"/>
        <v>185.622179</v>
      </c>
      <c r="S322" s="29">
        <f>IF(P322=0, "Sin Pago", 
  IFERROR(
    MAXIFS(Aux_Datos!$A:$A, Aux_Datos!$B:$B, I322&amp;""), 
    IFERROR(MAXIFS(Aux_Datos!$A:$A, Aux_Datos!$B:$B, VALUE(I322)), "Revisar ID")
  )
)</f>
        <v>46181</v>
      </c>
      <c r="T322" s="35" t="str">
        <f t="shared" si="9"/>
        <v>PAGO PARCIAL</v>
      </c>
      <c r="U322" s="35" t="str">
        <f t="shared" si="10"/>
        <v>CRÍTICO: VENCIDA</v>
      </c>
      <c r="V322" s="32">
        <f t="shared" si="11"/>
        <v>19</v>
      </c>
      <c r="W322" s="36" t="str">
        <f>IF(P322=0, "Sin Pago", 
  LET(
    monedaPago, Q322, 
    descuentoAplicado, G322,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22" s="36" t="str">
        <f t="shared" si="12"/>
        <v/>
      </c>
      <c r="Y322" s="36">
        <v>29.76782104372371</v>
      </c>
      <c r="Z322" s="33" t="s">
        <v>609</v>
      </c>
      <c r="AA322" s="33"/>
      <c r="AB322" s="33"/>
      <c r="AC322" s="33"/>
      <c r="AD322" s="33"/>
      <c r="AE322" s="33"/>
      <c r="AF322" s="33"/>
    </row>
    <row r="323" ht="22.5" customHeight="1">
      <c r="A323" s="23" t="s">
        <v>830</v>
      </c>
      <c r="B323" s="41">
        <v>46157.687939814816</v>
      </c>
      <c r="C323" s="23" t="s">
        <v>831</v>
      </c>
      <c r="D323" s="23" t="s">
        <v>544</v>
      </c>
      <c r="E323" s="25">
        <v>53.85</v>
      </c>
      <c r="F323" s="23" t="s">
        <v>640</v>
      </c>
      <c r="G323" s="26">
        <f>IF($E323=0,0,IF(SUMIF(Aux_Datos!$B:$B,$I323,Aux_Datos!$K:$K)/$E323&gt;=VLOOKUP(IF(COUNTIFS(Aux_Datos!$B:$B,$I323,Aux_Datos!$D:$D,"&lt;&gt;USD")=0,"USD","VES"),'Limites de Descuento'!$A$2:$D$4,4,FALSE),MAX(0,1-SUMIF(Aux_Datos!$B:$B,$I323,Aux_Datos!$K:$K)/$E323),0))</f>
        <v>0</v>
      </c>
      <c r="H323" s="27"/>
      <c r="I323" s="28">
        <f t="shared" si="14"/>
        <v>401</v>
      </c>
      <c r="J323" s="29">
        <f t="shared" si="2"/>
        <v>46157</v>
      </c>
      <c r="K323" s="30">
        <f t="shared" si="3"/>
        <v>45</v>
      </c>
      <c r="L323" s="29">
        <f t="shared" si="4"/>
        <v>46203</v>
      </c>
      <c r="M323" s="30">
        <f t="shared" si="5"/>
        <v>53.85</v>
      </c>
      <c r="N323" s="32">
        <f t="shared" si="6"/>
        <v>0</v>
      </c>
      <c r="O323" s="33" t="str">
        <f t="shared" si="7"/>
        <v>EN TIEMPO</v>
      </c>
      <c r="P323" s="34">
        <f>LET(
  idVenta, I323&amp;"",
  montoTotal, M323,
  pagos, IFERROR(SUMIF(Aux_Datos!$B:$B, idVenta, Aux_Datos!$K:$K), 0),
  retenciones, IFERROR(SUMIF(Aux_Datos!$N:$N, idVenta, Aux_Datos!$R:$R), 0),
  pagos + retenciones
)</f>
        <v>32</v>
      </c>
      <c r="Q323" s="30" t="str">
        <f>IF(P323=0, "Sin Pago", 
  LET(
    idVenta, I323&amp;"",
    montoTotalPagado, P323,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23" s="30">
        <f t="shared" si="16"/>
        <v>21.85</v>
      </c>
      <c r="S323" s="29">
        <f>IF(P323=0, "Sin Pago", 
  IFERROR(
    MAXIFS(Aux_Datos!$A:$A, Aux_Datos!$B:$B, I323&amp;""), 
    IFERROR(MAXIFS(Aux_Datos!$A:$A, Aux_Datos!$B:$B, VALUE(I323)), "Revisar ID")
  )
)</f>
        <v>46161</v>
      </c>
      <c r="T323" s="35" t="str">
        <f t="shared" si="9"/>
        <v>PAGO PARCIAL</v>
      </c>
      <c r="U323" s="35" t="str">
        <f t="shared" si="10"/>
        <v>EN TIEMPO</v>
      </c>
      <c r="V323" s="32">
        <f t="shared" si="11"/>
        <v>39</v>
      </c>
      <c r="W323" s="36" t="str">
        <f>IF(P323=0, "Sin Pago", 
  LET(
    monedaPago, Q323, 
    descuentoAplicado, G323,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23" s="36" t="str">
        <f t="shared" si="12"/>
        <v/>
      </c>
      <c r="Y323" s="36">
        <v>32.0</v>
      </c>
      <c r="Z323" s="33" t="s">
        <v>609</v>
      </c>
      <c r="AA323" s="33"/>
      <c r="AB323" s="33"/>
      <c r="AC323" s="33"/>
      <c r="AD323" s="33"/>
      <c r="AE323" s="33"/>
      <c r="AF323" s="33"/>
    </row>
    <row r="324" ht="22.5" customHeight="1">
      <c r="A324" s="23" t="s">
        <v>832</v>
      </c>
      <c r="B324" s="41">
        <v>46157.68709490741</v>
      </c>
      <c r="C324" s="23" t="s">
        <v>831</v>
      </c>
      <c r="D324" s="23" t="s">
        <v>544</v>
      </c>
      <c r="E324" s="25">
        <v>104.62</v>
      </c>
      <c r="F324" s="23" t="s">
        <v>640</v>
      </c>
      <c r="G324" s="26">
        <f>IF($E324=0,0,IF(SUMIF(Aux_Datos!$B:$B,$I324,Aux_Datos!$K:$K)/$E324&gt;=VLOOKUP(IF(COUNTIFS(Aux_Datos!$B:$B,$I324,Aux_Datos!$D:$D,"&lt;&gt;USD")=0,"USD","VES"),'Limites de Descuento'!$A$2:$D$4,4,FALSE),MAX(0,1-SUMIF(Aux_Datos!$B:$B,$I324,Aux_Datos!$K:$K)/$E324),0))</f>
        <v>0</v>
      </c>
      <c r="H324" s="27"/>
      <c r="I324" s="28">
        <f t="shared" si="14"/>
        <v>402</v>
      </c>
      <c r="J324" s="29">
        <f t="shared" si="2"/>
        <v>46157</v>
      </c>
      <c r="K324" s="30">
        <f t="shared" si="3"/>
        <v>45</v>
      </c>
      <c r="L324" s="29">
        <f t="shared" si="4"/>
        <v>46203</v>
      </c>
      <c r="M324" s="30">
        <f t="shared" si="5"/>
        <v>104.62</v>
      </c>
      <c r="N324" s="32">
        <f t="shared" si="6"/>
        <v>0</v>
      </c>
      <c r="O324" s="33" t="str">
        <f t="shared" si="7"/>
        <v>EN TIEMPO</v>
      </c>
      <c r="P324" s="34">
        <f>LET(
  idVenta, I324&amp;"",
  montoTotal, M324,
  pagos, IFERROR(SUMIF(Aux_Datos!$B:$B, idVenta, Aux_Datos!$K:$K), 0),
  retenciones, IFERROR(SUMIF(Aux_Datos!$N:$N, idVenta, Aux_Datos!$R:$R), 0),
  pagos + retenciones
)</f>
        <v>50</v>
      </c>
      <c r="Q324" s="30" t="str">
        <f>IF(P324=0, "Sin Pago", 
  LET(
    idVenta, I324&amp;"",
    montoTotalPagado, P324,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24" s="30">
        <f t="shared" si="16"/>
        <v>54.62</v>
      </c>
      <c r="S324" s="29">
        <f>IF(P324=0, "Sin Pago", 
  IFERROR(
    MAXIFS(Aux_Datos!$A:$A, Aux_Datos!$B:$B, I324&amp;""), 
    IFERROR(MAXIFS(Aux_Datos!$A:$A, Aux_Datos!$B:$B, VALUE(I324)), "Revisar ID")
  )
)</f>
        <v>46170</v>
      </c>
      <c r="T324" s="35" t="str">
        <f t="shared" si="9"/>
        <v>PAGO PARCIAL</v>
      </c>
      <c r="U324" s="35" t="str">
        <f t="shared" si="10"/>
        <v>EN TIEMPO</v>
      </c>
      <c r="V324" s="32">
        <f t="shared" si="11"/>
        <v>30</v>
      </c>
      <c r="W324" s="36" t="str">
        <f>IF(P324=0, "Sin Pago", 
  LET(
    monedaPago, Q324, 
    descuentoAplicado, G324,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24" s="36" t="str">
        <f t="shared" si="12"/>
        <v/>
      </c>
      <c r="Y324" s="36">
        <v>50.0</v>
      </c>
      <c r="Z324" s="33" t="s">
        <v>609</v>
      </c>
      <c r="AA324" s="33"/>
      <c r="AB324" s="33"/>
      <c r="AC324" s="33"/>
      <c r="AD324" s="33"/>
      <c r="AE324" s="33"/>
      <c r="AF324" s="33"/>
    </row>
    <row r="325" ht="22.5" customHeight="1">
      <c r="A325" s="23" t="s">
        <v>54</v>
      </c>
      <c r="B325" s="41">
        <v>46157.712326388886</v>
      </c>
      <c r="C325" s="23" t="s">
        <v>52</v>
      </c>
      <c r="D325" s="23" t="s">
        <v>550</v>
      </c>
      <c r="E325" s="25">
        <v>68.44</v>
      </c>
      <c r="F325" s="23" t="s">
        <v>608</v>
      </c>
      <c r="G325" s="26">
        <f>IF($E325=0,0,IF(SUMIF(Aux_Datos!$B:$B,$I325,Aux_Datos!$K:$K)/$E325&gt;=VLOOKUP(IF(COUNTIFS(Aux_Datos!$B:$B,$I325,Aux_Datos!$D:$D,"&lt;&gt;USD")=0,"USD","VES"),'Limites de Descuento'!$A$2:$D$4,4,FALSE),MAX(0,1-SUMIF(Aux_Datos!$B:$B,$I325,Aux_Datos!$K:$K)/$E325),0))</f>
        <v>0</v>
      </c>
      <c r="H325" s="27"/>
      <c r="I325" s="28">
        <f t="shared" si="14"/>
        <v>404</v>
      </c>
      <c r="J325" s="29">
        <f t="shared" si="2"/>
        <v>46157</v>
      </c>
      <c r="K325" s="30">
        <f t="shared" si="3"/>
        <v>7</v>
      </c>
      <c r="L325" s="29">
        <f t="shared" si="4"/>
        <v>46165</v>
      </c>
      <c r="M325" s="30">
        <f t="shared" si="5"/>
        <v>68.44</v>
      </c>
      <c r="N325" s="32">
        <f t="shared" si="6"/>
        <v>35</v>
      </c>
      <c r="O325" s="33" t="str">
        <f t="shared" si="7"/>
        <v>VENCIDA</v>
      </c>
      <c r="P325" s="34">
        <f>LET(
  idVenta, I325&amp;"",
  montoTotal, M325,
  pagos, IFERROR(SUMIF(Aux_Datos!$B:$B, idVenta, Aux_Datos!$K:$K), 0),
  retenciones, IFERROR(SUMIF(Aux_Datos!$N:$N, idVenta, Aux_Datos!$R:$R), 0),
  pagos + retenciones
)</f>
        <v>3</v>
      </c>
      <c r="Q325" s="30" t="str">
        <f>IF(P325=0, "Sin Pago", 
  LET(
    idVenta, I325&amp;"",
    montoTotalPagado, P325,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25" s="30">
        <f t="shared" si="16"/>
        <v>65.44</v>
      </c>
      <c r="S325" s="29">
        <f>IF(P325=0, "Sin Pago", 
  IFERROR(
    MAXIFS(Aux_Datos!$A:$A, Aux_Datos!$B:$B, I325&amp;""), 
    IFERROR(MAXIFS(Aux_Datos!$A:$A, Aux_Datos!$B:$B, VALUE(I325)), "Revisar ID")
  )
)</f>
        <v>46162</v>
      </c>
      <c r="T325" s="35" t="str">
        <f t="shared" si="9"/>
        <v>PAGO PARCIAL</v>
      </c>
      <c r="U325" s="35" t="str">
        <f t="shared" si="10"/>
        <v>CRÍTICO: VENCIDA</v>
      </c>
      <c r="V325" s="32">
        <f t="shared" si="11"/>
        <v>38</v>
      </c>
      <c r="W325" s="36" t="str">
        <f>IF(P325=0, "Sin Pago", 
  LET(
    monedaPago, Q325, 
    descuentoAplicado, G325,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25" s="36" t="str">
        <f t="shared" si="12"/>
        <v/>
      </c>
      <c r="Y325" s="36">
        <v>3.0</v>
      </c>
      <c r="Z325" s="33" t="s">
        <v>609</v>
      </c>
      <c r="AA325" s="33"/>
      <c r="AB325" s="33"/>
      <c r="AC325" s="33"/>
      <c r="AD325" s="33"/>
      <c r="AE325" s="33"/>
      <c r="AF325" s="33"/>
    </row>
    <row r="326" ht="22.5" customHeight="1">
      <c r="A326" s="23" t="s">
        <v>64</v>
      </c>
      <c r="B326" s="41">
        <v>46160.356875</v>
      </c>
      <c r="C326" s="23" t="s">
        <v>62</v>
      </c>
      <c r="D326" s="23" t="s">
        <v>323</v>
      </c>
      <c r="E326" s="25">
        <v>110.77</v>
      </c>
      <c r="F326" s="23" t="s">
        <v>608</v>
      </c>
      <c r="G326" s="26">
        <f>IF($E326=0,0,IF(SUMIF(Aux_Datos!$B:$B,$I326,Aux_Datos!$K:$K)/$E326&gt;=VLOOKUP(IF(COUNTIFS(Aux_Datos!$B:$B,$I326,Aux_Datos!$D:$D,"&lt;&gt;USD")=0,"USD","VES"),'Limites de Descuento'!$A$2:$D$4,4,FALSE),MAX(0,1-SUMIF(Aux_Datos!$B:$B,$I326,Aux_Datos!$K:$K)/$E326),0))</f>
        <v>0</v>
      </c>
      <c r="H326" s="27"/>
      <c r="I326" s="28">
        <f t="shared" si="14"/>
        <v>405</v>
      </c>
      <c r="J326" s="29">
        <f t="shared" si="2"/>
        <v>46160</v>
      </c>
      <c r="K326" s="30">
        <f t="shared" si="3"/>
        <v>7</v>
      </c>
      <c r="L326" s="29">
        <f t="shared" si="4"/>
        <v>46168</v>
      </c>
      <c r="M326" s="30">
        <f t="shared" si="5"/>
        <v>110.77</v>
      </c>
      <c r="N326" s="32">
        <f t="shared" si="6"/>
        <v>32</v>
      </c>
      <c r="O326" s="33" t="str">
        <f t="shared" si="7"/>
        <v>VENCIDA</v>
      </c>
      <c r="P326" s="34">
        <f>LET(
  idVenta, I326&amp;"",
  montoTotal, M326,
  pagos, IFERROR(SUMIF(Aux_Datos!$B:$B, idVenta, Aux_Datos!$K:$K), 0),
  retenciones, IFERROR(SUMIF(Aux_Datos!$N:$N, idVenta, Aux_Datos!$R:$R), 0),
  pagos + retenciones
)</f>
        <v>68</v>
      </c>
      <c r="Q326" s="30" t="str">
        <f>IF(P326=0, "Sin Pago", 
  LET(
    idVenta, I326&amp;"",
    montoTotalPagado, P326,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26" s="30">
        <f t="shared" si="16"/>
        <v>42.77</v>
      </c>
      <c r="S326" s="29">
        <f>IF(P326=0, "Sin Pago", 
  IFERROR(
    MAXIFS(Aux_Datos!$A:$A, Aux_Datos!$B:$B, I326&amp;""), 
    IFERROR(MAXIFS(Aux_Datos!$A:$A, Aux_Datos!$B:$B, VALUE(I326)), "Revisar ID")
  )
)</f>
        <v>46160</v>
      </c>
      <c r="T326" s="35" t="str">
        <f t="shared" si="9"/>
        <v>PAGO PARCIAL</v>
      </c>
      <c r="U326" s="35" t="str">
        <f t="shared" si="10"/>
        <v>CRÍTICO: VENCIDA</v>
      </c>
      <c r="V326" s="32">
        <f t="shared" si="11"/>
        <v>40</v>
      </c>
      <c r="W326" s="36" t="str">
        <f>IF(P326=0, "Sin Pago", 
  LET(
    monedaPago, Q326, 
    descuentoAplicado, G326,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26" s="36" t="str">
        <f t="shared" si="12"/>
        <v/>
      </c>
      <c r="Y326" s="36">
        <v>68.0</v>
      </c>
      <c r="Z326" s="33" t="s">
        <v>609</v>
      </c>
      <c r="AA326" s="33"/>
      <c r="AB326" s="33"/>
      <c r="AC326" s="33"/>
      <c r="AD326" s="33"/>
      <c r="AE326" s="33"/>
      <c r="AF326" s="33"/>
    </row>
    <row r="327" ht="22.5" customHeight="1">
      <c r="A327" s="23" t="s">
        <v>71</v>
      </c>
      <c r="B327" s="41">
        <v>46160.37590277778</v>
      </c>
      <c r="C327" s="23" t="s">
        <v>69</v>
      </c>
      <c r="D327" s="23" t="s">
        <v>544</v>
      </c>
      <c r="E327" s="25">
        <v>224.62</v>
      </c>
      <c r="F327" s="23" t="s">
        <v>608</v>
      </c>
      <c r="G327" s="26">
        <f>IF($E327=0,0,IF(SUMIF(Aux_Datos!$B:$B,$I327,Aux_Datos!$K:$K)/$E327&gt;=VLOOKUP(IF(COUNTIFS(Aux_Datos!$B:$B,$I327,Aux_Datos!$D:$D,"&lt;&gt;USD")=0,"USD","VES"),'Limites de Descuento'!$A$2:$D$4,4,FALSE),MAX(0,1-SUMIF(Aux_Datos!$B:$B,$I327,Aux_Datos!$K:$K)/$E327),0))</f>
        <v>0</v>
      </c>
      <c r="H327" s="27"/>
      <c r="I327" s="28">
        <f t="shared" si="14"/>
        <v>407</v>
      </c>
      <c r="J327" s="29">
        <f t="shared" si="2"/>
        <v>46160</v>
      </c>
      <c r="K327" s="30">
        <f t="shared" si="3"/>
        <v>7</v>
      </c>
      <c r="L327" s="29">
        <f t="shared" si="4"/>
        <v>46168</v>
      </c>
      <c r="M327" s="30">
        <f t="shared" si="5"/>
        <v>224.62</v>
      </c>
      <c r="N327" s="32">
        <f t="shared" si="6"/>
        <v>32</v>
      </c>
      <c r="O327" s="33" t="str">
        <f t="shared" si="7"/>
        <v>VENCIDA</v>
      </c>
      <c r="P327" s="37">
        <v>43.0</v>
      </c>
      <c r="Q327" s="30" t="str">
        <f>IF(P327=0, "Sin Pago", 
  LET(
    idVenta, I327&amp;"",
    montoTotalPagado, P327,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27" s="30">
        <f t="shared" si="16"/>
        <v>181.62</v>
      </c>
      <c r="S327" s="29">
        <f>IF(P327=0, "Sin Pago", 
  IFERROR(
    MAXIFS(Aux_Datos!$A:$A, Aux_Datos!$B:$B, I327&amp;""), 
    IFERROR(MAXIFS(Aux_Datos!$A:$A, Aux_Datos!$B:$B, VALUE(I327)), "Revisar ID")
  )
)</f>
        <v>46160</v>
      </c>
      <c r="T327" s="35" t="str">
        <f t="shared" si="9"/>
        <v>PAGO PARCIAL</v>
      </c>
      <c r="U327" s="35" t="str">
        <f t="shared" si="10"/>
        <v>CRÍTICO: VENCIDA</v>
      </c>
      <c r="V327" s="32">
        <f t="shared" si="11"/>
        <v>40</v>
      </c>
      <c r="W327" s="36" t="str">
        <f>IF(P327=0, "Sin Pago", 
  LET(
    monedaPago, Q327, 
    descuentoAplicado, G327,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27" s="36" t="str">
        <f t="shared" si="12"/>
        <v/>
      </c>
      <c r="Y327" s="36">
        <v>135.0</v>
      </c>
      <c r="Z327" s="33" t="s">
        <v>609</v>
      </c>
      <c r="AA327" s="33"/>
      <c r="AB327" s="33"/>
      <c r="AC327" s="33"/>
      <c r="AD327" s="33"/>
      <c r="AE327" s="33"/>
      <c r="AF327" s="33"/>
    </row>
    <row r="328" ht="22.5" customHeight="1">
      <c r="A328" s="23" t="s">
        <v>30</v>
      </c>
      <c r="B328" s="41">
        <v>46160.39287037037</v>
      </c>
      <c r="C328" s="23" t="s">
        <v>28</v>
      </c>
      <c r="D328" s="23" t="s">
        <v>556</v>
      </c>
      <c r="E328" s="25">
        <v>192.31</v>
      </c>
      <c r="F328" s="23" t="s">
        <v>608</v>
      </c>
      <c r="G328" s="26">
        <f>IF($E328=0,0,IF(SUMIF(Aux_Datos!$B:$B,$I328,Aux_Datos!$K:$K)/$E328&gt;=VLOOKUP(IF(COUNTIFS(Aux_Datos!$B:$B,$I328,Aux_Datos!$D:$D,"&lt;&gt;USD")=0,"USD","VES"),'Limites de Descuento'!$A$2:$D$4,4,FALSE),MAX(0,1-SUMIF(Aux_Datos!$B:$B,$I328,Aux_Datos!$K:$K)/$E328),0))</f>
        <v>0</v>
      </c>
      <c r="H328" s="27"/>
      <c r="I328" s="28">
        <f t="shared" si="14"/>
        <v>408</v>
      </c>
      <c r="J328" s="29">
        <f t="shared" si="2"/>
        <v>46160</v>
      </c>
      <c r="K328" s="30">
        <f t="shared" si="3"/>
        <v>7</v>
      </c>
      <c r="L328" s="29">
        <f t="shared" si="4"/>
        <v>46168</v>
      </c>
      <c r="M328" s="30">
        <f t="shared" si="5"/>
        <v>192.31</v>
      </c>
      <c r="N328" s="32">
        <f t="shared" si="6"/>
        <v>32</v>
      </c>
      <c r="O328" s="33" t="str">
        <f t="shared" si="7"/>
        <v>VENCIDA</v>
      </c>
      <c r="P328" s="34">
        <f>LET(
  idVenta, I328&amp;"",
  montoTotal, M328,
  pagos, IFERROR(SUMIF(Aux_Datos!$B:$B, idVenta, Aux_Datos!$K:$K), 0),
  retenciones, IFERROR(SUMIF(Aux_Datos!$N:$N, idVenta, Aux_Datos!$R:$R), 0),
  pagos + retenciones
)</f>
        <v>105</v>
      </c>
      <c r="Q328" s="30" t="str">
        <f>IF(P328=0, "Sin Pago", 
  LET(
    idVenta, I328&amp;"",
    montoTotalPagado, P328,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28" s="30">
        <f t="shared" si="16"/>
        <v>87.31</v>
      </c>
      <c r="S328" s="29">
        <f>IF(P328=0, "Sin Pago", 
  IFERROR(
    MAXIFS(Aux_Datos!$A:$A, Aux_Datos!$B:$B, I328&amp;""), 
    IFERROR(MAXIFS(Aux_Datos!$A:$A, Aux_Datos!$B:$B, VALUE(I328)), "Revisar ID")
  )
)</f>
        <v>46178</v>
      </c>
      <c r="T328" s="35" t="str">
        <f t="shared" si="9"/>
        <v>PAGO PARCIAL</v>
      </c>
      <c r="U328" s="35" t="str">
        <f t="shared" si="10"/>
        <v>CRÍTICO: VENCIDA</v>
      </c>
      <c r="V328" s="32">
        <f t="shared" si="11"/>
        <v>22</v>
      </c>
      <c r="W328" s="36" t="str">
        <f>IF(P328=0, "Sin Pago", 
  LET(
    monedaPago, Q328, 
    descuentoAplicado, G328,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28" s="36" t="str">
        <f t="shared" si="12"/>
        <v/>
      </c>
      <c r="Y328" s="36">
        <v>105.0</v>
      </c>
      <c r="Z328" s="33" t="s">
        <v>609</v>
      </c>
      <c r="AA328" s="33"/>
      <c r="AB328" s="33"/>
      <c r="AC328" s="33"/>
      <c r="AD328" s="33"/>
      <c r="AE328" s="33"/>
      <c r="AF328" s="33"/>
    </row>
    <row r="329" ht="22.5" customHeight="1">
      <c r="A329" s="23" t="s">
        <v>833</v>
      </c>
      <c r="B329" s="41">
        <v>46160.54902777778</v>
      </c>
      <c r="C329" s="23" t="s">
        <v>392</v>
      </c>
      <c r="D329" s="23" t="s">
        <v>529</v>
      </c>
      <c r="E329" s="25">
        <v>406.16</v>
      </c>
      <c r="F329" s="23" t="s">
        <v>608</v>
      </c>
      <c r="G329" s="26">
        <f>IF($E329=0,0,IF(SUMIF(Aux_Datos!$B:$B,$I329,Aux_Datos!$K:$K)/$E329&gt;=VLOOKUP(IF(COUNTIFS(Aux_Datos!$B:$B,$I329,Aux_Datos!$D:$D,"&lt;&gt;USD")=0,"USD","VES"),'Limites de Descuento'!$A$2:$D$4,4,FALSE),MAX(0,1-SUMIF(Aux_Datos!$B:$B,$I329,Aux_Datos!$K:$K)/$E329),0))</f>
        <v>0</v>
      </c>
      <c r="H329" s="27"/>
      <c r="I329" s="28">
        <f t="shared" si="14"/>
        <v>410</v>
      </c>
      <c r="J329" s="29">
        <f t="shared" si="2"/>
        <v>46160</v>
      </c>
      <c r="K329" s="30">
        <f t="shared" si="3"/>
        <v>7</v>
      </c>
      <c r="L329" s="29">
        <f t="shared" si="4"/>
        <v>46168</v>
      </c>
      <c r="M329" s="30">
        <f t="shared" si="5"/>
        <v>406.16</v>
      </c>
      <c r="N329" s="32">
        <f t="shared" si="6"/>
        <v>0</v>
      </c>
      <c r="O329" s="33" t="str">
        <f t="shared" si="7"/>
        <v>PAGADA</v>
      </c>
      <c r="P329" s="34">
        <f>LET(
  idVenta, I329&amp;"",
  montoTotal, M329,
  pagos, IFERROR(SUMIF(Aux_Datos!$B:$B, idVenta, Aux_Datos!$K:$K), 0),
  retenciones, IFERROR(SUMIF(Aux_Datos!$N:$N, idVenta, Aux_Datos!$R:$R), 0),
  pagos + retenciones
)</f>
        <v>406.1604204</v>
      </c>
      <c r="Q329" s="30" t="str">
        <f>IF(P329=0, "Sin Pago", 
  LET(
    idVenta, I329&amp;"",
    montoTotalPagado, P329,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329" s="30">
        <f t="shared" si="16"/>
        <v>-0.0004203784833</v>
      </c>
      <c r="S329" s="29">
        <f>IF(P329=0, "Sin Pago", 
  IFERROR(
    MAXIFS(Aux_Datos!$A:$A, Aux_Datos!$B:$B, I329&amp;""), 
    IFERROR(MAXIFS(Aux_Datos!$A:$A, Aux_Datos!$B:$B, VALUE(I329)), "Revisar ID")
  )
)</f>
        <v>46171</v>
      </c>
      <c r="T329" s="35" t="str">
        <f t="shared" si="9"/>
        <v>PAGADA</v>
      </c>
      <c r="U329" s="35" t="str">
        <f t="shared" si="10"/>
        <v>SOLVENTE</v>
      </c>
      <c r="V329" s="32">
        <f t="shared" si="11"/>
        <v>0</v>
      </c>
      <c r="W329" s="36" t="str">
        <f>IF(P329=0, "Sin Pago", 
  LET(
    monedaPago, Q329, 
    descuentoAplicado, G329,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29" s="36" t="str">
        <f t="shared" si="12"/>
        <v/>
      </c>
      <c r="Y329" s="36">
        <v>406.16042037848337</v>
      </c>
      <c r="Z329" s="33" t="s">
        <v>596</v>
      </c>
      <c r="AA329" s="33"/>
      <c r="AB329" s="33"/>
      <c r="AC329" s="33"/>
      <c r="AD329" s="33"/>
      <c r="AE329" s="33"/>
      <c r="AF329" s="33"/>
    </row>
    <row r="330" ht="22.5" customHeight="1">
      <c r="A330" s="23" t="s">
        <v>338</v>
      </c>
      <c r="B330" s="41">
        <v>46161.37170138889</v>
      </c>
      <c r="C330" s="23" t="s">
        <v>337</v>
      </c>
      <c r="D330" s="23" t="s">
        <v>529</v>
      </c>
      <c r="E330" s="25">
        <v>1906.54</v>
      </c>
      <c r="F330" s="23" t="s">
        <v>608</v>
      </c>
      <c r="G330" s="26">
        <f>IF($E330=0,0,IF(SUMIF(Aux_Datos!$B:$B,$I330,Aux_Datos!$K:$K)/$E330&gt;=VLOOKUP(IF(COUNTIFS(Aux_Datos!$B:$B,$I330,Aux_Datos!$D:$D,"&lt;&gt;USD")=0,"USD","VES"),'Limites de Descuento'!$A$2:$D$4,4,FALSE),MAX(0,1-SUMIF(Aux_Datos!$B:$B,$I330,Aux_Datos!$K:$K)/$E330),0))</f>
        <v>0</v>
      </c>
      <c r="H330" s="27"/>
      <c r="I330" s="28">
        <f t="shared" si="14"/>
        <v>411</v>
      </c>
      <c r="J330" s="29">
        <f t="shared" si="2"/>
        <v>46161</v>
      </c>
      <c r="K330" s="30">
        <f t="shared" si="3"/>
        <v>7</v>
      </c>
      <c r="L330" s="29">
        <f t="shared" si="4"/>
        <v>46169</v>
      </c>
      <c r="M330" s="30">
        <f t="shared" si="5"/>
        <v>1906.54</v>
      </c>
      <c r="N330" s="32">
        <f t="shared" si="6"/>
        <v>31</v>
      </c>
      <c r="O330" s="33" t="str">
        <f t="shared" si="7"/>
        <v>VENCIDA</v>
      </c>
      <c r="P330" s="34">
        <f>LET(
  idVenta, I330&amp;"",
  montoTotal, M330,
  pagos, IFERROR(SUMIF(Aux_Datos!$B:$B, idVenta, Aux_Datos!$K:$K), 0),
  retenciones, IFERROR(SUMIF(Aux_Datos!$N:$N, idVenta, Aux_Datos!$R:$R), 0),
  pagos + retenciones
)</f>
        <v>150</v>
      </c>
      <c r="Q330" s="30" t="str">
        <f>IF(P330=0, "Sin Pago", 
  LET(
    idVenta, I330&amp;"",
    montoTotalPagado, P330,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30" s="30">
        <f t="shared" si="16"/>
        <v>1756.54</v>
      </c>
      <c r="S330" s="29">
        <f>IF(P330=0, "Sin Pago", 
  IFERROR(
    MAXIFS(Aux_Datos!$A:$A, Aux_Datos!$B:$B, I330&amp;""), 
    IFERROR(MAXIFS(Aux_Datos!$A:$A, Aux_Datos!$B:$B, VALUE(I330)), "Revisar ID")
  )
)</f>
        <v>46175</v>
      </c>
      <c r="T330" s="35" t="str">
        <f t="shared" si="9"/>
        <v>PAGO PARCIAL</v>
      </c>
      <c r="U330" s="35" t="str">
        <f t="shared" si="10"/>
        <v>CRÍTICO: VENCIDA</v>
      </c>
      <c r="V330" s="32">
        <f t="shared" si="11"/>
        <v>25</v>
      </c>
      <c r="W330" s="36" t="str">
        <f>IF(P330=0, "Sin Pago", 
  LET(
    monedaPago, Q330, 
    descuentoAplicado, G330,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30" s="36" t="str">
        <f t="shared" si="12"/>
        <v/>
      </c>
      <c r="Y330" s="36">
        <v>150.0</v>
      </c>
      <c r="Z330" s="33" t="s">
        <v>609</v>
      </c>
      <c r="AA330" s="33"/>
      <c r="AB330" s="33"/>
      <c r="AC330" s="33"/>
      <c r="AD330" s="33"/>
      <c r="AE330" s="33"/>
      <c r="AF330" s="33"/>
    </row>
    <row r="331" ht="22.5" customHeight="1">
      <c r="A331" s="23" t="s">
        <v>834</v>
      </c>
      <c r="B331" s="41">
        <v>46161.4515625</v>
      </c>
      <c r="C331" s="23" t="s">
        <v>62</v>
      </c>
      <c r="D331" s="23" t="s">
        <v>323</v>
      </c>
      <c r="E331" s="25">
        <v>109.98</v>
      </c>
      <c r="F331" s="23" t="s">
        <v>608</v>
      </c>
      <c r="G331" s="26">
        <f>IF($E331=0,0,IF(SUMIF(Aux_Datos!$B:$B,$I331,Aux_Datos!$K:$K)/$E331&gt;=VLOOKUP(IF(COUNTIFS(Aux_Datos!$B:$B,$I331,Aux_Datos!$D:$D,"&lt;&gt;USD")=0,"USD","VES"),'Limites de Descuento'!$A$2:$D$4,4,FALSE),MAX(0,1-SUMIF(Aux_Datos!$B:$B,$I331,Aux_Datos!$K:$K)/$E331),0))</f>
        <v>0.008910711038</v>
      </c>
      <c r="H331" s="27"/>
      <c r="I331" s="28">
        <f t="shared" si="14"/>
        <v>412</v>
      </c>
      <c r="J331" s="29">
        <f t="shared" si="2"/>
        <v>46161</v>
      </c>
      <c r="K331" s="30">
        <f t="shared" si="3"/>
        <v>7</v>
      </c>
      <c r="L331" s="29">
        <f t="shared" si="4"/>
        <v>46169</v>
      </c>
      <c r="M331" s="30">
        <f t="shared" si="5"/>
        <v>109</v>
      </c>
      <c r="N331" s="32">
        <f t="shared" si="6"/>
        <v>0</v>
      </c>
      <c r="O331" s="33" t="str">
        <f t="shared" si="7"/>
        <v>PAGADA</v>
      </c>
      <c r="P331" s="34">
        <f>LET(
  idVenta, I331&amp;"",
  montoTotal, M331,
  pagos, IFERROR(SUMIF(Aux_Datos!$B:$B, idVenta, Aux_Datos!$K:$K), 0),
  retenciones, IFERROR(SUMIF(Aux_Datos!$N:$N, idVenta, Aux_Datos!$R:$R), 0),
  pagos + retenciones
)</f>
        <v>109</v>
      </c>
      <c r="Q331" s="30" t="str">
        <f>IF(P331=0, "Sin Pago", 
  LET(
    idVenta, I331&amp;"",
    montoTotalPagado, P331,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31" s="30">
        <f t="shared" si="16"/>
        <v>0</v>
      </c>
      <c r="S331" s="29">
        <f>IF(P331=0, "Sin Pago", 
  IFERROR(
    MAXIFS(Aux_Datos!$A:$A, Aux_Datos!$B:$B, I331&amp;""), 
    IFERROR(MAXIFS(Aux_Datos!$A:$A, Aux_Datos!$B:$B, VALUE(I331)), "Revisar ID")
  )
)</f>
        <v>46161</v>
      </c>
      <c r="T331" s="35" t="str">
        <f t="shared" si="9"/>
        <v>PAGADA</v>
      </c>
      <c r="U331" s="35" t="str">
        <f t="shared" si="10"/>
        <v>SOLVENTE</v>
      </c>
      <c r="V331" s="32">
        <f t="shared" si="11"/>
        <v>0</v>
      </c>
      <c r="W331" s="36" t="str">
        <f>IF(P331=0, "Sin Pago", 
  LET(
    monedaPago, Q331, 
    descuentoAplicado, G331,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31" s="36" t="str">
        <f t="shared" si="12"/>
        <v/>
      </c>
      <c r="Y331" s="36">
        <v>109.0</v>
      </c>
      <c r="Z331" s="33" t="s">
        <v>596</v>
      </c>
      <c r="AA331" s="33"/>
      <c r="AB331" s="33"/>
      <c r="AC331" s="33"/>
      <c r="AD331" s="33"/>
      <c r="AE331" s="33"/>
      <c r="AF331" s="33"/>
    </row>
    <row r="332" ht="22.5" customHeight="1">
      <c r="A332" s="23" t="s">
        <v>342</v>
      </c>
      <c r="B332" s="41">
        <v>46161.45303240741</v>
      </c>
      <c r="C332" s="23" t="s">
        <v>341</v>
      </c>
      <c r="D332" s="23" t="s">
        <v>552</v>
      </c>
      <c r="E332" s="25">
        <v>81.54</v>
      </c>
      <c r="F332" s="23" t="s">
        <v>608</v>
      </c>
      <c r="G332" s="26">
        <f>IF($E332=0,0,IF(SUMIF(Aux_Datos!$B:$B,$I332,Aux_Datos!$K:$K)/$E332&gt;=VLOOKUP(IF(COUNTIFS(Aux_Datos!$B:$B,$I332,Aux_Datos!$D:$D,"&lt;&gt;USD")=0,"USD","VES"),'Limites de Descuento'!$A$2:$D$4,4,FALSE),MAX(0,1-SUMIF(Aux_Datos!$B:$B,$I332,Aux_Datos!$K:$K)/$E332),0))</f>
        <v>0</v>
      </c>
      <c r="H332" s="27"/>
      <c r="I332" s="28">
        <f t="shared" si="14"/>
        <v>413</v>
      </c>
      <c r="J332" s="29">
        <f t="shared" si="2"/>
        <v>46161</v>
      </c>
      <c r="K332" s="30">
        <f t="shared" si="3"/>
        <v>7</v>
      </c>
      <c r="L332" s="29">
        <f t="shared" si="4"/>
        <v>46169</v>
      </c>
      <c r="M332" s="30">
        <f t="shared" si="5"/>
        <v>81.54</v>
      </c>
      <c r="N332" s="32">
        <f t="shared" si="6"/>
        <v>31</v>
      </c>
      <c r="O332" s="33" t="str">
        <f t="shared" si="7"/>
        <v>VENCIDA</v>
      </c>
      <c r="P332" s="34">
        <f>LET(
  idVenta, I332&amp;"",
  montoTotal, M332,
  pagos, IFERROR(SUMIF(Aux_Datos!$B:$B, idVenta, Aux_Datos!$K:$K), 0),
  retenciones, IFERROR(SUMIF(Aux_Datos!$N:$N, idVenta, Aux_Datos!$R:$R), 0),
  pagos + retenciones
)</f>
        <v>23</v>
      </c>
      <c r="Q332" s="30" t="str">
        <f>IF(P332=0, "Sin Pago", 
  LET(
    idVenta, I332&amp;"",
    montoTotalPagado, P332,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32" s="30">
        <f t="shared" si="16"/>
        <v>58.54</v>
      </c>
      <c r="S332" s="29">
        <f>IF(P332=0, "Sin Pago", 
  IFERROR(
    MAXIFS(Aux_Datos!$A:$A, Aux_Datos!$B:$B, I332&amp;""), 
    IFERROR(MAXIFS(Aux_Datos!$A:$A, Aux_Datos!$B:$B, VALUE(I332)), "Revisar ID")
  )
)</f>
        <v>46185</v>
      </c>
      <c r="T332" s="35" t="str">
        <f t="shared" si="9"/>
        <v>PAGO PARCIAL</v>
      </c>
      <c r="U332" s="35" t="str">
        <f t="shared" si="10"/>
        <v>CRÍTICO: VENCIDA</v>
      </c>
      <c r="V332" s="32">
        <f t="shared" si="11"/>
        <v>15</v>
      </c>
      <c r="W332" s="36" t="str">
        <f>IF(P332=0, "Sin Pago", 
  LET(
    monedaPago, Q332, 
    descuentoAplicado, G332,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32" s="36" t="str">
        <f t="shared" si="12"/>
        <v/>
      </c>
      <c r="Y332" s="36">
        <v>23.0</v>
      </c>
      <c r="Z332" s="33" t="s">
        <v>609</v>
      </c>
      <c r="AA332" s="33"/>
      <c r="AB332" s="33"/>
      <c r="AC332" s="33"/>
      <c r="AD332" s="33"/>
      <c r="AE332" s="33"/>
      <c r="AF332" s="33"/>
    </row>
    <row r="333" ht="22.5" customHeight="1">
      <c r="A333" s="23" t="s">
        <v>340</v>
      </c>
      <c r="B333" s="41">
        <v>46161.68215277778</v>
      </c>
      <c r="C333" s="23" t="s">
        <v>339</v>
      </c>
      <c r="D333" s="23" t="s">
        <v>552</v>
      </c>
      <c r="E333" s="25">
        <v>229.23</v>
      </c>
      <c r="F333" s="23" t="s">
        <v>608</v>
      </c>
      <c r="G333" s="26">
        <f>IF($E333=0,0,IF(SUMIF(Aux_Datos!$B:$B,$I333,Aux_Datos!$K:$K)/$E333&gt;=VLOOKUP(IF(COUNTIFS(Aux_Datos!$B:$B,$I333,Aux_Datos!$D:$D,"&lt;&gt;USD")=0,"USD","VES"),'Limites de Descuento'!$A$2:$D$4,4,FALSE),MAX(0,1-SUMIF(Aux_Datos!$B:$B,$I333,Aux_Datos!$K:$K)/$E333),0))</f>
        <v>0</v>
      </c>
      <c r="H333" s="27"/>
      <c r="I333" s="28">
        <f t="shared" si="14"/>
        <v>414</v>
      </c>
      <c r="J333" s="29">
        <f t="shared" si="2"/>
        <v>46161</v>
      </c>
      <c r="K333" s="30">
        <f t="shared" si="3"/>
        <v>7</v>
      </c>
      <c r="L333" s="29">
        <f t="shared" si="4"/>
        <v>46169</v>
      </c>
      <c r="M333" s="30">
        <f t="shared" si="5"/>
        <v>229.23</v>
      </c>
      <c r="N333" s="32">
        <f t="shared" si="6"/>
        <v>31</v>
      </c>
      <c r="O333" s="33" t="str">
        <f t="shared" si="7"/>
        <v>VENCIDA</v>
      </c>
      <c r="P333" s="34">
        <f>LET(
  idVenta, I333&amp;"",
  montoTotal, M333,
  pagos, IFERROR(SUMIF(Aux_Datos!$B:$B, idVenta, Aux_Datos!$K:$K), 0),
  retenciones, IFERROR(SUMIF(Aux_Datos!$N:$N, idVenta, Aux_Datos!$R:$R), 0),
  pagos + retenciones
)</f>
        <v>130.0816349</v>
      </c>
      <c r="Q333" s="30" t="str">
        <f>IF(P333=0, "Sin Pago", 
  LET(
    idVenta, I333&amp;"",
    montoTotalPagado, P333,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333" s="30">
        <f t="shared" si="16"/>
        <v>99.14836512</v>
      </c>
      <c r="S333" s="29">
        <f>IF(P333=0, "Sin Pago", 
  IFERROR(
    MAXIFS(Aux_Datos!$A:$A, Aux_Datos!$B:$B, I333&amp;""), 
    IFERROR(MAXIFS(Aux_Datos!$A:$A, Aux_Datos!$B:$B, VALUE(I333)), "Revisar ID")
  )
)</f>
        <v>46189</v>
      </c>
      <c r="T333" s="35" t="str">
        <f t="shared" si="9"/>
        <v>PAGO PARCIAL</v>
      </c>
      <c r="U333" s="35" t="str">
        <f t="shared" si="10"/>
        <v>CRÍTICO: VENCIDA</v>
      </c>
      <c r="V333" s="32">
        <f t="shared" si="11"/>
        <v>11</v>
      </c>
      <c r="W333" s="36" t="str">
        <f>IF(P333=0, "Sin Pago", 
  LET(
    monedaPago, Q333, 
    descuentoAplicado, G333,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33" s="36" t="str">
        <f t="shared" si="12"/>
        <v/>
      </c>
      <c r="Y333" s="36">
        <v>130.0816348849812</v>
      </c>
      <c r="Z333" s="33" t="s">
        <v>609</v>
      </c>
      <c r="AA333" s="33"/>
      <c r="AB333" s="33"/>
      <c r="AC333" s="33"/>
      <c r="AD333" s="33"/>
      <c r="AE333" s="33"/>
      <c r="AF333" s="33"/>
    </row>
    <row r="334" ht="22.5" customHeight="1">
      <c r="A334" s="23" t="s">
        <v>359</v>
      </c>
      <c r="B334" s="41">
        <v>46163.60288194445</v>
      </c>
      <c r="C334" s="23" t="s">
        <v>358</v>
      </c>
      <c r="D334" s="23" t="s">
        <v>208</v>
      </c>
      <c r="E334" s="25">
        <v>258.46</v>
      </c>
      <c r="F334" s="23" t="s">
        <v>608</v>
      </c>
      <c r="G334" s="26">
        <f>IF($E334=0,0,IF(SUMIF(Aux_Datos!$B:$B,$I334,Aux_Datos!$K:$K)/$E334&gt;=VLOOKUP(IF(COUNTIFS(Aux_Datos!$B:$B,$I334,Aux_Datos!$D:$D,"&lt;&gt;USD")=0,"USD","VES"),'Limites de Descuento'!$A$2:$D$4,4,FALSE),MAX(0,1-SUMIF(Aux_Datos!$B:$B,$I334,Aux_Datos!$K:$K)/$E334),0))</f>
        <v>0</v>
      </c>
      <c r="H334" s="27"/>
      <c r="I334" s="28">
        <f t="shared" si="14"/>
        <v>415</v>
      </c>
      <c r="J334" s="29">
        <f t="shared" si="2"/>
        <v>46163</v>
      </c>
      <c r="K334" s="30">
        <f t="shared" si="3"/>
        <v>7</v>
      </c>
      <c r="L334" s="29">
        <f t="shared" si="4"/>
        <v>46171</v>
      </c>
      <c r="M334" s="30">
        <f t="shared" si="5"/>
        <v>258.46</v>
      </c>
      <c r="N334" s="32">
        <f t="shared" si="6"/>
        <v>29</v>
      </c>
      <c r="O334" s="33" t="str">
        <f t="shared" si="7"/>
        <v>VENCIDA</v>
      </c>
      <c r="P334" s="34">
        <f>LET(
  idVenta, I334&amp;"",
  montoTotal, M334,
  pagos, IFERROR(SUMIF(Aux_Datos!$B:$B, idVenta, Aux_Datos!$K:$K), 0),
  retenciones, IFERROR(SUMIF(Aux_Datos!$N:$N, idVenta, Aux_Datos!$R:$R), 0),
  pagos + retenciones
)</f>
        <v>0</v>
      </c>
      <c r="Q334" s="30" t="str">
        <f>IF(P334=0, "Sin Pago", 
  LET(
    idVenta, I334&amp;"",
    montoTotalPagado, P334,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34" s="30">
        <f t="shared" si="16"/>
        <v>258.46</v>
      </c>
      <c r="S334" s="29" t="str">
        <f>IF(P334=0, "Sin Pago", 
  IFERROR(
    MAXIFS(Aux_Datos!$A:$A, Aux_Datos!$B:$B, I334&amp;""), 
    IFERROR(MAXIFS(Aux_Datos!$A:$A, Aux_Datos!$B:$B, VALUE(I334)), "Revisar ID")
  )
)</f>
        <v>Sin Pago</v>
      </c>
      <c r="T334" s="35" t="str">
        <f t="shared" si="9"/>
        <v>PENDIENTE</v>
      </c>
      <c r="U334" s="35" t="str">
        <f t="shared" si="10"/>
        <v>CRÍTICO: VENCIDA</v>
      </c>
      <c r="V334" s="32">
        <f t="shared" si="11"/>
        <v>0</v>
      </c>
      <c r="W334" s="36" t="str">
        <f>IF(P334=0, "Sin Pago", 
  LET(
    monedaPago, Q334, 
    descuentoAplicado, G334,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34" s="36" t="str">
        <f t="shared" si="12"/>
        <v/>
      </c>
      <c r="Y334" s="36">
        <v>0.0</v>
      </c>
      <c r="Z334" s="33" t="s">
        <v>641</v>
      </c>
      <c r="AA334" s="33"/>
      <c r="AB334" s="33"/>
      <c r="AC334" s="33"/>
      <c r="AD334" s="33"/>
      <c r="AE334" s="33"/>
      <c r="AF334" s="33"/>
    </row>
    <row r="335" ht="22.5" customHeight="1">
      <c r="A335" s="23" t="s">
        <v>835</v>
      </c>
      <c r="B335" s="41">
        <v>46162.38269675926</v>
      </c>
      <c r="C335" s="23" t="s">
        <v>365</v>
      </c>
      <c r="D335" s="23" t="s">
        <v>535</v>
      </c>
      <c r="E335" s="25">
        <v>500.02</v>
      </c>
      <c r="F335" s="23" t="s">
        <v>608</v>
      </c>
      <c r="G335" s="26">
        <f>IF($E335=0,0,IF(SUMIF(Aux_Datos!$B:$B,$I335,Aux_Datos!$K:$K)/$E335&gt;=VLOOKUP(IF(COUNTIFS(Aux_Datos!$B:$B,$I335,Aux_Datos!$D:$D,"&lt;&gt;USD")=0,"USD","VES"),'Limites de Descuento'!$A$2:$D$4,4,FALSE),MAX(0,1-SUMIF(Aux_Datos!$B:$B,$I335,Aux_Datos!$K:$K)/$E335),0))</f>
        <v>0</v>
      </c>
      <c r="H335" s="27"/>
      <c r="I335" s="28">
        <f t="shared" si="14"/>
        <v>416</v>
      </c>
      <c r="J335" s="29">
        <f t="shared" si="2"/>
        <v>46162</v>
      </c>
      <c r="K335" s="30">
        <f t="shared" si="3"/>
        <v>7</v>
      </c>
      <c r="L335" s="29">
        <f t="shared" si="4"/>
        <v>46170</v>
      </c>
      <c r="M335" s="30">
        <f t="shared" si="5"/>
        <v>500.02</v>
      </c>
      <c r="N335" s="32">
        <f t="shared" si="6"/>
        <v>0</v>
      </c>
      <c r="O335" s="33" t="str">
        <f t="shared" si="7"/>
        <v>PAGADA</v>
      </c>
      <c r="P335" s="37">
        <v>53.0</v>
      </c>
      <c r="Q335" s="30" t="str">
        <f>IF(P335=0, "Sin Pago", 
  LET(
    idVenta, I335&amp;"",
    montoTotalPagado, P335,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MIXTO</v>
      </c>
      <c r="R335" s="38">
        <v>0.0</v>
      </c>
      <c r="S335" s="29">
        <f>IF(P335=0, "Sin Pago", 
  IFERROR(
    MAXIFS(Aux_Datos!$A:$A, Aux_Datos!$B:$B, I335&amp;""), 
    IFERROR(MAXIFS(Aux_Datos!$A:$A, Aux_Datos!$B:$B, VALUE(I335)), "Revisar ID")
  )
)</f>
        <v>0</v>
      </c>
      <c r="T335" s="35" t="str">
        <f t="shared" si="9"/>
        <v>PAGADA</v>
      </c>
      <c r="U335" s="35" t="str">
        <f t="shared" si="10"/>
        <v>SOLVENTE</v>
      </c>
      <c r="V335" s="32">
        <f t="shared" si="11"/>
        <v>0</v>
      </c>
      <c r="W335" s="36" t="str">
        <f>IF(P335=0, "Sin Pago", 
  LET(
    monedaPago, Q335, 
    descuentoAplicado, G335,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35" s="36" t="str">
        <f t="shared" si="12"/>
        <v/>
      </c>
      <c r="Y335" s="36">
        <v>0.0</v>
      </c>
      <c r="Z335" s="33" t="s">
        <v>609</v>
      </c>
      <c r="AA335" s="33"/>
      <c r="AB335" s="33"/>
      <c r="AC335" s="33"/>
      <c r="AD335" s="33"/>
      <c r="AE335" s="33"/>
      <c r="AF335" s="33"/>
    </row>
    <row r="336" ht="22.5" customHeight="1">
      <c r="A336" s="23" t="s">
        <v>346</v>
      </c>
      <c r="B336" s="41">
        <v>46162.40127314815</v>
      </c>
      <c r="C336" s="23" t="s">
        <v>345</v>
      </c>
      <c r="D336" s="23" t="s">
        <v>535</v>
      </c>
      <c r="E336" s="25">
        <v>116.93</v>
      </c>
      <c r="F336" s="23" t="s">
        <v>608</v>
      </c>
      <c r="G336" s="26">
        <f>IF($E336=0,0,IF(SUMIF(Aux_Datos!$B:$B,$I336,Aux_Datos!$K:$K)/$E336&gt;=VLOOKUP(IF(COUNTIFS(Aux_Datos!$B:$B,$I336,Aux_Datos!$D:$D,"&lt;&gt;USD")=0,"USD","VES"),'Limites de Descuento'!$A$2:$D$4,4,FALSE),MAX(0,1-SUMIF(Aux_Datos!$B:$B,$I336,Aux_Datos!$K:$K)/$E336),0))</f>
        <v>0</v>
      </c>
      <c r="H336" s="27"/>
      <c r="I336" s="28">
        <f t="shared" si="14"/>
        <v>417</v>
      </c>
      <c r="J336" s="29">
        <f t="shared" si="2"/>
        <v>46162</v>
      </c>
      <c r="K336" s="30">
        <f t="shared" si="3"/>
        <v>7</v>
      </c>
      <c r="L336" s="29">
        <f t="shared" si="4"/>
        <v>46170</v>
      </c>
      <c r="M336" s="30">
        <f t="shared" si="5"/>
        <v>116.93</v>
      </c>
      <c r="N336" s="32">
        <f t="shared" si="6"/>
        <v>30</v>
      </c>
      <c r="O336" s="33" t="str">
        <f t="shared" si="7"/>
        <v>VENCIDA</v>
      </c>
      <c r="P336" s="34">
        <f>LET(
  idVenta, I336&amp;"",
  montoTotal, M336,
  pagos, IFERROR(SUMIF(Aux_Datos!$B:$B, idVenta, Aux_Datos!$K:$K), 0),
  retenciones, IFERROR(SUMIF(Aux_Datos!$N:$N, idVenta, Aux_Datos!$R:$R), 0),
  pagos + retenciones
)</f>
        <v>0</v>
      </c>
      <c r="Q336" s="30" t="str">
        <f>IF(P336=0, "Sin Pago", 
  LET(
    idVenta, I336&amp;"",
    montoTotalPagado, P336,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36" s="30">
        <f t="shared" ref="R336:R458" si="17">M336-P336</f>
        <v>116.93</v>
      </c>
      <c r="S336" s="29" t="str">
        <f>IF(P336=0, "Sin Pago", 
  IFERROR(
    MAXIFS(Aux_Datos!$A:$A, Aux_Datos!$B:$B, I336&amp;""), 
    IFERROR(MAXIFS(Aux_Datos!$A:$A, Aux_Datos!$B:$B, VALUE(I336)), "Revisar ID")
  )
)</f>
        <v>Sin Pago</v>
      </c>
      <c r="T336" s="35" t="str">
        <f t="shared" si="9"/>
        <v>PENDIENTE</v>
      </c>
      <c r="U336" s="35" t="str">
        <f t="shared" si="10"/>
        <v>CRÍTICO: VENCIDA</v>
      </c>
      <c r="V336" s="32">
        <f t="shared" si="11"/>
        <v>0</v>
      </c>
      <c r="W336" s="36" t="str">
        <f>IF(P336=0, "Sin Pago", 
  LET(
    monedaPago, Q336, 
    descuentoAplicado, G336,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36" s="36" t="str">
        <f t="shared" si="12"/>
        <v/>
      </c>
      <c r="Y336" s="36">
        <v>0.0</v>
      </c>
      <c r="Z336" s="33" t="s">
        <v>641</v>
      </c>
      <c r="AA336" s="33"/>
      <c r="AB336" s="33"/>
      <c r="AC336" s="33"/>
      <c r="AD336" s="33"/>
      <c r="AE336" s="33"/>
      <c r="AF336" s="33"/>
    </row>
    <row r="337" ht="22.5" customHeight="1">
      <c r="A337" s="23" t="s">
        <v>836</v>
      </c>
      <c r="B337" s="41">
        <v>46162.43113425926</v>
      </c>
      <c r="C337" s="23" t="s">
        <v>52</v>
      </c>
      <c r="D337" s="23" t="s">
        <v>550</v>
      </c>
      <c r="E337" s="25">
        <v>81.54</v>
      </c>
      <c r="F337" s="23" t="s">
        <v>608</v>
      </c>
      <c r="G337" s="26">
        <f>IF($E337=0,0,IF(SUMIF(Aux_Datos!$B:$B,$I337,Aux_Datos!$K:$K)/$E337&gt;=VLOOKUP(IF(COUNTIFS(Aux_Datos!$B:$B,$I337,Aux_Datos!$D:$D,"&lt;&gt;USD")=0,"USD","VES"),'Limites de Descuento'!$A$2:$D$4,4,FALSE),MAX(0,1-SUMIF(Aux_Datos!$B:$B,$I337,Aux_Datos!$K:$K)/$E337),0))</f>
        <v>0.0434142752</v>
      </c>
      <c r="H337" s="27"/>
      <c r="I337" s="28">
        <f t="shared" si="14"/>
        <v>418</v>
      </c>
      <c r="J337" s="29">
        <f t="shared" si="2"/>
        <v>46162</v>
      </c>
      <c r="K337" s="30">
        <f t="shared" si="3"/>
        <v>7</v>
      </c>
      <c r="L337" s="29">
        <f t="shared" si="4"/>
        <v>46170</v>
      </c>
      <c r="M337" s="30">
        <f t="shared" si="5"/>
        <v>78</v>
      </c>
      <c r="N337" s="32">
        <f t="shared" si="6"/>
        <v>0</v>
      </c>
      <c r="O337" s="33" t="str">
        <f t="shared" si="7"/>
        <v>PAGADA</v>
      </c>
      <c r="P337" s="34">
        <f>LET(
  idVenta, I337&amp;"",
  montoTotal, M337,
  pagos, IFERROR(SUMIF(Aux_Datos!$B:$B, idVenta, Aux_Datos!$K:$K), 0),
  retenciones, IFERROR(SUMIF(Aux_Datos!$N:$N, idVenta, Aux_Datos!$R:$R), 0),
  pagos + retenciones
)</f>
        <v>78</v>
      </c>
      <c r="Q337" s="30" t="str">
        <f>IF(P337=0, "Sin Pago", 
  LET(
    idVenta, I337&amp;"",
    montoTotalPagado, P337,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37" s="30">
        <f t="shared" si="17"/>
        <v>0</v>
      </c>
      <c r="S337" s="29">
        <f>IF(P337=0, "Sin Pago", 
  IFERROR(
    MAXIFS(Aux_Datos!$A:$A, Aux_Datos!$B:$B, I337&amp;""), 
    IFERROR(MAXIFS(Aux_Datos!$A:$A, Aux_Datos!$B:$B, VALUE(I337)), "Revisar ID")
  )
)</f>
        <v>46174</v>
      </c>
      <c r="T337" s="35" t="str">
        <f t="shared" si="9"/>
        <v>PAGADA</v>
      </c>
      <c r="U337" s="35" t="str">
        <f t="shared" si="10"/>
        <v>SOLVENTE</v>
      </c>
      <c r="V337" s="32">
        <f t="shared" si="11"/>
        <v>0</v>
      </c>
      <c r="W337" s="36" t="str">
        <f>IF(P337=0, "Sin Pago", 
  LET(
    monedaPago, Q337, 
    descuentoAplicado, G337,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37" s="36" t="str">
        <f t="shared" si="12"/>
        <v/>
      </c>
      <c r="Y337" s="36">
        <v>78.0</v>
      </c>
      <c r="Z337" s="33" t="s">
        <v>596</v>
      </c>
      <c r="AA337" s="33"/>
      <c r="AB337" s="33"/>
      <c r="AC337" s="33"/>
      <c r="AD337" s="33"/>
      <c r="AE337" s="33"/>
      <c r="AF337" s="33"/>
    </row>
    <row r="338" ht="22.5" customHeight="1">
      <c r="A338" s="23" t="s">
        <v>11</v>
      </c>
      <c r="B338" s="41">
        <v>46162.45716435185</v>
      </c>
      <c r="C338" s="23" t="s">
        <v>5</v>
      </c>
      <c r="D338" s="23" t="s">
        <v>552</v>
      </c>
      <c r="E338" s="25">
        <v>336.93</v>
      </c>
      <c r="F338" s="23" t="s">
        <v>608</v>
      </c>
      <c r="G338" s="26">
        <f>IF($E338=0,0,IF(SUMIF(Aux_Datos!$B:$B,$I338,Aux_Datos!$K:$K)/$E338&gt;=VLOOKUP(IF(COUNTIFS(Aux_Datos!$B:$B,$I338,Aux_Datos!$D:$D,"&lt;&gt;USD")=0,"USD","VES"),'Limites de Descuento'!$A$2:$D$4,4,FALSE),MAX(0,1-SUMIF(Aux_Datos!$B:$B,$I338,Aux_Datos!$K:$K)/$E338),0))</f>
        <v>0</v>
      </c>
      <c r="H338" s="27"/>
      <c r="I338" s="28">
        <f t="shared" si="14"/>
        <v>419</v>
      </c>
      <c r="J338" s="29">
        <f t="shared" si="2"/>
        <v>46162</v>
      </c>
      <c r="K338" s="30">
        <f t="shared" si="3"/>
        <v>7</v>
      </c>
      <c r="L338" s="29">
        <f t="shared" si="4"/>
        <v>46170</v>
      </c>
      <c r="M338" s="30">
        <f t="shared" si="5"/>
        <v>336.93</v>
      </c>
      <c r="N338" s="32">
        <f t="shared" si="6"/>
        <v>30</v>
      </c>
      <c r="O338" s="33" t="str">
        <f t="shared" si="7"/>
        <v>VENCIDA</v>
      </c>
      <c r="P338" s="34">
        <f>LET(
  idVenta, I338&amp;"",
  montoTotal, M338,
  pagos, IFERROR(SUMIF(Aux_Datos!$B:$B, idVenta, Aux_Datos!$K:$K), 0),
  retenciones, IFERROR(SUMIF(Aux_Datos!$N:$N, idVenta, Aux_Datos!$R:$R), 0),
  pagos + retenciones
)</f>
        <v>213</v>
      </c>
      <c r="Q338" s="30" t="str">
        <f>IF(P338=0, "Sin Pago", 
  LET(
    idVenta, I338&amp;"",
    montoTotalPagado, P338,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38" s="30">
        <f t="shared" si="17"/>
        <v>123.93</v>
      </c>
      <c r="S338" s="29">
        <f>IF(P338=0, "Sin Pago", 
  IFERROR(
    MAXIFS(Aux_Datos!$A:$A, Aux_Datos!$B:$B, I338&amp;""), 
    IFERROR(MAXIFS(Aux_Datos!$A:$A, Aux_Datos!$B:$B, VALUE(I338)), "Revisar ID")
  )
)</f>
        <v>46163</v>
      </c>
      <c r="T338" s="35" t="str">
        <f t="shared" si="9"/>
        <v>PAGO PARCIAL</v>
      </c>
      <c r="U338" s="35" t="str">
        <f t="shared" si="10"/>
        <v>CRÍTICO: VENCIDA</v>
      </c>
      <c r="V338" s="32">
        <f t="shared" si="11"/>
        <v>37</v>
      </c>
      <c r="W338" s="36" t="str">
        <f>IF(P338=0, "Sin Pago", 
  LET(
    monedaPago, Q338, 
    descuentoAplicado, G338,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38" s="36" t="str">
        <f t="shared" si="12"/>
        <v/>
      </c>
      <c r="Y338" s="36">
        <v>213.0</v>
      </c>
      <c r="Z338" s="33" t="s">
        <v>609</v>
      </c>
      <c r="AA338" s="33"/>
      <c r="AB338" s="33"/>
      <c r="AC338" s="33"/>
      <c r="AD338" s="33"/>
      <c r="AE338" s="33"/>
      <c r="AF338" s="33"/>
    </row>
    <row r="339" ht="22.5" customHeight="1">
      <c r="A339" s="23" t="s">
        <v>348</v>
      </c>
      <c r="B339" s="41">
        <v>46162.460231481484</v>
      </c>
      <c r="C339" s="23" t="s">
        <v>347</v>
      </c>
      <c r="D339" s="23" t="s">
        <v>535</v>
      </c>
      <c r="E339" s="25">
        <v>333.86</v>
      </c>
      <c r="F339" s="23" t="s">
        <v>608</v>
      </c>
      <c r="G339" s="26">
        <f>IF($E339=0,0,IF(SUMIF(Aux_Datos!$B:$B,$I339,Aux_Datos!$K:$K)/$E339&gt;=VLOOKUP(IF(COUNTIFS(Aux_Datos!$B:$B,$I339,Aux_Datos!$D:$D,"&lt;&gt;USD")=0,"USD","VES"),'Limites de Descuento'!$A$2:$D$4,4,FALSE),MAX(0,1-SUMIF(Aux_Datos!$B:$B,$I339,Aux_Datos!$K:$K)/$E339),0))</f>
        <v>0</v>
      </c>
      <c r="H339" s="27"/>
      <c r="I339" s="28">
        <f t="shared" si="14"/>
        <v>420</v>
      </c>
      <c r="J339" s="29">
        <f t="shared" si="2"/>
        <v>46162</v>
      </c>
      <c r="K339" s="30">
        <f t="shared" si="3"/>
        <v>7</v>
      </c>
      <c r="L339" s="29">
        <f t="shared" si="4"/>
        <v>46170</v>
      </c>
      <c r="M339" s="30">
        <f t="shared" si="5"/>
        <v>333.86</v>
      </c>
      <c r="N339" s="32">
        <f t="shared" si="6"/>
        <v>30</v>
      </c>
      <c r="O339" s="33" t="str">
        <f t="shared" si="7"/>
        <v>VENCIDA</v>
      </c>
      <c r="P339" s="34">
        <f>LET(
  idVenta, I339&amp;"",
  montoTotal, M339,
  pagos, IFERROR(SUMIF(Aux_Datos!$B:$B, idVenta, Aux_Datos!$K:$K), 0),
  retenciones, IFERROR(SUMIF(Aux_Datos!$N:$N, idVenta, Aux_Datos!$R:$R), 0),
  pagos + retenciones
)</f>
        <v>0</v>
      </c>
      <c r="Q339" s="30" t="str">
        <f>IF(P339=0, "Sin Pago", 
  LET(
    idVenta, I339&amp;"",
    montoTotalPagado, P339,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39" s="30">
        <f t="shared" si="17"/>
        <v>333.86</v>
      </c>
      <c r="S339" s="29" t="str">
        <f>IF(P339=0, "Sin Pago", 
  IFERROR(
    MAXIFS(Aux_Datos!$A:$A, Aux_Datos!$B:$B, I339&amp;""), 
    IFERROR(MAXIFS(Aux_Datos!$A:$A, Aux_Datos!$B:$B, VALUE(I339)), "Revisar ID")
  )
)</f>
        <v>Sin Pago</v>
      </c>
      <c r="T339" s="35" t="str">
        <f t="shared" si="9"/>
        <v>PENDIENTE</v>
      </c>
      <c r="U339" s="35" t="str">
        <f t="shared" si="10"/>
        <v>CRÍTICO: VENCIDA</v>
      </c>
      <c r="V339" s="32">
        <f t="shared" si="11"/>
        <v>0</v>
      </c>
      <c r="W339" s="36" t="str">
        <f>IF(P339=0, "Sin Pago", 
  LET(
    monedaPago, Q339, 
    descuentoAplicado, G339,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39" s="36" t="str">
        <f t="shared" si="12"/>
        <v/>
      </c>
      <c r="Y339" s="36">
        <v>0.0</v>
      </c>
      <c r="Z339" s="33" t="s">
        <v>641</v>
      </c>
      <c r="AA339" s="33"/>
      <c r="AB339" s="33"/>
      <c r="AC339" s="33"/>
      <c r="AD339" s="33"/>
      <c r="AE339" s="33"/>
      <c r="AF339" s="33"/>
    </row>
    <row r="340" ht="22.5" customHeight="1">
      <c r="A340" s="23" t="s">
        <v>172</v>
      </c>
      <c r="B340" s="41">
        <v>46162.65541666667</v>
      </c>
      <c r="C340" s="23" t="s">
        <v>170</v>
      </c>
      <c r="D340" s="23" t="s">
        <v>353</v>
      </c>
      <c r="E340" s="25">
        <v>1073.85</v>
      </c>
      <c r="F340" s="23" t="s">
        <v>608</v>
      </c>
      <c r="G340" s="26">
        <f>IF($E340=0,0,IF(SUMIF(Aux_Datos!$B:$B,$I340,Aux_Datos!$K:$K)/$E340&gt;=VLOOKUP(IF(COUNTIFS(Aux_Datos!$B:$B,$I340,Aux_Datos!$D:$D,"&lt;&gt;USD")=0,"USD","VES"),'Limites de Descuento'!$A$2:$D$4,4,FALSE),MAX(0,1-SUMIF(Aux_Datos!$B:$B,$I340,Aux_Datos!$K:$K)/$E340),0))</f>
        <v>0</v>
      </c>
      <c r="H340" s="27"/>
      <c r="I340" s="28">
        <f t="shared" si="14"/>
        <v>421</v>
      </c>
      <c r="J340" s="29">
        <f t="shared" si="2"/>
        <v>46162</v>
      </c>
      <c r="K340" s="30">
        <f t="shared" si="3"/>
        <v>7</v>
      </c>
      <c r="L340" s="29">
        <f t="shared" si="4"/>
        <v>46170</v>
      </c>
      <c r="M340" s="30">
        <f t="shared" si="5"/>
        <v>1073.85</v>
      </c>
      <c r="N340" s="32">
        <f t="shared" si="6"/>
        <v>30</v>
      </c>
      <c r="O340" s="33" t="str">
        <f t="shared" si="7"/>
        <v>VENCIDA</v>
      </c>
      <c r="P340" s="34">
        <f>LET(
  idVenta, I340&amp;"",
  montoTotal, M340,
  pagos, IFERROR(SUMIF(Aux_Datos!$B:$B, idVenta, Aux_Datos!$K:$K), 0),
  retenciones, IFERROR(SUMIF(Aux_Datos!$N:$N, idVenta, Aux_Datos!$R:$R), 0),
  pagos + retenciones
)</f>
        <v>0</v>
      </c>
      <c r="Q340" s="30" t="str">
        <f>IF(P340=0, "Sin Pago", 
  LET(
    idVenta, I340&amp;"",
    montoTotalPagado, P340,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40" s="30">
        <f t="shared" si="17"/>
        <v>1073.85</v>
      </c>
      <c r="S340" s="29" t="str">
        <f>IF(P340=0, "Sin Pago", 
  IFERROR(
    MAXIFS(Aux_Datos!$A:$A, Aux_Datos!$B:$B, I340&amp;""), 
    IFERROR(MAXIFS(Aux_Datos!$A:$A, Aux_Datos!$B:$B, VALUE(I340)), "Revisar ID")
  )
)</f>
        <v>Sin Pago</v>
      </c>
      <c r="T340" s="35" t="str">
        <f t="shared" si="9"/>
        <v>PENDIENTE</v>
      </c>
      <c r="U340" s="35" t="str">
        <f t="shared" si="10"/>
        <v>CRÍTICO: VENCIDA</v>
      </c>
      <c r="V340" s="32">
        <f t="shared" si="11"/>
        <v>0</v>
      </c>
      <c r="W340" s="36" t="str">
        <f>IF(P340=0, "Sin Pago", 
  LET(
    monedaPago, Q340, 
    descuentoAplicado, G340,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40" s="36" t="str">
        <f t="shared" si="12"/>
        <v/>
      </c>
      <c r="Y340" s="36">
        <v>0.0</v>
      </c>
      <c r="Z340" s="33" t="s">
        <v>641</v>
      </c>
      <c r="AA340" s="33"/>
      <c r="AB340" s="33"/>
      <c r="AC340" s="33"/>
      <c r="AD340" s="33"/>
      <c r="AE340" s="33"/>
      <c r="AF340" s="33"/>
    </row>
    <row r="341" ht="22.5" customHeight="1">
      <c r="A341" s="23" t="s">
        <v>296</v>
      </c>
      <c r="B341" s="41">
        <v>46162.65587962963</v>
      </c>
      <c r="C341" s="23" t="s">
        <v>295</v>
      </c>
      <c r="D341" s="23" t="s">
        <v>552</v>
      </c>
      <c r="E341" s="25">
        <v>193.85</v>
      </c>
      <c r="F341" s="23" t="s">
        <v>608</v>
      </c>
      <c r="G341" s="26">
        <f>IF($E341=0,0,IF(SUMIF(Aux_Datos!$B:$B,$I341,Aux_Datos!$K:$K)/$E341&gt;=VLOOKUP(IF(COUNTIFS(Aux_Datos!$B:$B,$I341,Aux_Datos!$D:$D,"&lt;&gt;USD")=0,"USD","VES"),'Limites de Descuento'!$A$2:$D$4,4,FALSE),MAX(0,1-SUMIF(Aux_Datos!$B:$B,$I341,Aux_Datos!$K:$K)/$E341),0))</f>
        <v>0</v>
      </c>
      <c r="H341" s="27"/>
      <c r="I341" s="28">
        <f t="shared" si="14"/>
        <v>422</v>
      </c>
      <c r="J341" s="29">
        <f t="shared" si="2"/>
        <v>46162</v>
      </c>
      <c r="K341" s="30">
        <f t="shared" si="3"/>
        <v>7</v>
      </c>
      <c r="L341" s="29">
        <f t="shared" si="4"/>
        <v>46170</v>
      </c>
      <c r="M341" s="30">
        <f t="shared" si="5"/>
        <v>193.85</v>
      </c>
      <c r="N341" s="32">
        <f t="shared" si="6"/>
        <v>30</v>
      </c>
      <c r="O341" s="33" t="str">
        <f t="shared" si="7"/>
        <v>VENCIDA</v>
      </c>
      <c r="P341" s="34">
        <f>LET(
  idVenta, I341&amp;"",
  montoTotal, M341,
  pagos, IFERROR(SUMIF(Aux_Datos!$B:$B, idVenta, Aux_Datos!$K:$K), 0),
  retenciones, IFERROR(SUMIF(Aux_Datos!$N:$N, idVenta, Aux_Datos!$R:$R), 0),
  pagos + retenciones
)</f>
        <v>126</v>
      </c>
      <c r="Q341" s="30" t="str">
        <f>IF(P341=0, "Sin Pago", 
  LET(
    idVenta, I341&amp;"",
    montoTotalPagado, P341,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41" s="30">
        <f t="shared" si="17"/>
        <v>67.85</v>
      </c>
      <c r="S341" s="29">
        <f>IF(P341=0, "Sin Pago", 
  IFERROR(
    MAXIFS(Aux_Datos!$A:$A, Aux_Datos!$B:$B, I341&amp;""), 
    IFERROR(MAXIFS(Aux_Datos!$A:$A, Aux_Datos!$B:$B, VALUE(I341)), "Revisar ID")
  )
)</f>
        <v>46190</v>
      </c>
      <c r="T341" s="35" t="str">
        <f t="shared" si="9"/>
        <v>PAGO PARCIAL</v>
      </c>
      <c r="U341" s="35" t="str">
        <f t="shared" si="10"/>
        <v>CRÍTICO: VENCIDA</v>
      </c>
      <c r="V341" s="32">
        <f t="shared" si="11"/>
        <v>10</v>
      </c>
      <c r="W341" s="36" t="str">
        <f>IF(P341=0, "Sin Pago", 
  LET(
    monedaPago, Q341, 
    descuentoAplicado, G341,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41" s="36" t="str">
        <f t="shared" si="12"/>
        <v/>
      </c>
      <c r="Y341" s="36">
        <v>126.0</v>
      </c>
      <c r="Z341" s="33" t="s">
        <v>609</v>
      </c>
      <c r="AA341" s="33"/>
      <c r="AB341" s="33"/>
      <c r="AC341" s="33"/>
      <c r="AD341" s="33"/>
      <c r="AE341" s="33"/>
      <c r="AF341" s="33"/>
    </row>
    <row r="342" ht="22.5" customHeight="1">
      <c r="A342" s="23" t="s">
        <v>344</v>
      </c>
      <c r="B342" s="41">
        <v>46162.65568287037</v>
      </c>
      <c r="C342" s="23" t="s">
        <v>343</v>
      </c>
      <c r="D342" s="23" t="s">
        <v>552</v>
      </c>
      <c r="E342" s="25">
        <v>721.55</v>
      </c>
      <c r="F342" s="23" t="s">
        <v>608</v>
      </c>
      <c r="G342" s="26">
        <f>IF($E342=0,0,IF(SUMIF(Aux_Datos!$B:$B,$I342,Aux_Datos!$K:$K)/$E342&gt;=VLOOKUP(IF(COUNTIFS(Aux_Datos!$B:$B,$I342,Aux_Datos!$D:$D,"&lt;&gt;USD")=0,"USD","VES"),'Limites de Descuento'!$A$2:$D$4,4,FALSE),MAX(0,1-SUMIF(Aux_Datos!$B:$B,$I342,Aux_Datos!$K:$K)/$E342),0))</f>
        <v>0</v>
      </c>
      <c r="H342" s="27"/>
      <c r="I342" s="28">
        <f t="shared" si="14"/>
        <v>423</v>
      </c>
      <c r="J342" s="29">
        <f t="shared" si="2"/>
        <v>46162</v>
      </c>
      <c r="K342" s="30">
        <f t="shared" si="3"/>
        <v>7</v>
      </c>
      <c r="L342" s="29">
        <f t="shared" si="4"/>
        <v>46170</v>
      </c>
      <c r="M342" s="30">
        <f t="shared" si="5"/>
        <v>721.55</v>
      </c>
      <c r="N342" s="32">
        <f t="shared" si="6"/>
        <v>30</v>
      </c>
      <c r="O342" s="33" t="str">
        <f t="shared" si="7"/>
        <v>VENCIDA</v>
      </c>
      <c r="P342" s="34">
        <f>LET(
  idVenta, I342&amp;"",
  montoTotal, M342,
  pagos, IFERROR(SUMIF(Aux_Datos!$B:$B, idVenta, Aux_Datos!$K:$K), 0),
  retenciones, IFERROR(SUMIF(Aux_Datos!$N:$N, idVenta, Aux_Datos!$R:$R), 0),
  pagos + retenciones
)</f>
        <v>0</v>
      </c>
      <c r="Q342" s="30" t="str">
        <f>IF(P342=0, "Sin Pago", 
  LET(
    idVenta, I342&amp;"",
    montoTotalPagado, P342,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42" s="30">
        <f t="shared" si="17"/>
        <v>721.55</v>
      </c>
      <c r="S342" s="29" t="str">
        <f>IF(P342=0, "Sin Pago", 
  IFERROR(
    MAXIFS(Aux_Datos!$A:$A, Aux_Datos!$B:$B, I342&amp;""), 
    IFERROR(MAXIFS(Aux_Datos!$A:$A, Aux_Datos!$B:$B, VALUE(I342)), "Revisar ID")
  )
)</f>
        <v>Sin Pago</v>
      </c>
      <c r="T342" s="35" t="str">
        <f t="shared" si="9"/>
        <v>PENDIENTE</v>
      </c>
      <c r="U342" s="35" t="str">
        <f t="shared" si="10"/>
        <v>CRÍTICO: VENCIDA</v>
      </c>
      <c r="V342" s="32">
        <f t="shared" si="11"/>
        <v>0</v>
      </c>
      <c r="W342" s="36" t="str">
        <f>IF(P342=0, "Sin Pago", 
  LET(
    monedaPago, Q342, 
    descuentoAplicado, G342,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42" s="36" t="str">
        <f t="shared" si="12"/>
        <v/>
      </c>
      <c r="Y342" s="36">
        <v>0.0</v>
      </c>
      <c r="Z342" s="33" t="s">
        <v>641</v>
      </c>
      <c r="AA342" s="33"/>
      <c r="AB342" s="33"/>
      <c r="AC342" s="33"/>
      <c r="AD342" s="33"/>
      <c r="AE342" s="33"/>
      <c r="AF342" s="33"/>
    </row>
    <row r="343" ht="22.5" customHeight="1">
      <c r="A343" s="23" t="s">
        <v>837</v>
      </c>
      <c r="B343" s="41">
        <v>46162.71738425926</v>
      </c>
      <c r="C343" s="23" t="s">
        <v>838</v>
      </c>
      <c r="D343" s="23" t="s">
        <v>544</v>
      </c>
      <c r="E343" s="25">
        <v>1304.58</v>
      </c>
      <c r="F343" s="23" t="s">
        <v>640</v>
      </c>
      <c r="G343" s="26">
        <f>IF($E343=0,0,IF(SUMIF(Aux_Datos!$B:$B,$I343,Aux_Datos!$K:$K)/$E343&gt;=VLOOKUP(IF(COUNTIFS(Aux_Datos!$B:$B,$I343,Aux_Datos!$D:$D,"&lt;&gt;USD")=0,"USD","VES"),'Limites de Descuento'!$A$2:$D$4,4,FALSE),MAX(0,1-SUMIF(Aux_Datos!$B:$B,$I343,Aux_Datos!$K:$K)/$E343),0))</f>
        <v>0</v>
      </c>
      <c r="H343" s="27"/>
      <c r="I343" s="28">
        <f t="shared" si="14"/>
        <v>424</v>
      </c>
      <c r="J343" s="29">
        <f t="shared" si="2"/>
        <v>46162</v>
      </c>
      <c r="K343" s="30">
        <f t="shared" si="3"/>
        <v>45</v>
      </c>
      <c r="L343" s="29">
        <f t="shared" si="4"/>
        <v>46208</v>
      </c>
      <c r="M343" s="30">
        <f t="shared" si="5"/>
        <v>1304.58</v>
      </c>
      <c r="N343" s="32">
        <f t="shared" si="6"/>
        <v>0</v>
      </c>
      <c r="O343" s="33" t="str">
        <f t="shared" si="7"/>
        <v>EN TIEMPO</v>
      </c>
      <c r="P343" s="34">
        <f>LET(
  idVenta, I343&amp;"",
  montoTotal, M343,
  pagos, IFERROR(SUMIF(Aux_Datos!$B:$B, idVenta, Aux_Datos!$K:$K), 0),
  retenciones, IFERROR(SUMIF(Aux_Datos!$N:$N, idVenta, Aux_Datos!$R:$R), 0),
  pagos + retenciones
)</f>
        <v>743.3868314</v>
      </c>
      <c r="Q343" s="30" t="str">
        <f>IF(P343=0, "Sin Pago", 
  LET(
    idVenta, I343&amp;"",
    montoTotalPagado, P343,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343" s="30">
        <f t="shared" si="17"/>
        <v>561.1931686</v>
      </c>
      <c r="S343" s="29">
        <f>IF(P343=0, "Sin Pago", 
  IFERROR(
    MAXIFS(Aux_Datos!$A:$A, Aux_Datos!$B:$B, I343&amp;""), 
    IFERROR(MAXIFS(Aux_Datos!$A:$A, Aux_Datos!$B:$B, VALUE(I343)), "Revisar ID")
  )
)</f>
        <v>46174</v>
      </c>
      <c r="T343" s="35" t="str">
        <f t="shared" si="9"/>
        <v>PAGO PARCIAL</v>
      </c>
      <c r="U343" s="35" t="str">
        <f t="shared" si="10"/>
        <v>EN TIEMPO</v>
      </c>
      <c r="V343" s="32">
        <f t="shared" si="11"/>
        <v>26</v>
      </c>
      <c r="W343" s="36" t="str">
        <f>IF(P343=0, "Sin Pago", 
  LET(
    monedaPago, Q343, 
    descuentoAplicado, G343,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43" s="36" t="str">
        <f t="shared" si="12"/>
        <v/>
      </c>
      <c r="Y343" s="36">
        <v>743.3868313515263</v>
      </c>
      <c r="Z343" s="33" t="s">
        <v>609</v>
      </c>
      <c r="AA343" s="33"/>
      <c r="AB343" s="33"/>
      <c r="AC343" s="33"/>
      <c r="AD343" s="33"/>
      <c r="AE343" s="33"/>
      <c r="AF343" s="33"/>
    </row>
    <row r="344" ht="22.5" customHeight="1">
      <c r="A344" s="23" t="s">
        <v>17</v>
      </c>
      <c r="B344" s="41">
        <v>46162.738275462965</v>
      </c>
      <c r="C344" s="23" t="s">
        <v>14</v>
      </c>
      <c r="D344" s="23" t="s">
        <v>353</v>
      </c>
      <c r="E344" s="25">
        <v>321.55</v>
      </c>
      <c r="F344" s="23" t="s">
        <v>608</v>
      </c>
      <c r="G344" s="26">
        <f>IF($E344=0,0,IF(SUMIF(Aux_Datos!$B:$B,$I344,Aux_Datos!$K:$K)/$E344&gt;=VLOOKUP(IF(COUNTIFS(Aux_Datos!$B:$B,$I344,Aux_Datos!$D:$D,"&lt;&gt;USD")=0,"USD","VES"),'Limites de Descuento'!$A$2:$D$4,4,FALSE),MAX(0,1-SUMIF(Aux_Datos!$B:$B,$I344,Aux_Datos!$K:$K)/$E344),0))</f>
        <v>0</v>
      </c>
      <c r="H344" s="27"/>
      <c r="I344" s="28">
        <f t="shared" si="14"/>
        <v>425</v>
      </c>
      <c r="J344" s="29">
        <f t="shared" si="2"/>
        <v>46162</v>
      </c>
      <c r="K344" s="30">
        <f t="shared" si="3"/>
        <v>7</v>
      </c>
      <c r="L344" s="29">
        <f t="shared" si="4"/>
        <v>46170</v>
      </c>
      <c r="M344" s="30">
        <f t="shared" si="5"/>
        <v>321.55</v>
      </c>
      <c r="N344" s="32">
        <f t="shared" si="6"/>
        <v>30</v>
      </c>
      <c r="O344" s="33" t="str">
        <f t="shared" si="7"/>
        <v>VENCIDA</v>
      </c>
      <c r="P344" s="34">
        <f>LET(
  idVenta, I344&amp;"",
  montoTotal, M344,
  pagos, IFERROR(SUMIF(Aux_Datos!$B:$B, idVenta, Aux_Datos!$K:$K), 0),
  retenciones, IFERROR(SUMIF(Aux_Datos!$N:$N, idVenta, Aux_Datos!$R:$R), 0),
  pagos + retenciones
)</f>
        <v>191</v>
      </c>
      <c r="Q344" s="30" t="str">
        <f>IF(P344=0, "Sin Pago", 
  LET(
    idVenta, I344&amp;"",
    montoTotalPagado, P344,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44" s="30">
        <f t="shared" si="17"/>
        <v>130.55</v>
      </c>
      <c r="S344" s="29">
        <f>IF(P344=0, "Sin Pago", 
  IFERROR(
    MAXIFS(Aux_Datos!$A:$A, Aux_Datos!$B:$B, I344&amp;""), 
    IFERROR(MAXIFS(Aux_Datos!$A:$A, Aux_Datos!$B:$B, VALUE(I344)), "Revisar ID")
  )
)</f>
        <v>46163</v>
      </c>
      <c r="T344" s="35" t="str">
        <f t="shared" si="9"/>
        <v>PAGO PARCIAL</v>
      </c>
      <c r="U344" s="35" t="str">
        <f t="shared" si="10"/>
        <v>CRÍTICO: VENCIDA</v>
      </c>
      <c r="V344" s="32">
        <f t="shared" si="11"/>
        <v>37</v>
      </c>
      <c r="W344" s="36" t="str">
        <f>IF(P344=0, "Sin Pago", 
  LET(
    monedaPago, Q344, 
    descuentoAplicado, G344,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44" s="36" t="str">
        <f t="shared" si="12"/>
        <v/>
      </c>
      <c r="Y344" s="36">
        <v>191.0</v>
      </c>
      <c r="Z344" s="33" t="s">
        <v>609</v>
      </c>
      <c r="AA344" s="33"/>
      <c r="AB344" s="33"/>
      <c r="AC344" s="33"/>
      <c r="AD344" s="33"/>
      <c r="AE344" s="33"/>
      <c r="AF344" s="33"/>
    </row>
    <row r="345" ht="22.5" customHeight="1">
      <c r="A345" s="23" t="s">
        <v>379</v>
      </c>
      <c r="B345" s="41">
        <v>46162.739803240744</v>
      </c>
      <c r="C345" s="23" t="s">
        <v>378</v>
      </c>
      <c r="D345" s="23" t="s">
        <v>323</v>
      </c>
      <c r="E345" s="25">
        <v>233.86</v>
      </c>
      <c r="F345" s="23" t="s">
        <v>619</v>
      </c>
      <c r="G345" s="26">
        <f>IF($E345=0,0,IF(SUMIF(Aux_Datos!$B:$B,$I345,Aux_Datos!$K:$K)/$E345&gt;=VLOOKUP(IF(COUNTIFS(Aux_Datos!$B:$B,$I345,Aux_Datos!$D:$D,"&lt;&gt;USD")=0,"USD","VES"),'Limites de Descuento'!$A$2:$D$4,4,FALSE),MAX(0,1-SUMIF(Aux_Datos!$B:$B,$I345,Aux_Datos!$K:$K)/$E345),0))</f>
        <v>0</v>
      </c>
      <c r="H345" s="27"/>
      <c r="I345" s="28">
        <f t="shared" si="14"/>
        <v>426</v>
      </c>
      <c r="J345" s="29">
        <f t="shared" si="2"/>
        <v>46162</v>
      </c>
      <c r="K345" s="30">
        <f t="shared" si="3"/>
        <v>15</v>
      </c>
      <c r="L345" s="29">
        <f t="shared" si="4"/>
        <v>46178</v>
      </c>
      <c r="M345" s="30">
        <f t="shared" si="5"/>
        <v>233.86</v>
      </c>
      <c r="N345" s="32">
        <f t="shared" si="6"/>
        <v>22</v>
      </c>
      <c r="O345" s="33" t="str">
        <f t="shared" si="7"/>
        <v>VENCIDA</v>
      </c>
      <c r="P345" s="34">
        <f>LET(
  idVenta, I345&amp;"",
  montoTotal, M345,
  pagos, IFERROR(SUMIF(Aux_Datos!$B:$B, idVenta, Aux_Datos!$K:$K), 0),
  retenciones, IFERROR(SUMIF(Aux_Datos!$N:$N, idVenta, Aux_Datos!$R:$R), 0),
  pagos + retenciones
)</f>
        <v>0</v>
      </c>
      <c r="Q345" s="30" t="str">
        <f>IF(P345=0, "Sin Pago", 
  LET(
    idVenta, I345&amp;"",
    montoTotalPagado, P345,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45" s="30">
        <f t="shared" si="17"/>
        <v>233.86</v>
      </c>
      <c r="S345" s="29" t="str">
        <f>IF(P345=0, "Sin Pago", 
  IFERROR(
    MAXIFS(Aux_Datos!$A:$A, Aux_Datos!$B:$B, I345&amp;""), 
    IFERROR(MAXIFS(Aux_Datos!$A:$A, Aux_Datos!$B:$B, VALUE(I345)), "Revisar ID")
  )
)</f>
        <v>Sin Pago</v>
      </c>
      <c r="T345" s="35" t="str">
        <f t="shared" si="9"/>
        <v>PENDIENTE</v>
      </c>
      <c r="U345" s="35" t="str">
        <f t="shared" si="10"/>
        <v>CRÍTICO: VENCIDA</v>
      </c>
      <c r="V345" s="32">
        <f t="shared" si="11"/>
        <v>0</v>
      </c>
      <c r="W345" s="36" t="str">
        <f>IF(P345=0, "Sin Pago", 
  LET(
    monedaPago, Q345, 
    descuentoAplicado, G345,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45" s="36" t="str">
        <f t="shared" si="12"/>
        <v/>
      </c>
      <c r="Y345" s="36">
        <v>0.0</v>
      </c>
      <c r="Z345" s="33" t="s">
        <v>641</v>
      </c>
      <c r="AA345" s="33"/>
      <c r="AB345" s="33"/>
      <c r="AC345" s="33"/>
      <c r="AD345" s="33"/>
      <c r="AE345" s="33"/>
      <c r="AF345" s="33"/>
    </row>
    <row r="346" ht="22.5" customHeight="1">
      <c r="A346" s="23" t="s">
        <v>23</v>
      </c>
      <c r="B346" s="41">
        <v>46168.42005787037</v>
      </c>
      <c r="C346" s="23" t="s">
        <v>19</v>
      </c>
      <c r="D346" s="23" t="s">
        <v>208</v>
      </c>
      <c r="E346" s="25">
        <v>8147.67</v>
      </c>
      <c r="F346" s="23" t="s">
        <v>608</v>
      </c>
      <c r="G346" s="26">
        <f>IF($E346=0,0,IF(SUMIF(Aux_Datos!$B:$B,$I346,Aux_Datos!$K:$K)/$E346&gt;=VLOOKUP(IF(COUNTIFS(Aux_Datos!$B:$B,$I346,Aux_Datos!$D:$D,"&lt;&gt;USD")=0,"USD","VES"),'Limites de Descuento'!$A$2:$D$4,4,FALSE),MAX(0,1-SUMIF(Aux_Datos!$B:$B,$I346,Aux_Datos!$K:$K)/$E346),0))</f>
        <v>0</v>
      </c>
      <c r="H346" s="27"/>
      <c r="I346" s="28">
        <f t="shared" si="14"/>
        <v>427</v>
      </c>
      <c r="J346" s="29">
        <f t="shared" si="2"/>
        <v>46168</v>
      </c>
      <c r="K346" s="30">
        <f t="shared" si="3"/>
        <v>7</v>
      </c>
      <c r="L346" s="29">
        <f t="shared" si="4"/>
        <v>46176</v>
      </c>
      <c r="M346" s="30">
        <f t="shared" si="5"/>
        <v>8147.67</v>
      </c>
      <c r="N346" s="32">
        <f t="shared" si="6"/>
        <v>24</v>
      </c>
      <c r="O346" s="33" t="str">
        <f t="shared" si="7"/>
        <v>VENCIDA</v>
      </c>
      <c r="P346" s="34">
        <f>LET(
  idVenta, I346&amp;"",
  montoTotal, M346,
  pagos, IFERROR(SUMIF(Aux_Datos!$B:$B, idVenta, Aux_Datos!$K:$K), 0),
  retenciones, IFERROR(SUMIF(Aux_Datos!$N:$N, idVenta, Aux_Datos!$R:$R), 0),
  pagos + retenciones
)</f>
        <v>2715.890001</v>
      </c>
      <c r="Q346" s="30" t="str">
        <f>IF(P346=0, "Sin Pago", 
  LET(
    idVenta, I346&amp;"",
    montoTotalPagado, P346,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346" s="30">
        <f t="shared" si="17"/>
        <v>5431.779999</v>
      </c>
      <c r="S346" s="29">
        <f>IF(P346=0, "Sin Pago", 
  IFERROR(
    MAXIFS(Aux_Datos!$A:$A, Aux_Datos!$B:$B, I346&amp;""), 
    IFERROR(MAXIFS(Aux_Datos!$A:$A, Aux_Datos!$B:$B, VALUE(I346)), "Revisar ID")
  )
)</f>
        <v>46181</v>
      </c>
      <c r="T346" s="35" t="str">
        <f t="shared" si="9"/>
        <v>PAGO PARCIAL</v>
      </c>
      <c r="U346" s="35" t="str">
        <f t="shared" si="10"/>
        <v>CRÍTICO: VENCIDA</v>
      </c>
      <c r="V346" s="32">
        <f t="shared" si="11"/>
        <v>19</v>
      </c>
      <c r="W346" s="36" t="str">
        <f>IF(P346=0, "Sin Pago", 
  LET(
    monedaPago, Q346, 
    descuentoAplicado, G346,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46" s="36" t="str">
        <f t="shared" si="12"/>
        <v/>
      </c>
      <c r="Y346" s="36">
        <v>2715.890000542556</v>
      </c>
      <c r="Z346" s="33" t="s">
        <v>609</v>
      </c>
      <c r="AA346" s="33"/>
      <c r="AB346" s="33"/>
      <c r="AC346" s="33"/>
      <c r="AD346" s="33"/>
      <c r="AE346" s="33"/>
      <c r="AF346" s="33"/>
    </row>
    <row r="347" ht="22.5" customHeight="1">
      <c r="A347" s="23" t="s">
        <v>839</v>
      </c>
      <c r="B347" s="41">
        <v>46163.43133101852</v>
      </c>
      <c r="C347" s="23" t="s">
        <v>139</v>
      </c>
      <c r="D347" s="23" t="s">
        <v>550</v>
      </c>
      <c r="E347" s="25">
        <v>216.93</v>
      </c>
      <c r="F347" s="23" t="s">
        <v>608</v>
      </c>
      <c r="G347" s="26">
        <f>IF($E347=0,0,IF(SUMIF(Aux_Datos!$B:$B,$I347,Aux_Datos!$K:$K)/$E347&gt;=VLOOKUP(IF(COUNTIFS(Aux_Datos!$B:$B,$I347,Aux_Datos!$D:$D,"&lt;&gt;USD")=0,"USD","VES"),'Limites de Descuento'!$A$2:$D$4,4,FALSE),MAX(0,1-SUMIF(Aux_Datos!$B:$B,$I347,Aux_Datos!$K:$K)/$E347),0))</f>
        <v>0</v>
      </c>
      <c r="H347" s="27"/>
      <c r="I347" s="28">
        <f t="shared" si="14"/>
        <v>428</v>
      </c>
      <c r="J347" s="29">
        <f t="shared" si="2"/>
        <v>46163</v>
      </c>
      <c r="K347" s="30">
        <f t="shared" si="3"/>
        <v>7</v>
      </c>
      <c r="L347" s="29">
        <f t="shared" si="4"/>
        <v>46171</v>
      </c>
      <c r="M347" s="30">
        <f t="shared" si="5"/>
        <v>216.93</v>
      </c>
      <c r="N347" s="32">
        <f t="shared" si="6"/>
        <v>0</v>
      </c>
      <c r="O347" s="33" t="str">
        <f t="shared" si="7"/>
        <v>PAGADA</v>
      </c>
      <c r="P347" s="34">
        <f>LET(
  idVenta, I347&amp;"",
  montoTotal, M347,
  pagos, IFERROR(SUMIF(Aux_Datos!$B:$B, idVenta, Aux_Datos!$K:$K), 0),
  retenciones, IFERROR(SUMIF(Aux_Datos!$N:$N, idVenta, Aux_Datos!$R:$R), 0),
  pagos + retenciones
)</f>
        <v>358</v>
      </c>
      <c r="Q347" s="30" t="str">
        <f>IF(P347=0, "Sin Pago", 
  LET(
    idVenta, I347&amp;"",
    montoTotalPagado, P347,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47" s="30">
        <f t="shared" si="17"/>
        <v>-141.07</v>
      </c>
      <c r="S347" s="29">
        <f>IF(P347=0, "Sin Pago", 
  IFERROR(
    MAXIFS(Aux_Datos!$A:$A, Aux_Datos!$B:$B, I347&amp;""), 
    IFERROR(MAXIFS(Aux_Datos!$A:$A, Aux_Datos!$B:$B, VALUE(I347)), "Revisar ID")
  )
)</f>
        <v>46178</v>
      </c>
      <c r="T347" s="35" t="str">
        <f t="shared" si="9"/>
        <v>PAGADA</v>
      </c>
      <c r="U347" s="35" t="str">
        <f t="shared" si="10"/>
        <v>SOLVENTE</v>
      </c>
      <c r="V347" s="32">
        <f t="shared" si="11"/>
        <v>0</v>
      </c>
      <c r="W347" s="36" t="str">
        <f>IF(P347=0, "Sin Pago", 
  LET(
    monedaPago, Q347, 
    descuentoAplicado, G347,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47" s="36" t="str">
        <f t="shared" si="12"/>
        <v/>
      </c>
      <c r="Y347" s="36">
        <v>358.0</v>
      </c>
      <c r="Z347" s="33" t="s">
        <v>596</v>
      </c>
      <c r="AA347" s="33"/>
      <c r="AB347" s="33"/>
      <c r="AC347" s="33"/>
      <c r="AD347" s="33"/>
      <c r="AE347" s="33"/>
      <c r="AF347" s="33"/>
    </row>
    <row r="348" ht="22.5" customHeight="1">
      <c r="A348" s="23" t="s">
        <v>352</v>
      </c>
      <c r="B348" s="41">
        <v>46163.54467592593</v>
      </c>
      <c r="C348" s="23" t="s">
        <v>351</v>
      </c>
      <c r="D348" s="23" t="s">
        <v>552</v>
      </c>
      <c r="E348" s="25">
        <v>395.38</v>
      </c>
      <c r="F348" s="23" t="s">
        <v>608</v>
      </c>
      <c r="G348" s="26">
        <f>IF($E348=0,0,IF(SUMIF(Aux_Datos!$B:$B,$I348,Aux_Datos!$K:$K)/$E348&gt;=VLOOKUP(IF(COUNTIFS(Aux_Datos!$B:$B,$I348,Aux_Datos!$D:$D,"&lt;&gt;USD")=0,"USD","VES"),'Limites de Descuento'!$A$2:$D$4,4,FALSE),MAX(0,1-SUMIF(Aux_Datos!$B:$B,$I348,Aux_Datos!$K:$K)/$E348),0))</f>
        <v>0</v>
      </c>
      <c r="H348" s="27"/>
      <c r="I348" s="28">
        <f t="shared" si="14"/>
        <v>429</v>
      </c>
      <c r="J348" s="29">
        <f t="shared" si="2"/>
        <v>46163</v>
      </c>
      <c r="K348" s="30">
        <f t="shared" si="3"/>
        <v>7</v>
      </c>
      <c r="L348" s="29">
        <f t="shared" si="4"/>
        <v>46171</v>
      </c>
      <c r="M348" s="30">
        <f t="shared" si="5"/>
        <v>395.38</v>
      </c>
      <c r="N348" s="32">
        <f t="shared" si="6"/>
        <v>29</v>
      </c>
      <c r="O348" s="33" t="str">
        <f t="shared" si="7"/>
        <v>VENCIDA</v>
      </c>
      <c r="P348" s="34">
        <f>LET(
  idVenta, I348&amp;"",
  montoTotal, M348,
  pagos, IFERROR(SUMIF(Aux_Datos!$B:$B, idVenta, Aux_Datos!$K:$K), 0),
  retenciones, IFERROR(SUMIF(Aux_Datos!$N:$N, idVenta, Aux_Datos!$R:$R), 0),
  pagos + retenciones
)</f>
        <v>155</v>
      </c>
      <c r="Q348" s="30" t="str">
        <f>IF(P348=0, "Sin Pago", 
  LET(
    idVenta, I348&amp;"",
    montoTotalPagado, P348,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48" s="30">
        <f t="shared" si="17"/>
        <v>240.38</v>
      </c>
      <c r="S348" s="29">
        <f>IF(P348=0, "Sin Pago", 
  IFERROR(
    MAXIFS(Aux_Datos!$A:$A, Aux_Datos!$B:$B, I348&amp;""), 
    IFERROR(MAXIFS(Aux_Datos!$A:$A, Aux_Datos!$B:$B, VALUE(I348)), "Revisar ID")
  )
)</f>
        <v>46192</v>
      </c>
      <c r="T348" s="35" t="str">
        <f t="shared" si="9"/>
        <v>PAGO PARCIAL</v>
      </c>
      <c r="U348" s="35" t="str">
        <f t="shared" si="10"/>
        <v>CRÍTICO: VENCIDA</v>
      </c>
      <c r="V348" s="32">
        <f t="shared" si="11"/>
        <v>8</v>
      </c>
      <c r="W348" s="36" t="str">
        <f>IF(P348=0, "Sin Pago", 
  LET(
    monedaPago, Q348, 
    descuentoAplicado, G348,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48" s="36" t="str">
        <f t="shared" si="12"/>
        <v/>
      </c>
      <c r="Y348" s="36">
        <v>155.0</v>
      </c>
      <c r="Z348" s="33" t="s">
        <v>609</v>
      </c>
      <c r="AA348" s="33"/>
      <c r="AB348" s="33"/>
      <c r="AC348" s="33"/>
      <c r="AD348" s="33"/>
      <c r="AE348" s="33"/>
      <c r="AF348" s="33"/>
    </row>
    <row r="349" ht="22.5" customHeight="1">
      <c r="A349" s="23" t="s">
        <v>58</v>
      </c>
      <c r="B349" s="41">
        <v>46163.553819444445</v>
      </c>
      <c r="C349" s="23" t="s">
        <v>56</v>
      </c>
      <c r="D349" s="23" t="s">
        <v>529</v>
      </c>
      <c r="E349" s="25">
        <v>1669.27</v>
      </c>
      <c r="F349" s="23" t="s">
        <v>608</v>
      </c>
      <c r="G349" s="26">
        <f>IF($E349=0,0,IF(SUMIF(Aux_Datos!$B:$B,$I349,Aux_Datos!$K:$K)/$E349&gt;=VLOOKUP(IF(COUNTIFS(Aux_Datos!$B:$B,$I349,Aux_Datos!$D:$D,"&lt;&gt;USD")=0,"USD","VES"),'Limites de Descuento'!$A$2:$D$4,4,FALSE),MAX(0,1-SUMIF(Aux_Datos!$B:$B,$I349,Aux_Datos!$K:$K)/$E349),0))</f>
        <v>0</v>
      </c>
      <c r="H349" s="27"/>
      <c r="I349" s="28">
        <f t="shared" si="14"/>
        <v>430</v>
      </c>
      <c r="J349" s="29">
        <f t="shared" si="2"/>
        <v>46163</v>
      </c>
      <c r="K349" s="30">
        <f t="shared" si="3"/>
        <v>7</v>
      </c>
      <c r="L349" s="29">
        <f t="shared" si="4"/>
        <v>46171</v>
      </c>
      <c r="M349" s="30">
        <f t="shared" si="5"/>
        <v>1669.27</v>
      </c>
      <c r="N349" s="32">
        <f t="shared" si="6"/>
        <v>29</v>
      </c>
      <c r="O349" s="33" t="str">
        <f t="shared" si="7"/>
        <v>VENCIDA</v>
      </c>
      <c r="P349" s="34">
        <f>LET(
  idVenta, I349&amp;"",
  montoTotal, M349,
  pagos, IFERROR(SUMIF(Aux_Datos!$B:$B, idVenta, Aux_Datos!$K:$K), 0),
  retenciones, IFERROR(SUMIF(Aux_Datos!$N:$N, idVenta, Aux_Datos!$R:$R), 0),
  pagos + retenciones
)</f>
        <v>0</v>
      </c>
      <c r="Q349" s="30" t="str">
        <f>IF(P349=0, "Sin Pago", 
  LET(
    idVenta, I349&amp;"",
    montoTotalPagado, P349,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49" s="30">
        <f t="shared" si="17"/>
        <v>1669.27</v>
      </c>
      <c r="S349" s="29" t="str">
        <f>IF(P349=0, "Sin Pago", 
  IFERROR(
    MAXIFS(Aux_Datos!$A:$A, Aux_Datos!$B:$B, I349&amp;""), 
    IFERROR(MAXIFS(Aux_Datos!$A:$A, Aux_Datos!$B:$B, VALUE(I349)), "Revisar ID")
  )
)</f>
        <v>Sin Pago</v>
      </c>
      <c r="T349" s="35" t="str">
        <f t="shared" si="9"/>
        <v>PENDIENTE</v>
      </c>
      <c r="U349" s="35" t="str">
        <f t="shared" si="10"/>
        <v>CRÍTICO: VENCIDA</v>
      </c>
      <c r="V349" s="32">
        <f t="shared" si="11"/>
        <v>0</v>
      </c>
      <c r="W349" s="36" t="str">
        <f>IF(P349=0, "Sin Pago", 
  LET(
    monedaPago, Q349, 
    descuentoAplicado, G349,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49" s="36" t="str">
        <f t="shared" si="12"/>
        <v/>
      </c>
      <c r="Y349" s="36">
        <v>0.0</v>
      </c>
      <c r="Z349" s="33" t="s">
        <v>641</v>
      </c>
      <c r="AA349" s="33"/>
      <c r="AB349" s="33"/>
      <c r="AC349" s="33"/>
      <c r="AD349" s="33"/>
      <c r="AE349" s="33"/>
      <c r="AF349" s="33"/>
    </row>
    <row r="350" ht="22.5" customHeight="1">
      <c r="A350" s="23" t="s">
        <v>840</v>
      </c>
      <c r="B350" s="41">
        <v>46163.71994212963</v>
      </c>
      <c r="C350" s="23" t="s">
        <v>841</v>
      </c>
      <c r="D350" s="23" t="s">
        <v>546</v>
      </c>
      <c r="E350" s="25">
        <v>304.63</v>
      </c>
      <c r="F350" s="23" t="s">
        <v>619</v>
      </c>
      <c r="G350" s="26">
        <f>IF($E350=0,0,IF(SUMIF(Aux_Datos!$B:$B,$I350,Aux_Datos!$K:$K)/$E350&gt;=VLOOKUP(IF(COUNTIFS(Aux_Datos!$B:$B,$I350,Aux_Datos!$D:$D,"&lt;&gt;USD")=0,"USD","VES"),'Limites de Descuento'!$A$2:$D$4,4,FALSE),MAX(0,1-SUMIF(Aux_Datos!$B:$B,$I350,Aux_Datos!$K:$K)/$E350),0))</f>
        <v>0.1007779741</v>
      </c>
      <c r="H350" s="27"/>
      <c r="I350" s="28">
        <f t="shared" si="14"/>
        <v>431</v>
      </c>
      <c r="J350" s="29">
        <f t="shared" si="2"/>
        <v>46163</v>
      </c>
      <c r="K350" s="30">
        <f t="shared" si="3"/>
        <v>15</v>
      </c>
      <c r="L350" s="29">
        <f t="shared" si="4"/>
        <v>46179</v>
      </c>
      <c r="M350" s="30">
        <f t="shared" si="5"/>
        <v>273.9300058</v>
      </c>
      <c r="N350" s="32">
        <f t="shared" si="6"/>
        <v>0</v>
      </c>
      <c r="O350" s="33" t="str">
        <f t="shared" si="7"/>
        <v>PAGADA</v>
      </c>
      <c r="P350" s="34">
        <f>LET(
  idVenta, I350&amp;"",
  montoTotal, M350,
  pagos, IFERROR(SUMIF(Aux_Datos!$B:$B, idVenta, Aux_Datos!$K:$K), 0),
  retenciones, IFERROR(SUMIF(Aux_Datos!$N:$N, idVenta, Aux_Datos!$R:$R), 0),
  pagos + retenciones
)</f>
        <v>273.9300058</v>
      </c>
      <c r="Q350" s="30" t="str">
        <f>IF(P350=0, "Sin Pago", 
  LET(
    idVenta, I350&amp;"",
    montoTotalPagado, P350,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350" s="30">
        <f t="shared" si="17"/>
        <v>0</v>
      </c>
      <c r="S350" s="29">
        <f>IF(P350=0, "Sin Pago", 
  IFERROR(
    MAXIFS(Aux_Datos!$A:$A, Aux_Datos!$B:$B, I350&amp;""), 
    IFERROR(MAXIFS(Aux_Datos!$A:$A, Aux_Datos!$B:$B, VALUE(I350)), "Revisar ID")
  )
)</f>
        <v>46195</v>
      </c>
      <c r="T350" s="35" t="str">
        <f t="shared" si="9"/>
        <v>PAGADA</v>
      </c>
      <c r="U350" s="35" t="str">
        <f t="shared" si="10"/>
        <v>SOLVENTE</v>
      </c>
      <c r="V350" s="32">
        <f t="shared" si="11"/>
        <v>0</v>
      </c>
      <c r="W350" s="36" t="str">
        <f>IF(P350=0, "Sin Pago", 
  LET(
    monedaPago, Q350, 
    descuentoAplicado, G350,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50" s="36" t="str">
        <f t="shared" si="12"/>
        <v/>
      </c>
      <c r="Y350" s="36">
        <v>273.9300057540969</v>
      </c>
      <c r="Z350" s="33" t="s">
        <v>596</v>
      </c>
      <c r="AA350" s="33"/>
      <c r="AB350" s="33"/>
      <c r="AC350" s="33"/>
      <c r="AD350" s="33"/>
      <c r="AE350" s="33"/>
      <c r="AF350" s="33"/>
    </row>
    <row r="351" ht="22.5" customHeight="1">
      <c r="A351" s="23" t="s">
        <v>366</v>
      </c>
      <c r="B351" s="41">
        <v>46164.35422453703</v>
      </c>
      <c r="C351" s="23" t="s">
        <v>365</v>
      </c>
      <c r="D351" s="23" t="s">
        <v>535</v>
      </c>
      <c r="E351" s="25">
        <v>496.99</v>
      </c>
      <c r="F351" s="23" t="s">
        <v>608</v>
      </c>
      <c r="G351" s="26">
        <f>IF($E351=0,0,IF(SUMIF(Aux_Datos!$B:$B,$I351,Aux_Datos!$K:$K)/$E351&gt;=VLOOKUP(IF(COUNTIFS(Aux_Datos!$B:$B,$I351,Aux_Datos!$D:$D,"&lt;&gt;USD")=0,"USD","VES"),'Limites de Descuento'!$A$2:$D$4,4,FALSE),MAX(0,1-SUMIF(Aux_Datos!$B:$B,$I351,Aux_Datos!$K:$K)/$E351),0))</f>
        <v>0</v>
      </c>
      <c r="H351" s="27"/>
      <c r="I351" s="28">
        <f t="shared" si="14"/>
        <v>432</v>
      </c>
      <c r="J351" s="29">
        <f t="shared" si="2"/>
        <v>46164</v>
      </c>
      <c r="K351" s="30">
        <f t="shared" si="3"/>
        <v>7</v>
      </c>
      <c r="L351" s="29">
        <f t="shared" si="4"/>
        <v>46172</v>
      </c>
      <c r="M351" s="30">
        <f t="shared" si="5"/>
        <v>496.99</v>
      </c>
      <c r="N351" s="32">
        <f t="shared" si="6"/>
        <v>28</v>
      </c>
      <c r="O351" s="33" t="str">
        <f t="shared" si="7"/>
        <v>VENCIDA</v>
      </c>
      <c r="P351" s="34">
        <f>LET(
  idVenta, I351&amp;"",
  montoTotal, M351,
  pagos, IFERROR(SUMIF(Aux_Datos!$B:$B, idVenta, Aux_Datos!$K:$K), 0),
  retenciones, IFERROR(SUMIF(Aux_Datos!$N:$N, idVenta, Aux_Datos!$R:$R), 0),
  pagos + retenciones
)</f>
        <v>0</v>
      </c>
      <c r="Q351" s="30" t="str">
        <f>IF(P351=0, "Sin Pago", 
  LET(
    idVenta, I351&amp;"",
    montoTotalPagado, P351,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51" s="30">
        <f t="shared" si="17"/>
        <v>496.99</v>
      </c>
      <c r="S351" s="29" t="str">
        <f>IF(P351=0, "Sin Pago", 
  IFERROR(
    MAXIFS(Aux_Datos!$A:$A, Aux_Datos!$B:$B, I351&amp;""), 
    IFERROR(MAXIFS(Aux_Datos!$A:$A, Aux_Datos!$B:$B, VALUE(I351)), "Revisar ID")
  )
)</f>
        <v>Sin Pago</v>
      </c>
      <c r="T351" s="35" t="str">
        <f t="shared" si="9"/>
        <v>PENDIENTE</v>
      </c>
      <c r="U351" s="35" t="str">
        <f t="shared" si="10"/>
        <v>CRÍTICO: VENCIDA</v>
      </c>
      <c r="V351" s="32">
        <f t="shared" si="11"/>
        <v>0</v>
      </c>
      <c r="W351" s="36" t="str">
        <f>IF(P351=0, "Sin Pago", 
  LET(
    monedaPago, Q351, 
    descuentoAplicado, G351,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51" s="36" t="str">
        <f t="shared" si="12"/>
        <v/>
      </c>
      <c r="Y351" s="36">
        <v>0.0</v>
      </c>
      <c r="Z351" s="33" t="s">
        <v>641</v>
      </c>
      <c r="AA351" s="33"/>
      <c r="AB351" s="33"/>
      <c r="AC351" s="33"/>
      <c r="AD351" s="33"/>
      <c r="AE351" s="33"/>
      <c r="AF351" s="33"/>
    </row>
    <row r="352" ht="22.5" customHeight="1">
      <c r="A352" s="23" t="s">
        <v>40</v>
      </c>
      <c r="B352" s="41">
        <v>46164.357569444444</v>
      </c>
      <c r="C352" s="23" t="s">
        <v>38</v>
      </c>
      <c r="D352" s="23" t="s">
        <v>552</v>
      </c>
      <c r="E352" s="25">
        <v>233.86</v>
      </c>
      <c r="F352" s="23" t="s">
        <v>608</v>
      </c>
      <c r="G352" s="26">
        <f>IF($E352=0,0,IF(SUMIF(Aux_Datos!$B:$B,$I352,Aux_Datos!$K:$K)/$E352&gt;=VLOOKUP(IF(COUNTIFS(Aux_Datos!$B:$B,$I352,Aux_Datos!$D:$D,"&lt;&gt;USD")=0,"USD","VES"),'Limites de Descuento'!$A$2:$D$4,4,FALSE),MAX(0,1-SUMIF(Aux_Datos!$B:$B,$I352,Aux_Datos!$K:$K)/$E352),0))</f>
        <v>0</v>
      </c>
      <c r="H352" s="27"/>
      <c r="I352" s="28">
        <f t="shared" si="14"/>
        <v>433</v>
      </c>
      <c r="J352" s="29">
        <f t="shared" si="2"/>
        <v>46164</v>
      </c>
      <c r="K352" s="30">
        <f t="shared" si="3"/>
        <v>7</v>
      </c>
      <c r="L352" s="29">
        <f t="shared" si="4"/>
        <v>46172</v>
      </c>
      <c r="M352" s="30">
        <f t="shared" si="5"/>
        <v>233.86</v>
      </c>
      <c r="N352" s="32">
        <f t="shared" si="6"/>
        <v>28</v>
      </c>
      <c r="O352" s="33" t="str">
        <f t="shared" si="7"/>
        <v>VENCIDA</v>
      </c>
      <c r="P352" s="34">
        <f>LET(
  idVenta, I352&amp;"",
  montoTotal, M352,
  pagos, IFERROR(SUMIF(Aux_Datos!$B:$B, idVenta, Aux_Datos!$K:$K), 0),
  retenciones, IFERROR(SUMIF(Aux_Datos!$N:$N, idVenta, Aux_Datos!$R:$R), 0),
  pagos + retenciones
)</f>
        <v>100</v>
      </c>
      <c r="Q352" s="30" t="str">
        <f>IF(P352=0, "Sin Pago", 
  LET(
    idVenta, I352&amp;"",
    montoTotalPagado, P352,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52" s="30">
        <f t="shared" si="17"/>
        <v>133.86</v>
      </c>
      <c r="S352" s="29">
        <f>IF(P352=0, "Sin Pago", 
  IFERROR(
    MAXIFS(Aux_Datos!$A:$A, Aux_Datos!$B:$B, I352&amp;""), 
    IFERROR(MAXIFS(Aux_Datos!$A:$A, Aux_Datos!$B:$B, VALUE(I352)), "Revisar ID")
  )
)</f>
        <v>46196</v>
      </c>
      <c r="T352" s="35" t="str">
        <f t="shared" si="9"/>
        <v>PAGO PARCIAL</v>
      </c>
      <c r="U352" s="35" t="str">
        <f t="shared" si="10"/>
        <v>CRÍTICO: VENCIDA</v>
      </c>
      <c r="V352" s="32">
        <f t="shared" si="11"/>
        <v>4</v>
      </c>
      <c r="W352" s="36" t="str">
        <f>IF(P352=0, "Sin Pago", 
  LET(
    monedaPago, Q352, 
    descuentoAplicado, G352,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52" s="36" t="str">
        <f t="shared" si="12"/>
        <v/>
      </c>
      <c r="Y352" s="36">
        <v>100.0</v>
      </c>
      <c r="Z352" s="33" t="s">
        <v>609</v>
      </c>
      <c r="AA352" s="33"/>
      <c r="AB352" s="33"/>
      <c r="AC352" s="33"/>
      <c r="AD352" s="33"/>
      <c r="AE352" s="33"/>
      <c r="AF352" s="33"/>
    </row>
    <row r="353" ht="22.5" customHeight="1">
      <c r="A353" s="23" t="s">
        <v>364</v>
      </c>
      <c r="B353" s="41">
        <v>46164.35736111111</v>
      </c>
      <c r="C353" s="23" t="s">
        <v>363</v>
      </c>
      <c r="D353" s="23" t="s">
        <v>552</v>
      </c>
      <c r="E353" s="25">
        <v>104.62</v>
      </c>
      <c r="F353" s="23" t="s">
        <v>608</v>
      </c>
      <c r="G353" s="26">
        <f>IF($E353=0,0,IF(SUMIF(Aux_Datos!$B:$B,$I353,Aux_Datos!$K:$K)/$E353&gt;=VLOOKUP(IF(COUNTIFS(Aux_Datos!$B:$B,$I353,Aux_Datos!$D:$D,"&lt;&gt;USD")=0,"USD","VES"),'Limites de Descuento'!$A$2:$D$4,4,FALSE),MAX(0,1-SUMIF(Aux_Datos!$B:$B,$I353,Aux_Datos!$K:$K)/$E353),0))</f>
        <v>0</v>
      </c>
      <c r="H353" s="27"/>
      <c r="I353" s="28">
        <f t="shared" si="14"/>
        <v>434</v>
      </c>
      <c r="J353" s="29">
        <f t="shared" si="2"/>
        <v>46164</v>
      </c>
      <c r="K353" s="30">
        <f t="shared" si="3"/>
        <v>7</v>
      </c>
      <c r="L353" s="29">
        <f t="shared" si="4"/>
        <v>46172</v>
      </c>
      <c r="M353" s="30">
        <f t="shared" si="5"/>
        <v>104.62</v>
      </c>
      <c r="N353" s="32">
        <f t="shared" si="6"/>
        <v>28</v>
      </c>
      <c r="O353" s="33" t="str">
        <f t="shared" si="7"/>
        <v>VENCIDA</v>
      </c>
      <c r="P353" s="34">
        <f>LET(
  idVenta, I353&amp;"",
  montoTotal, M353,
  pagos, IFERROR(SUMIF(Aux_Datos!$B:$B, idVenta, Aux_Datos!$K:$K), 0),
  retenciones, IFERROR(SUMIF(Aux_Datos!$N:$N, idVenta, Aux_Datos!$R:$R), 0),
  pagos + retenciones
)</f>
        <v>68</v>
      </c>
      <c r="Q353" s="30" t="str">
        <f>IF(P353=0, "Sin Pago", 
  LET(
    idVenta, I353&amp;"",
    montoTotalPagado, P353,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53" s="30">
        <f t="shared" si="17"/>
        <v>36.62</v>
      </c>
      <c r="S353" s="29">
        <f>IF(P353=0, "Sin Pago", 
  IFERROR(
    MAXIFS(Aux_Datos!$A:$A, Aux_Datos!$B:$B, I353&amp;""), 
    IFERROR(MAXIFS(Aux_Datos!$A:$A, Aux_Datos!$B:$B, VALUE(I353)), "Revisar ID")
  )
)</f>
        <v>46191</v>
      </c>
      <c r="T353" s="35" t="str">
        <f t="shared" si="9"/>
        <v>PAGO PARCIAL</v>
      </c>
      <c r="U353" s="35" t="str">
        <f t="shared" si="10"/>
        <v>CRÍTICO: VENCIDA</v>
      </c>
      <c r="V353" s="32">
        <f t="shared" si="11"/>
        <v>9</v>
      </c>
      <c r="W353" s="36" t="str">
        <f>IF(P353=0, "Sin Pago", 
  LET(
    monedaPago, Q353, 
    descuentoAplicado, G353,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53" s="36" t="str">
        <f t="shared" si="12"/>
        <v/>
      </c>
      <c r="Y353" s="36">
        <v>68.0</v>
      </c>
      <c r="Z353" s="33" t="s">
        <v>609</v>
      </c>
      <c r="AA353" s="33"/>
      <c r="AB353" s="33"/>
      <c r="AC353" s="33"/>
      <c r="AD353" s="33"/>
      <c r="AE353" s="33"/>
      <c r="AF353" s="33"/>
    </row>
    <row r="354" ht="22.5" customHeight="1">
      <c r="A354" s="23" t="s">
        <v>842</v>
      </c>
      <c r="B354" s="41">
        <v>46164.48008101852</v>
      </c>
      <c r="C354" s="23" t="s">
        <v>843</v>
      </c>
      <c r="D354" s="23" t="s">
        <v>323</v>
      </c>
      <c r="E354" s="25">
        <v>2858.47</v>
      </c>
      <c r="F354" s="23" t="s">
        <v>608</v>
      </c>
      <c r="G354" s="26">
        <f>IF($E354=0,0,IF(SUMIF(Aux_Datos!$B:$B,$I354,Aux_Datos!$K:$K)/$E354&gt;=VLOOKUP(IF(COUNTIFS(Aux_Datos!$B:$B,$I354,Aux_Datos!$D:$D,"&lt;&gt;USD")=0,"USD","VES"),'Limites de Descuento'!$A$2:$D$4,4,FALSE),MAX(0,1-SUMIF(Aux_Datos!$B:$B,$I354,Aux_Datos!$K:$K)/$E354),0))</f>
        <v>0.1379304283</v>
      </c>
      <c r="H354" s="27"/>
      <c r="I354" s="28">
        <f t="shared" si="14"/>
        <v>435</v>
      </c>
      <c r="J354" s="29">
        <f t="shared" si="2"/>
        <v>46164</v>
      </c>
      <c r="K354" s="30">
        <f t="shared" si="3"/>
        <v>7</v>
      </c>
      <c r="L354" s="29">
        <f t="shared" si="4"/>
        <v>46172</v>
      </c>
      <c r="M354" s="30">
        <f t="shared" si="5"/>
        <v>2464.200009</v>
      </c>
      <c r="N354" s="32">
        <f t="shared" si="6"/>
        <v>0</v>
      </c>
      <c r="O354" s="33" t="str">
        <f t="shared" si="7"/>
        <v>PAGADA</v>
      </c>
      <c r="P354" s="34">
        <f>LET(
  idVenta, I354&amp;"",
  montoTotal, M354,
  pagos, IFERROR(SUMIF(Aux_Datos!$B:$B, idVenta, Aux_Datos!$K:$K), 0),
  retenciones, IFERROR(SUMIF(Aux_Datos!$N:$N, idVenta, Aux_Datos!$R:$R), 0),
  pagos + retenciones
)</f>
        <v>2464.200009</v>
      </c>
      <c r="Q354" s="30" t="str">
        <f>IF(P354=0, "Sin Pago", 
  LET(
    idVenta, I354&amp;"",
    montoTotalPagado, P354,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354" s="30">
        <f t="shared" si="17"/>
        <v>0</v>
      </c>
      <c r="S354" s="29">
        <f>IF(P354=0, "Sin Pago", 
  IFERROR(
    MAXIFS(Aux_Datos!$A:$A, Aux_Datos!$B:$B, I354&amp;""), 
    IFERROR(MAXIFS(Aux_Datos!$A:$A, Aux_Datos!$B:$B, VALUE(I354)), "Revisar ID")
  )
)</f>
        <v>46164</v>
      </c>
      <c r="T354" s="35" t="str">
        <f t="shared" si="9"/>
        <v>PAGADA</v>
      </c>
      <c r="U354" s="35" t="str">
        <f t="shared" si="10"/>
        <v>SOLVENTE</v>
      </c>
      <c r="V354" s="32">
        <f t="shared" si="11"/>
        <v>0</v>
      </c>
      <c r="W354" s="36" t="str">
        <f>IF(P354=0, "Sin Pago", 
  LET(
    monedaPago, Q354, 
    descuentoAplicado, G354,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54" s="36" t="str">
        <f t="shared" si="12"/>
        <v/>
      </c>
      <c r="Y354" s="36">
        <v>2464.200008578976</v>
      </c>
      <c r="Z354" s="33" t="s">
        <v>596</v>
      </c>
      <c r="AA354" s="33"/>
      <c r="AB354" s="33"/>
      <c r="AC354" s="33"/>
      <c r="AD354" s="33"/>
      <c r="AE354" s="33"/>
      <c r="AF354" s="33"/>
    </row>
    <row r="355" ht="22.5" customHeight="1">
      <c r="A355" s="23" t="s">
        <v>210</v>
      </c>
      <c r="B355" s="41">
        <v>46164.647881944446</v>
      </c>
      <c r="C355" s="23" t="s">
        <v>208</v>
      </c>
      <c r="D355" s="23" t="s">
        <v>208</v>
      </c>
      <c r="E355" s="25">
        <v>58.46</v>
      </c>
      <c r="F355" s="23" t="s">
        <v>608</v>
      </c>
      <c r="G355" s="26">
        <f>IF($E355=0,0,IF(SUMIF(Aux_Datos!$B:$B,$I355,Aux_Datos!$K:$K)/$E355&gt;=VLOOKUP(IF(COUNTIFS(Aux_Datos!$B:$B,$I355,Aux_Datos!$D:$D,"&lt;&gt;USD")=0,"USD","VES"),'Limites de Descuento'!$A$2:$D$4,4,FALSE),MAX(0,1-SUMIF(Aux_Datos!$B:$B,$I355,Aux_Datos!$K:$K)/$E355),0))</f>
        <v>0</v>
      </c>
      <c r="H355" s="27"/>
      <c r="I355" s="28">
        <f t="shared" si="14"/>
        <v>436</v>
      </c>
      <c r="J355" s="29">
        <f t="shared" si="2"/>
        <v>46164</v>
      </c>
      <c r="K355" s="30">
        <f t="shared" si="3"/>
        <v>7</v>
      </c>
      <c r="L355" s="29">
        <f t="shared" si="4"/>
        <v>46172</v>
      </c>
      <c r="M355" s="30">
        <f t="shared" si="5"/>
        <v>58.46</v>
      </c>
      <c r="N355" s="32">
        <f t="shared" si="6"/>
        <v>28</v>
      </c>
      <c r="O355" s="33" t="str">
        <f t="shared" si="7"/>
        <v>VENCIDA</v>
      </c>
      <c r="P355" s="34">
        <f>LET(
  idVenta, I355&amp;"",
  montoTotal, M355,
  pagos, IFERROR(SUMIF(Aux_Datos!$B:$B, idVenta, Aux_Datos!$K:$K), 0),
  retenciones, IFERROR(SUMIF(Aux_Datos!$N:$N, idVenta, Aux_Datos!$R:$R), 0),
  pagos + retenciones
)</f>
        <v>0</v>
      </c>
      <c r="Q355" s="30" t="str">
        <f>IF(P355=0, "Sin Pago", 
  LET(
    idVenta, I355&amp;"",
    montoTotalPagado, P355,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55" s="30">
        <f t="shared" si="17"/>
        <v>58.46</v>
      </c>
      <c r="S355" s="29" t="str">
        <f>IF(P355=0, "Sin Pago", 
  IFERROR(
    MAXIFS(Aux_Datos!$A:$A, Aux_Datos!$B:$B, I355&amp;""), 
    IFERROR(MAXIFS(Aux_Datos!$A:$A, Aux_Datos!$B:$B, VALUE(I355)), "Revisar ID")
  )
)</f>
        <v>Sin Pago</v>
      </c>
      <c r="T355" s="35" t="str">
        <f t="shared" si="9"/>
        <v>PENDIENTE</v>
      </c>
      <c r="U355" s="35" t="str">
        <f t="shared" si="10"/>
        <v>CRÍTICO: VENCIDA</v>
      </c>
      <c r="V355" s="32">
        <f t="shared" si="11"/>
        <v>0</v>
      </c>
      <c r="W355" s="36" t="str">
        <f>IF(P355=0, "Sin Pago", 
  LET(
    monedaPago, Q355, 
    descuentoAplicado, G355,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55" s="36" t="str">
        <f t="shared" si="12"/>
        <v/>
      </c>
      <c r="Y355" s="36">
        <v>0.0</v>
      </c>
      <c r="Z355" s="33" t="s">
        <v>641</v>
      </c>
      <c r="AA355" s="33"/>
      <c r="AB355" s="33"/>
      <c r="AC355" s="33"/>
      <c r="AD355" s="33"/>
      <c r="AE355" s="33"/>
      <c r="AF355" s="33"/>
    </row>
    <row r="356" ht="22.5" customHeight="1">
      <c r="A356" s="23" t="s">
        <v>386</v>
      </c>
      <c r="B356" s="41">
        <v>46164.708715277775</v>
      </c>
      <c r="C356" s="23" t="s">
        <v>385</v>
      </c>
      <c r="D356" s="23" t="s">
        <v>546</v>
      </c>
      <c r="E356" s="25">
        <v>116.93</v>
      </c>
      <c r="F356" s="23" t="s">
        <v>619</v>
      </c>
      <c r="G356" s="26">
        <f>IF($E356=0,0,IF(SUMIF(Aux_Datos!$B:$B,$I356,Aux_Datos!$K:$K)/$E356&gt;=VLOOKUP(IF(COUNTIFS(Aux_Datos!$B:$B,$I356,Aux_Datos!$D:$D,"&lt;&gt;USD")=0,"USD","VES"),'Limites de Descuento'!$A$2:$D$4,4,FALSE),MAX(0,1-SUMIF(Aux_Datos!$B:$B,$I356,Aux_Datos!$K:$K)/$E356),0))</f>
        <v>0</v>
      </c>
      <c r="H356" s="27"/>
      <c r="I356" s="28">
        <f t="shared" si="14"/>
        <v>437</v>
      </c>
      <c r="J356" s="29">
        <f t="shared" si="2"/>
        <v>46164</v>
      </c>
      <c r="K356" s="30">
        <f t="shared" si="3"/>
        <v>15</v>
      </c>
      <c r="L356" s="29">
        <f t="shared" si="4"/>
        <v>46180</v>
      </c>
      <c r="M356" s="30">
        <f t="shared" si="5"/>
        <v>116.93</v>
      </c>
      <c r="N356" s="32">
        <f t="shared" si="6"/>
        <v>20</v>
      </c>
      <c r="O356" s="33" t="str">
        <f t="shared" si="7"/>
        <v>VENCIDA</v>
      </c>
      <c r="P356" s="34">
        <f>LET(
  idVenta, I356&amp;"",
  montoTotal, M356,
  pagos, IFERROR(SUMIF(Aux_Datos!$B:$B, idVenta, Aux_Datos!$K:$K), 0),
  retenciones, IFERROR(SUMIF(Aux_Datos!$N:$N, idVenta, Aux_Datos!$R:$R), 0),
  pagos + retenciones
)</f>
        <v>0</v>
      </c>
      <c r="Q356" s="30" t="str">
        <f>IF(P356=0, "Sin Pago", 
  LET(
    idVenta, I356&amp;"",
    montoTotalPagado, P356,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56" s="30">
        <f t="shared" si="17"/>
        <v>116.93</v>
      </c>
      <c r="S356" s="29" t="str">
        <f>IF(P356=0, "Sin Pago", 
  IFERROR(
    MAXIFS(Aux_Datos!$A:$A, Aux_Datos!$B:$B, I356&amp;""), 
    IFERROR(MAXIFS(Aux_Datos!$A:$A, Aux_Datos!$B:$B, VALUE(I356)), "Revisar ID")
  )
)</f>
        <v>Sin Pago</v>
      </c>
      <c r="T356" s="35" t="str">
        <f t="shared" si="9"/>
        <v>PENDIENTE</v>
      </c>
      <c r="U356" s="35" t="str">
        <f t="shared" si="10"/>
        <v>CRÍTICO: VENCIDA</v>
      </c>
      <c r="V356" s="32">
        <f t="shared" si="11"/>
        <v>0</v>
      </c>
      <c r="W356" s="36" t="str">
        <f>IF(P356=0, "Sin Pago", 
  LET(
    monedaPago, Q356, 
    descuentoAplicado, G356,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56" s="36" t="str">
        <f t="shared" si="12"/>
        <v/>
      </c>
      <c r="Y356" s="36">
        <v>0.0</v>
      </c>
      <c r="Z356" s="33" t="s">
        <v>641</v>
      </c>
      <c r="AA356" s="33"/>
      <c r="AB356" s="33"/>
      <c r="AC356" s="33"/>
      <c r="AD356" s="33"/>
      <c r="AE356" s="33"/>
      <c r="AF356" s="33"/>
    </row>
    <row r="357" ht="22.5" customHeight="1">
      <c r="A357" s="23" t="s">
        <v>371</v>
      </c>
      <c r="B357" s="41">
        <v>46167.34511574074</v>
      </c>
      <c r="C357" s="23" t="s">
        <v>370</v>
      </c>
      <c r="D357" s="23" t="s">
        <v>552</v>
      </c>
      <c r="E357" s="25">
        <v>104.62</v>
      </c>
      <c r="F357" s="23" t="s">
        <v>608</v>
      </c>
      <c r="G357" s="26">
        <f>IF($E357=0,0,IF(SUMIF(Aux_Datos!$B:$B,$I357,Aux_Datos!$K:$K)/$E357&gt;=VLOOKUP(IF(COUNTIFS(Aux_Datos!$B:$B,$I357,Aux_Datos!$D:$D,"&lt;&gt;USD")=0,"USD","VES"),'Limites de Descuento'!$A$2:$D$4,4,FALSE),MAX(0,1-SUMIF(Aux_Datos!$B:$B,$I357,Aux_Datos!$K:$K)/$E357),0))</f>
        <v>0</v>
      </c>
      <c r="H357" s="27"/>
      <c r="I357" s="28">
        <f t="shared" si="14"/>
        <v>439</v>
      </c>
      <c r="J357" s="29">
        <f t="shared" si="2"/>
        <v>46167</v>
      </c>
      <c r="K357" s="30">
        <f t="shared" si="3"/>
        <v>7</v>
      </c>
      <c r="L357" s="29">
        <f t="shared" si="4"/>
        <v>46175</v>
      </c>
      <c r="M357" s="30">
        <f t="shared" si="5"/>
        <v>104.62</v>
      </c>
      <c r="N357" s="32">
        <f t="shared" si="6"/>
        <v>25</v>
      </c>
      <c r="O357" s="33" t="str">
        <f t="shared" si="7"/>
        <v>VENCIDA</v>
      </c>
      <c r="P357" s="34">
        <f>LET(
  idVenta, I357&amp;"",
  montoTotal, M357,
  pagos, IFERROR(SUMIF(Aux_Datos!$B:$B, idVenta, Aux_Datos!$K:$K), 0),
  retenciones, IFERROR(SUMIF(Aux_Datos!$N:$N, idVenta, Aux_Datos!$R:$R), 0),
  pagos + retenciones
)</f>
        <v>40</v>
      </c>
      <c r="Q357" s="30" t="str">
        <f>IF(P357=0, "Sin Pago", 
  LET(
    idVenta, I357&amp;"",
    montoTotalPagado, P357,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57" s="30">
        <f t="shared" si="17"/>
        <v>64.62</v>
      </c>
      <c r="S357" s="29">
        <f>IF(P357=0, "Sin Pago", 
  IFERROR(
    MAXIFS(Aux_Datos!$A:$A, Aux_Datos!$B:$B, I357&amp;""), 
    IFERROR(MAXIFS(Aux_Datos!$A:$A, Aux_Datos!$B:$B, VALUE(I357)), "Revisar ID")
  )
)</f>
        <v>46192</v>
      </c>
      <c r="T357" s="35" t="str">
        <f t="shared" si="9"/>
        <v>PAGO PARCIAL</v>
      </c>
      <c r="U357" s="35" t="str">
        <f t="shared" si="10"/>
        <v>CRÍTICO: VENCIDA</v>
      </c>
      <c r="V357" s="32">
        <f t="shared" si="11"/>
        <v>8</v>
      </c>
      <c r="W357" s="36" t="str">
        <f>IF(P357=0, "Sin Pago", 
  LET(
    monedaPago, Q357, 
    descuentoAplicado, G357,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57" s="36" t="str">
        <f t="shared" si="12"/>
        <v/>
      </c>
      <c r="Y357" s="36">
        <v>40.0</v>
      </c>
      <c r="Z357" s="33" t="s">
        <v>609</v>
      </c>
      <c r="AA357" s="33"/>
      <c r="AB357" s="33"/>
      <c r="AC357" s="33"/>
      <c r="AD357" s="33"/>
      <c r="AE357" s="33"/>
      <c r="AF357" s="33"/>
    </row>
    <row r="358" ht="22.5" customHeight="1">
      <c r="A358" s="23" t="s">
        <v>72</v>
      </c>
      <c r="B358" s="41">
        <v>46167.37341435185</v>
      </c>
      <c r="C358" s="23" t="s">
        <v>69</v>
      </c>
      <c r="D358" s="23" t="s">
        <v>544</v>
      </c>
      <c r="E358" s="25">
        <v>224.62</v>
      </c>
      <c r="F358" s="23" t="s">
        <v>608</v>
      </c>
      <c r="G358" s="26">
        <f>IF($E358=0,0,IF(SUMIF(Aux_Datos!$B:$B,$I358,Aux_Datos!$K:$K)/$E358&gt;=VLOOKUP(IF(COUNTIFS(Aux_Datos!$B:$B,$I358,Aux_Datos!$D:$D,"&lt;&gt;USD")=0,"USD","VES"),'Limites de Descuento'!$A$2:$D$4,4,FALSE),MAX(0,1-SUMIF(Aux_Datos!$B:$B,$I358,Aux_Datos!$K:$K)/$E358),0))</f>
        <v>0</v>
      </c>
      <c r="H358" s="27"/>
      <c r="I358" s="28">
        <f t="shared" si="14"/>
        <v>440</v>
      </c>
      <c r="J358" s="29">
        <f t="shared" si="2"/>
        <v>46167</v>
      </c>
      <c r="K358" s="30">
        <f t="shared" si="3"/>
        <v>7</v>
      </c>
      <c r="L358" s="29">
        <f t="shared" si="4"/>
        <v>46175</v>
      </c>
      <c r="M358" s="30">
        <f t="shared" si="5"/>
        <v>224.62</v>
      </c>
      <c r="N358" s="32">
        <f t="shared" si="6"/>
        <v>25</v>
      </c>
      <c r="O358" s="33" t="str">
        <f t="shared" si="7"/>
        <v>VENCIDA</v>
      </c>
      <c r="P358" s="34">
        <f>LET(
  idVenta, I358&amp;"",
  montoTotal, M358,
  pagos, IFERROR(SUMIF(Aux_Datos!$B:$B, idVenta, Aux_Datos!$K:$K), 0),
  retenciones, IFERROR(SUMIF(Aux_Datos!$N:$N, idVenta, Aux_Datos!$R:$R), 0),
  pagos + retenciones
)</f>
        <v>135</v>
      </c>
      <c r="Q358" s="30" t="str">
        <f>IF(P358=0, "Sin Pago", 
  LET(
    idVenta, I358&amp;"",
    montoTotalPagado, P358,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58" s="30">
        <f t="shared" si="17"/>
        <v>89.62</v>
      </c>
      <c r="S358" s="29">
        <f>IF(P358=0, "Sin Pago", 
  IFERROR(
    MAXIFS(Aux_Datos!$A:$A, Aux_Datos!$B:$B, I358&amp;""), 
    IFERROR(MAXIFS(Aux_Datos!$A:$A, Aux_Datos!$B:$B, VALUE(I358)), "Revisar ID")
  )
)</f>
        <v>46168</v>
      </c>
      <c r="T358" s="35" t="str">
        <f t="shared" si="9"/>
        <v>PAGO PARCIAL</v>
      </c>
      <c r="U358" s="35" t="str">
        <f t="shared" si="10"/>
        <v>CRÍTICO: VENCIDA</v>
      </c>
      <c r="V358" s="32">
        <f t="shared" si="11"/>
        <v>32</v>
      </c>
      <c r="W358" s="36" t="str">
        <f>IF(P358=0, "Sin Pago", 
  LET(
    monedaPago, Q358, 
    descuentoAplicado, G358,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58" s="36" t="str">
        <f t="shared" si="12"/>
        <v/>
      </c>
      <c r="Y358" s="36">
        <v>135.0</v>
      </c>
      <c r="Z358" s="33" t="s">
        <v>609</v>
      </c>
      <c r="AA358" s="33"/>
      <c r="AB358" s="33"/>
      <c r="AC358" s="33"/>
      <c r="AD358" s="33"/>
      <c r="AE358" s="33"/>
      <c r="AF358" s="33"/>
    </row>
    <row r="359" ht="22.5" customHeight="1">
      <c r="A359" s="23" t="s">
        <v>844</v>
      </c>
      <c r="B359" s="41">
        <v>46167.56875</v>
      </c>
      <c r="C359" s="23" t="s">
        <v>298</v>
      </c>
      <c r="D359" s="23" t="s">
        <v>323</v>
      </c>
      <c r="E359" s="25">
        <v>1850.74</v>
      </c>
      <c r="F359" s="23" t="s">
        <v>608</v>
      </c>
      <c r="G359" s="26">
        <f>IF($E359=0,0,IF(SUMIF(Aux_Datos!$B:$B,$I359,Aux_Datos!$K:$K)/$E359&gt;=VLOOKUP(IF(COUNTIFS(Aux_Datos!$B:$B,$I359,Aux_Datos!$D:$D,"&lt;&gt;USD")=0,"USD","VES"),'Limites de Descuento'!$A$2:$D$4,4,FALSE),MAX(0,1-SUMIF(Aux_Datos!$B:$B,$I359,Aux_Datos!$K:$K)/$E359),0))</f>
        <v>0.3499897338</v>
      </c>
      <c r="H359" s="27"/>
      <c r="I359" s="28">
        <f t="shared" si="14"/>
        <v>441</v>
      </c>
      <c r="J359" s="29">
        <f t="shared" si="2"/>
        <v>46167</v>
      </c>
      <c r="K359" s="30">
        <f t="shared" si="3"/>
        <v>7</v>
      </c>
      <c r="L359" s="29">
        <f t="shared" si="4"/>
        <v>46175</v>
      </c>
      <c r="M359" s="30">
        <f t="shared" si="5"/>
        <v>1203</v>
      </c>
      <c r="N359" s="32">
        <f t="shared" si="6"/>
        <v>0</v>
      </c>
      <c r="O359" s="33" t="str">
        <f t="shared" si="7"/>
        <v>PAGADA</v>
      </c>
      <c r="P359" s="34">
        <f>LET(
  idVenta, I359&amp;"",
  montoTotal, M359,
  pagos, IFERROR(SUMIF(Aux_Datos!$B:$B, idVenta, Aux_Datos!$K:$K), 0),
  retenciones, IFERROR(SUMIF(Aux_Datos!$N:$N, idVenta, Aux_Datos!$R:$R), 0),
  pagos + retenciones
)</f>
        <v>1203</v>
      </c>
      <c r="Q359" s="30" t="str">
        <f>IF(P359=0, "Sin Pago", 
  LET(
    idVenta, I359&amp;"",
    montoTotalPagado, P359,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59" s="30">
        <f t="shared" si="17"/>
        <v>0</v>
      </c>
      <c r="S359" s="29">
        <f>IF(P359=0, "Sin Pago", 
  IFERROR(
    MAXIFS(Aux_Datos!$A:$A, Aux_Datos!$B:$B, I359&amp;""), 
    IFERROR(MAXIFS(Aux_Datos!$A:$A, Aux_Datos!$B:$B, VALUE(I359)), "Revisar ID")
  )
)</f>
        <v>46147</v>
      </c>
      <c r="T359" s="35" t="str">
        <f t="shared" si="9"/>
        <v>PAGADA</v>
      </c>
      <c r="U359" s="35" t="str">
        <f t="shared" si="10"/>
        <v>SOLVENTE</v>
      </c>
      <c r="V359" s="32">
        <f t="shared" si="11"/>
        <v>0</v>
      </c>
      <c r="W359" s="36" t="str">
        <f>IF(P359=0, "Sin Pago", 
  LET(
    monedaPago, Q359, 
    descuentoAplicado, G359,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59" s="36" t="str">
        <f t="shared" si="12"/>
        <v/>
      </c>
      <c r="Y359" s="36">
        <v>1203.0</v>
      </c>
      <c r="Z359" s="33" t="s">
        <v>596</v>
      </c>
      <c r="AA359" s="33"/>
      <c r="AB359" s="33"/>
      <c r="AC359" s="33"/>
      <c r="AD359" s="33"/>
      <c r="AE359" s="33"/>
      <c r="AF359" s="33"/>
    </row>
    <row r="360" ht="22.5" customHeight="1">
      <c r="A360" s="23" t="s">
        <v>389</v>
      </c>
      <c r="B360" s="41">
        <v>46170.648680555554</v>
      </c>
      <c r="C360" s="23" t="s">
        <v>388</v>
      </c>
      <c r="D360" s="23" t="s">
        <v>323</v>
      </c>
      <c r="E360" s="25">
        <v>100.0</v>
      </c>
      <c r="F360" s="23" t="s">
        <v>608</v>
      </c>
      <c r="G360" s="26">
        <f>IF($E360=0,0,IF(SUMIF(Aux_Datos!$B:$B,$I360,Aux_Datos!$K:$K)/$E360&gt;=VLOOKUP(IF(COUNTIFS(Aux_Datos!$B:$B,$I360,Aux_Datos!$D:$D,"&lt;&gt;USD")=0,"USD","VES"),'Limites de Descuento'!$A$2:$D$4,4,FALSE),MAX(0,1-SUMIF(Aux_Datos!$B:$B,$I360,Aux_Datos!$K:$K)/$E360),0))</f>
        <v>0</v>
      </c>
      <c r="H360" s="27"/>
      <c r="I360" s="28">
        <f t="shared" si="14"/>
        <v>442</v>
      </c>
      <c r="J360" s="29">
        <f t="shared" si="2"/>
        <v>46170</v>
      </c>
      <c r="K360" s="30">
        <f t="shared" si="3"/>
        <v>7</v>
      </c>
      <c r="L360" s="29">
        <f t="shared" si="4"/>
        <v>46178</v>
      </c>
      <c r="M360" s="30">
        <f t="shared" si="5"/>
        <v>100</v>
      </c>
      <c r="N360" s="32">
        <f t="shared" si="6"/>
        <v>22</v>
      </c>
      <c r="O360" s="33" t="str">
        <f t="shared" si="7"/>
        <v>VENCIDA</v>
      </c>
      <c r="P360" s="34">
        <f>LET(
  idVenta, I360&amp;"",
  montoTotal, M360,
  pagos, IFERROR(SUMIF(Aux_Datos!$B:$B, idVenta, Aux_Datos!$K:$K), 0),
  retenciones, IFERROR(SUMIF(Aux_Datos!$N:$N, idVenta, Aux_Datos!$R:$R), 0),
  pagos + retenciones
)</f>
        <v>0</v>
      </c>
      <c r="Q360" s="30" t="str">
        <f>IF(P360=0, "Sin Pago", 
  LET(
    idVenta, I360&amp;"",
    montoTotalPagado, P360,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60" s="30">
        <f t="shared" si="17"/>
        <v>100</v>
      </c>
      <c r="S360" s="29" t="str">
        <f>IF(P360=0, "Sin Pago", 
  IFERROR(
    MAXIFS(Aux_Datos!$A:$A, Aux_Datos!$B:$B, I360&amp;""), 
    IFERROR(MAXIFS(Aux_Datos!$A:$A, Aux_Datos!$B:$B, VALUE(I360)), "Revisar ID")
  )
)</f>
        <v>Sin Pago</v>
      </c>
      <c r="T360" s="35" t="str">
        <f t="shared" si="9"/>
        <v>PENDIENTE</v>
      </c>
      <c r="U360" s="35" t="str">
        <f t="shared" si="10"/>
        <v>CRÍTICO: VENCIDA</v>
      </c>
      <c r="V360" s="32">
        <f t="shared" si="11"/>
        <v>0</v>
      </c>
      <c r="W360" s="36" t="str">
        <f>IF(P360=0, "Sin Pago", 
  LET(
    monedaPago, Q360, 
    descuentoAplicado, G360,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60" s="36" t="str">
        <f t="shared" si="12"/>
        <v/>
      </c>
      <c r="Y360" s="36">
        <v>0.0</v>
      </c>
      <c r="Z360" s="33" t="s">
        <v>641</v>
      </c>
      <c r="AA360" s="33"/>
      <c r="AB360" s="33"/>
      <c r="AC360" s="33"/>
      <c r="AD360" s="33"/>
      <c r="AE360" s="33"/>
      <c r="AF360" s="33"/>
    </row>
    <row r="361" ht="22.5" customHeight="1">
      <c r="A361" s="23" t="s">
        <v>845</v>
      </c>
      <c r="B361" s="41">
        <v>46167.75027777778</v>
      </c>
      <c r="C361" s="23" t="s">
        <v>598</v>
      </c>
      <c r="D361" s="23" t="s">
        <v>546</v>
      </c>
      <c r="E361" s="25">
        <v>260.01</v>
      </c>
      <c r="F361" s="23" t="s">
        <v>608</v>
      </c>
      <c r="G361" s="26">
        <f>IF($E361=0,0,IF(SUMIF(Aux_Datos!$B:$B,$I361,Aux_Datos!$K:$K)/$E361&gt;=VLOOKUP(IF(COUNTIFS(Aux_Datos!$B:$B,$I361,Aux_Datos!$D:$D,"&lt;&gt;USD")=0,"USD","VES"),'Limites de Descuento'!$A$2:$D$4,4,FALSE),MAX(0,1-SUMIF(Aux_Datos!$B:$B,$I361,Aux_Datos!$K:$K)/$E361),0))</f>
        <v>0.008606007948</v>
      </c>
      <c r="H361" s="27"/>
      <c r="I361" s="28">
        <f t="shared" si="14"/>
        <v>443</v>
      </c>
      <c r="J361" s="29">
        <f t="shared" si="2"/>
        <v>46167</v>
      </c>
      <c r="K361" s="30">
        <f t="shared" si="3"/>
        <v>7</v>
      </c>
      <c r="L361" s="29">
        <f t="shared" si="4"/>
        <v>46175</v>
      </c>
      <c r="M361" s="30">
        <f t="shared" si="5"/>
        <v>257.7723519</v>
      </c>
      <c r="N361" s="32">
        <f t="shared" si="6"/>
        <v>0</v>
      </c>
      <c r="O361" s="33" t="str">
        <f t="shared" si="7"/>
        <v>PAGADA</v>
      </c>
      <c r="P361" s="34">
        <f>LET(
  idVenta, I361&amp;"",
  montoTotal, M361,
  pagos, IFERROR(SUMIF(Aux_Datos!$B:$B, idVenta, Aux_Datos!$K:$K), 0),
  retenciones, IFERROR(SUMIF(Aux_Datos!$N:$N, idVenta, Aux_Datos!$R:$R), 0),
  pagos + retenciones
)</f>
        <v>257.7723519</v>
      </c>
      <c r="Q361" s="30" t="str">
        <f>IF(P361=0, "Sin Pago", 
  LET(
    idVenta, I361&amp;"",
    montoTotalPagado, P361,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361" s="30">
        <f t="shared" si="17"/>
        <v>0</v>
      </c>
      <c r="S361" s="29">
        <f>IF(P361=0, "Sin Pago", 
  IFERROR(
    MAXIFS(Aux_Datos!$A:$A, Aux_Datos!$B:$B, I361&amp;""), 
    IFERROR(MAXIFS(Aux_Datos!$A:$A, Aux_Datos!$B:$B, VALUE(I361)), "Revisar ID")
  )
)</f>
        <v>46169</v>
      </c>
      <c r="T361" s="35" t="str">
        <f t="shared" si="9"/>
        <v>PAGADA</v>
      </c>
      <c r="U361" s="35" t="str">
        <f t="shared" si="10"/>
        <v>SOLVENTE</v>
      </c>
      <c r="V361" s="32">
        <f t="shared" si="11"/>
        <v>0</v>
      </c>
      <c r="W361" s="36" t="str">
        <f>IF(P361=0, "Sin Pago", 
  LET(
    monedaPago, Q361, 
    descuentoAplicado, G361,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61" s="36" t="str">
        <f t="shared" si="12"/>
        <v/>
      </c>
      <c r="Y361" s="36">
        <v>257.77235187339676</v>
      </c>
      <c r="Z361" s="33" t="s">
        <v>596</v>
      </c>
      <c r="AA361" s="33"/>
      <c r="AB361" s="33"/>
      <c r="AC361" s="33"/>
      <c r="AD361" s="33"/>
      <c r="AE361" s="33"/>
      <c r="AF361" s="33"/>
    </row>
    <row r="362" ht="22.5" customHeight="1">
      <c r="A362" s="23" t="s">
        <v>299</v>
      </c>
      <c r="B362" s="41">
        <v>46168.43083333333</v>
      </c>
      <c r="C362" s="23" t="s">
        <v>298</v>
      </c>
      <c r="D362" s="23" t="s">
        <v>208</v>
      </c>
      <c r="E362" s="25">
        <v>84.61</v>
      </c>
      <c r="F362" s="23" t="s">
        <v>608</v>
      </c>
      <c r="G362" s="26">
        <f>IF($E362=0,0,IF(SUMIF(Aux_Datos!$B:$B,$I362,Aux_Datos!$K:$K)/$E362&gt;=VLOOKUP(IF(COUNTIFS(Aux_Datos!$B:$B,$I362,Aux_Datos!$D:$D,"&lt;&gt;USD")=0,"USD","VES"),'Limites de Descuento'!$A$2:$D$4,4,FALSE),MAX(0,1-SUMIF(Aux_Datos!$B:$B,$I362,Aux_Datos!$K:$K)/$E362),0))</f>
        <v>0</v>
      </c>
      <c r="H362" s="27"/>
      <c r="I362" s="28">
        <f t="shared" si="14"/>
        <v>444</v>
      </c>
      <c r="J362" s="29">
        <f t="shared" si="2"/>
        <v>46168</v>
      </c>
      <c r="K362" s="30">
        <f t="shared" si="3"/>
        <v>7</v>
      </c>
      <c r="L362" s="29">
        <f t="shared" si="4"/>
        <v>46176</v>
      </c>
      <c r="M362" s="30">
        <f t="shared" si="5"/>
        <v>84.61</v>
      </c>
      <c r="N362" s="32">
        <f t="shared" si="6"/>
        <v>24</v>
      </c>
      <c r="O362" s="33" t="str">
        <f t="shared" si="7"/>
        <v>VENCIDA</v>
      </c>
      <c r="P362" s="34">
        <f>LET(
  idVenta, I362&amp;"",
  montoTotal, M362,
  pagos, IFERROR(SUMIF(Aux_Datos!$B:$B, idVenta, Aux_Datos!$K:$K), 0),
  retenciones, IFERROR(SUMIF(Aux_Datos!$N:$N, idVenta, Aux_Datos!$R:$R), 0),
  pagos + retenciones
)</f>
        <v>0</v>
      </c>
      <c r="Q362" s="30" t="str">
        <f>IF(P362=0, "Sin Pago", 
  LET(
    idVenta, I362&amp;"",
    montoTotalPagado, P362,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62" s="30">
        <f t="shared" si="17"/>
        <v>84.61</v>
      </c>
      <c r="S362" s="29" t="str">
        <f>IF(P362=0, "Sin Pago", 
  IFERROR(
    MAXIFS(Aux_Datos!$A:$A, Aux_Datos!$B:$B, I362&amp;""), 
    IFERROR(MAXIFS(Aux_Datos!$A:$A, Aux_Datos!$B:$B, VALUE(I362)), "Revisar ID")
  )
)</f>
        <v>Sin Pago</v>
      </c>
      <c r="T362" s="35" t="str">
        <f t="shared" si="9"/>
        <v>PENDIENTE</v>
      </c>
      <c r="U362" s="35" t="str">
        <f t="shared" si="10"/>
        <v>CRÍTICO: VENCIDA</v>
      </c>
      <c r="V362" s="32">
        <f t="shared" si="11"/>
        <v>0</v>
      </c>
      <c r="W362" s="36" t="str">
        <f>IF(P362=0, "Sin Pago", 
  LET(
    monedaPago, Q362, 
    descuentoAplicado, G362,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62" s="36" t="str">
        <f t="shared" si="12"/>
        <v/>
      </c>
      <c r="Y362" s="36">
        <v>0.0</v>
      </c>
      <c r="Z362" s="33" t="s">
        <v>641</v>
      </c>
      <c r="AA362" s="33"/>
      <c r="AB362" s="33"/>
      <c r="AC362" s="33"/>
      <c r="AD362" s="33"/>
      <c r="AE362" s="33"/>
      <c r="AF362" s="33"/>
    </row>
    <row r="363" ht="22.5" customHeight="1">
      <c r="A363" s="23" t="s">
        <v>373</v>
      </c>
      <c r="B363" s="41">
        <v>46168.63428240741</v>
      </c>
      <c r="C363" s="23" t="s">
        <v>372</v>
      </c>
      <c r="D363" s="23" t="s">
        <v>552</v>
      </c>
      <c r="E363" s="25">
        <v>110.77</v>
      </c>
      <c r="F363" s="23" t="s">
        <v>608</v>
      </c>
      <c r="G363" s="26">
        <f>IF($E363=0,0,IF(SUMIF(Aux_Datos!$B:$B,$I363,Aux_Datos!$K:$K)/$E363&gt;=VLOOKUP(IF(COUNTIFS(Aux_Datos!$B:$B,$I363,Aux_Datos!$D:$D,"&lt;&gt;USD")=0,"USD","VES"),'Limites de Descuento'!$A$2:$D$4,4,FALSE),MAX(0,1-SUMIF(Aux_Datos!$B:$B,$I363,Aux_Datos!$K:$K)/$E363),0))</f>
        <v>0</v>
      </c>
      <c r="H363" s="27"/>
      <c r="I363" s="28">
        <f t="shared" si="14"/>
        <v>446</v>
      </c>
      <c r="J363" s="29">
        <f t="shared" si="2"/>
        <v>46168</v>
      </c>
      <c r="K363" s="30">
        <f t="shared" si="3"/>
        <v>7</v>
      </c>
      <c r="L363" s="29">
        <f t="shared" si="4"/>
        <v>46176</v>
      </c>
      <c r="M363" s="30">
        <f t="shared" si="5"/>
        <v>110.77</v>
      </c>
      <c r="N363" s="32">
        <f t="shared" si="6"/>
        <v>24</v>
      </c>
      <c r="O363" s="33" t="str">
        <f t="shared" si="7"/>
        <v>VENCIDA</v>
      </c>
      <c r="P363" s="34">
        <f>LET(
  idVenta, I363&amp;"",
  montoTotal, M363,
  pagos, IFERROR(SUMIF(Aux_Datos!$B:$B, idVenta, Aux_Datos!$K:$K), 0),
  retenciones, IFERROR(SUMIF(Aux_Datos!$N:$N, idVenta, Aux_Datos!$R:$R), 0),
  pagos + retenciones
)</f>
        <v>0</v>
      </c>
      <c r="Q363" s="30" t="str">
        <f>IF(P363=0, "Sin Pago", 
  LET(
    idVenta, I363&amp;"",
    montoTotalPagado, P363,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63" s="30">
        <f t="shared" si="17"/>
        <v>110.77</v>
      </c>
      <c r="S363" s="29" t="str">
        <f>IF(P363=0, "Sin Pago", 
  IFERROR(
    MAXIFS(Aux_Datos!$A:$A, Aux_Datos!$B:$B, I363&amp;""), 
    IFERROR(MAXIFS(Aux_Datos!$A:$A, Aux_Datos!$B:$B, VALUE(I363)), "Revisar ID")
  )
)</f>
        <v>Sin Pago</v>
      </c>
      <c r="T363" s="35" t="str">
        <f t="shared" si="9"/>
        <v>PENDIENTE</v>
      </c>
      <c r="U363" s="35" t="str">
        <f t="shared" si="10"/>
        <v>CRÍTICO: VENCIDA</v>
      </c>
      <c r="V363" s="32">
        <f t="shared" si="11"/>
        <v>0</v>
      </c>
      <c r="W363" s="36" t="str">
        <f>IF(P363=0, "Sin Pago", 
  LET(
    monedaPago, Q363, 
    descuentoAplicado, G363,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63" s="36" t="str">
        <f t="shared" si="12"/>
        <v/>
      </c>
      <c r="Y363" s="36">
        <v>0.0</v>
      </c>
      <c r="Z363" s="33" t="s">
        <v>641</v>
      </c>
      <c r="AA363" s="33"/>
      <c r="AB363" s="33"/>
      <c r="AC363" s="33"/>
      <c r="AD363" s="33"/>
      <c r="AE363" s="33"/>
      <c r="AF363" s="33"/>
    </row>
    <row r="364" ht="22.5" customHeight="1">
      <c r="A364" s="23" t="s">
        <v>375</v>
      </c>
      <c r="B364" s="41">
        <v>46168.702569444446</v>
      </c>
      <c r="C364" s="23" t="s">
        <v>374</v>
      </c>
      <c r="D364" s="23" t="s">
        <v>208</v>
      </c>
      <c r="E364" s="25">
        <v>144.62</v>
      </c>
      <c r="F364" s="23" t="s">
        <v>608</v>
      </c>
      <c r="G364" s="26">
        <f>IF($E364=0,0,IF(SUMIF(Aux_Datos!$B:$B,$I364,Aux_Datos!$K:$K)/$E364&gt;=VLOOKUP(IF(COUNTIFS(Aux_Datos!$B:$B,$I364,Aux_Datos!$D:$D,"&lt;&gt;USD")=0,"USD","VES"),'Limites de Descuento'!$A$2:$D$4,4,FALSE),MAX(0,1-SUMIF(Aux_Datos!$B:$B,$I364,Aux_Datos!$K:$K)/$E364),0))</f>
        <v>0</v>
      </c>
      <c r="H364" s="27"/>
      <c r="I364" s="28">
        <f t="shared" si="14"/>
        <v>447</v>
      </c>
      <c r="J364" s="29">
        <f t="shared" si="2"/>
        <v>46168</v>
      </c>
      <c r="K364" s="30">
        <f t="shared" si="3"/>
        <v>7</v>
      </c>
      <c r="L364" s="29">
        <f t="shared" si="4"/>
        <v>46176</v>
      </c>
      <c r="M364" s="30">
        <f t="shared" si="5"/>
        <v>144.62</v>
      </c>
      <c r="N364" s="32">
        <f t="shared" si="6"/>
        <v>24</v>
      </c>
      <c r="O364" s="33" t="str">
        <f t="shared" si="7"/>
        <v>VENCIDA</v>
      </c>
      <c r="P364" s="34">
        <f>LET(
  idVenta, I364&amp;"",
  montoTotal, M364,
  pagos, IFERROR(SUMIF(Aux_Datos!$B:$B, idVenta, Aux_Datos!$K:$K), 0),
  retenciones, IFERROR(SUMIF(Aux_Datos!$N:$N, idVenta, Aux_Datos!$R:$R), 0),
  pagos + retenciones
)</f>
        <v>0</v>
      </c>
      <c r="Q364" s="30" t="str">
        <f>IF(P364=0, "Sin Pago", 
  LET(
    idVenta, I364&amp;"",
    montoTotalPagado, P364,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64" s="30">
        <f t="shared" si="17"/>
        <v>144.62</v>
      </c>
      <c r="S364" s="29" t="str">
        <f>IF(P364=0, "Sin Pago", 
  IFERROR(
    MAXIFS(Aux_Datos!$A:$A, Aux_Datos!$B:$B, I364&amp;""), 
    IFERROR(MAXIFS(Aux_Datos!$A:$A, Aux_Datos!$B:$B, VALUE(I364)), "Revisar ID")
  )
)</f>
        <v>Sin Pago</v>
      </c>
      <c r="T364" s="35" t="str">
        <f t="shared" si="9"/>
        <v>PENDIENTE</v>
      </c>
      <c r="U364" s="35" t="str">
        <f t="shared" si="10"/>
        <v>CRÍTICO: VENCIDA</v>
      </c>
      <c r="V364" s="32">
        <f t="shared" si="11"/>
        <v>0</v>
      </c>
      <c r="W364" s="36" t="str">
        <f>IF(P364=0, "Sin Pago", 
  LET(
    monedaPago, Q364, 
    descuentoAplicado, G364,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64" s="36" t="str">
        <f t="shared" si="12"/>
        <v/>
      </c>
      <c r="Y364" s="36">
        <v>0.0</v>
      </c>
      <c r="Z364" s="33" t="s">
        <v>641</v>
      </c>
      <c r="AA364" s="33"/>
      <c r="AB364" s="33"/>
      <c r="AC364" s="33"/>
      <c r="AD364" s="33"/>
      <c r="AE364" s="33"/>
      <c r="AF364" s="33"/>
    </row>
    <row r="365" ht="22.5" customHeight="1">
      <c r="A365" s="23" t="s">
        <v>846</v>
      </c>
      <c r="B365" s="41">
        <v>46168.55944444444</v>
      </c>
      <c r="C365" s="23" t="s">
        <v>112</v>
      </c>
      <c r="D365" s="23" t="s">
        <v>529</v>
      </c>
      <c r="E365" s="25">
        <v>2020.77</v>
      </c>
      <c r="F365" s="23" t="s">
        <v>608</v>
      </c>
      <c r="G365" s="26">
        <f>IF($E365=0,0,IF(SUMIF(Aux_Datos!$B:$B,$I365,Aux_Datos!$K:$K)/$E365&gt;=VLOOKUP(IF(COUNTIFS(Aux_Datos!$B:$B,$I365,Aux_Datos!$D:$D,"&lt;&gt;USD")=0,"USD","VES"),'Limites de Descuento'!$A$2:$D$4,4,FALSE),MAX(0,1-SUMIF(Aux_Datos!$B:$B,$I365,Aux_Datos!$K:$K)/$E365),0))</f>
        <v>0.3299583822</v>
      </c>
      <c r="H365" s="27"/>
      <c r="I365" s="28">
        <f t="shared" si="14"/>
        <v>449</v>
      </c>
      <c r="J365" s="29">
        <f t="shared" si="2"/>
        <v>46168</v>
      </c>
      <c r="K365" s="30">
        <f t="shared" si="3"/>
        <v>7</v>
      </c>
      <c r="L365" s="29">
        <f t="shared" si="4"/>
        <v>46176</v>
      </c>
      <c r="M365" s="30">
        <f t="shared" si="5"/>
        <v>1354</v>
      </c>
      <c r="N365" s="32">
        <f t="shared" si="6"/>
        <v>0</v>
      </c>
      <c r="O365" s="33" t="str">
        <f t="shared" si="7"/>
        <v>PAGADA</v>
      </c>
      <c r="P365" s="34">
        <f>LET(
  idVenta, I365&amp;"",
  montoTotal, M365,
  pagos, IFERROR(SUMIF(Aux_Datos!$B:$B, idVenta, Aux_Datos!$K:$K), 0),
  retenciones, IFERROR(SUMIF(Aux_Datos!$N:$N, idVenta, Aux_Datos!$R:$R), 0),
  pagos + retenciones
)</f>
        <v>1354</v>
      </c>
      <c r="Q365" s="30" t="str">
        <f>IF(P365=0, "Sin Pago", 
  LET(
    idVenta, I365&amp;"",
    montoTotalPagado, P365,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65" s="30">
        <f t="shared" si="17"/>
        <v>0</v>
      </c>
      <c r="S365" s="29">
        <f>IF(P365=0, "Sin Pago", 
  IFERROR(
    MAXIFS(Aux_Datos!$A:$A, Aux_Datos!$B:$B, I365&amp;""), 
    IFERROR(MAXIFS(Aux_Datos!$A:$A, Aux_Datos!$B:$B, VALUE(I365)), "Revisar ID")
  )
)</f>
        <v>46183</v>
      </c>
      <c r="T365" s="35" t="str">
        <f t="shared" si="9"/>
        <v>PAGADA</v>
      </c>
      <c r="U365" s="35" t="str">
        <f t="shared" si="10"/>
        <v>SOLVENTE</v>
      </c>
      <c r="V365" s="32">
        <f t="shared" si="11"/>
        <v>0</v>
      </c>
      <c r="W365" s="36" t="str">
        <f>IF(P365=0, "Sin Pago", 
  LET(
    monedaPago, Q365, 
    descuentoAplicado, G365,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65" s="36" t="str">
        <f t="shared" si="12"/>
        <v/>
      </c>
      <c r="Y365" s="36">
        <v>1354.0</v>
      </c>
      <c r="Z365" s="33" t="s">
        <v>596</v>
      </c>
      <c r="AA365" s="33"/>
      <c r="AB365" s="33"/>
      <c r="AC365" s="33"/>
      <c r="AD365" s="33"/>
      <c r="AE365" s="33"/>
      <c r="AF365" s="33"/>
    </row>
    <row r="366" ht="22.5" customHeight="1">
      <c r="A366" s="23" t="s">
        <v>382</v>
      </c>
      <c r="B366" s="41">
        <v>46169.39827546296</v>
      </c>
      <c r="C366" s="23" t="s">
        <v>381</v>
      </c>
      <c r="D366" s="23" t="s">
        <v>542</v>
      </c>
      <c r="E366" s="25">
        <v>224.56</v>
      </c>
      <c r="F366" s="23" t="s">
        <v>608</v>
      </c>
      <c r="G366" s="26">
        <f>IF($E366=0,0,IF(SUMIF(Aux_Datos!$B:$B,$I366,Aux_Datos!$K:$K)/$E366&gt;=VLOOKUP(IF(COUNTIFS(Aux_Datos!$B:$B,$I366,Aux_Datos!$D:$D,"&lt;&gt;USD")=0,"USD","VES"),'Limites de Descuento'!$A$2:$D$4,4,FALSE),MAX(0,1-SUMIF(Aux_Datos!$B:$B,$I366,Aux_Datos!$K:$K)/$E366),0))</f>
        <v>0</v>
      </c>
      <c r="H366" s="27"/>
      <c r="I366" s="28">
        <f t="shared" si="14"/>
        <v>450</v>
      </c>
      <c r="J366" s="29">
        <f t="shared" si="2"/>
        <v>46169</v>
      </c>
      <c r="K366" s="30">
        <f t="shared" si="3"/>
        <v>7</v>
      </c>
      <c r="L366" s="29">
        <f t="shared" si="4"/>
        <v>46177</v>
      </c>
      <c r="M366" s="30">
        <f t="shared" si="5"/>
        <v>224.56</v>
      </c>
      <c r="N366" s="32">
        <f t="shared" si="6"/>
        <v>23</v>
      </c>
      <c r="O366" s="33" t="str">
        <f t="shared" si="7"/>
        <v>VENCIDA</v>
      </c>
      <c r="P366" s="34">
        <f>LET(
  idVenta, I366&amp;"",
  montoTotal, M366,
  pagos, IFERROR(SUMIF(Aux_Datos!$B:$B, idVenta, Aux_Datos!$K:$K), 0),
  retenciones, IFERROR(SUMIF(Aux_Datos!$N:$N, idVenta, Aux_Datos!$R:$R), 0),
  pagos + retenciones
)</f>
        <v>0</v>
      </c>
      <c r="Q366" s="30" t="str">
        <f>IF(P366=0, "Sin Pago", 
  LET(
    idVenta, I366&amp;"",
    montoTotalPagado, P366,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66" s="30">
        <f t="shared" si="17"/>
        <v>224.56</v>
      </c>
      <c r="S366" s="29" t="str">
        <f>IF(P366=0, "Sin Pago", 
  IFERROR(
    MAXIFS(Aux_Datos!$A:$A, Aux_Datos!$B:$B, I366&amp;""), 
    IFERROR(MAXIFS(Aux_Datos!$A:$A, Aux_Datos!$B:$B, VALUE(I366)), "Revisar ID")
  )
)</f>
        <v>Sin Pago</v>
      </c>
      <c r="T366" s="35" t="str">
        <f t="shared" si="9"/>
        <v>PENDIENTE</v>
      </c>
      <c r="U366" s="35" t="str">
        <f t="shared" si="10"/>
        <v>CRÍTICO: VENCIDA</v>
      </c>
      <c r="V366" s="32">
        <f t="shared" si="11"/>
        <v>0</v>
      </c>
      <c r="W366" s="36" t="str">
        <f>IF(P366=0, "Sin Pago", 
  LET(
    monedaPago, Q366, 
    descuentoAplicado, G366,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66" s="36" t="str">
        <f t="shared" si="12"/>
        <v/>
      </c>
      <c r="Y366" s="36">
        <v>0.0</v>
      </c>
      <c r="Z366" s="33" t="s">
        <v>641</v>
      </c>
      <c r="AA366" s="33"/>
      <c r="AB366" s="33"/>
      <c r="AC366" s="33"/>
      <c r="AD366" s="33"/>
      <c r="AE366" s="33"/>
      <c r="AF366" s="33"/>
    </row>
    <row r="367" ht="22.5" customHeight="1">
      <c r="A367" s="23" t="s">
        <v>12</v>
      </c>
      <c r="B367" s="41">
        <v>46168.695972222224</v>
      </c>
      <c r="C367" s="23" t="s">
        <v>5</v>
      </c>
      <c r="D367" s="23" t="s">
        <v>552</v>
      </c>
      <c r="E367" s="25">
        <v>495.39</v>
      </c>
      <c r="F367" s="23" t="s">
        <v>608</v>
      </c>
      <c r="G367" s="26">
        <f>IF($E367=0,0,IF(SUMIF(Aux_Datos!$B:$B,$I367,Aux_Datos!$K:$K)/$E367&gt;=VLOOKUP(IF(COUNTIFS(Aux_Datos!$B:$B,$I367,Aux_Datos!$D:$D,"&lt;&gt;USD")=0,"USD","VES"),'Limites de Descuento'!$A$2:$D$4,4,FALSE),MAX(0,1-SUMIF(Aux_Datos!$B:$B,$I367,Aux_Datos!$K:$K)/$E367),0))</f>
        <v>0</v>
      </c>
      <c r="H367" s="27"/>
      <c r="I367" s="28">
        <f t="shared" si="14"/>
        <v>451</v>
      </c>
      <c r="J367" s="29">
        <f t="shared" si="2"/>
        <v>46168</v>
      </c>
      <c r="K367" s="30">
        <f t="shared" si="3"/>
        <v>7</v>
      </c>
      <c r="L367" s="29">
        <f t="shared" si="4"/>
        <v>46176</v>
      </c>
      <c r="M367" s="30">
        <f t="shared" si="5"/>
        <v>495.39</v>
      </c>
      <c r="N367" s="32">
        <f t="shared" si="6"/>
        <v>24</v>
      </c>
      <c r="O367" s="33" t="str">
        <f t="shared" si="7"/>
        <v>VENCIDA</v>
      </c>
      <c r="P367" s="34">
        <f>LET(
  idVenta, I367&amp;"",
  montoTotal, M367,
  pagos, IFERROR(SUMIF(Aux_Datos!$B:$B, idVenta, Aux_Datos!$K:$K), 0),
  retenciones, IFERROR(SUMIF(Aux_Datos!$N:$N, idVenta, Aux_Datos!$R:$R), 0),
  pagos + retenciones
)</f>
        <v>249</v>
      </c>
      <c r="Q367" s="30" t="str">
        <f>IF(P367=0, "Sin Pago", 
  LET(
    idVenta, I367&amp;"",
    montoTotalPagado, P367,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67" s="30">
        <f t="shared" si="17"/>
        <v>246.39</v>
      </c>
      <c r="S367" s="29">
        <f>IF(P367=0, "Sin Pago", 
  IFERROR(
    MAXIFS(Aux_Datos!$A:$A, Aux_Datos!$B:$B, I367&amp;""), 
    IFERROR(MAXIFS(Aux_Datos!$A:$A, Aux_Datos!$B:$B, VALUE(I367)), "Revisar ID")
  )
)</f>
        <v>46169</v>
      </c>
      <c r="T367" s="35" t="str">
        <f t="shared" si="9"/>
        <v>PAGO PARCIAL</v>
      </c>
      <c r="U367" s="35" t="str">
        <f t="shared" si="10"/>
        <v>CRÍTICO: VENCIDA</v>
      </c>
      <c r="V367" s="32">
        <f t="shared" si="11"/>
        <v>31</v>
      </c>
      <c r="W367" s="36" t="str">
        <f>IF(P367=0, "Sin Pago", 
  LET(
    monedaPago, Q367, 
    descuentoAplicado, G367,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67" s="36" t="str">
        <f t="shared" si="12"/>
        <v/>
      </c>
      <c r="Y367" s="36">
        <v>249.0</v>
      </c>
      <c r="Z367" s="33" t="s">
        <v>609</v>
      </c>
      <c r="AA367" s="33"/>
      <c r="AB367" s="33"/>
      <c r="AC367" s="33"/>
      <c r="AD367" s="33"/>
      <c r="AE367" s="33"/>
      <c r="AF367" s="33"/>
    </row>
    <row r="368" ht="22.5" customHeight="1">
      <c r="A368" s="23" t="s">
        <v>273</v>
      </c>
      <c r="B368" s="41">
        <v>46168.695752314816</v>
      </c>
      <c r="C368" s="23" t="s">
        <v>271</v>
      </c>
      <c r="D368" s="23" t="s">
        <v>323</v>
      </c>
      <c r="E368" s="25">
        <v>497.48</v>
      </c>
      <c r="F368" s="23" t="s">
        <v>608</v>
      </c>
      <c r="G368" s="26">
        <f>IF($E368=0,0,IF(SUMIF(Aux_Datos!$B:$B,$I368,Aux_Datos!$K:$K)/$E368&gt;=VLOOKUP(IF(COUNTIFS(Aux_Datos!$B:$B,$I368,Aux_Datos!$D:$D,"&lt;&gt;USD")=0,"USD","VES"),'Limites de Descuento'!$A$2:$D$4,4,FALSE),MAX(0,1-SUMIF(Aux_Datos!$B:$B,$I368,Aux_Datos!$K:$K)/$E368),0))</f>
        <v>0</v>
      </c>
      <c r="H368" s="26">
        <v>0.02</v>
      </c>
      <c r="I368" s="28">
        <f t="shared" si="14"/>
        <v>452</v>
      </c>
      <c r="J368" s="29">
        <f t="shared" si="2"/>
        <v>46168</v>
      </c>
      <c r="K368" s="30">
        <f t="shared" si="3"/>
        <v>7</v>
      </c>
      <c r="L368" s="29">
        <f t="shared" si="4"/>
        <v>46176</v>
      </c>
      <c r="M368" s="30">
        <f t="shared" si="5"/>
        <v>487.5304</v>
      </c>
      <c r="N368" s="32">
        <f t="shared" si="6"/>
        <v>24</v>
      </c>
      <c r="O368" s="33" t="str">
        <f t="shared" si="7"/>
        <v>VENCIDA</v>
      </c>
      <c r="P368" s="34">
        <f>LET(
  idVenta, I368&amp;"",
  montoTotal, M368,
  pagos, IFERROR(SUMIF(Aux_Datos!$B:$B, idVenta, Aux_Datos!$K:$K), 0),
  retenciones, IFERROR(SUMIF(Aux_Datos!$N:$N, idVenta, Aux_Datos!$R:$R), 0),
  pagos + retenciones
)</f>
        <v>320</v>
      </c>
      <c r="Q368" s="30" t="str">
        <f>IF(P368=0, "Sin Pago", 
  LET(
    idVenta, I368&amp;"",
    montoTotalPagado, P368,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68" s="30">
        <f t="shared" si="17"/>
        <v>167.5304</v>
      </c>
      <c r="S368" s="29">
        <f>IF(P368=0, "Sin Pago", 
  IFERROR(
    MAXIFS(Aux_Datos!$A:$A, Aux_Datos!$B:$B, I368&amp;""), 
    IFERROR(MAXIFS(Aux_Datos!$A:$A, Aux_Datos!$B:$B, VALUE(I368)), "Revisar ID")
  )
)</f>
        <v>46168</v>
      </c>
      <c r="T368" s="35" t="str">
        <f t="shared" si="9"/>
        <v>PAGO PARCIAL</v>
      </c>
      <c r="U368" s="35" t="str">
        <f t="shared" si="10"/>
        <v>CRÍTICO: VENCIDA</v>
      </c>
      <c r="V368" s="32">
        <f t="shared" si="11"/>
        <v>32</v>
      </c>
      <c r="W368" s="36" t="str">
        <f>IF(P368=0, "Sin Pago", 
  LET(
    monedaPago, Q368, 
    descuentoAplicado, G368,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68" s="36" t="str">
        <f t="shared" si="12"/>
        <v>OK</v>
      </c>
      <c r="Y368" s="36">
        <v>320.0</v>
      </c>
      <c r="Z368" s="33" t="s">
        <v>609</v>
      </c>
      <c r="AA368" s="33"/>
      <c r="AB368" s="33"/>
      <c r="AC368" s="33"/>
      <c r="AD368" s="33"/>
      <c r="AE368" s="33"/>
      <c r="AF368" s="33"/>
    </row>
    <row r="369" ht="22.5" customHeight="1">
      <c r="A369" s="23" t="s">
        <v>272</v>
      </c>
      <c r="B369" s="41">
        <v>46168.70454861111</v>
      </c>
      <c r="C369" s="23" t="s">
        <v>271</v>
      </c>
      <c r="D369" s="23" t="s">
        <v>323</v>
      </c>
      <c r="E369" s="25">
        <v>40.0</v>
      </c>
      <c r="F369" s="23" t="s">
        <v>608</v>
      </c>
      <c r="G369" s="26">
        <f>IF($E369=0,0,IF(SUMIF(Aux_Datos!$B:$B,$I369,Aux_Datos!$K:$K)/$E369&gt;=VLOOKUP(IF(COUNTIFS(Aux_Datos!$B:$B,$I369,Aux_Datos!$D:$D,"&lt;&gt;USD")=0,"USD","VES"),'Limites de Descuento'!$A$2:$D$4,4,FALSE),MAX(0,1-SUMIF(Aux_Datos!$B:$B,$I369,Aux_Datos!$K:$K)/$E369),0))</f>
        <v>0</v>
      </c>
      <c r="H369" s="26">
        <v>0.06</v>
      </c>
      <c r="I369" s="28">
        <f t="shared" si="14"/>
        <v>454</v>
      </c>
      <c r="J369" s="29">
        <f t="shared" si="2"/>
        <v>46168</v>
      </c>
      <c r="K369" s="30">
        <f t="shared" si="3"/>
        <v>7</v>
      </c>
      <c r="L369" s="29">
        <f t="shared" si="4"/>
        <v>46176</v>
      </c>
      <c r="M369" s="30">
        <f t="shared" si="5"/>
        <v>37.6</v>
      </c>
      <c r="N369" s="32">
        <f t="shared" si="6"/>
        <v>24</v>
      </c>
      <c r="O369" s="33" t="str">
        <f t="shared" si="7"/>
        <v>VENCIDA</v>
      </c>
      <c r="P369" s="34">
        <f>LET(
  idVenta, I369&amp;"",
  montoTotal, M369,
  pagos, IFERROR(SUMIF(Aux_Datos!$B:$B, idVenta, Aux_Datos!$K:$K), 0),
  retenciones, IFERROR(SUMIF(Aux_Datos!$N:$N, idVenta, Aux_Datos!$R:$R), 0),
  pagos + retenciones
)</f>
        <v>24.10919015</v>
      </c>
      <c r="Q369" s="30" t="str">
        <f>IF(P369=0, "Sin Pago", 
  LET(
    idVenta, I369&amp;"",
    montoTotalPagado, P369,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369" s="30">
        <f t="shared" si="17"/>
        <v>13.49080985</v>
      </c>
      <c r="S369" s="29">
        <f>IF(P369=0, "Sin Pago", 
  IFERROR(
    MAXIFS(Aux_Datos!$A:$A, Aux_Datos!$B:$B, I369&amp;""), 
    IFERROR(MAXIFS(Aux_Datos!$A:$A, Aux_Datos!$B:$B, VALUE(I369)), "Revisar ID")
  )
)</f>
        <v>46168</v>
      </c>
      <c r="T369" s="35" t="str">
        <f t="shared" si="9"/>
        <v>PAGO PARCIAL</v>
      </c>
      <c r="U369" s="35" t="str">
        <f t="shared" si="10"/>
        <v>CRÍTICO: VENCIDA</v>
      </c>
      <c r="V369" s="32">
        <f t="shared" si="11"/>
        <v>32</v>
      </c>
      <c r="W369" s="36" t="str">
        <f>IF(P369=0, "Sin Pago", 
  LET(
    monedaPago, Q369, 
    descuentoAplicado, G369,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69" s="36" t="str">
        <f t="shared" si="12"/>
        <v>OK</v>
      </c>
      <c r="Y369" s="36">
        <v>24.10919014773099</v>
      </c>
      <c r="Z369" s="33" t="s">
        <v>609</v>
      </c>
      <c r="AA369" s="33"/>
      <c r="AB369" s="33"/>
      <c r="AC369" s="33"/>
      <c r="AD369" s="33"/>
      <c r="AE369" s="33"/>
      <c r="AF369" s="33"/>
    </row>
    <row r="370" ht="22.5" customHeight="1">
      <c r="A370" s="23" t="s">
        <v>377</v>
      </c>
      <c r="B370" s="41">
        <v>46168.74202546296</v>
      </c>
      <c r="C370" s="23" t="s">
        <v>376</v>
      </c>
      <c r="D370" s="23" t="s">
        <v>538</v>
      </c>
      <c r="E370" s="25">
        <v>273.85</v>
      </c>
      <c r="F370" s="23" t="s">
        <v>608</v>
      </c>
      <c r="G370" s="26">
        <f>IF($E370=0,0,IF(SUMIF(Aux_Datos!$B:$B,$I370,Aux_Datos!$K:$K)/$E370&gt;=VLOOKUP(IF(COUNTIFS(Aux_Datos!$B:$B,$I370,Aux_Datos!$D:$D,"&lt;&gt;USD")=0,"USD","VES"),'Limites de Descuento'!$A$2:$D$4,4,FALSE),MAX(0,1-SUMIF(Aux_Datos!$B:$B,$I370,Aux_Datos!$K:$K)/$E370),0))</f>
        <v>0</v>
      </c>
      <c r="H370" s="27"/>
      <c r="I370" s="28">
        <f t="shared" si="14"/>
        <v>456</v>
      </c>
      <c r="J370" s="29">
        <f t="shared" si="2"/>
        <v>46168</v>
      </c>
      <c r="K370" s="30">
        <f t="shared" si="3"/>
        <v>7</v>
      </c>
      <c r="L370" s="29">
        <f t="shared" si="4"/>
        <v>46176</v>
      </c>
      <c r="M370" s="30">
        <f t="shared" si="5"/>
        <v>273.85</v>
      </c>
      <c r="N370" s="32">
        <f t="shared" si="6"/>
        <v>24</v>
      </c>
      <c r="O370" s="33" t="str">
        <f t="shared" si="7"/>
        <v>VENCIDA</v>
      </c>
      <c r="P370" s="34">
        <f>LET(
  idVenta, I370&amp;"",
  montoTotal, M370,
  pagos, IFERROR(SUMIF(Aux_Datos!$B:$B, idVenta, Aux_Datos!$K:$K), 0),
  retenciones, IFERROR(SUMIF(Aux_Datos!$N:$N, idVenta, Aux_Datos!$R:$R), 0),
  pagos + retenciones
)</f>
        <v>0</v>
      </c>
      <c r="Q370" s="30" t="str">
        <f>IF(P370=0, "Sin Pago", 
  LET(
    idVenta, I370&amp;"",
    montoTotalPagado, P370,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70" s="30">
        <f t="shared" si="17"/>
        <v>273.85</v>
      </c>
      <c r="S370" s="29" t="str">
        <f>IF(P370=0, "Sin Pago", 
  IFERROR(
    MAXIFS(Aux_Datos!$A:$A, Aux_Datos!$B:$B, I370&amp;""), 
    IFERROR(MAXIFS(Aux_Datos!$A:$A, Aux_Datos!$B:$B, VALUE(I370)), "Revisar ID")
  )
)</f>
        <v>Sin Pago</v>
      </c>
      <c r="T370" s="35" t="str">
        <f t="shared" si="9"/>
        <v>PENDIENTE</v>
      </c>
      <c r="U370" s="35" t="str">
        <f t="shared" si="10"/>
        <v>CRÍTICO: VENCIDA</v>
      </c>
      <c r="V370" s="32">
        <f t="shared" si="11"/>
        <v>0</v>
      </c>
      <c r="W370" s="36" t="str">
        <f>IF(P370=0, "Sin Pago", 
  LET(
    monedaPago, Q370, 
    descuentoAplicado, G370,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70" s="36" t="str">
        <f t="shared" si="12"/>
        <v/>
      </c>
      <c r="Y370" s="36">
        <v>0.0</v>
      </c>
      <c r="Z370" s="33" t="s">
        <v>641</v>
      </c>
      <c r="AA370" s="33"/>
      <c r="AB370" s="33"/>
      <c r="AC370" s="33"/>
      <c r="AD370" s="33"/>
      <c r="AE370" s="33"/>
      <c r="AF370" s="33"/>
    </row>
    <row r="371" ht="22.5" customHeight="1">
      <c r="A371" s="23" t="s">
        <v>847</v>
      </c>
      <c r="B371" s="41">
        <v>46170.34265046296</v>
      </c>
      <c r="C371" s="23" t="s">
        <v>62</v>
      </c>
      <c r="D371" s="23" t="s">
        <v>323</v>
      </c>
      <c r="E371" s="25">
        <v>1361.52</v>
      </c>
      <c r="F371" s="23" t="s">
        <v>608</v>
      </c>
      <c r="G371" s="26">
        <f>IF($E371=0,0,IF(SUMIF(Aux_Datos!$B:$B,$I371,Aux_Datos!$K:$K)/$E371&gt;=VLOOKUP(IF(COUNTIFS(Aux_Datos!$B:$B,$I371,Aux_Datos!$D:$D,"&lt;&gt;USD")=0,"USD","VES"),'Limites de Descuento'!$A$2:$D$4,4,FALSE),MAX(0,1-SUMIF(Aux_Datos!$B:$B,$I371,Aux_Datos!$K:$K)/$E371),0))</f>
        <v>0.3499911863</v>
      </c>
      <c r="H371" s="27"/>
      <c r="I371" s="28">
        <f t="shared" si="14"/>
        <v>457</v>
      </c>
      <c r="J371" s="29">
        <f t="shared" si="2"/>
        <v>46170</v>
      </c>
      <c r="K371" s="30">
        <f t="shared" si="3"/>
        <v>7</v>
      </c>
      <c r="L371" s="29">
        <f t="shared" si="4"/>
        <v>46178</v>
      </c>
      <c r="M371" s="30">
        <f t="shared" si="5"/>
        <v>885</v>
      </c>
      <c r="N371" s="32">
        <f t="shared" si="6"/>
        <v>0</v>
      </c>
      <c r="O371" s="33" t="str">
        <f t="shared" si="7"/>
        <v>PAGADA</v>
      </c>
      <c r="P371" s="34">
        <f>LET(
  idVenta, I371&amp;"",
  montoTotal, M371,
  pagos, IFERROR(SUMIF(Aux_Datos!$B:$B, idVenta, Aux_Datos!$K:$K), 0),
  retenciones, IFERROR(SUMIF(Aux_Datos!$N:$N, idVenta, Aux_Datos!$R:$R), 0),
  pagos + retenciones
)</f>
        <v>885</v>
      </c>
      <c r="Q371" s="30" t="str">
        <f>IF(P371=0, "Sin Pago", 
  LET(
    idVenta, I371&amp;"",
    montoTotalPagado, P371,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71" s="30">
        <f t="shared" si="17"/>
        <v>0</v>
      </c>
      <c r="S371" s="29">
        <f>IF(P371=0, "Sin Pago", 
  IFERROR(
    MAXIFS(Aux_Datos!$A:$A, Aux_Datos!$B:$B, I371&amp;""), 
    IFERROR(MAXIFS(Aux_Datos!$A:$A, Aux_Datos!$B:$B, VALUE(I371)), "Revisar ID")
  )
)</f>
        <v>46189</v>
      </c>
      <c r="T371" s="35" t="str">
        <f t="shared" si="9"/>
        <v>PAGADA</v>
      </c>
      <c r="U371" s="35" t="str">
        <f t="shared" si="10"/>
        <v>SOLVENTE</v>
      </c>
      <c r="V371" s="32">
        <f t="shared" si="11"/>
        <v>0</v>
      </c>
      <c r="W371" s="36" t="str">
        <f>IF(P371=0, "Sin Pago", 
  LET(
    monedaPago, Q371, 
    descuentoAplicado, G371,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71" s="36" t="str">
        <f t="shared" si="12"/>
        <v/>
      </c>
      <c r="Y371" s="36">
        <v>885.0</v>
      </c>
      <c r="Z371" s="33" t="s">
        <v>596</v>
      </c>
      <c r="AA371" s="33"/>
      <c r="AB371" s="33"/>
      <c r="AC371" s="33"/>
      <c r="AD371" s="33"/>
      <c r="AE371" s="33"/>
      <c r="AF371" s="33"/>
    </row>
    <row r="372" ht="22.5" customHeight="1">
      <c r="A372" s="23" t="s">
        <v>848</v>
      </c>
      <c r="B372" s="41">
        <v>46171.436435185184</v>
      </c>
      <c r="C372" s="23" t="s">
        <v>849</v>
      </c>
      <c r="D372" s="23" t="s">
        <v>323</v>
      </c>
      <c r="E372" s="25">
        <v>21143.12</v>
      </c>
      <c r="F372" s="23" t="s">
        <v>680</v>
      </c>
      <c r="G372" s="26">
        <f>IF($E372=0,0,IF(SUMIF(Aux_Datos!$B:$B,$I372,Aux_Datos!$K:$K)/$E372&gt;=VLOOKUP(IF(COUNTIFS(Aux_Datos!$B:$B,$I372,Aux_Datos!$D:$D,"&lt;&gt;USD")=0,"USD","VES"),'Limites de Descuento'!$A$2:$D$4,4,FALSE),MAX(0,1-SUMIF(Aux_Datos!$B:$B,$I372,Aux_Datos!$K:$K)/$E372),0))</f>
        <v>0</v>
      </c>
      <c r="H372" s="27"/>
      <c r="I372" s="28">
        <f t="shared" si="14"/>
        <v>458</v>
      </c>
      <c r="J372" s="29">
        <f t="shared" si="2"/>
        <v>46171</v>
      </c>
      <c r="K372" s="30">
        <f t="shared" si="3"/>
        <v>30</v>
      </c>
      <c r="L372" s="29">
        <f t="shared" si="4"/>
        <v>46202</v>
      </c>
      <c r="M372" s="30">
        <f t="shared" si="5"/>
        <v>21143.12</v>
      </c>
      <c r="N372" s="32">
        <f t="shared" si="6"/>
        <v>0</v>
      </c>
      <c r="O372" s="33" t="str">
        <f t="shared" si="7"/>
        <v>EN TIEMPO</v>
      </c>
      <c r="P372" s="34">
        <f>LET(
  idVenta, I372&amp;"",
  montoTotal, M372,
  pagos, IFERROR(SUMIF(Aux_Datos!$B:$B, idVenta, Aux_Datos!$K:$K), 0),
  retenciones, IFERROR(SUMIF(Aux_Datos!$N:$N, idVenta, Aux_Datos!$R:$R), 0),
  pagos + retenciones
)</f>
        <v>0</v>
      </c>
      <c r="Q372" s="30" t="str">
        <f>IF(P372=0, "Sin Pago", 
  LET(
    idVenta, I372&amp;"",
    montoTotalPagado, P372,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72" s="30">
        <f t="shared" si="17"/>
        <v>21143.12</v>
      </c>
      <c r="S372" s="29" t="str">
        <f>IF(P372=0, "Sin Pago", 
  IFERROR(
    MAXIFS(Aux_Datos!$A:$A, Aux_Datos!$B:$B, I372&amp;""), 
    IFERROR(MAXIFS(Aux_Datos!$A:$A, Aux_Datos!$B:$B, VALUE(I372)), "Revisar ID")
  )
)</f>
        <v>Sin Pago</v>
      </c>
      <c r="T372" s="35" t="str">
        <f t="shared" si="9"/>
        <v>PENDIENTE</v>
      </c>
      <c r="U372" s="35" t="str">
        <f t="shared" si="10"/>
        <v>EN TIEMPO</v>
      </c>
      <c r="V372" s="32">
        <f t="shared" si="11"/>
        <v>0</v>
      </c>
      <c r="W372" s="36" t="str">
        <f>IF(P372=0, "Sin Pago", 
  LET(
    monedaPago, Q372, 
    descuentoAplicado, G372,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72" s="36" t="str">
        <f t="shared" si="12"/>
        <v/>
      </c>
      <c r="Y372" s="36">
        <v>0.0</v>
      </c>
      <c r="Z372" s="33" t="s">
        <v>641</v>
      </c>
      <c r="AA372" s="33"/>
      <c r="AB372" s="33"/>
      <c r="AC372" s="33"/>
      <c r="AD372" s="33"/>
      <c r="AE372" s="33"/>
      <c r="AF372" s="33"/>
    </row>
    <row r="373" ht="22.5" customHeight="1">
      <c r="A373" s="23" t="s">
        <v>391</v>
      </c>
      <c r="B373" s="41">
        <v>46170.68565972222</v>
      </c>
      <c r="C373" s="23" t="s">
        <v>390</v>
      </c>
      <c r="D373" s="23" t="s">
        <v>544</v>
      </c>
      <c r="E373" s="25">
        <v>263.09</v>
      </c>
      <c r="F373" s="23" t="s">
        <v>608</v>
      </c>
      <c r="G373" s="26">
        <f>IF($E373=0,0,IF(SUMIF(Aux_Datos!$B:$B,$I373,Aux_Datos!$K:$K)/$E373&gt;=VLOOKUP(IF(COUNTIFS(Aux_Datos!$B:$B,$I373,Aux_Datos!$D:$D,"&lt;&gt;USD")=0,"USD","VES"),'Limites de Descuento'!$A$2:$D$4,4,FALSE),MAX(0,1-SUMIF(Aux_Datos!$B:$B,$I373,Aux_Datos!$K:$K)/$E373),0))</f>
        <v>0</v>
      </c>
      <c r="H373" s="27"/>
      <c r="I373" s="28">
        <f t="shared" si="14"/>
        <v>462</v>
      </c>
      <c r="J373" s="29">
        <f t="shared" si="2"/>
        <v>46170</v>
      </c>
      <c r="K373" s="30">
        <f t="shared" si="3"/>
        <v>7</v>
      </c>
      <c r="L373" s="29">
        <f t="shared" si="4"/>
        <v>46178</v>
      </c>
      <c r="M373" s="30">
        <f t="shared" si="5"/>
        <v>263.09</v>
      </c>
      <c r="N373" s="32">
        <f t="shared" si="6"/>
        <v>22</v>
      </c>
      <c r="O373" s="33" t="str">
        <f t="shared" si="7"/>
        <v>VENCIDA</v>
      </c>
      <c r="P373" s="34">
        <f>LET(
  idVenta, I373&amp;"",
  montoTotal, M373,
  pagos, IFERROR(SUMIF(Aux_Datos!$B:$B, idVenta, Aux_Datos!$K:$K), 0),
  retenciones, IFERROR(SUMIF(Aux_Datos!$N:$N, idVenta, Aux_Datos!$R:$R), 0),
  pagos + retenciones
)</f>
        <v>0</v>
      </c>
      <c r="Q373" s="30" t="str">
        <f>IF(P373=0, "Sin Pago", 
  LET(
    idVenta, I373&amp;"",
    montoTotalPagado, P373,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73" s="30">
        <f t="shared" si="17"/>
        <v>263.09</v>
      </c>
      <c r="S373" s="29" t="str">
        <f>IF(P373=0, "Sin Pago", 
  IFERROR(
    MAXIFS(Aux_Datos!$A:$A, Aux_Datos!$B:$B, I373&amp;""), 
    IFERROR(MAXIFS(Aux_Datos!$A:$A, Aux_Datos!$B:$B, VALUE(I373)), "Revisar ID")
  )
)</f>
        <v>Sin Pago</v>
      </c>
      <c r="T373" s="35" t="str">
        <f t="shared" si="9"/>
        <v>PENDIENTE</v>
      </c>
      <c r="U373" s="35" t="str">
        <f t="shared" si="10"/>
        <v>CRÍTICO: VENCIDA</v>
      </c>
      <c r="V373" s="32">
        <f t="shared" si="11"/>
        <v>0</v>
      </c>
      <c r="W373" s="36" t="str">
        <f>IF(P373=0, "Sin Pago", 
  LET(
    monedaPago, Q373, 
    descuentoAplicado, G373,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73" s="36" t="str">
        <f t="shared" si="12"/>
        <v/>
      </c>
      <c r="Y373" s="36">
        <v>0.0</v>
      </c>
      <c r="Z373" s="33" t="s">
        <v>641</v>
      </c>
      <c r="AA373" s="33"/>
      <c r="AB373" s="33"/>
      <c r="AC373" s="33"/>
      <c r="AD373" s="33"/>
      <c r="AE373" s="33"/>
      <c r="AF373" s="33"/>
    </row>
    <row r="374" ht="22.5" customHeight="1">
      <c r="A374" s="23" t="s">
        <v>384</v>
      </c>
      <c r="B374" s="41">
        <v>46170.73268518518</v>
      </c>
      <c r="C374" s="23" t="s">
        <v>383</v>
      </c>
      <c r="D374" s="23" t="s">
        <v>529</v>
      </c>
      <c r="E374" s="25">
        <v>315.12</v>
      </c>
      <c r="F374" s="23" t="s">
        <v>608</v>
      </c>
      <c r="G374" s="26">
        <f>IF($E374=0,0,IF(SUMIF(Aux_Datos!$B:$B,$I374,Aux_Datos!$K:$K)/$E374&gt;=VLOOKUP(IF(COUNTIFS(Aux_Datos!$B:$B,$I374,Aux_Datos!$D:$D,"&lt;&gt;USD")=0,"USD","VES"),'Limites de Descuento'!$A$2:$D$4,4,FALSE),MAX(0,1-SUMIF(Aux_Datos!$B:$B,$I374,Aux_Datos!$K:$K)/$E374),0))</f>
        <v>0</v>
      </c>
      <c r="H374" s="27"/>
      <c r="I374" s="28">
        <f t="shared" si="14"/>
        <v>464</v>
      </c>
      <c r="J374" s="29">
        <f t="shared" si="2"/>
        <v>46170</v>
      </c>
      <c r="K374" s="30">
        <f t="shared" si="3"/>
        <v>7</v>
      </c>
      <c r="L374" s="29">
        <f t="shared" si="4"/>
        <v>46178</v>
      </c>
      <c r="M374" s="30">
        <f t="shared" si="5"/>
        <v>315.12</v>
      </c>
      <c r="N374" s="32">
        <f t="shared" si="6"/>
        <v>22</v>
      </c>
      <c r="O374" s="33" t="str">
        <f t="shared" si="7"/>
        <v>VENCIDA</v>
      </c>
      <c r="P374" s="34">
        <f>LET(
  idVenta, I374&amp;"",
  montoTotal, M374,
  pagos, IFERROR(SUMIF(Aux_Datos!$B:$B, idVenta, Aux_Datos!$K:$K), 0),
  retenciones, IFERROR(SUMIF(Aux_Datos!$N:$N, idVenta, Aux_Datos!$R:$R), 0),
  pagos + retenciones
)</f>
        <v>0</v>
      </c>
      <c r="Q374" s="30" t="str">
        <f>IF(P374=0, "Sin Pago", 
  LET(
    idVenta, I374&amp;"",
    montoTotalPagado, P374,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74" s="30">
        <f t="shared" si="17"/>
        <v>315.12</v>
      </c>
      <c r="S374" s="29" t="str">
        <f>IF(P374=0, "Sin Pago", 
  IFERROR(
    MAXIFS(Aux_Datos!$A:$A, Aux_Datos!$B:$B, I374&amp;""), 
    IFERROR(MAXIFS(Aux_Datos!$A:$A, Aux_Datos!$B:$B, VALUE(I374)), "Revisar ID")
  )
)</f>
        <v>Sin Pago</v>
      </c>
      <c r="T374" s="35" t="str">
        <f t="shared" si="9"/>
        <v>PENDIENTE</v>
      </c>
      <c r="U374" s="35" t="str">
        <f t="shared" si="10"/>
        <v>CRÍTICO: VENCIDA</v>
      </c>
      <c r="V374" s="32">
        <f t="shared" si="11"/>
        <v>0</v>
      </c>
      <c r="W374" s="36" t="str">
        <f>IF(P374=0, "Sin Pago", 
  LET(
    monedaPago, Q374, 
    descuentoAplicado, G374,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74" s="36" t="str">
        <f t="shared" si="12"/>
        <v/>
      </c>
      <c r="Y374" s="36">
        <v>0.0</v>
      </c>
      <c r="Z374" s="33" t="s">
        <v>641</v>
      </c>
      <c r="AA374" s="33"/>
      <c r="AB374" s="33"/>
      <c r="AC374" s="33"/>
      <c r="AD374" s="33"/>
      <c r="AE374" s="33"/>
      <c r="AF374" s="33"/>
    </row>
    <row r="375" ht="22.5" customHeight="1">
      <c r="A375" s="23" t="s">
        <v>393</v>
      </c>
      <c r="B375" s="41">
        <v>46171.81822916667</v>
      </c>
      <c r="C375" s="23" t="s">
        <v>392</v>
      </c>
      <c r="D375" s="23" t="s">
        <v>529</v>
      </c>
      <c r="E375" s="25">
        <v>283.08</v>
      </c>
      <c r="F375" s="23" t="s">
        <v>608</v>
      </c>
      <c r="G375" s="26">
        <f>IF($E375=0,0,IF(SUMIF(Aux_Datos!$B:$B,$I375,Aux_Datos!$K:$K)/$E375&gt;=VLOOKUP(IF(COUNTIFS(Aux_Datos!$B:$B,$I375,Aux_Datos!$D:$D,"&lt;&gt;USD")=0,"USD","VES"),'Limites de Descuento'!$A$2:$D$4,4,FALSE),MAX(0,1-SUMIF(Aux_Datos!$B:$B,$I375,Aux_Datos!$K:$K)/$E375),0))</f>
        <v>0</v>
      </c>
      <c r="H375" s="27"/>
      <c r="I375" s="28">
        <f t="shared" si="14"/>
        <v>465</v>
      </c>
      <c r="J375" s="29">
        <f t="shared" si="2"/>
        <v>46171</v>
      </c>
      <c r="K375" s="30">
        <f t="shared" si="3"/>
        <v>7</v>
      </c>
      <c r="L375" s="29">
        <f t="shared" si="4"/>
        <v>46179</v>
      </c>
      <c r="M375" s="30">
        <f t="shared" si="5"/>
        <v>283.08</v>
      </c>
      <c r="N375" s="32">
        <f t="shared" si="6"/>
        <v>21</v>
      </c>
      <c r="O375" s="33" t="str">
        <f t="shared" si="7"/>
        <v>VENCIDA</v>
      </c>
      <c r="P375" s="34">
        <f>LET(
  idVenta, I375&amp;"",
  montoTotal, M375,
  pagos, IFERROR(SUMIF(Aux_Datos!$B:$B, idVenta, Aux_Datos!$K:$K), 0),
  retenciones, IFERROR(SUMIF(Aux_Datos!$N:$N, idVenta, Aux_Datos!$R:$R), 0),
  pagos + retenciones
)</f>
        <v>0</v>
      </c>
      <c r="Q375" s="30" t="str">
        <f>IF(P375=0, "Sin Pago", 
  LET(
    idVenta, I375&amp;"",
    montoTotalPagado, P375,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75" s="30">
        <f t="shared" si="17"/>
        <v>283.08</v>
      </c>
      <c r="S375" s="29" t="str">
        <f>IF(P375=0, "Sin Pago", 
  IFERROR(
    MAXIFS(Aux_Datos!$A:$A, Aux_Datos!$B:$B, I375&amp;""), 
    IFERROR(MAXIFS(Aux_Datos!$A:$A, Aux_Datos!$B:$B, VALUE(I375)), "Revisar ID")
  )
)</f>
        <v>Sin Pago</v>
      </c>
      <c r="T375" s="35" t="str">
        <f t="shared" si="9"/>
        <v>PENDIENTE</v>
      </c>
      <c r="U375" s="35" t="str">
        <f t="shared" si="10"/>
        <v>CRÍTICO: VENCIDA</v>
      </c>
      <c r="V375" s="32">
        <f t="shared" si="11"/>
        <v>0</v>
      </c>
      <c r="W375" s="36" t="str">
        <f>IF(P375=0, "Sin Pago", 
  LET(
    monedaPago, Q375, 
    descuentoAplicado, G375,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75" s="36" t="str">
        <f t="shared" si="12"/>
        <v/>
      </c>
      <c r="Y375" s="36">
        <v>0.0</v>
      </c>
      <c r="Z375" s="33" t="s">
        <v>641</v>
      </c>
      <c r="AA375" s="33"/>
      <c r="AB375" s="33"/>
      <c r="AC375" s="33"/>
      <c r="AD375" s="33"/>
      <c r="AE375" s="33"/>
      <c r="AF375" s="33"/>
    </row>
    <row r="376" ht="22.5" customHeight="1">
      <c r="A376" s="23" t="s">
        <v>55</v>
      </c>
      <c r="B376" s="41">
        <v>46171.81891203704</v>
      </c>
      <c r="C376" s="23" t="s">
        <v>52</v>
      </c>
      <c r="D376" s="23" t="s">
        <v>550</v>
      </c>
      <c r="E376" s="25">
        <v>81.54</v>
      </c>
      <c r="F376" s="23" t="s">
        <v>608</v>
      </c>
      <c r="G376" s="26">
        <f>IF($E376=0,0,IF(SUMIF(Aux_Datos!$B:$B,$I376,Aux_Datos!$K:$K)/$E376&gt;=VLOOKUP(IF(COUNTIFS(Aux_Datos!$B:$B,$I376,Aux_Datos!$D:$D,"&lt;&gt;USD")=0,"USD","VES"),'Limites de Descuento'!$A$2:$D$4,4,FALSE),MAX(0,1-SUMIF(Aux_Datos!$B:$B,$I376,Aux_Datos!$K:$K)/$E376),0))</f>
        <v>0</v>
      </c>
      <c r="H376" s="27"/>
      <c r="I376" s="28">
        <f t="shared" si="14"/>
        <v>466</v>
      </c>
      <c r="J376" s="29">
        <f t="shared" si="2"/>
        <v>46171</v>
      </c>
      <c r="K376" s="30">
        <f t="shared" si="3"/>
        <v>7</v>
      </c>
      <c r="L376" s="29">
        <f t="shared" si="4"/>
        <v>46179</v>
      </c>
      <c r="M376" s="30">
        <f t="shared" si="5"/>
        <v>81.54</v>
      </c>
      <c r="N376" s="32">
        <f t="shared" si="6"/>
        <v>21</v>
      </c>
      <c r="O376" s="33" t="str">
        <f t="shared" si="7"/>
        <v>VENCIDA</v>
      </c>
      <c r="P376" s="34">
        <f>LET(
  idVenta, I376&amp;"",
  montoTotal, M376,
  pagos, IFERROR(SUMIF(Aux_Datos!$B:$B, idVenta, Aux_Datos!$K:$K), 0),
  retenciones, IFERROR(SUMIF(Aux_Datos!$N:$N, idVenta, Aux_Datos!$R:$R), 0),
  pagos + retenciones
)</f>
        <v>30</v>
      </c>
      <c r="Q376" s="30" t="str">
        <f>IF(P376=0, "Sin Pago", 
  LET(
    idVenta, I376&amp;"",
    montoTotalPagado, P376,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76" s="30">
        <f t="shared" si="17"/>
        <v>51.54</v>
      </c>
      <c r="S376" s="29">
        <f>IF(P376=0, "Sin Pago", 
  IFERROR(
    MAXIFS(Aux_Datos!$A:$A, Aux_Datos!$B:$B, I376&amp;""), 
    IFERROR(MAXIFS(Aux_Datos!$A:$A, Aux_Datos!$B:$B, VALUE(I376)), "Revisar ID")
  )
)</f>
        <v>46174</v>
      </c>
      <c r="T376" s="35" t="str">
        <f t="shared" si="9"/>
        <v>PAGO PARCIAL</v>
      </c>
      <c r="U376" s="35" t="str">
        <f t="shared" si="10"/>
        <v>CRÍTICO: VENCIDA</v>
      </c>
      <c r="V376" s="32">
        <f t="shared" si="11"/>
        <v>26</v>
      </c>
      <c r="W376" s="36" t="str">
        <f>IF(P376=0, "Sin Pago", 
  LET(
    monedaPago, Q376, 
    descuentoAplicado, G376,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76" s="36" t="str">
        <f t="shared" si="12"/>
        <v/>
      </c>
      <c r="Y376" s="36">
        <v>30.0</v>
      </c>
      <c r="Z376" s="33" t="s">
        <v>609</v>
      </c>
      <c r="AA376" s="33"/>
      <c r="AB376" s="33"/>
      <c r="AC376" s="33"/>
      <c r="AD376" s="33"/>
      <c r="AE376" s="33"/>
      <c r="AF376" s="33"/>
    </row>
    <row r="377" ht="22.5" customHeight="1">
      <c r="A377" s="23" t="s">
        <v>149</v>
      </c>
      <c r="B377" s="41">
        <v>46174.37732638889</v>
      </c>
      <c r="C377" s="23" t="s">
        <v>147</v>
      </c>
      <c r="D377" s="23" t="s">
        <v>538</v>
      </c>
      <c r="E377" s="25">
        <v>576.93</v>
      </c>
      <c r="F377" s="23" t="s">
        <v>608</v>
      </c>
      <c r="G377" s="26">
        <f>IF($E377=0,0,IF(SUMIF(Aux_Datos!$B:$B,$I377,Aux_Datos!$K:$K)/$E377&gt;=VLOOKUP(IF(COUNTIFS(Aux_Datos!$B:$B,$I377,Aux_Datos!$D:$D,"&lt;&gt;USD")=0,"USD","VES"),'Limites de Descuento'!$A$2:$D$4,4,FALSE),MAX(0,1-SUMIF(Aux_Datos!$B:$B,$I377,Aux_Datos!$K:$K)/$E377),0))</f>
        <v>0</v>
      </c>
      <c r="H377" s="27"/>
      <c r="I377" s="28">
        <f t="shared" si="14"/>
        <v>467</v>
      </c>
      <c r="J377" s="29">
        <f t="shared" si="2"/>
        <v>46174</v>
      </c>
      <c r="K377" s="30">
        <f t="shared" si="3"/>
        <v>7</v>
      </c>
      <c r="L377" s="29">
        <f t="shared" si="4"/>
        <v>46182</v>
      </c>
      <c r="M377" s="30">
        <f t="shared" si="5"/>
        <v>576.93</v>
      </c>
      <c r="N377" s="32">
        <f t="shared" si="6"/>
        <v>18</v>
      </c>
      <c r="O377" s="33" t="str">
        <f t="shared" si="7"/>
        <v>VENCIDA</v>
      </c>
      <c r="P377" s="34">
        <f>LET(
  idVenta, I377&amp;"",
  montoTotal, M377,
  pagos, IFERROR(SUMIF(Aux_Datos!$B:$B, idVenta, Aux_Datos!$K:$K), 0),
  retenciones, IFERROR(SUMIF(Aux_Datos!$N:$N, idVenta, Aux_Datos!$R:$R), 0),
  pagos + retenciones
)</f>
        <v>150</v>
      </c>
      <c r="Q377" s="30" t="str">
        <f>IF(P377=0, "Sin Pago", 
  LET(
    idVenta, I377&amp;"",
    montoTotalPagado, P377,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77" s="30">
        <f t="shared" si="17"/>
        <v>426.93</v>
      </c>
      <c r="S377" s="29">
        <f>IF(P377=0, "Sin Pago", 
  IFERROR(
    MAXIFS(Aux_Datos!$A:$A, Aux_Datos!$B:$B, I377&amp;""), 
    IFERROR(MAXIFS(Aux_Datos!$A:$A, Aux_Datos!$B:$B, VALUE(I377)), "Revisar ID")
  )
)</f>
        <v>46196</v>
      </c>
      <c r="T377" s="35" t="str">
        <f t="shared" si="9"/>
        <v>PAGO PARCIAL</v>
      </c>
      <c r="U377" s="35" t="str">
        <f t="shared" si="10"/>
        <v>CRÍTICO: VENCIDA</v>
      </c>
      <c r="V377" s="32">
        <f t="shared" si="11"/>
        <v>4</v>
      </c>
      <c r="W377" s="36" t="str">
        <f>IF(P377=0, "Sin Pago", 
  LET(
    monedaPago, Q377, 
    descuentoAplicado, G377,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77" s="36" t="str">
        <f t="shared" si="12"/>
        <v/>
      </c>
      <c r="Y377" s="36">
        <v>150.0</v>
      </c>
      <c r="Z377" s="33" t="s">
        <v>609</v>
      </c>
      <c r="AA377" s="33"/>
      <c r="AB377" s="33"/>
      <c r="AC377" s="33"/>
      <c r="AD377" s="33"/>
      <c r="AE377" s="33"/>
      <c r="AF377" s="33"/>
    </row>
    <row r="378" ht="22.5" customHeight="1">
      <c r="A378" s="23" t="s">
        <v>397</v>
      </c>
      <c r="B378" s="41">
        <v>46174.376979166664</v>
      </c>
      <c r="C378" s="23" t="s">
        <v>396</v>
      </c>
      <c r="D378" s="23" t="s">
        <v>552</v>
      </c>
      <c r="E378" s="25">
        <v>1107.71</v>
      </c>
      <c r="F378" s="23" t="s">
        <v>608</v>
      </c>
      <c r="G378" s="26">
        <f>IF($E378=0,0,IF(SUMIF(Aux_Datos!$B:$B,$I378,Aux_Datos!$K:$K)/$E378&gt;=VLOOKUP(IF(COUNTIFS(Aux_Datos!$B:$B,$I378,Aux_Datos!$D:$D,"&lt;&gt;USD")=0,"USD","VES"),'Limites de Descuento'!$A$2:$D$4,4,FALSE),MAX(0,1-SUMIF(Aux_Datos!$B:$B,$I378,Aux_Datos!$K:$K)/$E378),0))</f>
        <v>0</v>
      </c>
      <c r="H378" s="27"/>
      <c r="I378" s="28">
        <f t="shared" si="14"/>
        <v>468</v>
      </c>
      <c r="J378" s="29">
        <f t="shared" si="2"/>
        <v>46174</v>
      </c>
      <c r="K378" s="30">
        <f t="shared" si="3"/>
        <v>7</v>
      </c>
      <c r="L378" s="29">
        <f t="shared" si="4"/>
        <v>46182</v>
      </c>
      <c r="M378" s="30">
        <f t="shared" si="5"/>
        <v>1107.71</v>
      </c>
      <c r="N378" s="32">
        <f t="shared" si="6"/>
        <v>18</v>
      </c>
      <c r="O378" s="33" t="str">
        <f t="shared" si="7"/>
        <v>VENCIDA</v>
      </c>
      <c r="P378" s="34">
        <f>LET(
  idVenta, I378&amp;"",
  montoTotal, M378,
  pagos, IFERROR(SUMIF(Aux_Datos!$B:$B, idVenta, Aux_Datos!$K:$K), 0),
  retenciones, IFERROR(SUMIF(Aux_Datos!$N:$N, idVenta, Aux_Datos!$R:$R), 0),
  pagos + retenciones
)</f>
        <v>0</v>
      </c>
      <c r="Q378" s="30" t="str">
        <f>IF(P378=0, "Sin Pago", 
  LET(
    idVenta, I378&amp;"",
    montoTotalPagado, P378,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78" s="30">
        <f t="shared" si="17"/>
        <v>1107.71</v>
      </c>
      <c r="S378" s="29" t="str">
        <f>IF(P378=0, "Sin Pago", 
  IFERROR(
    MAXIFS(Aux_Datos!$A:$A, Aux_Datos!$B:$B, I378&amp;""), 
    IFERROR(MAXIFS(Aux_Datos!$A:$A, Aux_Datos!$B:$B, VALUE(I378)), "Revisar ID")
  )
)</f>
        <v>Sin Pago</v>
      </c>
      <c r="T378" s="35" t="str">
        <f t="shared" si="9"/>
        <v>PENDIENTE</v>
      </c>
      <c r="U378" s="35" t="str">
        <f t="shared" si="10"/>
        <v>CRÍTICO: VENCIDA</v>
      </c>
      <c r="V378" s="32">
        <f t="shared" si="11"/>
        <v>0</v>
      </c>
      <c r="W378" s="36" t="str">
        <f>IF(P378=0, "Sin Pago", 
  LET(
    monedaPago, Q378, 
    descuentoAplicado, G378,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78" s="36" t="str">
        <f t="shared" si="12"/>
        <v/>
      </c>
      <c r="Y378" s="36">
        <v>0.0</v>
      </c>
      <c r="Z378" s="33" t="s">
        <v>641</v>
      </c>
      <c r="AA378" s="33"/>
      <c r="AB378" s="33"/>
      <c r="AC378" s="33"/>
      <c r="AD378" s="33"/>
      <c r="AE378" s="33"/>
      <c r="AF378" s="33"/>
    </row>
    <row r="379" ht="22.5" customHeight="1">
      <c r="A379" s="23" t="s">
        <v>332</v>
      </c>
      <c r="B379" s="41">
        <v>46174.37229166667</v>
      </c>
      <c r="C379" s="23" t="s">
        <v>331</v>
      </c>
      <c r="D379" s="23" t="s">
        <v>552</v>
      </c>
      <c r="E379" s="25">
        <v>216.93</v>
      </c>
      <c r="F379" s="23" t="s">
        <v>608</v>
      </c>
      <c r="G379" s="26">
        <f>IF($E379=0,0,IF(SUMIF(Aux_Datos!$B:$B,$I379,Aux_Datos!$K:$K)/$E379&gt;=VLOOKUP(IF(COUNTIFS(Aux_Datos!$B:$B,$I379,Aux_Datos!$D:$D,"&lt;&gt;USD")=0,"USD","VES"),'Limites de Descuento'!$A$2:$D$4,4,FALSE),MAX(0,1-SUMIF(Aux_Datos!$B:$B,$I379,Aux_Datos!$K:$K)/$E379),0))</f>
        <v>0</v>
      </c>
      <c r="H379" s="27"/>
      <c r="I379" s="28">
        <f t="shared" si="14"/>
        <v>469</v>
      </c>
      <c r="J379" s="29">
        <f t="shared" si="2"/>
        <v>46174</v>
      </c>
      <c r="K379" s="30">
        <f t="shared" si="3"/>
        <v>7</v>
      </c>
      <c r="L379" s="29">
        <f t="shared" si="4"/>
        <v>46182</v>
      </c>
      <c r="M379" s="30">
        <f t="shared" si="5"/>
        <v>216.93</v>
      </c>
      <c r="N379" s="32">
        <f t="shared" si="6"/>
        <v>18</v>
      </c>
      <c r="O379" s="33" t="str">
        <f t="shared" si="7"/>
        <v>VENCIDA</v>
      </c>
      <c r="P379" s="34">
        <f>LET(
  idVenta, I379&amp;"",
  montoTotal, M379,
  pagos, IFERROR(SUMIF(Aux_Datos!$B:$B, idVenta, Aux_Datos!$K:$K), 0),
  retenciones, IFERROR(SUMIF(Aux_Datos!$N:$N, idVenta, Aux_Datos!$R:$R), 0),
  pagos + retenciones
)</f>
        <v>0</v>
      </c>
      <c r="Q379" s="30" t="str">
        <f>IF(P379=0, "Sin Pago", 
  LET(
    idVenta, I379&amp;"",
    montoTotalPagado, P379,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79" s="30">
        <f t="shared" si="17"/>
        <v>216.93</v>
      </c>
      <c r="S379" s="29" t="str">
        <f>IF(P379=0, "Sin Pago", 
  IFERROR(
    MAXIFS(Aux_Datos!$A:$A, Aux_Datos!$B:$B, I379&amp;""), 
    IFERROR(MAXIFS(Aux_Datos!$A:$A, Aux_Datos!$B:$B, VALUE(I379)), "Revisar ID")
  )
)</f>
        <v>Sin Pago</v>
      </c>
      <c r="T379" s="35" t="str">
        <f t="shared" si="9"/>
        <v>PENDIENTE</v>
      </c>
      <c r="U379" s="35" t="str">
        <f t="shared" si="10"/>
        <v>CRÍTICO: VENCIDA</v>
      </c>
      <c r="V379" s="32">
        <f t="shared" si="11"/>
        <v>0</v>
      </c>
      <c r="W379" s="36" t="str">
        <f>IF(P379=0, "Sin Pago", 
  LET(
    monedaPago, Q379, 
    descuentoAplicado, G379,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79" s="36" t="str">
        <f t="shared" si="12"/>
        <v/>
      </c>
      <c r="Y379" s="36">
        <v>0.0</v>
      </c>
      <c r="Z379" s="33" t="s">
        <v>641</v>
      </c>
      <c r="AA379" s="33"/>
      <c r="AB379" s="33"/>
      <c r="AC379" s="33"/>
      <c r="AD379" s="33"/>
      <c r="AE379" s="33"/>
      <c r="AF379" s="33"/>
    </row>
    <row r="380" ht="22.5" customHeight="1">
      <c r="A380" s="23" t="s">
        <v>403</v>
      </c>
      <c r="B380" s="41">
        <v>46176.452627314815</v>
      </c>
      <c r="C380" s="23" t="s">
        <v>402</v>
      </c>
      <c r="D380" s="23" t="s">
        <v>548</v>
      </c>
      <c r="E380" s="25">
        <v>993.84</v>
      </c>
      <c r="F380" s="23" t="s">
        <v>608</v>
      </c>
      <c r="G380" s="26">
        <f>IF($E380=0,0,IF(SUMIF(Aux_Datos!$B:$B,$I380,Aux_Datos!$K:$K)/$E380&gt;=VLOOKUP(IF(COUNTIFS(Aux_Datos!$B:$B,$I380,Aux_Datos!$D:$D,"&lt;&gt;USD")=0,"USD","VES"),'Limites de Descuento'!$A$2:$D$4,4,FALSE),MAX(0,1-SUMIF(Aux_Datos!$B:$B,$I380,Aux_Datos!$K:$K)/$E380),0))</f>
        <v>0</v>
      </c>
      <c r="H380" s="27"/>
      <c r="I380" s="28">
        <f t="shared" si="14"/>
        <v>470</v>
      </c>
      <c r="J380" s="29">
        <f t="shared" si="2"/>
        <v>46176</v>
      </c>
      <c r="K380" s="30">
        <f t="shared" si="3"/>
        <v>7</v>
      </c>
      <c r="L380" s="29">
        <f t="shared" si="4"/>
        <v>46184</v>
      </c>
      <c r="M380" s="30">
        <f t="shared" si="5"/>
        <v>993.84</v>
      </c>
      <c r="N380" s="32">
        <f t="shared" si="6"/>
        <v>16</v>
      </c>
      <c r="O380" s="33" t="str">
        <f t="shared" si="7"/>
        <v>VENCIDA</v>
      </c>
      <c r="P380" s="34">
        <f>LET(
  idVenta, I380&amp;"",
  montoTotal, M380,
  pagos, IFERROR(SUMIF(Aux_Datos!$B:$B, idVenta, Aux_Datos!$K:$K), 0),
  retenciones, IFERROR(SUMIF(Aux_Datos!$N:$N, idVenta, Aux_Datos!$R:$R), 0),
  pagos + retenciones
)</f>
        <v>0</v>
      </c>
      <c r="Q380" s="30" t="str">
        <f>IF(P380=0, "Sin Pago", 
  LET(
    idVenta, I380&amp;"",
    montoTotalPagado, P380,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80" s="30">
        <f t="shared" si="17"/>
        <v>993.84</v>
      </c>
      <c r="S380" s="29" t="str">
        <f>IF(P380=0, "Sin Pago", 
  IFERROR(
    MAXIFS(Aux_Datos!$A:$A, Aux_Datos!$B:$B, I380&amp;""), 
    IFERROR(MAXIFS(Aux_Datos!$A:$A, Aux_Datos!$B:$B, VALUE(I380)), "Revisar ID")
  )
)</f>
        <v>Sin Pago</v>
      </c>
      <c r="T380" s="35" t="str">
        <f t="shared" si="9"/>
        <v>PENDIENTE</v>
      </c>
      <c r="U380" s="35" t="str">
        <f t="shared" si="10"/>
        <v>CRÍTICO: VENCIDA</v>
      </c>
      <c r="V380" s="32">
        <f t="shared" si="11"/>
        <v>0</v>
      </c>
      <c r="W380" s="36" t="str">
        <f>IF(P380=0, "Sin Pago", 
  LET(
    monedaPago, Q380, 
    descuentoAplicado, G380,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80" s="36" t="str">
        <f t="shared" si="12"/>
        <v/>
      </c>
      <c r="Y380" s="36">
        <v>0.0</v>
      </c>
      <c r="Z380" s="33" t="s">
        <v>641</v>
      </c>
      <c r="AA380" s="33"/>
      <c r="AB380" s="33"/>
      <c r="AC380" s="33"/>
      <c r="AD380" s="33"/>
      <c r="AE380" s="33"/>
      <c r="AF380" s="33"/>
    </row>
    <row r="381" ht="22.5" customHeight="1">
      <c r="A381" s="23" t="s">
        <v>395</v>
      </c>
      <c r="B381" s="41">
        <v>46174.674629629626</v>
      </c>
      <c r="C381" s="23" t="s">
        <v>394</v>
      </c>
      <c r="D381" s="23" t="s">
        <v>556</v>
      </c>
      <c r="E381" s="25">
        <v>261.53</v>
      </c>
      <c r="F381" s="23" t="s">
        <v>608</v>
      </c>
      <c r="G381" s="26">
        <f>IF($E381=0,0,IF(SUMIF(Aux_Datos!$B:$B,$I381,Aux_Datos!$K:$K)/$E381&gt;=VLOOKUP(IF(COUNTIFS(Aux_Datos!$B:$B,$I381,Aux_Datos!$D:$D,"&lt;&gt;USD")=0,"USD","VES"),'Limites de Descuento'!$A$2:$D$4,4,FALSE),MAX(0,1-SUMIF(Aux_Datos!$B:$B,$I381,Aux_Datos!$K:$K)/$E381),0))</f>
        <v>0</v>
      </c>
      <c r="H381" s="27"/>
      <c r="I381" s="28">
        <f t="shared" si="14"/>
        <v>471</v>
      </c>
      <c r="J381" s="29">
        <f t="shared" si="2"/>
        <v>46174</v>
      </c>
      <c r="K381" s="30">
        <f t="shared" si="3"/>
        <v>7</v>
      </c>
      <c r="L381" s="29">
        <f t="shared" si="4"/>
        <v>46182</v>
      </c>
      <c r="M381" s="30">
        <f t="shared" si="5"/>
        <v>261.53</v>
      </c>
      <c r="N381" s="32">
        <f t="shared" si="6"/>
        <v>18</v>
      </c>
      <c r="O381" s="33" t="str">
        <f t="shared" si="7"/>
        <v>VENCIDA</v>
      </c>
      <c r="P381" s="34">
        <f>LET(
  idVenta, I381&amp;"",
  montoTotal, M381,
  pagos, IFERROR(SUMIF(Aux_Datos!$B:$B, idVenta, Aux_Datos!$K:$K), 0),
  retenciones, IFERROR(SUMIF(Aux_Datos!$N:$N, idVenta, Aux_Datos!$R:$R), 0),
  pagos + retenciones
)</f>
        <v>200.2313871</v>
      </c>
      <c r="Q381" s="30" t="str">
        <f>IF(P381=0, "Sin Pago", 
  LET(
    idVenta, I381&amp;"",
    montoTotalPagado, P381,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381" s="30">
        <f t="shared" si="17"/>
        <v>61.29861292</v>
      </c>
      <c r="S381" s="29">
        <f>IF(P381=0, "Sin Pago", 
  IFERROR(
    MAXIFS(Aux_Datos!$A:$A, Aux_Datos!$B:$B, I381&amp;""), 
    IFERROR(MAXIFS(Aux_Datos!$A:$A, Aux_Datos!$B:$B, VALUE(I381)), "Revisar ID")
  )
)</f>
        <v>46174</v>
      </c>
      <c r="T381" s="35" t="str">
        <f t="shared" si="9"/>
        <v>PAGO PARCIAL</v>
      </c>
      <c r="U381" s="35" t="str">
        <f t="shared" si="10"/>
        <v>CRÍTICO: VENCIDA</v>
      </c>
      <c r="V381" s="32">
        <f t="shared" si="11"/>
        <v>26</v>
      </c>
      <c r="W381" s="36" t="str">
        <f>IF(P381=0, "Sin Pago", 
  LET(
    monedaPago, Q381, 
    descuentoAplicado, G381,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81" s="36" t="str">
        <f t="shared" si="12"/>
        <v/>
      </c>
      <c r="Y381" s="36">
        <v>200.23138708409584</v>
      </c>
      <c r="Z381" s="33" t="s">
        <v>609</v>
      </c>
      <c r="AA381" s="33"/>
      <c r="AB381" s="33"/>
      <c r="AC381" s="33"/>
      <c r="AD381" s="33"/>
      <c r="AE381" s="33"/>
      <c r="AF381" s="33"/>
    </row>
    <row r="382" ht="22.5" customHeight="1">
      <c r="A382" s="23" t="s">
        <v>850</v>
      </c>
      <c r="B382" s="41">
        <v>46174.67423611111</v>
      </c>
      <c r="C382" s="23" t="s">
        <v>838</v>
      </c>
      <c r="D382" s="23" t="s">
        <v>544</v>
      </c>
      <c r="E382" s="25">
        <v>1630.73</v>
      </c>
      <c r="F382" s="23" t="s">
        <v>680</v>
      </c>
      <c r="G382" s="26">
        <f>IF($E382=0,0,IF(SUMIF(Aux_Datos!$B:$B,$I382,Aux_Datos!$K:$K)/$E382&gt;=VLOOKUP(IF(COUNTIFS(Aux_Datos!$B:$B,$I382,Aux_Datos!$D:$D,"&lt;&gt;USD")=0,"USD","VES"),'Limites de Descuento'!$A$2:$D$4,4,FALSE),MAX(0,1-SUMIF(Aux_Datos!$B:$B,$I382,Aux_Datos!$K:$K)/$E382),0))</f>
        <v>0</v>
      </c>
      <c r="H382" s="27"/>
      <c r="I382" s="28">
        <f t="shared" si="14"/>
        <v>472</v>
      </c>
      <c r="J382" s="29">
        <f t="shared" si="2"/>
        <v>46174</v>
      </c>
      <c r="K382" s="30">
        <f t="shared" si="3"/>
        <v>30</v>
      </c>
      <c r="L382" s="29">
        <f t="shared" si="4"/>
        <v>46205</v>
      </c>
      <c r="M382" s="30">
        <f t="shared" si="5"/>
        <v>1630.73</v>
      </c>
      <c r="N382" s="32">
        <f t="shared" si="6"/>
        <v>0</v>
      </c>
      <c r="O382" s="33" t="str">
        <f t="shared" si="7"/>
        <v>EN TIEMPO</v>
      </c>
      <c r="P382" s="34">
        <f>LET(
  idVenta, I382&amp;"",
  montoTotal, M382,
  pagos, IFERROR(SUMIF(Aux_Datos!$B:$B, idVenta, Aux_Datos!$K:$K), 0),
  retenciones, IFERROR(SUMIF(Aux_Datos!$N:$N, idVenta, Aux_Datos!$R:$R), 0),
  pagos + retenciones
)</f>
        <v>879.6731765</v>
      </c>
      <c r="Q382" s="30" t="str">
        <f>IF(P382=0, "Sin Pago", 
  LET(
    idVenta, I382&amp;"",
    montoTotalPagado, P382,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382" s="30">
        <f t="shared" si="17"/>
        <v>751.0568235</v>
      </c>
      <c r="S382" s="29">
        <f>IF(P382=0, "Sin Pago", 
  IFERROR(
    MAXIFS(Aux_Datos!$A:$A, Aux_Datos!$B:$B, I382&amp;""), 
    IFERROR(MAXIFS(Aux_Datos!$A:$A, Aux_Datos!$B:$B, VALUE(I382)), "Revisar ID")
  )
)</f>
        <v>46195</v>
      </c>
      <c r="T382" s="35" t="str">
        <f t="shared" si="9"/>
        <v>PAGO PARCIAL</v>
      </c>
      <c r="U382" s="35" t="str">
        <f t="shared" si="10"/>
        <v>EN TIEMPO</v>
      </c>
      <c r="V382" s="32">
        <f t="shared" si="11"/>
        <v>5</v>
      </c>
      <c r="W382" s="36" t="str">
        <f>IF(P382=0, "Sin Pago", 
  LET(
    monedaPago, Q382, 
    descuentoAplicado, G382,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82" s="36" t="str">
        <f t="shared" si="12"/>
        <v/>
      </c>
      <c r="Y382" s="36">
        <v>879.6731765489762</v>
      </c>
      <c r="Z382" s="33" t="s">
        <v>609</v>
      </c>
      <c r="AA382" s="33"/>
      <c r="AB382" s="33"/>
      <c r="AC382" s="33"/>
      <c r="AD382" s="33"/>
      <c r="AE382" s="33"/>
      <c r="AF382" s="33"/>
    </row>
    <row r="383" ht="22.5" customHeight="1">
      <c r="A383" s="23" t="s">
        <v>486</v>
      </c>
      <c r="B383" s="41">
        <v>46174.70108796296</v>
      </c>
      <c r="C383" s="23" t="s">
        <v>485</v>
      </c>
      <c r="D383" s="23" t="s">
        <v>546</v>
      </c>
      <c r="E383" s="25">
        <v>224.62</v>
      </c>
      <c r="F383" s="23" t="s">
        <v>603</v>
      </c>
      <c r="G383" s="26">
        <f>IF($E383=0,0,IF(SUMIF(Aux_Datos!$B:$B,$I383,Aux_Datos!$K:$K)/$E383&gt;=VLOOKUP(IF(COUNTIFS(Aux_Datos!$B:$B,$I383,Aux_Datos!$D:$D,"&lt;&gt;USD")=0,"USD","VES"),'Limites de Descuento'!$A$2:$D$4,4,FALSE),MAX(0,1-SUMIF(Aux_Datos!$B:$B,$I383,Aux_Datos!$K:$K)/$E383),0))</f>
        <v>0</v>
      </c>
      <c r="H383" s="27"/>
      <c r="I383" s="28">
        <f t="shared" si="14"/>
        <v>473</v>
      </c>
      <c r="J383" s="29">
        <f t="shared" si="2"/>
        <v>46174</v>
      </c>
      <c r="K383" s="30">
        <f t="shared" si="3"/>
        <v>21</v>
      </c>
      <c r="L383" s="29">
        <f t="shared" si="4"/>
        <v>46196</v>
      </c>
      <c r="M383" s="30">
        <f t="shared" si="5"/>
        <v>224.62</v>
      </c>
      <c r="N383" s="32">
        <f t="shared" si="6"/>
        <v>4</v>
      </c>
      <c r="O383" s="33" t="str">
        <f t="shared" si="7"/>
        <v>VENCIDA</v>
      </c>
      <c r="P383" s="34">
        <f>LET(
  idVenta, I383&amp;"",
  montoTotal, M383,
  pagos, IFERROR(SUMIF(Aux_Datos!$B:$B, idVenta, Aux_Datos!$K:$K), 0),
  retenciones, IFERROR(SUMIF(Aux_Datos!$N:$N, idVenta, Aux_Datos!$R:$R), 0),
  pagos + retenciones
)</f>
        <v>0</v>
      </c>
      <c r="Q383" s="30" t="str">
        <f>IF(P383=0, "Sin Pago", 
  LET(
    idVenta, I383&amp;"",
    montoTotalPagado, P383,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83" s="30">
        <f t="shared" si="17"/>
        <v>224.62</v>
      </c>
      <c r="S383" s="29" t="str">
        <f>IF(P383=0, "Sin Pago", 
  IFERROR(
    MAXIFS(Aux_Datos!$A:$A, Aux_Datos!$B:$B, I383&amp;""), 
    IFERROR(MAXIFS(Aux_Datos!$A:$A, Aux_Datos!$B:$B, VALUE(I383)), "Revisar ID")
  )
)</f>
        <v>Sin Pago</v>
      </c>
      <c r="T383" s="35" t="str">
        <f t="shared" si="9"/>
        <v>PENDIENTE</v>
      </c>
      <c r="U383" s="35" t="str">
        <f t="shared" si="10"/>
        <v>CRÍTICO: VENCIDA</v>
      </c>
      <c r="V383" s="32">
        <f t="shared" si="11"/>
        <v>0</v>
      </c>
      <c r="W383" s="36" t="str">
        <f>IF(P383=0, "Sin Pago", 
  LET(
    monedaPago, Q383, 
    descuentoAplicado, G383,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83" s="36" t="str">
        <f t="shared" si="12"/>
        <v/>
      </c>
      <c r="Y383" s="36">
        <v>0.0</v>
      </c>
      <c r="Z383" s="33" t="s">
        <v>641</v>
      </c>
      <c r="AA383" s="33"/>
      <c r="AB383" s="33"/>
      <c r="AC383" s="33"/>
      <c r="AD383" s="33"/>
      <c r="AE383" s="33"/>
      <c r="AF383" s="33"/>
    </row>
    <row r="384" ht="22.5" customHeight="1">
      <c r="A384" s="23" t="s">
        <v>438</v>
      </c>
      <c r="B384" s="41">
        <v>46174.7009837963</v>
      </c>
      <c r="C384" s="23" t="s">
        <v>437</v>
      </c>
      <c r="D384" s="23" t="s">
        <v>546</v>
      </c>
      <c r="E384" s="25">
        <v>75.39</v>
      </c>
      <c r="F384" s="23" t="s">
        <v>619</v>
      </c>
      <c r="G384" s="26">
        <f>IF($E384=0,0,IF(SUMIF(Aux_Datos!$B:$B,$I384,Aux_Datos!$K:$K)/$E384&gt;=VLOOKUP(IF(COUNTIFS(Aux_Datos!$B:$B,$I384,Aux_Datos!$D:$D,"&lt;&gt;USD")=0,"USD","VES"),'Limites de Descuento'!$A$2:$D$4,4,FALSE),MAX(0,1-SUMIF(Aux_Datos!$B:$B,$I384,Aux_Datos!$K:$K)/$E384),0))</f>
        <v>0</v>
      </c>
      <c r="H384" s="27"/>
      <c r="I384" s="28">
        <f t="shared" si="14"/>
        <v>474</v>
      </c>
      <c r="J384" s="29">
        <f t="shared" si="2"/>
        <v>46174</v>
      </c>
      <c r="K384" s="30">
        <f t="shared" si="3"/>
        <v>15</v>
      </c>
      <c r="L384" s="29">
        <f t="shared" si="4"/>
        <v>46190</v>
      </c>
      <c r="M384" s="30">
        <f t="shared" si="5"/>
        <v>75.39</v>
      </c>
      <c r="N384" s="32">
        <f t="shared" si="6"/>
        <v>10</v>
      </c>
      <c r="O384" s="33" t="str">
        <f t="shared" si="7"/>
        <v>VENCIDA</v>
      </c>
      <c r="P384" s="34">
        <f>LET(
  idVenta, I384&amp;"",
  montoTotal, M384,
  pagos, IFERROR(SUMIF(Aux_Datos!$B:$B, idVenta, Aux_Datos!$K:$K), 0),
  retenciones, IFERROR(SUMIF(Aux_Datos!$N:$N, idVenta, Aux_Datos!$R:$R), 0),
  pagos + retenciones
)</f>
        <v>0</v>
      </c>
      <c r="Q384" s="30" t="str">
        <f>IF(P384=0, "Sin Pago", 
  LET(
    idVenta, I384&amp;"",
    montoTotalPagado, P384,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84" s="30">
        <f t="shared" si="17"/>
        <v>75.39</v>
      </c>
      <c r="S384" s="29" t="str">
        <f>IF(P384=0, "Sin Pago", 
  IFERROR(
    MAXIFS(Aux_Datos!$A:$A, Aux_Datos!$B:$B, I384&amp;""), 
    IFERROR(MAXIFS(Aux_Datos!$A:$A, Aux_Datos!$B:$B, VALUE(I384)), "Revisar ID")
  )
)</f>
        <v>Sin Pago</v>
      </c>
      <c r="T384" s="35" t="str">
        <f t="shared" si="9"/>
        <v>PENDIENTE</v>
      </c>
      <c r="U384" s="35" t="str">
        <f t="shared" si="10"/>
        <v>CRÍTICO: VENCIDA</v>
      </c>
      <c r="V384" s="32">
        <f t="shared" si="11"/>
        <v>0</v>
      </c>
      <c r="W384" s="36" t="str">
        <f>IF(P384=0, "Sin Pago", 
  LET(
    monedaPago, Q384, 
    descuentoAplicado, G384,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84" s="36" t="str">
        <f t="shared" si="12"/>
        <v/>
      </c>
      <c r="Y384" s="36">
        <v>0.0</v>
      </c>
      <c r="Z384" s="33" t="s">
        <v>641</v>
      </c>
      <c r="AA384" s="33"/>
      <c r="AB384" s="33"/>
      <c r="AC384" s="33"/>
      <c r="AD384" s="33"/>
      <c r="AE384" s="33"/>
      <c r="AF384" s="33"/>
    </row>
    <row r="385" ht="22.5" customHeight="1">
      <c r="A385" s="23" t="s">
        <v>369</v>
      </c>
      <c r="B385" s="41">
        <v>46174.70087962963</v>
      </c>
      <c r="C385" s="23" t="s">
        <v>367</v>
      </c>
      <c r="D385" s="23" t="s">
        <v>546</v>
      </c>
      <c r="E385" s="25">
        <v>81.54</v>
      </c>
      <c r="F385" s="23" t="s">
        <v>603</v>
      </c>
      <c r="G385" s="26">
        <f>IF($E385=0,0,IF(SUMIF(Aux_Datos!$B:$B,$I385,Aux_Datos!$K:$K)/$E385&gt;=VLOOKUP(IF(COUNTIFS(Aux_Datos!$B:$B,$I385,Aux_Datos!$D:$D,"&lt;&gt;USD")=0,"USD","VES"),'Limites de Descuento'!$A$2:$D$4,4,FALSE),MAX(0,1-SUMIF(Aux_Datos!$B:$B,$I385,Aux_Datos!$K:$K)/$E385),0))</f>
        <v>0</v>
      </c>
      <c r="H385" s="27"/>
      <c r="I385" s="28">
        <f t="shared" si="14"/>
        <v>475</v>
      </c>
      <c r="J385" s="29">
        <f t="shared" si="2"/>
        <v>46174</v>
      </c>
      <c r="K385" s="30">
        <f t="shared" si="3"/>
        <v>21</v>
      </c>
      <c r="L385" s="29">
        <f t="shared" si="4"/>
        <v>46196</v>
      </c>
      <c r="M385" s="30">
        <f t="shared" si="5"/>
        <v>81.54</v>
      </c>
      <c r="N385" s="32">
        <f t="shared" si="6"/>
        <v>4</v>
      </c>
      <c r="O385" s="33" t="str">
        <f t="shared" si="7"/>
        <v>VENCIDA</v>
      </c>
      <c r="P385" s="34">
        <f>LET(
  idVenta, I385&amp;"",
  montoTotal, M385,
  pagos, IFERROR(SUMIF(Aux_Datos!$B:$B, idVenta, Aux_Datos!$K:$K), 0),
  retenciones, IFERROR(SUMIF(Aux_Datos!$N:$N, idVenta, Aux_Datos!$R:$R), 0),
  pagos + retenciones
)</f>
        <v>28.06</v>
      </c>
      <c r="Q385" s="30" t="str">
        <f>IF(P385=0, "Sin Pago", 
  LET(
    idVenta, I385&amp;"",
    montoTotalPagado, P385,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85" s="30">
        <f t="shared" si="17"/>
        <v>53.48</v>
      </c>
      <c r="S385" s="29">
        <f>IF(P385=0, "Sin Pago", 
  IFERROR(
    MAXIFS(Aux_Datos!$A:$A, Aux_Datos!$B:$B, I385&amp;""), 
    IFERROR(MAXIFS(Aux_Datos!$A:$A, Aux_Datos!$B:$B, VALUE(I385)), "Revisar ID")
  )
)</f>
        <v>46191</v>
      </c>
      <c r="T385" s="35" t="str">
        <f t="shared" si="9"/>
        <v>PAGO PARCIAL</v>
      </c>
      <c r="U385" s="35" t="str">
        <f t="shared" si="10"/>
        <v>CRÍTICO: VENCIDA</v>
      </c>
      <c r="V385" s="32">
        <f t="shared" si="11"/>
        <v>9</v>
      </c>
      <c r="W385" s="36" t="str">
        <f>IF(P385=0, "Sin Pago", 
  LET(
    monedaPago, Q385, 
    descuentoAplicado, G385,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85" s="36" t="str">
        <f t="shared" si="12"/>
        <v/>
      </c>
      <c r="Y385" s="36">
        <v>28.060000000000002</v>
      </c>
      <c r="Z385" s="33" t="s">
        <v>609</v>
      </c>
      <c r="AA385" s="33"/>
      <c r="AB385" s="33"/>
      <c r="AC385" s="33"/>
      <c r="AD385" s="33"/>
      <c r="AE385" s="33"/>
      <c r="AF385" s="33"/>
    </row>
    <row r="386" ht="22.5" customHeight="1">
      <c r="A386" s="23" t="s">
        <v>496</v>
      </c>
      <c r="B386" s="41">
        <v>46174.724965277775</v>
      </c>
      <c r="C386" s="23" t="s">
        <v>495</v>
      </c>
      <c r="D386" s="23" t="s">
        <v>546</v>
      </c>
      <c r="E386" s="25">
        <v>260.0</v>
      </c>
      <c r="F386" s="23" t="s">
        <v>603</v>
      </c>
      <c r="G386" s="26">
        <f>IF($E386=0,0,IF(SUMIF(Aux_Datos!$B:$B,$I386,Aux_Datos!$K:$K)/$E386&gt;=VLOOKUP(IF(COUNTIFS(Aux_Datos!$B:$B,$I386,Aux_Datos!$D:$D,"&lt;&gt;USD")=0,"USD","VES"),'Limites de Descuento'!$A$2:$D$4,4,FALSE),MAX(0,1-SUMIF(Aux_Datos!$B:$B,$I386,Aux_Datos!$K:$K)/$E386),0))</f>
        <v>0</v>
      </c>
      <c r="H386" s="27"/>
      <c r="I386" s="28">
        <f t="shared" si="14"/>
        <v>476</v>
      </c>
      <c r="J386" s="29">
        <f t="shared" si="2"/>
        <v>46174</v>
      </c>
      <c r="K386" s="30">
        <f t="shared" si="3"/>
        <v>21</v>
      </c>
      <c r="L386" s="29">
        <f t="shared" si="4"/>
        <v>46196</v>
      </c>
      <c r="M386" s="30">
        <f t="shared" si="5"/>
        <v>260</v>
      </c>
      <c r="N386" s="32">
        <f t="shared" si="6"/>
        <v>4</v>
      </c>
      <c r="O386" s="33" t="str">
        <f t="shared" si="7"/>
        <v>VENCIDA</v>
      </c>
      <c r="P386" s="34">
        <f>LET(
  idVenta, I386&amp;"",
  montoTotal, M386,
  pagos, IFERROR(SUMIF(Aux_Datos!$B:$B, idVenta, Aux_Datos!$K:$K), 0),
  retenciones, IFERROR(SUMIF(Aux_Datos!$N:$N, idVenta, Aux_Datos!$R:$R), 0),
  pagos + retenciones
)</f>
        <v>0</v>
      </c>
      <c r="Q386" s="30" t="str">
        <f>IF(P386=0, "Sin Pago", 
  LET(
    idVenta, I386&amp;"",
    montoTotalPagado, P386,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86" s="30">
        <f t="shared" si="17"/>
        <v>260</v>
      </c>
      <c r="S386" s="29" t="str">
        <f>IF(P386=0, "Sin Pago", 
  IFERROR(
    MAXIFS(Aux_Datos!$A:$A, Aux_Datos!$B:$B, I386&amp;""), 
    IFERROR(MAXIFS(Aux_Datos!$A:$A, Aux_Datos!$B:$B, VALUE(I386)), "Revisar ID")
  )
)</f>
        <v>Sin Pago</v>
      </c>
      <c r="T386" s="35" t="str">
        <f t="shared" si="9"/>
        <v>PENDIENTE</v>
      </c>
      <c r="U386" s="35" t="str">
        <f t="shared" si="10"/>
        <v>CRÍTICO: VENCIDA</v>
      </c>
      <c r="V386" s="32">
        <f t="shared" si="11"/>
        <v>0</v>
      </c>
      <c r="W386" s="36" t="str">
        <f>IF(P386=0, "Sin Pago", 
  LET(
    monedaPago, Q386, 
    descuentoAplicado, G386,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86" s="36" t="str">
        <f t="shared" si="12"/>
        <v/>
      </c>
      <c r="Y386" s="36">
        <v>0.0</v>
      </c>
      <c r="Z386" s="33" t="s">
        <v>641</v>
      </c>
      <c r="AA386" s="33"/>
      <c r="AB386" s="33"/>
      <c r="AC386" s="33"/>
      <c r="AD386" s="33"/>
      <c r="AE386" s="33"/>
      <c r="AF386" s="33"/>
    </row>
    <row r="387" ht="22.5" customHeight="1">
      <c r="A387" s="23" t="s">
        <v>432</v>
      </c>
      <c r="B387" s="41">
        <v>46174.72534722222</v>
      </c>
      <c r="C387" s="23" t="s">
        <v>431</v>
      </c>
      <c r="D387" s="23" t="s">
        <v>546</v>
      </c>
      <c r="E387" s="25">
        <v>227.7</v>
      </c>
      <c r="F387" s="23" t="s">
        <v>619</v>
      </c>
      <c r="G387" s="26">
        <f>IF($E387=0,0,IF(SUMIF(Aux_Datos!$B:$B,$I387,Aux_Datos!$K:$K)/$E387&gt;=VLOOKUP(IF(COUNTIFS(Aux_Datos!$B:$B,$I387,Aux_Datos!$D:$D,"&lt;&gt;USD")=0,"USD","VES"),'Limites de Descuento'!$A$2:$D$4,4,FALSE),MAX(0,1-SUMIF(Aux_Datos!$B:$B,$I387,Aux_Datos!$K:$K)/$E387),0))</f>
        <v>0</v>
      </c>
      <c r="H387" s="27"/>
      <c r="I387" s="28">
        <f t="shared" si="14"/>
        <v>477</v>
      </c>
      <c r="J387" s="29">
        <f t="shared" si="2"/>
        <v>46174</v>
      </c>
      <c r="K387" s="30">
        <f t="shared" si="3"/>
        <v>15</v>
      </c>
      <c r="L387" s="29">
        <f t="shared" si="4"/>
        <v>46190</v>
      </c>
      <c r="M387" s="30">
        <f t="shared" si="5"/>
        <v>227.7</v>
      </c>
      <c r="N387" s="32">
        <f t="shared" si="6"/>
        <v>10</v>
      </c>
      <c r="O387" s="33" t="str">
        <f t="shared" si="7"/>
        <v>VENCIDA</v>
      </c>
      <c r="P387" s="34">
        <f>LET(
  idVenta, I387&amp;"",
  montoTotal, M387,
  pagos, IFERROR(SUMIF(Aux_Datos!$B:$B, idVenta, Aux_Datos!$K:$K), 0),
  retenciones, IFERROR(SUMIF(Aux_Datos!$N:$N, idVenta, Aux_Datos!$R:$R), 0),
  pagos + retenciones
)</f>
        <v>0</v>
      </c>
      <c r="Q387" s="30" t="str">
        <f>IF(P387=0, "Sin Pago", 
  LET(
    idVenta, I387&amp;"",
    montoTotalPagado, P387,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87" s="30">
        <f t="shared" si="17"/>
        <v>227.7</v>
      </c>
      <c r="S387" s="29" t="str">
        <f>IF(P387=0, "Sin Pago", 
  IFERROR(
    MAXIFS(Aux_Datos!$A:$A, Aux_Datos!$B:$B, I387&amp;""), 
    IFERROR(MAXIFS(Aux_Datos!$A:$A, Aux_Datos!$B:$B, VALUE(I387)), "Revisar ID")
  )
)</f>
        <v>Sin Pago</v>
      </c>
      <c r="T387" s="35" t="str">
        <f t="shared" si="9"/>
        <v>PENDIENTE</v>
      </c>
      <c r="U387" s="35" t="str">
        <f t="shared" si="10"/>
        <v>CRÍTICO: VENCIDA</v>
      </c>
      <c r="V387" s="32">
        <f t="shared" si="11"/>
        <v>0</v>
      </c>
      <c r="W387" s="36" t="str">
        <f>IF(P387=0, "Sin Pago", 
  LET(
    monedaPago, Q387, 
    descuentoAplicado, G387,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87" s="36" t="str">
        <f t="shared" si="12"/>
        <v/>
      </c>
      <c r="Y387" s="36">
        <v>0.0</v>
      </c>
      <c r="Z387" s="33" t="s">
        <v>641</v>
      </c>
      <c r="AA387" s="33"/>
      <c r="AB387" s="33"/>
      <c r="AC387" s="33"/>
      <c r="AD387" s="33"/>
      <c r="AE387" s="33"/>
      <c r="AF387" s="33"/>
    </row>
    <row r="388" ht="22.5" customHeight="1">
      <c r="A388" s="23" t="s">
        <v>333</v>
      </c>
      <c r="B388" s="41">
        <v>46175.356099537035</v>
      </c>
      <c r="C388" s="23" t="s">
        <v>331</v>
      </c>
      <c r="D388" s="23" t="s">
        <v>552</v>
      </c>
      <c r="E388" s="25">
        <v>116.93</v>
      </c>
      <c r="F388" s="23" t="s">
        <v>608</v>
      </c>
      <c r="G388" s="26">
        <f>IF($E388=0,0,IF(SUMIF(Aux_Datos!$B:$B,$I388,Aux_Datos!$K:$K)/$E388&gt;=VLOOKUP(IF(COUNTIFS(Aux_Datos!$B:$B,$I388,Aux_Datos!$D:$D,"&lt;&gt;USD")=0,"USD","VES"),'Limites de Descuento'!$A$2:$D$4,4,FALSE),MAX(0,1-SUMIF(Aux_Datos!$B:$B,$I388,Aux_Datos!$K:$K)/$E388),0))</f>
        <v>0</v>
      </c>
      <c r="H388" s="27"/>
      <c r="I388" s="28">
        <f t="shared" si="14"/>
        <v>478</v>
      </c>
      <c r="J388" s="29">
        <f t="shared" si="2"/>
        <v>46175</v>
      </c>
      <c r="K388" s="30">
        <f t="shared" si="3"/>
        <v>7</v>
      </c>
      <c r="L388" s="29">
        <f t="shared" si="4"/>
        <v>46183</v>
      </c>
      <c r="M388" s="30">
        <f t="shared" si="5"/>
        <v>116.93</v>
      </c>
      <c r="N388" s="32">
        <f t="shared" si="6"/>
        <v>17</v>
      </c>
      <c r="O388" s="33" t="str">
        <f t="shared" si="7"/>
        <v>VENCIDA</v>
      </c>
      <c r="P388" s="34">
        <f>LET(
  idVenta, I388&amp;"",
  montoTotal, M388,
  pagos, IFERROR(SUMIF(Aux_Datos!$B:$B, idVenta, Aux_Datos!$K:$K), 0),
  retenciones, IFERROR(SUMIF(Aux_Datos!$N:$N, idVenta, Aux_Datos!$R:$R), 0),
  pagos + retenciones
)</f>
        <v>0</v>
      </c>
      <c r="Q388" s="30" t="str">
        <f>IF(P388=0, "Sin Pago", 
  LET(
    idVenta, I388&amp;"",
    montoTotalPagado, P388,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88" s="30">
        <f t="shared" si="17"/>
        <v>116.93</v>
      </c>
      <c r="S388" s="29" t="str">
        <f>IF(P388=0, "Sin Pago", 
  IFERROR(
    MAXIFS(Aux_Datos!$A:$A, Aux_Datos!$B:$B, I388&amp;""), 
    IFERROR(MAXIFS(Aux_Datos!$A:$A, Aux_Datos!$B:$B, VALUE(I388)), "Revisar ID")
  )
)</f>
        <v>Sin Pago</v>
      </c>
      <c r="T388" s="35" t="str">
        <f t="shared" si="9"/>
        <v>PENDIENTE</v>
      </c>
      <c r="U388" s="35" t="str">
        <f t="shared" si="10"/>
        <v>CRÍTICO: VENCIDA</v>
      </c>
      <c r="V388" s="32">
        <f t="shared" si="11"/>
        <v>0</v>
      </c>
      <c r="W388" s="36" t="str">
        <f>IF(P388=0, "Sin Pago", 
  LET(
    monedaPago, Q388, 
    descuentoAplicado, G388,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88" s="36" t="str">
        <f t="shared" si="12"/>
        <v/>
      </c>
      <c r="Y388" s="36">
        <v>0.0</v>
      </c>
      <c r="Z388" s="33" t="s">
        <v>641</v>
      </c>
      <c r="AA388" s="33"/>
      <c r="AB388" s="33"/>
      <c r="AC388" s="33"/>
      <c r="AD388" s="33"/>
      <c r="AE388" s="33"/>
      <c r="AF388" s="33"/>
    </row>
    <row r="389" ht="22.5" customHeight="1">
      <c r="A389" s="23" t="s">
        <v>399</v>
      </c>
      <c r="B389" s="41">
        <v>46175.728946759256</v>
      </c>
      <c r="C389" s="23" t="s">
        <v>398</v>
      </c>
      <c r="D389" s="23" t="s">
        <v>353</v>
      </c>
      <c r="E389" s="25">
        <v>1543.12</v>
      </c>
      <c r="F389" s="23" t="s">
        <v>608</v>
      </c>
      <c r="G389" s="26">
        <f>IF($E389=0,0,IF(SUMIF(Aux_Datos!$B:$B,$I389,Aux_Datos!$K:$K)/$E389&gt;=VLOOKUP(IF(COUNTIFS(Aux_Datos!$B:$B,$I389,Aux_Datos!$D:$D,"&lt;&gt;USD")=0,"USD","VES"),'Limites de Descuento'!$A$2:$D$4,4,FALSE),MAX(0,1-SUMIF(Aux_Datos!$B:$B,$I389,Aux_Datos!$K:$K)/$E389),0))</f>
        <v>0</v>
      </c>
      <c r="H389" s="27"/>
      <c r="I389" s="28">
        <f t="shared" si="14"/>
        <v>479</v>
      </c>
      <c r="J389" s="29">
        <f t="shared" si="2"/>
        <v>46175</v>
      </c>
      <c r="K389" s="30">
        <f t="shared" si="3"/>
        <v>7</v>
      </c>
      <c r="L389" s="29">
        <f t="shared" si="4"/>
        <v>46183</v>
      </c>
      <c r="M389" s="30">
        <f t="shared" si="5"/>
        <v>1543.12</v>
      </c>
      <c r="N389" s="32">
        <f t="shared" si="6"/>
        <v>17</v>
      </c>
      <c r="O389" s="33" t="str">
        <f t="shared" si="7"/>
        <v>VENCIDA</v>
      </c>
      <c r="P389" s="34">
        <f>LET(
  idVenta, I389&amp;"",
  montoTotal, M389,
  pagos, IFERROR(SUMIF(Aux_Datos!$B:$B, idVenta, Aux_Datos!$K:$K), 0),
  retenciones, IFERROR(SUMIF(Aux_Datos!$N:$N, idVenta, Aux_Datos!$R:$R), 0),
  pagos + retenciones
)</f>
        <v>0</v>
      </c>
      <c r="Q389" s="30" t="str">
        <f>IF(P389=0, "Sin Pago", 
  LET(
    idVenta, I389&amp;"",
    montoTotalPagado, P389,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89" s="30">
        <f t="shared" si="17"/>
        <v>1543.12</v>
      </c>
      <c r="S389" s="29" t="str">
        <f>IF(P389=0, "Sin Pago", 
  IFERROR(
    MAXIFS(Aux_Datos!$A:$A, Aux_Datos!$B:$B, I389&amp;""), 
    IFERROR(MAXIFS(Aux_Datos!$A:$A, Aux_Datos!$B:$B, VALUE(I389)), "Revisar ID")
  )
)</f>
        <v>Sin Pago</v>
      </c>
      <c r="T389" s="35" t="str">
        <f t="shared" si="9"/>
        <v>PENDIENTE</v>
      </c>
      <c r="U389" s="35" t="str">
        <f t="shared" si="10"/>
        <v>CRÍTICO: VENCIDA</v>
      </c>
      <c r="V389" s="32">
        <f t="shared" si="11"/>
        <v>0</v>
      </c>
      <c r="W389" s="36" t="str">
        <f>IF(P389=0, "Sin Pago", 
  LET(
    monedaPago, Q389, 
    descuentoAplicado, G389,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89" s="36" t="str">
        <f t="shared" si="12"/>
        <v/>
      </c>
      <c r="Y389" s="36">
        <v>0.0</v>
      </c>
      <c r="Z389" s="33" t="s">
        <v>641</v>
      </c>
      <c r="AA389" s="33"/>
      <c r="AB389" s="33"/>
      <c r="AC389" s="33"/>
      <c r="AD389" s="33"/>
      <c r="AE389" s="33"/>
      <c r="AF389" s="33"/>
    </row>
    <row r="390" ht="22.5" customHeight="1">
      <c r="A390" s="23" t="s">
        <v>217</v>
      </c>
      <c r="B390" s="41">
        <v>46175.72972222222</v>
      </c>
      <c r="C390" s="23" t="s">
        <v>215</v>
      </c>
      <c r="D390" s="23" t="s">
        <v>529</v>
      </c>
      <c r="E390" s="25">
        <v>1073.85</v>
      </c>
      <c r="F390" s="23" t="s">
        <v>608</v>
      </c>
      <c r="G390" s="26">
        <f>IF($E390=0,0,IF(SUMIF(Aux_Datos!$B:$B,$I390,Aux_Datos!$K:$K)/$E390&gt;=VLOOKUP(IF(COUNTIFS(Aux_Datos!$B:$B,$I390,Aux_Datos!$D:$D,"&lt;&gt;USD")=0,"USD","VES"),'Limites de Descuento'!$A$2:$D$4,4,FALSE),MAX(0,1-SUMIF(Aux_Datos!$B:$B,$I390,Aux_Datos!$K:$K)/$E390),0))</f>
        <v>0</v>
      </c>
      <c r="H390" s="27"/>
      <c r="I390" s="28">
        <f t="shared" si="14"/>
        <v>482</v>
      </c>
      <c r="J390" s="29">
        <f t="shared" si="2"/>
        <v>46175</v>
      </c>
      <c r="K390" s="30">
        <f t="shared" si="3"/>
        <v>7</v>
      </c>
      <c r="L390" s="29">
        <f t="shared" si="4"/>
        <v>46183</v>
      </c>
      <c r="M390" s="30">
        <f t="shared" si="5"/>
        <v>1073.85</v>
      </c>
      <c r="N390" s="32">
        <f t="shared" si="6"/>
        <v>17</v>
      </c>
      <c r="O390" s="33" t="str">
        <f t="shared" si="7"/>
        <v>VENCIDA</v>
      </c>
      <c r="P390" s="34">
        <f>LET(
  idVenta, I390&amp;"",
  montoTotal, M390,
  pagos, IFERROR(SUMIF(Aux_Datos!$B:$B, idVenta, Aux_Datos!$K:$K), 0),
  retenciones, IFERROR(SUMIF(Aux_Datos!$N:$N, idVenta, Aux_Datos!$R:$R), 0),
  pagos + retenciones
)</f>
        <v>0</v>
      </c>
      <c r="Q390" s="30" t="str">
        <f>IF(P390=0, "Sin Pago", 
  LET(
    idVenta, I390&amp;"",
    montoTotalPagado, P390,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90" s="30">
        <f t="shared" si="17"/>
        <v>1073.85</v>
      </c>
      <c r="S390" s="29" t="str">
        <f>IF(P390=0, "Sin Pago", 
  IFERROR(
    MAXIFS(Aux_Datos!$A:$A, Aux_Datos!$B:$B, I390&amp;""), 
    IFERROR(MAXIFS(Aux_Datos!$A:$A, Aux_Datos!$B:$B, VALUE(I390)), "Revisar ID")
  )
)</f>
        <v>Sin Pago</v>
      </c>
      <c r="T390" s="35" t="str">
        <f t="shared" si="9"/>
        <v>PENDIENTE</v>
      </c>
      <c r="U390" s="35" t="str">
        <f t="shared" si="10"/>
        <v>CRÍTICO: VENCIDA</v>
      </c>
      <c r="V390" s="32">
        <f t="shared" si="11"/>
        <v>0</v>
      </c>
      <c r="W390" s="36" t="str">
        <f>IF(P390=0, "Sin Pago", 
  LET(
    monedaPago, Q390, 
    descuentoAplicado, G390,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90" s="36" t="str">
        <f t="shared" si="12"/>
        <v/>
      </c>
      <c r="Y390" s="36">
        <v>0.0</v>
      </c>
      <c r="Z390" s="33" t="s">
        <v>641</v>
      </c>
      <c r="AA390" s="33"/>
      <c r="AB390" s="33"/>
      <c r="AC390" s="33"/>
      <c r="AD390" s="33"/>
      <c r="AE390" s="33"/>
      <c r="AF390" s="33"/>
    </row>
    <row r="391" ht="22.5" customHeight="1">
      <c r="A391" s="23" t="s">
        <v>444</v>
      </c>
      <c r="B391" s="41">
        <v>46175.739120370374</v>
      </c>
      <c r="C391" s="23" t="s">
        <v>443</v>
      </c>
      <c r="D391" s="23" t="s">
        <v>546</v>
      </c>
      <c r="E391" s="25">
        <v>233.86</v>
      </c>
      <c r="F391" s="23" t="s">
        <v>619</v>
      </c>
      <c r="G391" s="26">
        <f>IF($E391=0,0,IF(SUMIF(Aux_Datos!$B:$B,$I391,Aux_Datos!$K:$K)/$E391&gt;=VLOOKUP(IF(COUNTIFS(Aux_Datos!$B:$B,$I391,Aux_Datos!$D:$D,"&lt;&gt;USD")=0,"USD","VES"),'Limites de Descuento'!$A$2:$D$4,4,FALSE),MAX(0,1-SUMIF(Aux_Datos!$B:$B,$I391,Aux_Datos!$K:$K)/$E391),0))</f>
        <v>0</v>
      </c>
      <c r="H391" s="27"/>
      <c r="I391" s="28">
        <f t="shared" si="14"/>
        <v>483</v>
      </c>
      <c r="J391" s="29">
        <f t="shared" si="2"/>
        <v>46175</v>
      </c>
      <c r="K391" s="30">
        <f t="shared" si="3"/>
        <v>15</v>
      </c>
      <c r="L391" s="29">
        <f t="shared" si="4"/>
        <v>46191</v>
      </c>
      <c r="M391" s="30">
        <f t="shared" si="5"/>
        <v>233.86</v>
      </c>
      <c r="N391" s="32">
        <f t="shared" si="6"/>
        <v>9</v>
      </c>
      <c r="O391" s="33" t="str">
        <f t="shared" si="7"/>
        <v>VENCIDA</v>
      </c>
      <c r="P391" s="34">
        <f>LET(
  idVenta, I391&amp;"",
  montoTotal, M391,
  pagos, IFERROR(SUMIF(Aux_Datos!$B:$B, idVenta, Aux_Datos!$K:$K), 0),
  retenciones, IFERROR(SUMIF(Aux_Datos!$N:$N, idVenta, Aux_Datos!$R:$R), 0),
  pagos + retenciones
)</f>
        <v>0</v>
      </c>
      <c r="Q391" s="30" t="str">
        <f>IF(P391=0, "Sin Pago", 
  LET(
    idVenta, I391&amp;"",
    montoTotalPagado, P391,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91" s="30">
        <f t="shared" si="17"/>
        <v>233.86</v>
      </c>
      <c r="S391" s="29" t="str">
        <f>IF(P391=0, "Sin Pago", 
  IFERROR(
    MAXIFS(Aux_Datos!$A:$A, Aux_Datos!$B:$B, I391&amp;""), 
    IFERROR(MAXIFS(Aux_Datos!$A:$A, Aux_Datos!$B:$B, VALUE(I391)), "Revisar ID")
  )
)</f>
        <v>Sin Pago</v>
      </c>
      <c r="T391" s="35" t="str">
        <f t="shared" si="9"/>
        <v>PENDIENTE</v>
      </c>
      <c r="U391" s="35" t="str">
        <f t="shared" si="10"/>
        <v>CRÍTICO: VENCIDA</v>
      </c>
      <c r="V391" s="32">
        <f t="shared" si="11"/>
        <v>0</v>
      </c>
      <c r="W391" s="36" t="str">
        <f>IF(P391=0, "Sin Pago", 
  LET(
    monedaPago, Q391, 
    descuentoAplicado, G391,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91" s="36" t="str">
        <f t="shared" si="12"/>
        <v/>
      </c>
      <c r="Y391" s="36">
        <v>0.0</v>
      </c>
      <c r="Z391" s="33" t="s">
        <v>641</v>
      </c>
      <c r="AA391" s="33"/>
      <c r="AB391" s="33"/>
      <c r="AC391" s="33"/>
      <c r="AD391" s="33"/>
      <c r="AE391" s="33"/>
      <c r="AF391" s="33"/>
    </row>
    <row r="392" ht="22.5" customHeight="1">
      <c r="A392" s="23" t="s">
        <v>498</v>
      </c>
      <c r="B392" s="41">
        <v>46175.738854166666</v>
      </c>
      <c r="C392" s="23" t="s">
        <v>497</v>
      </c>
      <c r="D392" s="23" t="s">
        <v>546</v>
      </c>
      <c r="E392" s="25">
        <v>350.78</v>
      </c>
      <c r="F392" s="23" t="s">
        <v>603</v>
      </c>
      <c r="G392" s="26">
        <f>IF($E392=0,0,IF(SUMIF(Aux_Datos!$B:$B,$I392,Aux_Datos!$K:$K)/$E392&gt;=VLOOKUP(IF(COUNTIFS(Aux_Datos!$B:$B,$I392,Aux_Datos!$D:$D,"&lt;&gt;USD")=0,"USD","VES"),'Limites de Descuento'!$A$2:$D$4,4,FALSE),MAX(0,1-SUMIF(Aux_Datos!$B:$B,$I392,Aux_Datos!$K:$K)/$E392),0))</f>
        <v>0</v>
      </c>
      <c r="H392" s="27"/>
      <c r="I392" s="28">
        <f t="shared" si="14"/>
        <v>484</v>
      </c>
      <c r="J392" s="29">
        <f t="shared" si="2"/>
        <v>46175</v>
      </c>
      <c r="K392" s="30">
        <f t="shared" si="3"/>
        <v>21</v>
      </c>
      <c r="L392" s="29">
        <f t="shared" si="4"/>
        <v>46197</v>
      </c>
      <c r="M392" s="30">
        <f t="shared" si="5"/>
        <v>350.78</v>
      </c>
      <c r="N392" s="32">
        <f t="shared" si="6"/>
        <v>3</v>
      </c>
      <c r="O392" s="33" t="str">
        <f t="shared" si="7"/>
        <v>VENCIDA</v>
      </c>
      <c r="P392" s="34">
        <f>LET(
  idVenta, I392&amp;"",
  montoTotal, M392,
  pagos, IFERROR(SUMIF(Aux_Datos!$B:$B, idVenta, Aux_Datos!$K:$K), 0),
  retenciones, IFERROR(SUMIF(Aux_Datos!$N:$N, idVenta, Aux_Datos!$R:$R), 0),
  pagos + retenciones
)</f>
        <v>0</v>
      </c>
      <c r="Q392" s="30" t="str">
        <f>IF(P392=0, "Sin Pago", 
  LET(
    idVenta, I392&amp;"",
    montoTotalPagado, P392,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92" s="30">
        <f t="shared" si="17"/>
        <v>350.78</v>
      </c>
      <c r="S392" s="29" t="str">
        <f>IF(P392=0, "Sin Pago", 
  IFERROR(
    MAXIFS(Aux_Datos!$A:$A, Aux_Datos!$B:$B, I392&amp;""), 
    IFERROR(MAXIFS(Aux_Datos!$A:$A, Aux_Datos!$B:$B, VALUE(I392)), "Revisar ID")
  )
)</f>
        <v>Sin Pago</v>
      </c>
      <c r="T392" s="35" t="str">
        <f t="shared" si="9"/>
        <v>PENDIENTE</v>
      </c>
      <c r="U392" s="35" t="str">
        <f t="shared" si="10"/>
        <v>CRÍTICO: VENCIDA</v>
      </c>
      <c r="V392" s="32">
        <f t="shared" si="11"/>
        <v>0</v>
      </c>
      <c r="W392" s="36" t="str">
        <f>IF(P392=0, "Sin Pago", 
  LET(
    monedaPago, Q392, 
    descuentoAplicado, G392,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92" s="36" t="str">
        <f t="shared" si="12"/>
        <v/>
      </c>
      <c r="Y392" s="36">
        <v>0.0</v>
      </c>
      <c r="Z392" s="33" t="s">
        <v>641</v>
      </c>
      <c r="AA392" s="33"/>
      <c r="AB392" s="33"/>
      <c r="AC392" s="33"/>
      <c r="AD392" s="33"/>
      <c r="AE392" s="33"/>
      <c r="AF392" s="33"/>
    </row>
    <row r="393" ht="22.5" customHeight="1">
      <c r="A393" s="23" t="s">
        <v>361</v>
      </c>
      <c r="B393" s="41">
        <v>46175.74917824074</v>
      </c>
      <c r="C393" s="23" t="s">
        <v>360</v>
      </c>
      <c r="D393" s="23" t="s">
        <v>323</v>
      </c>
      <c r="E393" s="25">
        <v>116.93</v>
      </c>
      <c r="F393" s="23" t="s">
        <v>608</v>
      </c>
      <c r="G393" s="26">
        <f>IF($E393=0,0,IF(SUMIF(Aux_Datos!$B:$B,$I393,Aux_Datos!$K:$K)/$E393&gt;=VLOOKUP(IF(COUNTIFS(Aux_Datos!$B:$B,$I393,Aux_Datos!$D:$D,"&lt;&gt;USD")=0,"USD","VES"),'Limites de Descuento'!$A$2:$D$4,4,FALSE),MAX(0,1-SUMIF(Aux_Datos!$B:$B,$I393,Aux_Datos!$K:$K)/$E393),0))</f>
        <v>0</v>
      </c>
      <c r="H393" s="27"/>
      <c r="I393" s="28">
        <f t="shared" si="14"/>
        <v>485</v>
      </c>
      <c r="J393" s="29">
        <f t="shared" si="2"/>
        <v>46175</v>
      </c>
      <c r="K393" s="30">
        <f t="shared" si="3"/>
        <v>7</v>
      </c>
      <c r="L393" s="29">
        <f t="shared" si="4"/>
        <v>46183</v>
      </c>
      <c r="M393" s="30">
        <f t="shared" si="5"/>
        <v>116.93</v>
      </c>
      <c r="N393" s="32">
        <f t="shared" si="6"/>
        <v>17</v>
      </c>
      <c r="O393" s="33" t="str">
        <f t="shared" si="7"/>
        <v>VENCIDA</v>
      </c>
      <c r="P393" s="34">
        <f>LET(
  idVenta, I393&amp;"",
  montoTotal, M393,
  pagos, IFERROR(SUMIF(Aux_Datos!$B:$B, idVenta, Aux_Datos!$K:$K), 0),
  retenciones, IFERROR(SUMIF(Aux_Datos!$N:$N, idVenta, Aux_Datos!$R:$R), 0),
  pagos + retenciones
)</f>
        <v>0</v>
      </c>
      <c r="Q393" s="30" t="str">
        <f>IF(P393=0, "Sin Pago", 
  LET(
    idVenta, I393&amp;"",
    montoTotalPagado, P393,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93" s="30">
        <f t="shared" si="17"/>
        <v>116.93</v>
      </c>
      <c r="S393" s="29" t="str">
        <f>IF(P393=0, "Sin Pago", 
  IFERROR(
    MAXIFS(Aux_Datos!$A:$A, Aux_Datos!$B:$B, I393&amp;""), 
    IFERROR(MAXIFS(Aux_Datos!$A:$A, Aux_Datos!$B:$B, VALUE(I393)), "Revisar ID")
  )
)</f>
        <v>Sin Pago</v>
      </c>
      <c r="T393" s="35" t="str">
        <f t="shared" si="9"/>
        <v>PENDIENTE</v>
      </c>
      <c r="U393" s="35" t="str">
        <f t="shared" si="10"/>
        <v>CRÍTICO: VENCIDA</v>
      </c>
      <c r="V393" s="32">
        <f t="shared" si="11"/>
        <v>0</v>
      </c>
      <c r="W393" s="36" t="str">
        <f>IF(P393=0, "Sin Pago", 
  LET(
    monedaPago, Q393, 
    descuentoAplicado, G393,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93" s="36" t="str">
        <f t="shared" si="12"/>
        <v/>
      </c>
      <c r="Y393" s="36">
        <v>0.0</v>
      </c>
      <c r="Z393" s="33" t="s">
        <v>641</v>
      </c>
      <c r="AA393" s="33"/>
      <c r="AB393" s="33"/>
      <c r="AC393" s="33"/>
      <c r="AD393" s="33"/>
      <c r="AE393" s="33"/>
      <c r="AF393" s="33"/>
    </row>
    <row r="394" ht="22.5" customHeight="1">
      <c r="A394" s="23" t="s">
        <v>417</v>
      </c>
      <c r="B394" s="41">
        <v>46176.48059027778</v>
      </c>
      <c r="C394" s="23" t="s">
        <v>416</v>
      </c>
      <c r="D394" s="23" t="s">
        <v>546</v>
      </c>
      <c r="E394" s="25">
        <v>116.93</v>
      </c>
      <c r="F394" s="23" t="s">
        <v>619</v>
      </c>
      <c r="G394" s="26">
        <f>IF($E394=0,0,IF(SUMIF(Aux_Datos!$B:$B,$I394,Aux_Datos!$K:$K)/$E394&gt;=VLOOKUP(IF(COUNTIFS(Aux_Datos!$B:$B,$I394,Aux_Datos!$D:$D,"&lt;&gt;USD")=0,"USD","VES"),'Limites de Descuento'!$A$2:$D$4,4,FALSE),MAX(0,1-SUMIF(Aux_Datos!$B:$B,$I394,Aux_Datos!$K:$K)/$E394),0))</f>
        <v>0</v>
      </c>
      <c r="H394" s="27"/>
      <c r="I394" s="28">
        <f t="shared" si="14"/>
        <v>486</v>
      </c>
      <c r="J394" s="29">
        <f t="shared" si="2"/>
        <v>46176</v>
      </c>
      <c r="K394" s="30">
        <f t="shared" si="3"/>
        <v>15</v>
      </c>
      <c r="L394" s="29">
        <f t="shared" si="4"/>
        <v>46192</v>
      </c>
      <c r="M394" s="30">
        <f t="shared" si="5"/>
        <v>116.93</v>
      </c>
      <c r="N394" s="32">
        <f t="shared" si="6"/>
        <v>8</v>
      </c>
      <c r="O394" s="33" t="str">
        <f t="shared" si="7"/>
        <v>VENCIDA</v>
      </c>
      <c r="P394" s="34">
        <f>LET(
  idVenta, I394&amp;"",
  montoTotal, M394,
  pagos, IFERROR(SUMIF(Aux_Datos!$B:$B, idVenta, Aux_Datos!$K:$K), 0),
  retenciones, IFERROR(SUMIF(Aux_Datos!$N:$N, idVenta, Aux_Datos!$R:$R), 0),
  pagos + retenciones
)</f>
        <v>0</v>
      </c>
      <c r="Q394" s="30" t="str">
        <f>IF(P394=0, "Sin Pago", 
  LET(
    idVenta, I394&amp;"",
    montoTotalPagado, P394,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94" s="30">
        <f t="shared" si="17"/>
        <v>116.93</v>
      </c>
      <c r="S394" s="29" t="str">
        <f>IF(P394=0, "Sin Pago", 
  IFERROR(
    MAXIFS(Aux_Datos!$A:$A, Aux_Datos!$B:$B, I394&amp;""), 
    IFERROR(MAXIFS(Aux_Datos!$A:$A, Aux_Datos!$B:$B, VALUE(I394)), "Revisar ID")
  )
)</f>
        <v>Sin Pago</v>
      </c>
      <c r="T394" s="35" t="str">
        <f t="shared" si="9"/>
        <v>PENDIENTE</v>
      </c>
      <c r="U394" s="35" t="str">
        <f t="shared" si="10"/>
        <v>CRÍTICO: VENCIDA</v>
      </c>
      <c r="V394" s="32">
        <f t="shared" si="11"/>
        <v>0</v>
      </c>
      <c r="W394" s="36" t="str">
        <f>IF(P394=0, "Sin Pago", 
  LET(
    monedaPago, Q394, 
    descuentoAplicado, G394,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94" s="36" t="str">
        <f t="shared" si="12"/>
        <v/>
      </c>
      <c r="Y394" s="36">
        <v>0.0</v>
      </c>
      <c r="Z394" s="33" t="s">
        <v>641</v>
      </c>
      <c r="AA394" s="33"/>
      <c r="AB394" s="33"/>
      <c r="AC394" s="33"/>
      <c r="AD394" s="33"/>
      <c r="AE394" s="33"/>
      <c r="AF394" s="33"/>
    </row>
    <row r="395" ht="22.5" customHeight="1">
      <c r="A395" s="23" t="s">
        <v>43</v>
      </c>
      <c r="B395" s="41">
        <v>46176.64372685185</v>
      </c>
      <c r="C395" s="23" t="s">
        <v>41</v>
      </c>
      <c r="D395" s="23" t="s">
        <v>556</v>
      </c>
      <c r="E395" s="25">
        <v>298.47</v>
      </c>
      <c r="F395" s="23" t="s">
        <v>608</v>
      </c>
      <c r="G395" s="26">
        <f>IF($E395=0,0,IF(SUMIF(Aux_Datos!$B:$B,$I395,Aux_Datos!$K:$K)/$E395&gt;=VLOOKUP(IF(COUNTIFS(Aux_Datos!$B:$B,$I395,Aux_Datos!$D:$D,"&lt;&gt;USD")=0,"USD","VES"),'Limites de Descuento'!$A$2:$D$4,4,FALSE),MAX(0,1-SUMIF(Aux_Datos!$B:$B,$I395,Aux_Datos!$K:$K)/$E395),0))</f>
        <v>0</v>
      </c>
      <c r="H395" s="27"/>
      <c r="I395" s="28">
        <f t="shared" si="14"/>
        <v>488</v>
      </c>
      <c r="J395" s="29">
        <f t="shared" si="2"/>
        <v>46176</v>
      </c>
      <c r="K395" s="30">
        <f t="shared" si="3"/>
        <v>7</v>
      </c>
      <c r="L395" s="29">
        <f t="shared" si="4"/>
        <v>46184</v>
      </c>
      <c r="M395" s="30">
        <f t="shared" si="5"/>
        <v>298.47</v>
      </c>
      <c r="N395" s="32">
        <f t="shared" si="6"/>
        <v>16</v>
      </c>
      <c r="O395" s="33" t="str">
        <f t="shared" si="7"/>
        <v>VENCIDA</v>
      </c>
      <c r="P395" s="34">
        <f>LET(
  idVenta, I395&amp;"",
  montoTotal, M395,
  pagos, IFERROR(SUMIF(Aux_Datos!$B:$B, idVenta, Aux_Datos!$K:$K), 0),
  retenciones, IFERROR(SUMIF(Aux_Datos!$N:$N, idVenta, Aux_Datos!$R:$R), 0),
  pagos + retenciones
)</f>
        <v>0</v>
      </c>
      <c r="Q395" s="30" t="str">
        <f>IF(P395=0, "Sin Pago", 
  LET(
    idVenta, I395&amp;"",
    montoTotalPagado, P395,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95" s="30">
        <f t="shared" si="17"/>
        <v>298.47</v>
      </c>
      <c r="S395" s="29" t="str">
        <f>IF(P395=0, "Sin Pago", 
  IFERROR(
    MAXIFS(Aux_Datos!$A:$A, Aux_Datos!$B:$B, I395&amp;""), 
    IFERROR(MAXIFS(Aux_Datos!$A:$A, Aux_Datos!$B:$B, VALUE(I395)), "Revisar ID")
  )
)</f>
        <v>Sin Pago</v>
      </c>
      <c r="T395" s="35" t="str">
        <f t="shared" si="9"/>
        <v>PENDIENTE</v>
      </c>
      <c r="U395" s="35" t="str">
        <f t="shared" si="10"/>
        <v>CRÍTICO: VENCIDA</v>
      </c>
      <c r="V395" s="32">
        <f t="shared" si="11"/>
        <v>0</v>
      </c>
      <c r="W395" s="36" t="str">
        <f>IF(P395=0, "Sin Pago", 
  LET(
    monedaPago, Q395, 
    descuentoAplicado, G395,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95" s="36" t="str">
        <f t="shared" si="12"/>
        <v/>
      </c>
      <c r="Y395" s="36">
        <v>0.0</v>
      </c>
      <c r="Z395" s="33" t="s">
        <v>641</v>
      </c>
      <c r="AA395" s="33"/>
      <c r="AB395" s="33"/>
      <c r="AC395" s="33"/>
      <c r="AD395" s="33"/>
      <c r="AE395" s="33"/>
      <c r="AF395" s="33"/>
    </row>
    <row r="396" ht="22.5" customHeight="1">
      <c r="A396" s="23" t="s">
        <v>851</v>
      </c>
      <c r="B396" s="41">
        <v>46176.64409722222</v>
      </c>
      <c r="C396" s="23" t="s">
        <v>852</v>
      </c>
      <c r="D396" s="23" t="s">
        <v>532</v>
      </c>
      <c r="E396" s="25">
        <v>444.63</v>
      </c>
      <c r="F396" s="23" t="s">
        <v>608</v>
      </c>
      <c r="G396" s="26">
        <f>IF($E396=0,0,IF(SUMIF(Aux_Datos!$B:$B,$I396,Aux_Datos!$K:$K)/$E396&gt;=VLOOKUP(IF(COUNTIFS(Aux_Datos!$B:$B,$I396,Aux_Datos!$D:$D,"&lt;&gt;USD")=0,"USD","VES"),'Limites de Descuento'!$A$2:$D$4,4,FALSE),MAX(0,1-SUMIF(Aux_Datos!$B:$B,$I396,Aux_Datos!$K:$K)/$E396),0))</f>
        <v>0.000004026842423</v>
      </c>
      <c r="H396" s="27"/>
      <c r="I396" s="28">
        <f t="shared" si="14"/>
        <v>489</v>
      </c>
      <c r="J396" s="29">
        <f t="shared" si="2"/>
        <v>46176</v>
      </c>
      <c r="K396" s="30">
        <f t="shared" si="3"/>
        <v>7</v>
      </c>
      <c r="L396" s="29">
        <f t="shared" si="4"/>
        <v>46184</v>
      </c>
      <c r="M396" s="30">
        <f t="shared" si="5"/>
        <v>444.6282095</v>
      </c>
      <c r="N396" s="32">
        <f t="shared" si="6"/>
        <v>0</v>
      </c>
      <c r="O396" s="33" t="str">
        <f t="shared" si="7"/>
        <v>PAGADA</v>
      </c>
      <c r="P396" s="34">
        <f>LET(
  idVenta, I396&amp;"",
  montoTotal, M396,
  pagos, IFERROR(SUMIF(Aux_Datos!$B:$B, idVenta, Aux_Datos!$K:$K), 0),
  retenciones, IFERROR(SUMIF(Aux_Datos!$N:$N, idVenta, Aux_Datos!$R:$R), 0),
  pagos + retenciones
)</f>
        <v>444.6282095</v>
      </c>
      <c r="Q396" s="30" t="str">
        <f>IF(P396=0, "Sin Pago", 
  LET(
    idVenta, I396&amp;"",
    montoTotalPagado, P396,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396" s="30">
        <f t="shared" si="17"/>
        <v>0</v>
      </c>
      <c r="S396" s="29">
        <f>IF(P396=0, "Sin Pago", 
  IFERROR(
    MAXIFS(Aux_Datos!$A:$A, Aux_Datos!$B:$B, I396&amp;""), 
    IFERROR(MAXIFS(Aux_Datos!$A:$A, Aux_Datos!$B:$B, VALUE(I396)), "Revisar ID")
  )
)</f>
        <v>46190</v>
      </c>
      <c r="T396" s="35" t="str">
        <f t="shared" si="9"/>
        <v>PAGADA</v>
      </c>
      <c r="U396" s="35" t="str">
        <f t="shared" si="10"/>
        <v>SOLVENTE</v>
      </c>
      <c r="V396" s="32">
        <f t="shared" si="11"/>
        <v>0</v>
      </c>
      <c r="W396" s="36" t="str">
        <f>IF(P396=0, "Sin Pago", 
  LET(
    monedaPago, Q396, 
    descuentoAplicado, G396,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96" s="36" t="str">
        <f t="shared" si="12"/>
        <v/>
      </c>
      <c r="Y396" s="36">
        <v>444.62820954505355</v>
      </c>
      <c r="Z396" s="33" t="s">
        <v>596</v>
      </c>
      <c r="AA396" s="33"/>
      <c r="AB396" s="33"/>
      <c r="AC396" s="33"/>
      <c r="AD396" s="33"/>
      <c r="AE396" s="33"/>
      <c r="AF396" s="33"/>
    </row>
    <row r="397" ht="22.5" customHeight="1">
      <c r="A397" s="23" t="s">
        <v>460</v>
      </c>
      <c r="B397" s="41">
        <v>46176.666863425926</v>
      </c>
      <c r="C397" s="23" t="s">
        <v>459</v>
      </c>
      <c r="D397" s="23" t="s">
        <v>532</v>
      </c>
      <c r="E397" s="25">
        <v>116.93</v>
      </c>
      <c r="F397" s="23" t="s">
        <v>619</v>
      </c>
      <c r="G397" s="26">
        <f>IF($E397=0,0,IF(SUMIF(Aux_Datos!$B:$B,$I397,Aux_Datos!$K:$K)/$E397&gt;=VLOOKUP(IF(COUNTIFS(Aux_Datos!$B:$B,$I397,Aux_Datos!$D:$D,"&lt;&gt;USD")=0,"USD","VES"),'Limites de Descuento'!$A$2:$D$4,4,FALSE),MAX(0,1-SUMIF(Aux_Datos!$B:$B,$I397,Aux_Datos!$K:$K)/$E397),0))</f>
        <v>0</v>
      </c>
      <c r="H397" s="27"/>
      <c r="I397" s="28">
        <f t="shared" si="14"/>
        <v>490</v>
      </c>
      <c r="J397" s="29">
        <f t="shared" si="2"/>
        <v>46176</v>
      </c>
      <c r="K397" s="30">
        <f t="shared" si="3"/>
        <v>15</v>
      </c>
      <c r="L397" s="29">
        <f t="shared" si="4"/>
        <v>46192</v>
      </c>
      <c r="M397" s="30">
        <f t="shared" si="5"/>
        <v>116.93</v>
      </c>
      <c r="N397" s="32">
        <f t="shared" si="6"/>
        <v>8</v>
      </c>
      <c r="O397" s="33" t="str">
        <f t="shared" si="7"/>
        <v>VENCIDA</v>
      </c>
      <c r="P397" s="34">
        <f>LET(
  idVenta, I397&amp;"",
  montoTotal, M397,
  pagos, IFERROR(SUMIF(Aux_Datos!$B:$B, idVenta, Aux_Datos!$K:$K), 0),
  retenciones, IFERROR(SUMIF(Aux_Datos!$N:$N, idVenta, Aux_Datos!$R:$R), 0),
  pagos + retenciones
)</f>
        <v>0</v>
      </c>
      <c r="Q397" s="30" t="str">
        <f>IF(P397=0, "Sin Pago", 
  LET(
    idVenta, I397&amp;"",
    montoTotalPagado, P397,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97" s="30">
        <f t="shared" si="17"/>
        <v>116.93</v>
      </c>
      <c r="S397" s="29" t="str">
        <f>IF(P397=0, "Sin Pago", 
  IFERROR(
    MAXIFS(Aux_Datos!$A:$A, Aux_Datos!$B:$B, I397&amp;""), 
    IFERROR(MAXIFS(Aux_Datos!$A:$A, Aux_Datos!$B:$B, VALUE(I397)), "Revisar ID")
  )
)</f>
        <v>Sin Pago</v>
      </c>
      <c r="T397" s="35" t="str">
        <f t="shared" si="9"/>
        <v>PENDIENTE</v>
      </c>
      <c r="U397" s="35" t="str">
        <f t="shared" si="10"/>
        <v>CRÍTICO: VENCIDA</v>
      </c>
      <c r="V397" s="32">
        <f t="shared" si="11"/>
        <v>0</v>
      </c>
      <c r="W397" s="36" t="str">
        <f>IF(P397=0, "Sin Pago", 
  LET(
    monedaPago, Q397, 
    descuentoAplicado, G397,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97" s="36" t="str">
        <f t="shared" si="12"/>
        <v/>
      </c>
      <c r="Y397" s="36">
        <v>0.0</v>
      </c>
      <c r="Z397" s="33" t="s">
        <v>641</v>
      </c>
      <c r="AA397" s="33"/>
      <c r="AB397" s="33"/>
      <c r="AC397" s="33"/>
      <c r="AD397" s="33"/>
      <c r="AE397" s="33"/>
      <c r="AF397" s="33"/>
    </row>
    <row r="398" ht="22.5" customHeight="1">
      <c r="A398" s="23" t="s">
        <v>401</v>
      </c>
      <c r="B398" s="41">
        <v>46176.6521875</v>
      </c>
      <c r="C398" s="23" t="s">
        <v>400</v>
      </c>
      <c r="D398" s="23" t="s">
        <v>353</v>
      </c>
      <c r="E398" s="25">
        <v>729.26</v>
      </c>
      <c r="F398" s="23" t="s">
        <v>608</v>
      </c>
      <c r="G398" s="26">
        <f>IF($E398=0,0,IF(SUMIF(Aux_Datos!$B:$B,$I398,Aux_Datos!$K:$K)/$E398&gt;=VLOOKUP(IF(COUNTIFS(Aux_Datos!$B:$B,$I398,Aux_Datos!$D:$D,"&lt;&gt;USD")=0,"USD","VES"),'Limites de Descuento'!$A$2:$D$4,4,FALSE),MAX(0,1-SUMIF(Aux_Datos!$B:$B,$I398,Aux_Datos!$K:$K)/$E398),0))</f>
        <v>0</v>
      </c>
      <c r="H398" s="27"/>
      <c r="I398" s="28">
        <f t="shared" si="14"/>
        <v>491</v>
      </c>
      <c r="J398" s="29">
        <f t="shared" si="2"/>
        <v>46176</v>
      </c>
      <c r="K398" s="30">
        <f t="shared" si="3"/>
        <v>7</v>
      </c>
      <c r="L398" s="29">
        <f t="shared" si="4"/>
        <v>46184</v>
      </c>
      <c r="M398" s="30">
        <f t="shared" si="5"/>
        <v>729.26</v>
      </c>
      <c r="N398" s="32">
        <f t="shared" si="6"/>
        <v>16</v>
      </c>
      <c r="O398" s="33" t="str">
        <f t="shared" si="7"/>
        <v>VENCIDA</v>
      </c>
      <c r="P398" s="34">
        <f>LET(
  idVenta, I398&amp;"",
  montoTotal, M398,
  pagos, IFERROR(SUMIF(Aux_Datos!$B:$B, idVenta, Aux_Datos!$K:$K), 0),
  retenciones, IFERROR(SUMIF(Aux_Datos!$N:$N, idVenta, Aux_Datos!$R:$R), 0),
  pagos + retenciones
)</f>
        <v>0</v>
      </c>
      <c r="Q398" s="30" t="str">
        <f>IF(P398=0, "Sin Pago", 
  LET(
    idVenta, I398&amp;"",
    montoTotalPagado, P398,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398" s="30">
        <f t="shared" si="17"/>
        <v>729.26</v>
      </c>
      <c r="S398" s="29" t="str">
        <f>IF(P398=0, "Sin Pago", 
  IFERROR(
    MAXIFS(Aux_Datos!$A:$A, Aux_Datos!$B:$B, I398&amp;""), 
    IFERROR(MAXIFS(Aux_Datos!$A:$A, Aux_Datos!$B:$B, VALUE(I398)), "Revisar ID")
  )
)</f>
        <v>Sin Pago</v>
      </c>
      <c r="T398" s="35" t="str">
        <f t="shared" si="9"/>
        <v>PENDIENTE</v>
      </c>
      <c r="U398" s="35" t="str">
        <f t="shared" si="10"/>
        <v>CRÍTICO: VENCIDA</v>
      </c>
      <c r="V398" s="32">
        <f t="shared" si="11"/>
        <v>0</v>
      </c>
      <c r="W398" s="36" t="str">
        <f>IF(P398=0, "Sin Pago", 
  LET(
    monedaPago, Q398, 
    descuentoAplicado, G398,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398" s="36" t="str">
        <f t="shared" si="12"/>
        <v/>
      </c>
      <c r="Y398" s="36">
        <v>0.0</v>
      </c>
      <c r="Z398" s="33" t="s">
        <v>641</v>
      </c>
      <c r="AA398" s="33"/>
      <c r="AB398" s="33"/>
      <c r="AC398" s="33"/>
      <c r="AD398" s="33"/>
      <c r="AE398" s="33"/>
      <c r="AF398" s="33"/>
    </row>
    <row r="399" ht="22.5" customHeight="1">
      <c r="A399" s="23" t="s">
        <v>405</v>
      </c>
      <c r="B399" s="41">
        <v>46176.680868055555</v>
      </c>
      <c r="C399" s="23" t="s">
        <v>404</v>
      </c>
      <c r="D399" s="23" t="s">
        <v>353</v>
      </c>
      <c r="E399" s="25">
        <v>112.31</v>
      </c>
      <c r="F399" s="23" t="s">
        <v>608</v>
      </c>
      <c r="G399" s="26">
        <f>IF($E399=0,0,IF(SUMIF(Aux_Datos!$B:$B,$I399,Aux_Datos!$K:$K)/$E399&gt;=VLOOKUP(IF(COUNTIFS(Aux_Datos!$B:$B,$I399,Aux_Datos!$D:$D,"&lt;&gt;USD")=0,"USD","VES"),'Limites de Descuento'!$A$2:$D$4,4,FALSE),MAX(0,1-SUMIF(Aux_Datos!$B:$B,$I399,Aux_Datos!$K:$K)/$E399),0))</f>
        <v>0</v>
      </c>
      <c r="H399" s="27"/>
      <c r="I399" s="28">
        <f t="shared" si="14"/>
        <v>492</v>
      </c>
      <c r="J399" s="29">
        <f t="shared" si="2"/>
        <v>46176</v>
      </c>
      <c r="K399" s="30">
        <f t="shared" si="3"/>
        <v>7</v>
      </c>
      <c r="L399" s="29">
        <f t="shared" si="4"/>
        <v>46184</v>
      </c>
      <c r="M399" s="30">
        <f t="shared" si="5"/>
        <v>112.31</v>
      </c>
      <c r="N399" s="32">
        <f t="shared" si="6"/>
        <v>16</v>
      </c>
      <c r="O399" s="33" t="str">
        <f t="shared" si="7"/>
        <v>VENCIDA</v>
      </c>
      <c r="P399" s="34">
        <f>LET(
  idVenta, I399&amp;"",
  montoTotal, M399,
  pagos, IFERROR(SUMIF(Aux_Datos!$B:$B, idVenta, Aux_Datos!$K:$K), 0),
  retenciones, IFERROR(SUMIF(Aux_Datos!$N:$N, idVenta, Aux_Datos!$R:$R), 0),
  pagos + retenciones
)</f>
        <v>73</v>
      </c>
      <c r="Q399" s="30" t="str">
        <f>IF(P399=0, "Sin Pago", 
  LET(
    idVenta, I399&amp;"",
    montoTotalPagado, P399,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399" s="30">
        <f t="shared" si="17"/>
        <v>39.31</v>
      </c>
      <c r="S399" s="29">
        <f>IF(P399=0, "Sin Pago", 
  IFERROR(
    MAXIFS(Aux_Datos!$A:$A, Aux_Datos!$B:$B, I399&amp;""), 
    IFERROR(MAXIFS(Aux_Datos!$A:$A, Aux_Datos!$B:$B, VALUE(I399)), "Revisar ID")
  )
)</f>
        <v>46195</v>
      </c>
      <c r="T399" s="35" t="str">
        <f t="shared" si="9"/>
        <v>PAGO PARCIAL</v>
      </c>
      <c r="U399" s="35" t="str">
        <f t="shared" si="10"/>
        <v>CRÍTICO: VENCIDA</v>
      </c>
      <c r="V399" s="32">
        <f t="shared" si="11"/>
        <v>5</v>
      </c>
      <c r="W399" s="36" t="str">
        <f>IF(P399=0, "Sin Pago", 
  LET(
    monedaPago, Q399, 
    descuentoAplicado, G399,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399" s="36" t="str">
        <f t="shared" si="12"/>
        <v/>
      </c>
      <c r="Y399" s="36">
        <v>73.0</v>
      </c>
      <c r="Z399" s="33" t="s">
        <v>609</v>
      </c>
      <c r="AA399" s="33"/>
      <c r="AB399" s="33"/>
      <c r="AC399" s="33"/>
      <c r="AD399" s="33"/>
      <c r="AE399" s="33"/>
      <c r="AF399" s="33"/>
    </row>
    <row r="400" ht="22.5" customHeight="1">
      <c r="A400" s="23" t="s">
        <v>407</v>
      </c>
      <c r="B400" s="41">
        <v>46176.73520833333</v>
      </c>
      <c r="C400" s="23" t="s">
        <v>406</v>
      </c>
      <c r="D400" s="23" t="s">
        <v>546</v>
      </c>
      <c r="E400" s="25">
        <v>179.99</v>
      </c>
      <c r="F400" s="23" t="s">
        <v>608</v>
      </c>
      <c r="G400" s="26">
        <f>IF($E400=0,0,IF(SUMIF(Aux_Datos!$B:$B,$I400,Aux_Datos!$K:$K)/$E400&gt;=VLOOKUP(IF(COUNTIFS(Aux_Datos!$B:$B,$I400,Aux_Datos!$D:$D,"&lt;&gt;USD")=0,"USD","VES"),'Limites de Descuento'!$A$2:$D$4,4,FALSE),MAX(0,1-SUMIF(Aux_Datos!$B:$B,$I400,Aux_Datos!$K:$K)/$E400),0))</f>
        <v>0</v>
      </c>
      <c r="H400" s="27"/>
      <c r="I400" s="28">
        <f t="shared" si="14"/>
        <v>493</v>
      </c>
      <c r="J400" s="29">
        <f t="shared" si="2"/>
        <v>46176</v>
      </c>
      <c r="K400" s="30">
        <f t="shared" si="3"/>
        <v>7</v>
      </c>
      <c r="L400" s="29">
        <f t="shared" si="4"/>
        <v>46184</v>
      </c>
      <c r="M400" s="30">
        <f t="shared" si="5"/>
        <v>179.99</v>
      </c>
      <c r="N400" s="32">
        <f t="shared" si="6"/>
        <v>16</v>
      </c>
      <c r="O400" s="33" t="str">
        <f t="shared" si="7"/>
        <v>VENCIDA</v>
      </c>
      <c r="P400" s="34">
        <f>LET(
  idVenta, I400&amp;"",
  montoTotal, M400,
  pagos, IFERROR(SUMIF(Aux_Datos!$B:$B, idVenta, Aux_Datos!$K:$K), 0),
  retenciones, IFERROR(SUMIF(Aux_Datos!$N:$N, idVenta, Aux_Datos!$R:$R), 0),
  pagos + retenciones
)</f>
        <v>0</v>
      </c>
      <c r="Q400" s="30" t="str">
        <f>IF(P400=0, "Sin Pago", 
  LET(
    idVenta, I400&amp;"",
    montoTotalPagado, P400,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00" s="30">
        <f t="shared" si="17"/>
        <v>179.99</v>
      </c>
      <c r="S400" s="29" t="str">
        <f>IF(P400=0, "Sin Pago", 
  IFERROR(
    MAXIFS(Aux_Datos!$A:$A, Aux_Datos!$B:$B, I400&amp;""), 
    IFERROR(MAXIFS(Aux_Datos!$A:$A, Aux_Datos!$B:$B, VALUE(I400)), "Revisar ID")
  )
)</f>
        <v>Sin Pago</v>
      </c>
      <c r="T400" s="35" t="str">
        <f t="shared" si="9"/>
        <v>PENDIENTE</v>
      </c>
      <c r="U400" s="35" t="str">
        <f t="shared" si="10"/>
        <v>CRÍTICO: VENCIDA</v>
      </c>
      <c r="V400" s="32">
        <f t="shared" si="11"/>
        <v>0</v>
      </c>
      <c r="W400" s="36" t="str">
        <f>IF(P400=0, "Sin Pago", 
  LET(
    monedaPago, Q400, 
    descuentoAplicado, G400,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00" s="36" t="str">
        <f t="shared" si="12"/>
        <v/>
      </c>
      <c r="Y400" s="36">
        <v>0.0</v>
      </c>
      <c r="Z400" s="33" t="s">
        <v>641</v>
      </c>
      <c r="AA400" s="33"/>
      <c r="AB400" s="33"/>
      <c r="AC400" s="33"/>
      <c r="AD400" s="33"/>
      <c r="AE400" s="33"/>
      <c r="AF400" s="33"/>
    </row>
    <row r="401" ht="22.5" customHeight="1">
      <c r="A401" s="23" t="s">
        <v>336</v>
      </c>
      <c r="B401" s="41">
        <v>46176.73537037037</v>
      </c>
      <c r="C401" s="23" t="s">
        <v>334</v>
      </c>
      <c r="D401" s="23" t="s">
        <v>546</v>
      </c>
      <c r="E401" s="25">
        <v>333.86</v>
      </c>
      <c r="F401" s="23" t="s">
        <v>603</v>
      </c>
      <c r="G401" s="26">
        <f>IF($E401=0,0,IF(SUMIF(Aux_Datos!$B:$B,$I401,Aux_Datos!$K:$K)/$E401&gt;=VLOOKUP(IF(COUNTIFS(Aux_Datos!$B:$B,$I401,Aux_Datos!$D:$D,"&lt;&gt;USD")=0,"USD","VES"),'Limites de Descuento'!$A$2:$D$4,4,FALSE),MAX(0,1-SUMIF(Aux_Datos!$B:$B,$I401,Aux_Datos!$K:$K)/$E401),0))</f>
        <v>0</v>
      </c>
      <c r="H401" s="27"/>
      <c r="I401" s="28">
        <f t="shared" si="14"/>
        <v>494</v>
      </c>
      <c r="J401" s="29">
        <f t="shared" si="2"/>
        <v>46176</v>
      </c>
      <c r="K401" s="30">
        <f t="shared" si="3"/>
        <v>21</v>
      </c>
      <c r="L401" s="29">
        <f t="shared" si="4"/>
        <v>46198</v>
      </c>
      <c r="M401" s="30">
        <f t="shared" si="5"/>
        <v>333.86</v>
      </c>
      <c r="N401" s="32">
        <f t="shared" si="6"/>
        <v>2</v>
      </c>
      <c r="O401" s="33" t="str">
        <f t="shared" si="7"/>
        <v>VENCIDA</v>
      </c>
      <c r="P401" s="34">
        <f>LET(
  idVenta, I401&amp;"",
  montoTotal, M401,
  pagos, IFERROR(SUMIF(Aux_Datos!$B:$B, idVenta, Aux_Datos!$K:$K), 0),
  retenciones, IFERROR(SUMIF(Aux_Datos!$N:$N, idVenta, Aux_Datos!$R:$R), 0),
  pagos + retenciones
)</f>
        <v>0</v>
      </c>
      <c r="Q401" s="30" t="str">
        <f>IF(P401=0, "Sin Pago", 
  LET(
    idVenta, I401&amp;"",
    montoTotalPagado, P401,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01" s="30">
        <f t="shared" si="17"/>
        <v>333.86</v>
      </c>
      <c r="S401" s="29" t="str">
        <f>IF(P401=0, "Sin Pago", 
  IFERROR(
    MAXIFS(Aux_Datos!$A:$A, Aux_Datos!$B:$B, I401&amp;""), 
    IFERROR(MAXIFS(Aux_Datos!$A:$A, Aux_Datos!$B:$B, VALUE(I401)), "Revisar ID")
  )
)</f>
        <v>Sin Pago</v>
      </c>
      <c r="T401" s="35" t="str">
        <f t="shared" si="9"/>
        <v>PENDIENTE</v>
      </c>
      <c r="U401" s="35" t="str">
        <f t="shared" si="10"/>
        <v>CRÍTICO: VENCIDA</v>
      </c>
      <c r="V401" s="32">
        <f t="shared" si="11"/>
        <v>0</v>
      </c>
      <c r="W401" s="36" t="str">
        <f>IF(P401=0, "Sin Pago", 
  LET(
    monedaPago, Q401, 
    descuentoAplicado, G401,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01" s="36" t="str">
        <f t="shared" si="12"/>
        <v/>
      </c>
      <c r="Y401" s="36">
        <v>0.0</v>
      </c>
      <c r="Z401" s="33" t="s">
        <v>641</v>
      </c>
      <c r="AA401" s="33"/>
      <c r="AB401" s="33"/>
      <c r="AC401" s="33"/>
      <c r="AD401" s="33"/>
      <c r="AE401" s="33"/>
      <c r="AF401" s="33"/>
    </row>
    <row r="402" ht="22.5" customHeight="1">
      <c r="A402" s="23" t="s">
        <v>418</v>
      </c>
      <c r="B402" s="41">
        <v>46177.368784722225</v>
      </c>
      <c r="C402" s="23" t="s">
        <v>416</v>
      </c>
      <c r="D402" s="23" t="s">
        <v>546</v>
      </c>
      <c r="E402" s="25">
        <v>40.0</v>
      </c>
      <c r="F402" s="23" t="s">
        <v>619</v>
      </c>
      <c r="G402" s="26">
        <f>IF($E402=0,0,IF(SUMIF(Aux_Datos!$B:$B,$I402,Aux_Datos!$K:$K)/$E402&gt;=VLOOKUP(IF(COUNTIFS(Aux_Datos!$B:$B,$I402,Aux_Datos!$D:$D,"&lt;&gt;USD")=0,"USD","VES"),'Limites de Descuento'!$A$2:$D$4,4,FALSE),MAX(0,1-SUMIF(Aux_Datos!$B:$B,$I402,Aux_Datos!$K:$K)/$E402),0))</f>
        <v>0</v>
      </c>
      <c r="H402" s="27"/>
      <c r="I402" s="28">
        <f t="shared" si="14"/>
        <v>495</v>
      </c>
      <c r="J402" s="29">
        <f t="shared" si="2"/>
        <v>46177</v>
      </c>
      <c r="K402" s="30">
        <f t="shared" si="3"/>
        <v>15</v>
      </c>
      <c r="L402" s="29">
        <f t="shared" si="4"/>
        <v>46193</v>
      </c>
      <c r="M402" s="30">
        <f t="shared" si="5"/>
        <v>40</v>
      </c>
      <c r="N402" s="32">
        <f t="shared" si="6"/>
        <v>7</v>
      </c>
      <c r="O402" s="33" t="str">
        <f t="shared" si="7"/>
        <v>VENCIDA</v>
      </c>
      <c r="P402" s="34">
        <f>LET(
  idVenta, I402&amp;"",
  montoTotal, M402,
  pagos, IFERROR(SUMIF(Aux_Datos!$B:$B, idVenta, Aux_Datos!$K:$K), 0),
  retenciones, IFERROR(SUMIF(Aux_Datos!$N:$N, idVenta, Aux_Datos!$R:$R), 0),
  pagos + retenciones
)</f>
        <v>0</v>
      </c>
      <c r="Q402" s="30" t="str">
        <f>IF(P402=0, "Sin Pago", 
  LET(
    idVenta, I402&amp;"",
    montoTotalPagado, P402,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02" s="30">
        <f t="shared" si="17"/>
        <v>40</v>
      </c>
      <c r="S402" s="29" t="str">
        <f>IF(P402=0, "Sin Pago", 
  IFERROR(
    MAXIFS(Aux_Datos!$A:$A, Aux_Datos!$B:$B, I402&amp;""), 
    IFERROR(MAXIFS(Aux_Datos!$A:$A, Aux_Datos!$B:$B, VALUE(I402)), "Revisar ID")
  )
)</f>
        <v>Sin Pago</v>
      </c>
      <c r="T402" s="35" t="str">
        <f t="shared" si="9"/>
        <v>PENDIENTE</v>
      </c>
      <c r="U402" s="35" t="str">
        <f t="shared" si="10"/>
        <v>CRÍTICO: VENCIDA</v>
      </c>
      <c r="V402" s="32">
        <f t="shared" si="11"/>
        <v>0</v>
      </c>
      <c r="W402" s="36" t="str">
        <f>IF(P402=0, "Sin Pago", 
  LET(
    monedaPago, Q402, 
    descuentoAplicado, G402,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02" s="36" t="str">
        <f t="shared" si="12"/>
        <v/>
      </c>
      <c r="Y402" s="36">
        <v>0.0</v>
      </c>
      <c r="Z402" s="33" t="s">
        <v>641</v>
      </c>
      <c r="AA402" s="33"/>
      <c r="AB402" s="33"/>
      <c r="AC402" s="33"/>
      <c r="AD402" s="33"/>
      <c r="AE402" s="33"/>
      <c r="AF402" s="33"/>
    </row>
    <row r="403" ht="22.5" customHeight="1">
      <c r="A403" s="23" t="s">
        <v>300</v>
      </c>
      <c r="B403" s="41">
        <v>46177.51028935185</v>
      </c>
      <c r="C403" s="23" t="s">
        <v>298</v>
      </c>
      <c r="D403" s="23" t="s">
        <v>208</v>
      </c>
      <c r="E403" s="25">
        <v>109.23</v>
      </c>
      <c r="F403" s="23" t="s">
        <v>608</v>
      </c>
      <c r="G403" s="26">
        <f>IF($E403=0,0,IF(SUMIF(Aux_Datos!$B:$B,$I403,Aux_Datos!$K:$K)/$E403&gt;=VLOOKUP(IF(COUNTIFS(Aux_Datos!$B:$B,$I403,Aux_Datos!$D:$D,"&lt;&gt;USD")=0,"USD","VES"),'Limites de Descuento'!$A$2:$D$4,4,FALSE),MAX(0,1-SUMIF(Aux_Datos!$B:$B,$I403,Aux_Datos!$K:$K)/$E403),0))</f>
        <v>0</v>
      </c>
      <c r="H403" s="27"/>
      <c r="I403" s="28">
        <f t="shared" si="14"/>
        <v>496</v>
      </c>
      <c r="J403" s="29">
        <f t="shared" si="2"/>
        <v>46177</v>
      </c>
      <c r="K403" s="30">
        <f t="shared" si="3"/>
        <v>7</v>
      </c>
      <c r="L403" s="29">
        <f t="shared" si="4"/>
        <v>46185</v>
      </c>
      <c r="M403" s="30">
        <f t="shared" si="5"/>
        <v>109.23</v>
      </c>
      <c r="N403" s="32">
        <f t="shared" si="6"/>
        <v>15</v>
      </c>
      <c r="O403" s="33" t="str">
        <f t="shared" si="7"/>
        <v>VENCIDA</v>
      </c>
      <c r="P403" s="34">
        <f>LET(
  idVenta, I403&amp;"",
  montoTotal, M403,
  pagos, IFERROR(SUMIF(Aux_Datos!$B:$B, idVenta, Aux_Datos!$K:$K), 0),
  retenciones, IFERROR(SUMIF(Aux_Datos!$N:$N, idVenta, Aux_Datos!$R:$R), 0),
  pagos + retenciones
)</f>
        <v>0</v>
      </c>
      <c r="Q403" s="30" t="str">
        <f>IF(P403=0, "Sin Pago", 
  LET(
    idVenta, I403&amp;"",
    montoTotalPagado, P403,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03" s="30">
        <f t="shared" si="17"/>
        <v>109.23</v>
      </c>
      <c r="S403" s="29" t="str">
        <f>IF(P403=0, "Sin Pago", 
  IFERROR(
    MAXIFS(Aux_Datos!$A:$A, Aux_Datos!$B:$B, I403&amp;""), 
    IFERROR(MAXIFS(Aux_Datos!$A:$A, Aux_Datos!$B:$B, VALUE(I403)), "Revisar ID")
  )
)</f>
        <v>Sin Pago</v>
      </c>
      <c r="T403" s="35" t="str">
        <f t="shared" si="9"/>
        <v>PENDIENTE</v>
      </c>
      <c r="U403" s="35" t="str">
        <f t="shared" si="10"/>
        <v>CRÍTICO: VENCIDA</v>
      </c>
      <c r="V403" s="32">
        <f t="shared" si="11"/>
        <v>0</v>
      </c>
      <c r="W403" s="36" t="str">
        <f>IF(P403=0, "Sin Pago", 
  LET(
    monedaPago, Q403, 
    descuentoAplicado, G403,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03" s="36" t="str">
        <f t="shared" si="12"/>
        <v/>
      </c>
      <c r="Y403" s="36">
        <v>0.0</v>
      </c>
      <c r="Z403" s="33" t="s">
        <v>641</v>
      </c>
      <c r="AA403" s="33"/>
      <c r="AB403" s="33"/>
      <c r="AC403" s="33"/>
      <c r="AD403" s="33"/>
      <c r="AE403" s="33"/>
      <c r="AF403" s="33"/>
    </row>
    <row r="404" ht="22.5" customHeight="1">
      <c r="A404" s="23" t="s">
        <v>415</v>
      </c>
      <c r="B404" s="41">
        <v>46177.5949537037</v>
      </c>
      <c r="C404" s="23" t="s">
        <v>414</v>
      </c>
      <c r="D404" s="23" t="s">
        <v>552</v>
      </c>
      <c r="E404" s="25">
        <v>369.24</v>
      </c>
      <c r="F404" s="23" t="s">
        <v>608</v>
      </c>
      <c r="G404" s="26">
        <f>IF($E404=0,0,IF(SUMIF(Aux_Datos!$B:$B,$I404,Aux_Datos!$K:$K)/$E404&gt;=VLOOKUP(IF(COUNTIFS(Aux_Datos!$B:$B,$I404,Aux_Datos!$D:$D,"&lt;&gt;USD")=0,"USD","VES"),'Limites de Descuento'!$A$2:$D$4,4,FALSE),MAX(0,1-SUMIF(Aux_Datos!$B:$B,$I404,Aux_Datos!$K:$K)/$E404),0))</f>
        <v>0</v>
      </c>
      <c r="H404" s="27"/>
      <c r="I404" s="28">
        <f t="shared" si="14"/>
        <v>497</v>
      </c>
      <c r="J404" s="29">
        <f t="shared" si="2"/>
        <v>46177</v>
      </c>
      <c r="K404" s="30">
        <f t="shared" si="3"/>
        <v>7</v>
      </c>
      <c r="L404" s="29">
        <f t="shared" si="4"/>
        <v>46185</v>
      </c>
      <c r="M404" s="30">
        <f t="shared" si="5"/>
        <v>369.24</v>
      </c>
      <c r="N404" s="32">
        <f t="shared" si="6"/>
        <v>15</v>
      </c>
      <c r="O404" s="33" t="str">
        <f t="shared" si="7"/>
        <v>VENCIDA</v>
      </c>
      <c r="P404" s="34">
        <f>LET(
  idVenta, I404&amp;"",
  montoTotal, M404,
  pagos, IFERROR(SUMIF(Aux_Datos!$B:$B, idVenta, Aux_Datos!$K:$K), 0),
  retenciones, IFERROR(SUMIF(Aux_Datos!$N:$N, idVenta, Aux_Datos!$R:$R), 0),
  pagos + retenciones
)</f>
        <v>0</v>
      </c>
      <c r="Q404" s="30" t="str">
        <f>IF(P404=0, "Sin Pago", 
  LET(
    idVenta, I404&amp;"",
    montoTotalPagado, P404,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04" s="30">
        <f t="shared" si="17"/>
        <v>369.24</v>
      </c>
      <c r="S404" s="29" t="str">
        <f>IF(P404=0, "Sin Pago", 
  IFERROR(
    MAXIFS(Aux_Datos!$A:$A, Aux_Datos!$B:$B, I404&amp;""), 
    IFERROR(MAXIFS(Aux_Datos!$A:$A, Aux_Datos!$B:$B, VALUE(I404)), "Revisar ID")
  )
)</f>
        <v>Sin Pago</v>
      </c>
      <c r="T404" s="35" t="str">
        <f t="shared" si="9"/>
        <v>PENDIENTE</v>
      </c>
      <c r="U404" s="35" t="str">
        <f t="shared" si="10"/>
        <v>CRÍTICO: VENCIDA</v>
      </c>
      <c r="V404" s="32">
        <f t="shared" si="11"/>
        <v>0</v>
      </c>
      <c r="W404" s="36" t="str">
        <f>IF(P404=0, "Sin Pago", 
  LET(
    monedaPago, Q404, 
    descuentoAplicado, G404,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04" s="36" t="str">
        <f t="shared" si="12"/>
        <v/>
      </c>
      <c r="Y404" s="36">
        <v>0.0</v>
      </c>
      <c r="Z404" s="33" t="s">
        <v>641</v>
      </c>
      <c r="AA404" s="33"/>
      <c r="AB404" s="33"/>
      <c r="AC404" s="33"/>
      <c r="AD404" s="33"/>
      <c r="AE404" s="33"/>
      <c r="AF404" s="33"/>
    </row>
    <row r="405" ht="22.5" customHeight="1">
      <c r="A405" s="23" t="s">
        <v>853</v>
      </c>
      <c r="B405" s="41">
        <v>46177.594722222224</v>
      </c>
      <c r="C405" s="23" t="s">
        <v>121</v>
      </c>
      <c r="D405" s="23" t="s">
        <v>529</v>
      </c>
      <c r="E405" s="25">
        <v>0.0</v>
      </c>
      <c r="F405" s="23" t="s">
        <v>608</v>
      </c>
      <c r="G405" s="26">
        <f>IF($E405=0,0,IF(SUMIF(Aux_Datos!$B:$B,$I405,Aux_Datos!$K:$K)/$E405&gt;=VLOOKUP(IF(COUNTIFS(Aux_Datos!$B:$B,$I405,Aux_Datos!$D:$D,"&lt;&gt;USD")=0,"USD","VES"),'Limites de Descuento'!$A$2:$D$4,4,FALSE),MAX(0,1-SUMIF(Aux_Datos!$B:$B,$I405,Aux_Datos!$K:$K)/$E405),0))</f>
        <v>0</v>
      </c>
      <c r="H405" s="27"/>
      <c r="I405" s="28">
        <f t="shared" si="14"/>
        <v>498</v>
      </c>
      <c r="J405" s="29">
        <f t="shared" si="2"/>
        <v>46177</v>
      </c>
      <c r="K405" s="30">
        <f t="shared" si="3"/>
        <v>7</v>
      </c>
      <c r="L405" s="29">
        <f t="shared" si="4"/>
        <v>46185</v>
      </c>
      <c r="M405" s="30">
        <f t="shared" si="5"/>
        <v>0</v>
      </c>
      <c r="N405" s="32">
        <f t="shared" si="6"/>
        <v>0</v>
      </c>
      <c r="O405" s="33" t="str">
        <f t="shared" si="7"/>
        <v>PAGADA</v>
      </c>
      <c r="P405" s="34">
        <f>LET(
  idVenta, I405&amp;"",
  montoTotal, M405,
  pagos, IFERROR(SUMIF(Aux_Datos!$B:$B, idVenta, Aux_Datos!$K:$K), 0),
  retenciones, IFERROR(SUMIF(Aux_Datos!$N:$N, idVenta, Aux_Datos!$R:$R), 0),
  pagos + retenciones
)</f>
        <v>0</v>
      </c>
      <c r="Q405" s="30" t="str">
        <f>IF(P405=0, "Sin Pago", 
  LET(
    idVenta, I405&amp;"",
    montoTotalPagado, P405,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05" s="30">
        <f t="shared" si="17"/>
        <v>0</v>
      </c>
      <c r="S405" s="29" t="str">
        <f>IF(P405=0, "Sin Pago", 
  IFERROR(
    MAXIFS(Aux_Datos!$A:$A, Aux_Datos!$B:$B, I405&amp;""), 
    IFERROR(MAXIFS(Aux_Datos!$A:$A, Aux_Datos!$B:$B, VALUE(I405)), "Revisar ID")
  )
)</f>
        <v>Sin Pago</v>
      </c>
      <c r="T405" s="35" t="str">
        <f t="shared" si="9"/>
        <v>PAGADA</v>
      </c>
      <c r="U405" s="35" t="str">
        <f t="shared" si="10"/>
        <v>SOLVENTE</v>
      </c>
      <c r="V405" s="32">
        <f t="shared" si="11"/>
        <v>0</v>
      </c>
      <c r="W405" s="36" t="str">
        <f>IF(P405=0, "Sin Pago", 
  LET(
    monedaPago, Q405, 
    descuentoAplicado, G405,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05" s="36" t="str">
        <f t="shared" si="12"/>
        <v/>
      </c>
      <c r="Y405" s="36">
        <v>0.0</v>
      </c>
      <c r="Z405" s="33" t="s">
        <v>822</v>
      </c>
      <c r="AA405" s="33"/>
      <c r="AB405" s="33"/>
      <c r="AC405" s="33"/>
      <c r="AD405" s="33"/>
      <c r="AE405" s="33"/>
      <c r="AF405" s="33"/>
    </row>
    <row r="406" ht="22.5" customHeight="1">
      <c r="A406" s="23" t="s">
        <v>198</v>
      </c>
      <c r="B406" s="41">
        <v>46177.59446759259</v>
      </c>
      <c r="C406" s="23" t="s">
        <v>196</v>
      </c>
      <c r="D406" s="23" t="s">
        <v>556</v>
      </c>
      <c r="E406" s="25">
        <v>163.07</v>
      </c>
      <c r="F406" s="23" t="s">
        <v>608</v>
      </c>
      <c r="G406" s="26">
        <f>IF($E406=0,0,IF(SUMIF(Aux_Datos!$B:$B,$I406,Aux_Datos!$K:$K)/$E406&gt;=VLOOKUP(IF(COUNTIFS(Aux_Datos!$B:$B,$I406,Aux_Datos!$D:$D,"&lt;&gt;USD")=0,"USD","VES"),'Limites de Descuento'!$A$2:$D$4,4,FALSE),MAX(0,1-SUMIF(Aux_Datos!$B:$B,$I406,Aux_Datos!$K:$K)/$E406),0))</f>
        <v>0</v>
      </c>
      <c r="H406" s="27"/>
      <c r="I406" s="28">
        <f t="shared" si="14"/>
        <v>499</v>
      </c>
      <c r="J406" s="29">
        <f t="shared" si="2"/>
        <v>46177</v>
      </c>
      <c r="K406" s="30">
        <f t="shared" si="3"/>
        <v>7</v>
      </c>
      <c r="L406" s="29">
        <f t="shared" si="4"/>
        <v>46185</v>
      </c>
      <c r="M406" s="30">
        <f t="shared" si="5"/>
        <v>163.07</v>
      </c>
      <c r="N406" s="32">
        <f t="shared" si="6"/>
        <v>15</v>
      </c>
      <c r="O406" s="33" t="str">
        <f t="shared" si="7"/>
        <v>VENCIDA</v>
      </c>
      <c r="P406" s="34">
        <f>LET(
  idVenta, I406&amp;"",
  montoTotal, M406,
  pagos, IFERROR(SUMIF(Aux_Datos!$B:$B, idVenta, Aux_Datos!$K:$K), 0),
  retenciones, IFERROR(SUMIF(Aux_Datos!$N:$N, idVenta, Aux_Datos!$R:$R), 0),
  pagos + retenciones
)</f>
        <v>0</v>
      </c>
      <c r="Q406" s="30" t="str">
        <f>IF(P406=0, "Sin Pago", 
  LET(
    idVenta, I406&amp;"",
    montoTotalPagado, P406,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06" s="30">
        <f t="shared" si="17"/>
        <v>163.07</v>
      </c>
      <c r="S406" s="29" t="str">
        <f>IF(P406=0, "Sin Pago", 
  IFERROR(
    MAXIFS(Aux_Datos!$A:$A, Aux_Datos!$B:$B, I406&amp;""), 
    IFERROR(MAXIFS(Aux_Datos!$A:$A, Aux_Datos!$B:$B, VALUE(I406)), "Revisar ID")
  )
)</f>
        <v>Sin Pago</v>
      </c>
      <c r="T406" s="35" t="str">
        <f t="shared" si="9"/>
        <v>PENDIENTE</v>
      </c>
      <c r="U406" s="35" t="str">
        <f t="shared" si="10"/>
        <v>CRÍTICO: VENCIDA</v>
      </c>
      <c r="V406" s="32">
        <f t="shared" si="11"/>
        <v>0</v>
      </c>
      <c r="W406" s="36" t="str">
        <f>IF(P406=0, "Sin Pago", 
  LET(
    monedaPago, Q406, 
    descuentoAplicado, G406,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06" s="36" t="str">
        <f t="shared" si="12"/>
        <v/>
      </c>
      <c r="Y406" s="36">
        <v>0.0</v>
      </c>
      <c r="Z406" s="33" t="s">
        <v>641</v>
      </c>
      <c r="AA406" s="33"/>
      <c r="AB406" s="33"/>
      <c r="AC406" s="33"/>
      <c r="AD406" s="33"/>
      <c r="AE406" s="33"/>
      <c r="AF406" s="33"/>
    </row>
    <row r="407" ht="22.5" customHeight="1">
      <c r="A407" s="23" t="s">
        <v>413</v>
      </c>
      <c r="B407" s="41">
        <v>46177.54193287037</v>
      </c>
      <c r="C407" s="23" t="s">
        <v>412</v>
      </c>
      <c r="D407" s="23" t="s">
        <v>208</v>
      </c>
      <c r="E407" s="25">
        <v>390.0</v>
      </c>
      <c r="F407" s="23" t="s">
        <v>608</v>
      </c>
      <c r="G407" s="26">
        <f>IF($E407=0,0,IF(SUMIF(Aux_Datos!$B:$B,$I407,Aux_Datos!$K:$K)/$E407&gt;=VLOOKUP(IF(COUNTIFS(Aux_Datos!$B:$B,$I407,Aux_Datos!$D:$D,"&lt;&gt;USD")=0,"USD","VES"),'Limites de Descuento'!$A$2:$D$4,4,FALSE),MAX(0,1-SUMIF(Aux_Datos!$B:$B,$I407,Aux_Datos!$K:$K)/$E407),0))</f>
        <v>0</v>
      </c>
      <c r="H407" s="27"/>
      <c r="I407" s="28">
        <f t="shared" si="14"/>
        <v>500</v>
      </c>
      <c r="J407" s="29">
        <f t="shared" si="2"/>
        <v>46177</v>
      </c>
      <c r="K407" s="30">
        <f t="shared" si="3"/>
        <v>7</v>
      </c>
      <c r="L407" s="29">
        <f t="shared" si="4"/>
        <v>46185</v>
      </c>
      <c r="M407" s="30">
        <f t="shared" si="5"/>
        <v>390</v>
      </c>
      <c r="N407" s="32">
        <f t="shared" si="6"/>
        <v>15</v>
      </c>
      <c r="O407" s="33" t="str">
        <f t="shared" si="7"/>
        <v>VENCIDA</v>
      </c>
      <c r="P407" s="34">
        <f>LET(
  idVenta, I407&amp;"",
  montoTotal, M407,
  pagos, IFERROR(SUMIF(Aux_Datos!$B:$B, idVenta, Aux_Datos!$K:$K), 0),
  retenciones, IFERROR(SUMIF(Aux_Datos!$N:$N, idVenta, Aux_Datos!$R:$R), 0),
  pagos + retenciones
)</f>
        <v>0</v>
      </c>
      <c r="Q407" s="30" t="str">
        <f>IF(P407=0, "Sin Pago", 
  LET(
    idVenta, I407&amp;"",
    montoTotalPagado, P407,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07" s="30">
        <f t="shared" si="17"/>
        <v>390</v>
      </c>
      <c r="S407" s="29" t="str">
        <f>IF(P407=0, "Sin Pago", 
  IFERROR(
    MAXIFS(Aux_Datos!$A:$A, Aux_Datos!$B:$B, I407&amp;""), 
    IFERROR(MAXIFS(Aux_Datos!$A:$A, Aux_Datos!$B:$B, VALUE(I407)), "Revisar ID")
  )
)</f>
        <v>Sin Pago</v>
      </c>
      <c r="T407" s="35" t="str">
        <f t="shared" si="9"/>
        <v>PENDIENTE</v>
      </c>
      <c r="U407" s="35" t="str">
        <f t="shared" si="10"/>
        <v>CRÍTICO: VENCIDA</v>
      </c>
      <c r="V407" s="32">
        <f t="shared" si="11"/>
        <v>0</v>
      </c>
      <c r="W407" s="36" t="str">
        <f>IF(P407=0, "Sin Pago", 
  LET(
    monedaPago, Q407, 
    descuentoAplicado, G407,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07" s="36" t="str">
        <f t="shared" si="12"/>
        <v/>
      </c>
      <c r="Y407" s="36">
        <v>0.0</v>
      </c>
      <c r="Z407" s="33" t="s">
        <v>641</v>
      </c>
      <c r="AA407" s="33"/>
      <c r="AB407" s="33"/>
      <c r="AC407" s="33"/>
      <c r="AD407" s="33"/>
      <c r="AE407" s="33"/>
      <c r="AF407" s="33"/>
    </row>
    <row r="408" ht="22.5" customHeight="1">
      <c r="A408" s="23" t="s">
        <v>185</v>
      </c>
      <c r="B408" s="41">
        <v>46177.65394675926</v>
      </c>
      <c r="C408" s="23" t="s">
        <v>183</v>
      </c>
      <c r="D408" s="23" t="s">
        <v>544</v>
      </c>
      <c r="E408" s="25">
        <v>121.53</v>
      </c>
      <c r="F408" s="23" t="s">
        <v>608</v>
      </c>
      <c r="G408" s="26">
        <f>IF($E408=0,0,IF(SUMIF(Aux_Datos!$B:$B,$I408,Aux_Datos!$K:$K)/$E408&gt;=VLOOKUP(IF(COUNTIFS(Aux_Datos!$B:$B,$I408,Aux_Datos!$D:$D,"&lt;&gt;USD")=0,"USD","VES"),'Limites de Descuento'!$A$2:$D$4,4,FALSE),MAX(0,1-SUMIF(Aux_Datos!$B:$B,$I408,Aux_Datos!$K:$K)/$E408),0))</f>
        <v>0</v>
      </c>
      <c r="H408" s="27"/>
      <c r="I408" s="28">
        <f t="shared" si="14"/>
        <v>501</v>
      </c>
      <c r="J408" s="29">
        <f t="shared" si="2"/>
        <v>46177</v>
      </c>
      <c r="K408" s="30">
        <f t="shared" si="3"/>
        <v>7</v>
      </c>
      <c r="L408" s="29">
        <f t="shared" si="4"/>
        <v>46185</v>
      </c>
      <c r="M408" s="30">
        <f t="shared" si="5"/>
        <v>121.53</v>
      </c>
      <c r="N408" s="32">
        <f t="shared" si="6"/>
        <v>15</v>
      </c>
      <c r="O408" s="33" t="str">
        <f t="shared" si="7"/>
        <v>VENCIDA</v>
      </c>
      <c r="P408" s="34">
        <f>LET(
  idVenta, I408&amp;"",
  montoTotal, M408,
  pagos, IFERROR(SUMIF(Aux_Datos!$B:$B, idVenta, Aux_Datos!$K:$K), 0),
  retenciones, IFERROR(SUMIF(Aux_Datos!$N:$N, idVenta, Aux_Datos!$R:$R), 0),
  pagos + retenciones
)</f>
        <v>0</v>
      </c>
      <c r="Q408" s="30" t="str">
        <f>IF(P408=0, "Sin Pago", 
  LET(
    idVenta, I408&amp;"",
    montoTotalPagado, P408,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08" s="30">
        <f t="shared" si="17"/>
        <v>121.53</v>
      </c>
      <c r="S408" s="29" t="str">
        <f>IF(P408=0, "Sin Pago", 
  IFERROR(
    MAXIFS(Aux_Datos!$A:$A, Aux_Datos!$B:$B, I408&amp;""), 
    IFERROR(MAXIFS(Aux_Datos!$A:$A, Aux_Datos!$B:$B, VALUE(I408)), "Revisar ID")
  )
)</f>
        <v>Sin Pago</v>
      </c>
      <c r="T408" s="35" t="str">
        <f t="shared" si="9"/>
        <v>PENDIENTE</v>
      </c>
      <c r="U408" s="35" t="str">
        <f t="shared" si="10"/>
        <v>CRÍTICO: VENCIDA</v>
      </c>
      <c r="V408" s="32">
        <f t="shared" si="11"/>
        <v>0</v>
      </c>
      <c r="W408" s="36" t="str">
        <f>IF(P408=0, "Sin Pago", 
  LET(
    monedaPago, Q408, 
    descuentoAplicado, G408,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08" s="36" t="str">
        <f t="shared" si="12"/>
        <v/>
      </c>
      <c r="Y408" s="36">
        <v>0.0</v>
      </c>
      <c r="Z408" s="33" t="s">
        <v>641</v>
      </c>
      <c r="AA408" s="33"/>
      <c r="AB408" s="33"/>
      <c r="AC408" s="33"/>
      <c r="AD408" s="33"/>
      <c r="AE408" s="33"/>
      <c r="AF408" s="33"/>
    </row>
    <row r="409" ht="22.5" customHeight="1">
      <c r="A409" s="23" t="s">
        <v>354</v>
      </c>
      <c r="B409" s="41">
        <v>46177.65351851852</v>
      </c>
      <c r="C409" s="23" t="s">
        <v>353</v>
      </c>
      <c r="D409" s="23" t="s">
        <v>556</v>
      </c>
      <c r="E409" s="25">
        <v>116.93</v>
      </c>
      <c r="F409" s="23" t="s">
        <v>608</v>
      </c>
      <c r="G409" s="26">
        <f>IF($E409=0,0,IF(SUMIF(Aux_Datos!$B:$B,$I409,Aux_Datos!$K:$K)/$E409&gt;=VLOOKUP(IF(COUNTIFS(Aux_Datos!$B:$B,$I409,Aux_Datos!$D:$D,"&lt;&gt;USD")=0,"USD","VES"),'Limites de Descuento'!$A$2:$D$4,4,FALSE),MAX(0,1-SUMIF(Aux_Datos!$B:$B,$I409,Aux_Datos!$K:$K)/$E409),0))</f>
        <v>0</v>
      </c>
      <c r="H409" s="27"/>
      <c r="I409" s="28">
        <f t="shared" si="14"/>
        <v>502</v>
      </c>
      <c r="J409" s="29">
        <f t="shared" si="2"/>
        <v>46177</v>
      </c>
      <c r="K409" s="30">
        <f t="shared" si="3"/>
        <v>7</v>
      </c>
      <c r="L409" s="29">
        <f t="shared" si="4"/>
        <v>46185</v>
      </c>
      <c r="M409" s="30">
        <f t="shared" si="5"/>
        <v>116.93</v>
      </c>
      <c r="N409" s="32">
        <f t="shared" si="6"/>
        <v>15</v>
      </c>
      <c r="O409" s="33" t="str">
        <f t="shared" si="7"/>
        <v>VENCIDA</v>
      </c>
      <c r="P409" s="34">
        <f>LET(
  idVenta, I409&amp;"",
  montoTotal, M409,
  pagos, IFERROR(SUMIF(Aux_Datos!$B:$B, idVenta, Aux_Datos!$K:$K), 0),
  retenciones, IFERROR(SUMIF(Aux_Datos!$N:$N, idVenta, Aux_Datos!$R:$R), 0),
  pagos + retenciones
)</f>
        <v>70</v>
      </c>
      <c r="Q409" s="30" t="str">
        <f>IF(P409=0, "Sin Pago", 
  LET(
    idVenta, I409&amp;"",
    montoTotalPagado, P409,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409" s="30">
        <f t="shared" si="17"/>
        <v>46.93</v>
      </c>
      <c r="S409" s="29">
        <f>IF(P409=0, "Sin Pago", 
  IFERROR(
    MAXIFS(Aux_Datos!$A:$A, Aux_Datos!$B:$B, I409&amp;""), 
    IFERROR(MAXIFS(Aux_Datos!$A:$A, Aux_Datos!$B:$B, VALUE(I409)), "Revisar ID")
  )
)</f>
        <v>46177</v>
      </c>
      <c r="T409" s="35" t="str">
        <f t="shared" si="9"/>
        <v>PAGO PARCIAL</v>
      </c>
      <c r="U409" s="35" t="str">
        <f t="shared" si="10"/>
        <v>CRÍTICO: VENCIDA</v>
      </c>
      <c r="V409" s="32">
        <f t="shared" si="11"/>
        <v>23</v>
      </c>
      <c r="W409" s="36" t="str">
        <f>IF(P409=0, "Sin Pago", 
  LET(
    monedaPago, Q409, 
    descuentoAplicado, G409,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409" s="36" t="str">
        <f t="shared" si="12"/>
        <v/>
      </c>
      <c r="Y409" s="36">
        <v>70.0</v>
      </c>
      <c r="Z409" s="33" t="s">
        <v>609</v>
      </c>
      <c r="AA409" s="33"/>
      <c r="AB409" s="33"/>
      <c r="AC409" s="33"/>
      <c r="AD409" s="33"/>
      <c r="AE409" s="33"/>
      <c r="AF409" s="33"/>
    </row>
    <row r="410" ht="22.5" customHeight="1">
      <c r="A410" s="23" t="s">
        <v>854</v>
      </c>
      <c r="B410" s="41">
        <v>46177.653703703705</v>
      </c>
      <c r="C410" s="23" t="s">
        <v>77</v>
      </c>
      <c r="D410" s="23" t="s">
        <v>544</v>
      </c>
      <c r="E410" s="25">
        <v>116.93</v>
      </c>
      <c r="F410" s="23" t="s">
        <v>608</v>
      </c>
      <c r="G410" s="26">
        <f>IF($E410=0,0,IF(SUMIF(Aux_Datos!$B:$B,$I410,Aux_Datos!$K:$K)/$E410&gt;=VLOOKUP(IF(COUNTIFS(Aux_Datos!$B:$B,$I410,Aux_Datos!$D:$D,"&lt;&gt;USD")=0,"USD","VES"),'Limites de Descuento'!$A$2:$D$4,4,FALSE),MAX(0,1-SUMIF(Aux_Datos!$B:$B,$I410,Aux_Datos!$K:$K)/$E410),0))</f>
        <v>0.1355416842</v>
      </c>
      <c r="H410" s="27"/>
      <c r="I410" s="28">
        <f t="shared" si="14"/>
        <v>503</v>
      </c>
      <c r="J410" s="29">
        <f t="shared" si="2"/>
        <v>46177</v>
      </c>
      <c r="K410" s="30">
        <f t="shared" si="3"/>
        <v>7</v>
      </c>
      <c r="L410" s="29">
        <f t="shared" si="4"/>
        <v>46185</v>
      </c>
      <c r="M410" s="30">
        <f t="shared" si="5"/>
        <v>101.0811109</v>
      </c>
      <c r="N410" s="32">
        <f t="shared" si="6"/>
        <v>0</v>
      </c>
      <c r="O410" s="33" t="str">
        <f t="shared" si="7"/>
        <v>PAGADA</v>
      </c>
      <c r="P410" s="34">
        <f>LET(
  idVenta, I410&amp;"",
  montoTotal, M410,
  pagos, IFERROR(SUMIF(Aux_Datos!$B:$B, idVenta, Aux_Datos!$K:$K), 0),
  retenciones, IFERROR(SUMIF(Aux_Datos!$N:$N, idVenta, Aux_Datos!$R:$R), 0),
  pagos + retenciones
)</f>
        <v>101.0811109</v>
      </c>
      <c r="Q410" s="30" t="str">
        <f>IF(P410=0, "Sin Pago", 
  LET(
    idVenta, I410&amp;"",
    montoTotalPagado, P410,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410" s="30">
        <f t="shared" si="17"/>
        <v>0</v>
      </c>
      <c r="S410" s="29">
        <f>IF(P410=0, "Sin Pago", 
  IFERROR(
    MAXIFS(Aux_Datos!$A:$A, Aux_Datos!$B:$B, I410&amp;""), 
    IFERROR(MAXIFS(Aux_Datos!$A:$A, Aux_Datos!$B:$B, VALUE(I410)), "Revisar ID")
  )
)</f>
        <v>46192</v>
      </c>
      <c r="T410" s="35" t="str">
        <f t="shared" si="9"/>
        <v>PAGADA</v>
      </c>
      <c r="U410" s="35" t="str">
        <f t="shared" si="10"/>
        <v>SOLVENTE</v>
      </c>
      <c r="V410" s="32">
        <f t="shared" si="11"/>
        <v>0</v>
      </c>
      <c r="W410" s="36" t="str">
        <f>IF(P410=0, "Sin Pago", 
  LET(
    monedaPago, Q410, 
    descuentoAplicado, G410,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410" s="36" t="str">
        <f t="shared" si="12"/>
        <v/>
      </c>
      <c r="Y410" s="36">
        <v>101.08111086985839</v>
      </c>
      <c r="Z410" s="33" t="s">
        <v>596</v>
      </c>
      <c r="AA410" s="33"/>
      <c r="AB410" s="33"/>
      <c r="AC410" s="33"/>
      <c r="AD410" s="33"/>
      <c r="AE410" s="33"/>
      <c r="AF410" s="33"/>
    </row>
    <row r="411" ht="22.5" customHeight="1">
      <c r="A411" s="23" t="s">
        <v>411</v>
      </c>
      <c r="B411" s="41">
        <v>46177.79356481481</v>
      </c>
      <c r="C411" s="23" t="s">
        <v>410</v>
      </c>
      <c r="D411" s="23" t="s">
        <v>538</v>
      </c>
      <c r="E411" s="25">
        <v>75.39</v>
      </c>
      <c r="F411" s="23" t="s">
        <v>608</v>
      </c>
      <c r="G411" s="26">
        <f>IF($E411=0,0,IF(SUMIF(Aux_Datos!$B:$B,$I411,Aux_Datos!$K:$K)/$E411&gt;=VLOOKUP(IF(COUNTIFS(Aux_Datos!$B:$B,$I411,Aux_Datos!$D:$D,"&lt;&gt;USD")=0,"USD","VES"),'Limites de Descuento'!$A$2:$D$4,4,FALSE),MAX(0,1-SUMIF(Aux_Datos!$B:$B,$I411,Aux_Datos!$K:$K)/$E411),0))</f>
        <v>0</v>
      </c>
      <c r="H411" s="27"/>
      <c r="I411" s="28">
        <f t="shared" si="14"/>
        <v>505</v>
      </c>
      <c r="J411" s="29">
        <f t="shared" si="2"/>
        <v>46177</v>
      </c>
      <c r="K411" s="30">
        <f t="shared" si="3"/>
        <v>7</v>
      </c>
      <c r="L411" s="29">
        <f t="shared" si="4"/>
        <v>46185</v>
      </c>
      <c r="M411" s="30">
        <f t="shared" si="5"/>
        <v>75.39</v>
      </c>
      <c r="N411" s="32">
        <f t="shared" si="6"/>
        <v>15</v>
      </c>
      <c r="O411" s="33" t="str">
        <f t="shared" si="7"/>
        <v>VENCIDA</v>
      </c>
      <c r="P411" s="34">
        <f>LET(
  idVenta, I411&amp;"",
  montoTotal, M411,
  pagos, IFERROR(SUMIF(Aux_Datos!$B:$B, idVenta, Aux_Datos!$K:$K), 0),
  retenciones, IFERROR(SUMIF(Aux_Datos!$N:$N, idVenta, Aux_Datos!$R:$R), 0),
  pagos + retenciones
)</f>
        <v>0</v>
      </c>
      <c r="Q411" s="30" t="str">
        <f>IF(P411=0, "Sin Pago", 
  LET(
    idVenta, I411&amp;"",
    montoTotalPagado, P411,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11" s="30">
        <f t="shared" si="17"/>
        <v>75.39</v>
      </c>
      <c r="S411" s="29" t="str">
        <f>IF(P411=0, "Sin Pago", 
  IFERROR(
    MAXIFS(Aux_Datos!$A:$A, Aux_Datos!$B:$B, I411&amp;""), 
    IFERROR(MAXIFS(Aux_Datos!$A:$A, Aux_Datos!$B:$B, VALUE(I411)), "Revisar ID")
  )
)</f>
        <v>Sin Pago</v>
      </c>
      <c r="T411" s="35" t="str">
        <f t="shared" si="9"/>
        <v>PENDIENTE</v>
      </c>
      <c r="U411" s="35" t="str">
        <f t="shared" si="10"/>
        <v>CRÍTICO: VENCIDA</v>
      </c>
      <c r="V411" s="32">
        <f t="shared" si="11"/>
        <v>0</v>
      </c>
      <c r="W411" s="36" t="str">
        <f>IF(P411=0, "Sin Pago", 
  LET(
    monedaPago, Q411, 
    descuentoAplicado, G411,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11" s="36" t="str">
        <f t="shared" si="12"/>
        <v/>
      </c>
      <c r="Y411" s="36">
        <v>0.0</v>
      </c>
      <c r="Z411" s="33" t="s">
        <v>641</v>
      </c>
      <c r="AA411" s="33"/>
      <c r="AB411" s="33"/>
      <c r="AC411" s="33"/>
      <c r="AD411" s="33"/>
      <c r="AE411" s="33"/>
      <c r="AF411" s="33"/>
    </row>
    <row r="412" ht="22.5" customHeight="1">
      <c r="A412" s="23" t="s">
        <v>855</v>
      </c>
      <c r="B412" s="41">
        <v>46178.357824074075</v>
      </c>
      <c r="C412" s="23" t="s">
        <v>139</v>
      </c>
      <c r="D412" s="23" t="s">
        <v>550</v>
      </c>
      <c r="E412" s="25">
        <v>76.0</v>
      </c>
      <c r="F412" s="23" t="s">
        <v>608</v>
      </c>
      <c r="G412" s="26">
        <f>IF($E412=0,0,IF(SUMIF(Aux_Datos!$B:$B,$I412,Aux_Datos!$K:$K)/$E412&gt;=VLOOKUP(IF(COUNTIFS(Aux_Datos!$B:$B,$I412,Aux_Datos!$D:$D,"&lt;&gt;USD")=0,"USD","VES"),'Limites de Descuento'!$A$2:$D$4,4,FALSE),MAX(0,1-SUMIF(Aux_Datos!$B:$B,$I412,Aux_Datos!$K:$K)/$E412),0))</f>
        <v>0.01315789474</v>
      </c>
      <c r="H412" s="27"/>
      <c r="I412" s="28">
        <f t="shared" si="14"/>
        <v>506</v>
      </c>
      <c r="J412" s="29">
        <f t="shared" si="2"/>
        <v>46178</v>
      </c>
      <c r="K412" s="30">
        <f t="shared" si="3"/>
        <v>7</v>
      </c>
      <c r="L412" s="29">
        <f t="shared" si="4"/>
        <v>46186</v>
      </c>
      <c r="M412" s="30">
        <f t="shared" si="5"/>
        <v>75</v>
      </c>
      <c r="N412" s="32">
        <f t="shared" si="6"/>
        <v>0</v>
      </c>
      <c r="O412" s="33" t="str">
        <f t="shared" si="7"/>
        <v>PAGADA</v>
      </c>
      <c r="P412" s="34">
        <f>LET(
  idVenta, I412&amp;"",
  montoTotal, M412,
  pagos, IFERROR(SUMIF(Aux_Datos!$B:$B, idVenta, Aux_Datos!$K:$K), 0),
  retenciones, IFERROR(SUMIF(Aux_Datos!$N:$N, idVenta, Aux_Datos!$R:$R), 0),
  pagos + retenciones
)</f>
        <v>75</v>
      </c>
      <c r="Q412" s="30" t="str">
        <f>IF(P412=0, "Sin Pago", 
  LET(
    idVenta, I412&amp;"",
    montoTotalPagado, P412,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412" s="30">
        <f t="shared" si="17"/>
        <v>0</v>
      </c>
      <c r="S412" s="29">
        <f>IF(P412=0, "Sin Pago", 
  IFERROR(
    MAXIFS(Aux_Datos!$A:$A, Aux_Datos!$B:$B, I412&amp;""), 
    IFERROR(MAXIFS(Aux_Datos!$A:$A, Aux_Datos!$B:$B, VALUE(I412)), "Revisar ID")
  )
)</f>
        <v>46178</v>
      </c>
      <c r="T412" s="35" t="str">
        <f t="shared" si="9"/>
        <v>PAGADA</v>
      </c>
      <c r="U412" s="35" t="str">
        <f t="shared" si="10"/>
        <v>SOLVENTE</v>
      </c>
      <c r="V412" s="32">
        <f t="shared" si="11"/>
        <v>0</v>
      </c>
      <c r="W412" s="36" t="str">
        <f>IF(P412=0, "Sin Pago", 
  LET(
    monedaPago, Q412, 
    descuentoAplicado, G412,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412" s="36" t="str">
        <f t="shared" si="12"/>
        <v/>
      </c>
      <c r="Y412" s="36">
        <v>75.0</v>
      </c>
      <c r="Z412" s="33" t="s">
        <v>596</v>
      </c>
      <c r="AA412" s="33"/>
      <c r="AB412" s="33"/>
      <c r="AC412" s="33"/>
      <c r="AD412" s="33"/>
      <c r="AE412" s="33"/>
      <c r="AF412" s="33"/>
    </row>
    <row r="413" ht="22.5" customHeight="1">
      <c r="A413" s="23" t="s">
        <v>856</v>
      </c>
      <c r="B413" s="41">
        <v>46177.7934375</v>
      </c>
      <c r="C413" s="23" t="s">
        <v>828</v>
      </c>
      <c r="D413" s="23" t="s">
        <v>546</v>
      </c>
      <c r="E413" s="25">
        <v>158.47</v>
      </c>
      <c r="F413" s="23" t="s">
        <v>603</v>
      </c>
      <c r="G413" s="26">
        <f>IF($E413=0,0,IF(SUMIF(Aux_Datos!$B:$B,$I413,Aux_Datos!$K:$K)/$E413&gt;=VLOOKUP(IF(COUNTIFS(Aux_Datos!$B:$B,$I413,Aux_Datos!$D:$D,"&lt;&gt;USD")=0,"USD","VES"),'Limites de Descuento'!$A$2:$D$4,4,FALSE),MAX(0,1-SUMIF(Aux_Datos!$B:$B,$I413,Aux_Datos!$K:$K)/$E413),0))</f>
        <v>0.1100052364</v>
      </c>
      <c r="H413" s="27"/>
      <c r="I413" s="28">
        <f t="shared" si="14"/>
        <v>507</v>
      </c>
      <c r="J413" s="29">
        <f t="shared" si="2"/>
        <v>46177</v>
      </c>
      <c r="K413" s="30">
        <f t="shared" si="3"/>
        <v>21</v>
      </c>
      <c r="L413" s="29">
        <f t="shared" si="4"/>
        <v>46199</v>
      </c>
      <c r="M413" s="30">
        <f t="shared" si="5"/>
        <v>141.0374702</v>
      </c>
      <c r="N413" s="32">
        <f t="shared" si="6"/>
        <v>0</v>
      </c>
      <c r="O413" s="33" t="str">
        <f t="shared" si="7"/>
        <v>PAGADA</v>
      </c>
      <c r="P413" s="34">
        <f>LET(
  idVenta, I413&amp;"",
  montoTotal, M413,
  pagos, IFERROR(SUMIF(Aux_Datos!$B:$B, idVenta, Aux_Datos!$K:$K), 0),
  retenciones, IFERROR(SUMIF(Aux_Datos!$N:$N, idVenta, Aux_Datos!$R:$R), 0),
  pagos + retenciones
)</f>
        <v>141.0374702</v>
      </c>
      <c r="Q413" s="30" t="str">
        <f>IF(P413=0, "Sin Pago", 
  LET(
    idVenta, I413&amp;"",
    montoTotalPagado, P413,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413" s="30">
        <f t="shared" si="17"/>
        <v>0</v>
      </c>
      <c r="S413" s="29">
        <f>IF(P413=0, "Sin Pago", 
  IFERROR(
    MAXIFS(Aux_Datos!$A:$A, Aux_Datos!$B:$B, I413&amp;""), 
    IFERROR(MAXIFS(Aux_Datos!$A:$A, Aux_Datos!$B:$B, VALUE(I413)), "Revisar ID")
  )
)</f>
        <v>46189</v>
      </c>
      <c r="T413" s="35" t="str">
        <f t="shared" si="9"/>
        <v>PAGADA</v>
      </c>
      <c r="U413" s="35" t="str">
        <f t="shared" si="10"/>
        <v>SOLVENTE</v>
      </c>
      <c r="V413" s="32">
        <f t="shared" si="11"/>
        <v>0</v>
      </c>
      <c r="W413" s="36" t="str">
        <f>IF(P413=0, "Sin Pago", 
  LET(
    monedaPago, Q413, 
    descuentoAplicado, G413,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413" s="36" t="str">
        <f t="shared" si="12"/>
        <v/>
      </c>
      <c r="Y413" s="36">
        <v>141.03747019280314</v>
      </c>
      <c r="Z413" s="33" t="s">
        <v>596</v>
      </c>
      <c r="AA413" s="33"/>
      <c r="AB413" s="33"/>
      <c r="AC413" s="33"/>
      <c r="AD413" s="33"/>
      <c r="AE413" s="33"/>
      <c r="AF413" s="33"/>
    </row>
    <row r="414" ht="22.5" customHeight="1">
      <c r="A414" s="23" t="s">
        <v>201</v>
      </c>
      <c r="B414" s="41">
        <v>46178.35173611111</v>
      </c>
      <c r="C414" s="23" t="s">
        <v>199</v>
      </c>
      <c r="D414" s="23" t="s">
        <v>552</v>
      </c>
      <c r="E414" s="25">
        <v>306.16</v>
      </c>
      <c r="F414" s="23" t="s">
        <v>608</v>
      </c>
      <c r="G414" s="26">
        <f>IF($E414=0,0,IF(SUMIF(Aux_Datos!$B:$B,$I414,Aux_Datos!$K:$K)/$E414&gt;=VLOOKUP(IF(COUNTIFS(Aux_Datos!$B:$B,$I414,Aux_Datos!$D:$D,"&lt;&gt;USD")=0,"USD","VES"),'Limites de Descuento'!$A$2:$D$4,4,FALSE),MAX(0,1-SUMIF(Aux_Datos!$B:$B,$I414,Aux_Datos!$K:$K)/$E414),0))</f>
        <v>0</v>
      </c>
      <c r="H414" s="27"/>
      <c r="I414" s="28">
        <f t="shared" si="14"/>
        <v>508</v>
      </c>
      <c r="J414" s="29">
        <f t="shared" si="2"/>
        <v>46178</v>
      </c>
      <c r="K414" s="30">
        <f t="shared" si="3"/>
        <v>7</v>
      </c>
      <c r="L414" s="29">
        <f t="shared" si="4"/>
        <v>46186</v>
      </c>
      <c r="M414" s="30">
        <f t="shared" si="5"/>
        <v>306.16</v>
      </c>
      <c r="N414" s="32">
        <f t="shared" si="6"/>
        <v>14</v>
      </c>
      <c r="O414" s="33" t="str">
        <f t="shared" si="7"/>
        <v>VENCIDA</v>
      </c>
      <c r="P414" s="34">
        <f>LET(
  idVenta, I414&amp;"",
  montoTotal, M414,
  pagos, IFERROR(SUMIF(Aux_Datos!$B:$B, idVenta, Aux_Datos!$K:$K), 0),
  retenciones, IFERROR(SUMIF(Aux_Datos!$N:$N, idVenta, Aux_Datos!$R:$R), 0),
  pagos + retenciones
)</f>
        <v>0</v>
      </c>
      <c r="Q414" s="30" t="str">
        <f>IF(P414=0, "Sin Pago", 
  LET(
    idVenta, I414&amp;"",
    montoTotalPagado, P414,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14" s="30">
        <f t="shared" si="17"/>
        <v>306.16</v>
      </c>
      <c r="S414" s="29" t="str">
        <f>IF(P414=0, "Sin Pago", 
  IFERROR(
    MAXIFS(Aux_Datos!$A:$A, Aux_Datos!$B:$B, I414&amp;""), 
    IFERROR(MAXIFS(Aux_Datos!$A:$A, Aux_Datos!$B:$B, VALUE(I414)), "Revisar ID")
  )
)</f>
        <v>Sin Pago</v>
      </c>
      <c r="T414" s="35" t="str">
        <f t="shared" si="9"/>
        <v>PENDIENTE</v>
      </c>
      <c r="U414" s="35" t="str">
        <f t="shared" si="10"/>
        <v>CRÍTICO: VENCIDA</v>
      </c>
      <c r="V414" s="32">
        <f t="shared" si="11"/>
        <v>0</v>
      </c>
      <c r="W414" s="36" t="str">
        <f>IF(P414=0, "Sin Pago", 
  LET(
    monedaPago, Q414, 
    descuentoAplicado, G414,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14" s="36" t="str">
        <f t="shared" si="12"/>
        <v/>
      </c>
      <c r="Y414" s="36">
        <v>0.0</v>
      </c>
      <c r="Z414" s="33" t="s">
        <v>641</v>
      </c>
      <c r="AA414" s="33"/>
      <c r="AB414" s="33"/>
      <c r="AC414" s="33"/>
      <c r="AD414" s="33"/>
      <c r="AE414" s="33"/>
      <c r="AF414" s="33"/>
    </row>
    <row r="415" ht="22.5" customHeight="1">
      <c r="A415" s="23" t="s">
        <v>355</v>
      </c>
      <c r="B415" s="41">
        <v>46178.38166666667</v>
      </c>
      <c r="C415" s="23" t="s">
        <v>353</v>
      </c>
      <c r="D415" s="23" t="s">
        <v>554</v>
      </c>
      <c r="E415" s="25">
        <v>73.0</v>
      </c>
      <c r="F415" s="23" t="s">
        <v>608</v>
      </c>
      <c r="G415" s="26">
        <f>IF($E415=0,0,IF(SUMIF(Aux_Datos!$B:$B,$I415,Aux_Datos!$K:$K)/$E415&gt;=VLOOKUP(IF(COUNTIFS(Aux_Datos!$B:$B,$I415,Aux_Datos!$D:$D,"&lt;&gt;USD")=0,"USD","VES"),'Limites de Descuento'!$A$2:$D$4,4,FALSE),MAX(0,1-SUMIF(Aux_Datos!$B:$B,$I415,Aux_Datos!$K:$K)/$E415),0))</f>
        <v>0</v>
      </c>
      <c r="H415" s="27"/>
      <c r="I415" s="28">
        <f t="shared" si="14"/>
        <v>509</v>
      </c>
      <c r="J415" s="29">
        <f t="shared" si="2"/>
        <v>46178</v>
      </c>
      <c r="K415" s="30">
        <f t="shared" si="3"/>
        <v>7</v>
      </c>
      <c r="L415" s="29">
        <f t="shared" si="4"/>
        <v>46186</v>
      </c>
      <c r="M415" s="30">
        <f t="shared" si="5"/>
        <v>73</v>
      </c>
      <c r="N415" s="32">
        <f t="shared" si="6"/>
        <v>14</v>
      </c>
      <c r="O415" s="33" t="str">
        <f t="shared" si="7"/>
        <v>VENCIDA</v>
      </c>
      <c r="P415" s="34">
        <f>LET(
  idVenta, I415&amp;"",
  montoTotal, M415,
  pagos, IFERROR(SUMIF(Aux_Datos!$B:$B, idVenta, Aux_Datos!$K:$K), 0),
  retenciones, IFERROR(SUMIF(Aux_Datos!$N:$N, idVenta, Aux_Datos!$R:$R), 0),
  pagos + retenciones
)</f>
        <v>0</v>
      </c>
      <c r="Q415" s="30" t="str">
        <f>IF(P415=0, "Sin Pago", 
  LET(
    idVenta, I415&amp;"",
    montoTotalPagado, P415,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15" s="30">
        <f t="shared" si="17"/>
        <v>73</v>
      </c>
      <c r="S415" s="29" t="str">
        <f>IF(P415=0, "Sin Pago", 
  IFERROR(
    MAXIFS(Aux_Datos!$A:$A, Aux_Datos!$B:$B, I415&amp;""), 
    IFERROR(MAXIFS(Aux_Datos!$A:$A, Aux_Datos!$B:$B, VALUE(I415)), "Revisar ID")
  )
)</f>
        <v>Sin Pago</v>
      </c>
      <c r="T415" s="35" t="str">
        <f t="shared" si="9"/>
        <v>PENDIENTE</v>
      </c>
      <c r="U415" s="35" t="str">
        <f t="shared" si="10"/>
        <v>CRÍTICO: VENCIDA</v>
      </c>
      <c r="V415" s="32">
        <f t="shared" si="11"/>
        <v>0</v>
      </c>
      <c r="W415" s="36" t="str">
        <f>IF(P415=0, "Sin Pago", 
  LET(
    monedaPago, Q415, 
    descuentoAplicado, G415,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15" s="36" t="str">
        <f t="shared" si="12"/>
        <v/>
      </c>
      <c r="Y415" s="36">
        <v>0.0</v>
      </c>
      <c r="Z415" s="33" t="s">
        <v>641</v>
      </c>
      <c r="AA415" s="33"/>
      <c r="AB415" s="33"/>
      <c r="AC415" s="33"/>
      <c r="AD415" s="33"/>
      <c r="AE415" s="33"/>
      <c r="AF415" s="33"/>
    </row>
    <row r="416" ht="22.5" customHeight="1">
      <c r="A416" s="23" t="s">
        <v>426</v>
      </c>
      <c r="B416" s="41">
        <v>46178.38229166667</v>
      </c>
      <c r="C416" s="23" t="s">
        <v>425</v>
      </c>
      <c r="D416" s="23" t="s">
        <v>550</v>
      </c>
      <c r="E416" s="25">
        <v>88.58</v>
      </c>
      <c r="F416" s="23" t="s">
        <v>608</v>
      </c>
      <c r="G416" s="26">
        <f>IF($E416=0,0,IF(SUMIF(Aux_Datos!$B:$B,$I416,Aux_Datos!$K:$K)/$E416&gt;=VLOOKUP(IF(COUNTIFS(Aux_Datos!$B:$B,$I416,Aux_Datos!$D:$D,"&lt;&gt;USD")=0,"USD","VES"),'Limites de Descuento'!$A$2:$D$4,4,FALSE),MAX(0,1-SUMIF(Aux_Datos!$B:$B,$I416,Aux_Datos!$K:$K)/$E416),0))</f>
        <v>0</v>
      </c>
      <c r="H416" s="27"/>
      <c r="I416" s="28">
        <f t="shared" si="14"/>
        <v>510</v>
      </c>
      <c r="J416" s="29">
        <f t="shared" si="2"/>
        <v>46178</v>
      </c>
      <c r="K416" s="30">
        <f t="shared" si="3"/>
        <v>7</v>
      </c>
      <c r="L416" s="29">
        <f t="shared" si="4"/>
        <v>46186</v>
      </c>
      <c r="M416" s="30">
        <f t="shared" si="5"/>
        <v>88.58</v>
      </c>
      <c r="N416" s="32">
        <f t="shared" si="6"/>
        <v>14</v>
      </c>
      <c r="O416" s="33" t="str">
        <f t="shared" si="7"/>
        <v>VENCIDA</v>
      </c>
      <c r="P416" s="34">
        <f>LET(
  idVenta, I416&amp;"",
  montoTotal, M416,
  pagos, IFERROR(SUMIF(Aux_Datos!$B:$B, idVenta, Aux_Datos!$K:$K), 0),
  retenciones, IFERROR(SUMIF(Aux_Datos!$N:$N, idVenta, Aux_Datos!$R:$R), 0),
  pagos + retenciones
)</f>
        <v>0</v>
      </c>
      <c r="Q416" s="30" t="str">
        <f>IF(P416=0, "Sin Pago", 
  LET(
    idVenta, I416&amp;"",
    montoTotalPagado, P416,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16" s="30">
        <f t="shared" si="17"/>
        <v>88.58</v>
      </c>
      <c r="S416" s="29" t="str">
        <f>IF(P416=0, "Sin Pago", 
  IFERROR(
    MAXIFS(Aux_Datos!$A:$A, Aux_Datos!$B:$B, I416&amp;""), 
    IFERROR(MAXIFS(Aux_Datos!$A:$A, Aux_Datos!$B:$B, VALUE(I416)), "Revisar ID")
  )
)</f>
        <v>Sin Pago</v>
      </c>
      <c r="T416" s="35" t="str">
        <f t="shared" si="9"/>
        <v>PENDIENTE</v>
      </c>
      <c r="U416" s="35" t="str">
        <f t="shared" si="10"/>
        <v>CRÍTICO: VENCIDA</v>
      </c>
      <c r="V416" s="32">
        <f t="shared" si="11"/>
        <v>0</v>
      </c>
      <c r="W416" s="36" t="str">
        <f>IF(P416=0, "Sin Pago", 
  LET(
    monedaPago, Q416, 
    descuentoAplicado, G416,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16" s="36" t="str">
        <f t="shared" si="12"/>
        <v/>
      </c>
      <c r="Y416" s="36">
        <v>0.0</v>
      </c>
      <c r="Z416" s="33" t="s">
        <v>641</v>
      </c>
      <c r="AA416" s="33"/>
      <c r="AB416" s="33"/>
      <c r="AC416" s="33"/>
      <c r="AD416" s="33"/>
      <c r="AE416" s="33"/>
      <c r="AF416" s="33"/>
    </row>
    <row r="417" ht="22.5" customHeight="1">
      <c r="A417" s="23" t="s">
        <v>422</v>
      </c>
      <c r="B417" s="41">
        <v>46178.49434027778</v>
      </c>
      <c r="C417" s="23" t="s">
        <v>421</v>
      </c>
      <c r="D417" s="23" t="s">
        <v>353</v>
      </c>
      <c r="E417" s="25">
        <v>2684.62</v>
      </c>
      <c r="F417" s="23" t="s">
        <v>608</v>
      </c>
      <c r="G417" s="26">
        <f>IF($E417=0,0,IF(SUMIF(Aux_Datos!$B:$B,$I417,Aux_Datos!$K:$K)/$E417&gt;=VLOOKUP(IF(COUNTIFS(Aux_Datos!$B:$B,$I417,Aux_Datos!$D:$D,"&lt;&gt;USD")=0,"USD","VES"),'Limites de Descuento'!$A$2:$D$4,4,FALSE),MAX(0,1-SUMIF(Aux_Datos!$B:$B,$I417,Aux_Datos!$K:$K)/$E417),0))</f>
        <v>0</v>
      </c>
      <c r="H417" s="27"/>
      <c r="I417" s="28">
        <f t="shared" si="14"/>
        <v>511</v>
      </c>
      <c r="J417" s="29">
        <f t="shared" si="2"/>
        <v>46178</v>
      </c>
      <c r="K417" s="30">
        <f t="shared" si="3"/>
        <v>7</v>
      </c>
      <c r="L417" s="29">
        <f t="shared" si="4"/>
        <v>46186</v>
      </c>
      <c r="M417" s="30">
        <f t="shared" si="5"/>
        <v>2684.62</v>
      </c>
      <c r="N417" s="32">
        <f t="shared" si="6"/>
        <v>14</v>
      </c>
      <c r="O417" s="33" t="str">
        <f t="shared" si="7"/>
        <v>VENCIDA</v>
      </c>
      <c r="P417" s="34">
        <f>LET(
  idVenta, I417&amp;"",
  montoTotal, M417,
  pagos, IFERROR(SUMIF(Aux_Datos!$B:$B, idVenta, Aux_Datos!$K:$K), 0),
  retenciones, IFERROR(SUMIF(Aux_Datos!$N:$N, idVenta, Aux_Datos!$R:$R), 0),
  pagos + retenciones
)</f>
        <v>0</v>
      </c>
      <c r="Q417" s="30" t="str">
        <f>IF(P417=0, "Sin Pago", 
  LET(
    idVenta, I417&amp;"",
    montoTotalPagado, P417,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17" s="30">
        <f t="shared" si="17"/>
        <v>2684.62</v>
      </c>
      <c r="S417" s="29" t="str">
        <f>IF(P417=0, "Sin Pago", 
  IFERROR(
    MAXIFS(Aux_Datos!$A:$A, Aux_Datos!$B:$B, I417&amp;""), 
    IFERROR(MAXIFS(Aux_Datos!$A:$A, Aux_Datos!$B:$B, VALUE(I417)), "Revisar ID")
  )
)</f>
        <v>Sin Pago</v>
      </c>
      <c r="T417" s="35" t="str">
        <f t="shared" si="9"/>
        <v>PENDIENTE</v>
      </c>
      <c r="U417" s="35" t="str">
        <f t="shared" si="10"/>
        <v>CRÍTICO: VENCIDA</v>
      </c>
      <c r="V417" s="32">
        <f t="shared" si="11"/>
        <v>0</v>
      </c>
      <c r="W417" s="36" t="str">
        <f>IF(P417=0, "Sin Pago", 
  LET(
    monedaPago, Q417, 
    descuentoAplicado, G417,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17" s="36" t="str">
        <f t="shared" si="12"/>
        <v/>
      </c>
      <c r="Y417" s="36">
        <v>0.0</v>
      </c>
      <c r="Z417" s="33" t="s">
        <v>641</v>
      </c>
      <c r="AA417" s="33"/>
      <c r="AB417" s="33"/>
      <c r="AC417" s="33"/>
      <c r="AD417" s="33"/>
      <c r="AE417" s="33"/>
      <c r="AF417" s="33"/>
    </row>
    <row r="418" ht="22.5" customHeight="1">
      <c r="A418" s="23" t="s">
        <v>31</v>
      </c>
      <c r="B418" s="41">
        <v>46178.56611111111</v>
      </c>
      <c r="C418" s="23" t="s">
        <v>28</v>
      </c>
      <c r="D418" s="23" t="s">
        <v>556</v>
      </c>
      <c r="E418" s="25">
        <v>110.77</v>
      </c>
      <c r="F418" s="23" t="s">
        <v>608</v>
      </c>
      <c r="G418" s="26">
        <f>IF($E418=0,0,IF(SUMIF(Aux_Datos!$B:$B,$I418,Aux_Datos!$K:$K)/$E418&gt;=VLOOKUP(IF(COUNTIFS(Aux_Datos!$B:$B,$I418,Aux_Datos!$D:$D,"&lt;&gt;USD")=0,"USD","VES"),'Limites de Descuento'!$A$2:$D$4,4,FALSE),MAX(0,1-SUMIF(Aux_Datos!$B:$B,$I418,Aux_Datos!$K:$K)/$E418),0))</f>
        <v>0</v>
      </c>
      <c r="H418" s="27"/>
      <c r="I418" s="28">
        <f t="shared" si="14"/>
        <v>512</v>
      </c>
      <c r="J418" s="29">
        <f t="shared" si="2"/>
        <v>46178</v>
      </c>
      <c r="K418" s="30">
        <f t="shared" si="3"/>
        <v>7</v>
      </c>
      <c r="L418" s="29">
        <f t="shared" si="4"/>
        <v>46186</v>
      </c>
      <c r="M418" s="30">
        <f t="shared" si="5"/>
        <v>110.77</v>
      </c>
      <c r="N418" s="32">
        <f t="shared" si="6"/>
        <v>14</v>
      </c>
      <c r="O418" s="33" t="str">
        <f t="shared" si="7"/>
        <v>VENCIDA</v>
      </c>
      <c r="P418" s="34">
        <f>LET(
  idVenta, I418&amp;"",
  montoTotal, M418,
  pagos, IFERROR(SUMIF(Aux_Datos!$B:$B, idVenta, Aux_Datos!$K:$K), 0),
  retenciones, IFERROR(SUMIF(Aux_Datos!$N:$N, idVenta, Aux_Datos!$R:$R), 0),
  pagos + retenciones
)</f>
        <v>0</v>
      </c>
      <c r="Q418" s="30" t="str">
        <f>IF(P418=0, "Sin Pago", 
  LET(
    idVenta, I418&amp;"",
    montoTotalPagado, P418,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18" s="30">
        <f t="shared" si="17"/>
        <v>110.77</v>
      </c>
      <c r="S418" s="29" t="str">
        <f>IF(P418=0, "Sin Pago", 
  IFERROR(
    MAXIFS(Aux_Datos!$A:$A, Aux_Datos!$B:$B, I418&amp;""), 
    IFERROR(MAXIFS(Aux_Datos!$A:$A, Aux_Datos!$B:$B, VALUE(I418)), "Revisar ID")
  )
)</f>
        <v>Sin Pago</v>
      </c>
      <c r="T418" s="35" t="str">
        <f t="shared" si="9"/>
        <v>PENDIENTE</v>
      </c>
      <c r="U418" s="35" t="str">
        <f t="shared" si="10"/>
        <v>CRÍTICO: VENCIDA</v>
      </c>
      <c r="V418" s="32">
        <f t="shared" si="11"/>
        <v>0</v>
      </c>
      <c r="W418" s="36" t="str">
        <f>IF(P418=0, "Sin Pago", 
  LET(
    monedaPago, Q418, 
    descuentoAplicado, G418,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18" s="36" t="str">
        <f t="shared" si="12"/>
        <v/>
      </c>
      <c r="Y418" s="36">
        <v>0.0</v>
      </c>
      <c r="Z418" s="33" t="s">
        <v>641</v>
      </c>
      <c r="AA418" s="33"/>
      <c r="AB418" s="33"/>
      <c r="AC418" s="33"/>
      <c r="AD418" s="33"/>
      <c r="AE418" s="33"/>
      <c r="AF418" s="33"/>
    </row>
    <row r="419" ht="22.5" customHeight="1">
      <c r="A419" s="23" t="s">
        <v>857</v>
      </c>
      <c r="B419" s="41">
        <v>46178.64150462963</v>
      </c>
      <c r="C419" s="23" t="s">
        <v>819</v>
      </c>
      <c r="D419" s="23" t="s">
        <v>208</v>
      </c>
      <c r="E419" s="25">
        <v>69.92</v>
      </c>
      <c r="F419" s="23" t="s">
        <v>608</v>
      </c>
      <c r="G419" s="26">
        <f>IF($E419=0,0,IF(SUMIF(Aux_Datos!$B:$B,$I419,Aux_Datos!$K:$K)/$E419&gt;=VLOOKUP(IF(COUNTIFS(Aux_Datos!$B:$B,$I419,Aux_Datos!$D:$D,"&lt;&gt;USD")=0,"USD","VES"),'Limites de Descuento'!$A$2:$D$4,4,FALSE),MAX(0,1-SUMIF(Aux_Datos!$B:$B,$I419,Aux_Datos!$K:$K)/$E419),0))</f>
        <v>0</v>
      </c>
      <c r="H419" s="27"/>
      <c r="I419" s="28">
        <f t="shared" si="14"/>
        <v>513</v>
      </c>
      <c r="J419" s="29">
        <f t="shared" si="2"/>
        <v>46178</v>
      </c>
      <c r="K419" s="30">
        <f t="shared" si="3"/>
        <v>7</v>
      </c>
      <c r="L419" s="29">
        <f t="shared" si="4"/>
        <v>46186</v>
      </c>
      <c r="M419" s="30">
        <f t="shared" si="5"/>
        <v>69.92</v>
      </c>
      <c r="N419" s="32">
        <f t="shared" si="6"/>
        <v>0</v>
      </c>
      <c r="O419" s="33" t="str">
        <f t="shared" si="7"/>
        <v>PAGADA</v>
      </c>
      <c r="P419" s="34">
        <f>LET(
  idVenta, I419&amp;"",
  montoTotal, M419,
  pagos, IFERROR(SUMIF(Aux_Datos!$B:$B, idVenta, Aux_Datos!$K:$K), 0),
  retenciones, IFERROR(SUMIF(Aux_Datos!$N:$N, idVenta, Aux_Datos!$R:$R), 0),
  pagos + retenciones
)</f>
        <v>70</v>
      </c>
      <c r="Q419" s="30" t="str">
        <f>IF(P419=0, "Sin Pago", 
  LET(
    idVenta, I419&amp;"",
    montoTotalPagado, P419,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419" s="30">
        <f t="shared" si="17"/>
        <v>-0.08</v>
      </c>
      <c r="S419" s="29">
        <f>IF(P419=0, "Sin Pago", 
  IFERROR(
    MAXIFS(Aux_Datos!$A:$A, Aux_Datos!$B:$B, I419&amp;""), 
    IFERROR(MAXIFS(Aux_Datos!$A:$A, Aux_Datos!$B:$B, VALUE(I419)), "Revisar ID")
  )
)</f>
        <v>46182</v>
      </c>
      <c r="T419" s="35" t="str">
        <f t="shared" si="9"/>
        <v>PAGADA</v>
      </c>
      <c r="U419" s="35" t="str">
        <f t="shared" si="10"/>
        <v>SOLVENTE</v>
      </c>
      <c r="V419" s="32">
        <f t="shared" si="11"/>
        <v>0</v>
      </c>
      <c r="W419" s="36" t="str">
        <f>IF(P419=0, "Sin Pago", 
  LET(
    monedaPago, Q419, 
    descuentoAplicado, G419,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419" s="36" t="str">
        <f t="shared" si="12"/>
        <v/>
      </c>
      <c r="Y419" s="36">
        <v>70.0</v>
      </c>
      <c r="Z419" s="33" t="s">
        <v>596</v>
      </c>
      <c r="AA419" s="33"/>
      <c r="AB419" s="33"/>
      <c r="AC419" s="33"/>
      <c r="AD419" s="33"/>
      <c r="AE419" s="33"/>
      <c r="AF419" s="33"/>
    </row>
    <row r="420" ht="22.5" customHeight="1">
      <c r="A420" s="23" t="s">
        <v>420</v>
      </c>
      <c r="B420" s="41">
        <v>46178.66940972222</v>
      </c>
      <c r="C420" s="23" t="s">
        <v>419</v>
      </c>
      <c r="D420" s="23" t="s">
        <v>532</v>
      </c>
      <c r="E420" s="25">
        <v>119.99</v>
      </c>
      <c r="F420" s="23" t="s">
        <v>608</v>
      </c>
      <c r="G420" s="26">
        <f>IF($E420=0,0,IF(SUMIF(Aux_Datos!$B:$B,$I420,Aux_Datos!$K:$K)/$E420&gt;=VLOOKUP(IF(COUNTIFS(Aux_Datos!$B:$B,$I420,Aux_Datos!$D:$D,"&lt;&gt;USD")=0,"USD","VES"),'Limites de Descuento'!$A$2:$D$4,4,FALSE),MAX(0,1-SUMIF(Aux_Datos!$B:$B,$I420,Aux_Datos!$K:$K)/$E420),0))</f>
        <v>0</v>
      </c>
      <c r="H420" s="27"/>
      <c r="I420" s="28">
        <f t="shared" si="14"/>
        <v>514</v>
      </c>
      <c r="J420" s="29">
        <f t="shared" si="2"/>
        <v>46178</v>
      </c>
      <c r="K420" s="30">
        <f t="shared" si="3"/>
        <v>7</v>
      </c>
      <c r="L420" s="29">
        <f t="shared" si="4"/>
        <v>46186</v>
      </c>
      <c r="M420" s="30">
        <f t="shared" si="5"/>
        <v>119.99</v>
      </c>
      <c r="N420" s="32">
        <f t="shared" si="6"/>
        <v>14</v>
      </c>
      <c r="O420" s="33" t="str">
        <f t="shared" si="7"/>
        <v>VENCIDA</v>
      </c>
      <c r="P420" s="34">
        <f>LET(
  idVenta, I420&amp;"",
  montoTotal, M420,
  pagos, IFERROR(SUMIF(Aux_Datos!$B:$B, idVenta, Aux_Datos!$K:$K), 0),
  retenciones, IFERROR(SUMIF(Aux_Datos!$N:$N, idVenta, Aux_Datos!$R:$R), 0),
  pagos + retenciones
)</f>
        <v>0</v>
      </c>
      <c r="Q420" s="30" t="str">
        <f>IF(P420=0, "Sin Pago", 
  LET(
    idVenta, I420&amp;"",
    montoTotalPagado, P420,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20" s="30">
        <f t="shared" si="17"/>
        <v>119.99</v>
      </c>
      <c r="S420" s="29" t="str">
        <f>IF(P420=0, "Sin Pago", 
  IFERROR(
    MAXIFS(Aux_Datos!$A:$A, Aux_Datos!$B:$B, I420&amp;""), 
    IFERROR(MAXIFS(Aux_Datos!$A:$A, Aux_Datos!$B:$B, VALUE(I420)), "Revisar ID")
  )
)</f>
        <v>Sin Pago</v>
      </c>
      <c r="T420" s="35" t="str">
        <f t="shared" si="9"/>
        <v>PENDIENTE</v>
      </c>
      <c r="U420" s="35" t="str">
        <f t="shared" si="10"/>
        <v>CRÍTICO: VENCIDA</v>
      </c>
      <c r="V420" s="32">
        <f t="shared" si="11"/>
        <v>0</v>
      </c>
      <c r="W420" s="36" t="str">
        <f>IF(P420=0, "Sin Pago", 
  LET(
    monedaPago, Q420, 
    descuentoAplicado, G420,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20" s="36" t="str">
        <f t="shared" si="12"/>
        <v/>
      </c>
      <c r="Y420" s="36">
        <v>0.0</v>
      </c>
      <c r="Z420" s="33" t="s">
        <v>641</v>
      </c>
      <c r="AA420" s="33"/>
      <c r="AB420" s="33"/>
      <c r="AC420" s="33"/>
      <c r="AD420" s="33"/>
      <c r="AE420" s="33"/>
      <c r="AF420" s="33"/>
    </row>
    <row r="421" ht="22.5" customHeight="1">
      <c r="A421" s="23" t="s">
        <v>858</v>
      </c>
      <c r="B421" s="41">
        <v>46178.66967592593</v>
      </c>
      <c r="C421" s="23" t="s">
        <v>859</v>
      </c>
      <c r="D421" s="23" t="s">
        <v>532</v>
      </c>
      <c r="E421" s="25">
        <v>444.61</v>
      </c>
      <c r="F421" s="23" t="s">
        <v>603</v>
      </c>
      <c r="G421" s="26">
        <f>IF($E421=0,0,IF(SUMIF(Aux_Datos!$B:$B,$I421,Aux_Datos!$K:$K)/$E421&gt;=VLOOKUP(IF(COUNTIFS(Aux_Datos!$B:$B,$I421,Aux_Datos!$D:$D,"&lt;&gt;USD")=0,"USD","VES"),'Limites de Descuento'!$A$2:$D$4,4,FALSE),MAX(0,1-SUMIF(Aux_Datos!$B:$B,$I421,Aux_Datos!$K:$K)/$E421),0))</f>
        <v>0</v>
      </c>
      <c r="H421" s="27"/>
      <c r="I421" s="28">
        <f t="shared" si="14"/>
        <v>515</v>
      </c>
      <c r="J421" s="29">
        <f t="shared" si="2"/>
        <v>46178</v>
      </c>
      <c r="K421" s="30">
        <f t="shared" si="3"/>
        <v>21</v>
      </c>
      <c r="L421" s="29">
        <f t="shared" si="4"/>
        <v>46200</v>
      </c>
      <c r="M421" s="30">
        <f t="shared" si="5"/>
        <v>444.61</v>
      </c>
      <c r="N421" s="32">
        <f t="shared" si="6"/>
        <v>0</v>
      </c>
      <c r="O421" s="33" t="str">
        <f t="shared" si="7"/>
        <v>EN TIEMPO</v>
      </c>
      <c r="P421" s="34">
        <f>LET(
  idVenta, I421&amp;"",
  montoTotal, M421,
  pagos, IFERROR(SUMIF(Aux_Datos!$B:$B, idVenta, Aux_Datos!$K:$K), 0),
  retenciones, IFERROR(SUMIF(Aux_Datos!$N:$N, idVenta, Aux_Datos!$R:$R), 0),
  pagos + retenciones
)</f>
        <v>0</v>
      </c>
      <c r="Q421" s="30" t="str">
        <f>IF(P421=0, "Sin Pago", 
  LET(
    idVenta, I421&amp;"",
    montoTotalPagado, P421,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21" s="30">
        <f t="shared" si="17"/>
        <v>444.61</v>
      </c>
      <c r="S421" s="29" t="str">
        <f>IF(P421=0, "Sin Pago", 
  IFERROR(
    MAXIFS(Aux_Datos!$A:$A, Aux_Datos!$B:$B, I421&amp;""), 
    IFERROR(MAXIFS(Aux_Datos!$A:$A, Aux_Datos!$B:$B, VALUE(I421)), "Revisar ID")
  )
)</f>
        <v>Sin Pago</v>
      </c>
      <c r="T421" s="35" t="str">
        <f t="shared" si="9"/>
        <v>PENDIENTE</v>
      </c>
      <c r="U421" s="35" t="str">
        <f t="shared" si="10"/>
        <v>EN TIEMPO</v>
      </c>
      <c r="V421" s="32">
        <f t="shared" si="11"/>
        <v>0</v>
      </c>
      <c r="W421" s="36" t="str">
        <f>IF(P421=0, "Sin Pago", 
  LET(
    monedaPago, Q421, 
    descuentoAplicado, G421,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21" s="36" t="str">
        <f t="shared" si="12"/>
        <v/>
      </c>
      <c r="Y421" s="36">
        <v>0.0</v>
      </c>
      <c r="Z421" s="33" t="s">
        <v>641</v>
      </c>
      <c r="AA421" s="33"/>
      <c r="AB421" s="33"/>
      <c r="AC421" s="33"/>
      <c r="AD421" s="33"/>
      <c r="AE421" s="33"/>
      <c r="AF421" s="33"/>
    </row>
    <row r="422" ht="22.5" customHeight="1">
      <c r="A422" s="23" t="s">
        <v>424</v>
      </c>
      <c r="B422" s="41">
        <v>46178.750127314815</v>
      </c>
      <c r="C422" s="23" t="s">
        <v>423</v>
      </c>
      <c r="D422" s="23" t="s">
        <v>538</v>
      </c>
      <c r="E422" s="25">
        <v>221.55</v>
      </c>
      <c r="F422" s="23" t="s">
        <v>608</v>
      </c>
      <c r="G422" s="26">
        <f>IF($E422=0,0,IF(SUMIF(Aux_Datos!$B:$B,$I422,Aux_Datos!$K:$K)/$E422&gt;=VLOOKUP(IF(COUNTIFS(Aux_Datos!$B:$B,$I422,Aux_Datos!$D:$D,"&lt;&gt;USD")=0,"USD","VES"),'Limites de Descuento'!$A$2:$D$4,4,FALSE),MAX(0,1-SUMIF(Aux_Datos!$B:$B,$I422,Aux_Datos!$K:$K)/$E422),0))</f>
        <v>0</v>
      </c>
      <c r="H422" s="27"/>
      <c r="I422" s="28">
        <f t="shared" si="14"/>
        <v>516</v>
      </c>
      <c r="J422" s="29">
        <f t="shared" si="2"/>
        <v>46178</v>
      </c>
      <c r="K422" s="30">
        <f t="shared" si="3"/>
        <v>7</v>
      </c>
      <c r="L422" s="29">
        <f t="shared" si="4"/>
        <v>46186</v>
      </c>
      <c r="M422" s="30">
        <f t="shared" si="5"/>
        <v>221.55</v>
      </c>
      <c r="N422" s="32">
        <f t="shared" si="6"/>
        <v>14</v>
      </c>
      <c r="O422" s="33" t="str">
        <f t="shared" si="7"/>
        <v>VENCIDA</v>
      </c>
      <c r="P422" s="34">
        <f>LET(
  idVenta, I422&amp;"",
  montoTotal, M422,
  pagos, IFERROR(SUMIF(Aux_Datos!$B:$B, idVenta, Aux_Datos!$K:$K), 0),
  retenciones, IFERROR(SUMIF(Aux_Datos!$N:$N, idVenta, Aux_Datos!$R:$R), 0),
  pagos + retenciones
)</f>
        <v>0</v>
      </c>
      <c r="Q422" s="30" t="str">
        <f>IF(P422=0, "Sin Pago", 
  LET(
    idVenta, I422&amp;"",
    montoTotalPagado, P422,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22" s="30">
        <f t="shared" si="17"/>
        <v>221.55</v>
      </c>
      <c r="S422" s="29" t="str">
        <f>IF(P422=0, "Sin Pago", 
  IFERROR(
    MAXIFS(Aux_Datos!$A:$A, Aux_Datos!$B:$B, I422&amp;""), 
    IFERROR(MAXIFS(Aux_Datos!$A:$A, Aux_Datos!$B:$B, VALUE(I422)), "Revisar ID")
  )
)</f>
        <v>Sin Pago</v>
      </c>
      <c r="T422" s="35" t="str">
        <f t="shared" si="9"/>
        <v>PENDIENTE</v>
      </c>
      <c r="U422" s="35" t="str">
        <f t="shared" si="10"/>
        <v>CRÍTICO: VENCIDA</v>
      </c>
      <c r="V422" s="32">
        <f t="shared" si="11"/>
        <v>0</v>
      </c>
      <c r="W422" s="36" t="str">
        <f>IF(P422=0, "Sin Pago", 
  LET(
    monedaPago, Q422, 
    descuentoAplicado, G422,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22" s="36" t="str">
        <f t="shared" si="12"/>
        <v/>
      </c>
      <c r="Y422" s="36">
        <v>0.0</v>
      </c>
      <c r="Z422" s="33" t="s">
        <v>641</v>
      </c>
      <c r="AA422" s="33"/>
      <c r="AB422" s="33"/>
      <c r="AC422" s="33"/>
      <c r="AD422" s="33"/>
      <c r="AE422" s="33"/>
      <c r="AF422" s="33"/>
    </row>
    <row r="423" ht="22.5" customHeight="1">
      <c r="A423" s="23" t="s">
        <v>362</v>
      </c>
      <c r="B423" s="41">
        <v>46181.69726851852</v>
      </c>
      <c r="C423" s="23" t="s">
        <v>360</v>
      </c>
      <c r="D423" s="23" t="s">
        <v>323</v>
      </c>
      <c r="E423" s="25">
        <v>233.86</v>
      </c>
      <c r="F423" s="23" t="s">
        <v>608</v>
      </c>
      <c r="G423" s="26">
        <f>IF($E423=0,0,IF(SUMIF(Aux_Datos!$B:$B,$I423,Aux_Datos!$K:$K)/$E423&gt;=VLOOKUP(IF(COUNTIFS(Aux_Datos!$B:$B,$I423,Aux_Datos!$D:$D,"&lt;&gt;USD")=0,"USD","VES"),'Limites de Descuento'!$A$2:$D$4,4,FALSE),MAX(0,1-SUMIF(Aux_Datos!$B:$B,$I423,Aux_Datos!$K:$K)/$E423),0))</f>
        <v>0</v>
      </c>
      <c r="H423" s="27"/>
      <c r="I423" s="28">
        <f t="shared" si="14"/>
        <v>517</v>
      </c>
      <c r="J423" s="29">
        <f t="shared" si="2"/>
        <v>46181</v>
      </c>
      <c r="K423" s="30">
        <f t="shared" si="3"/>
        <v>7</v>
      </c>
      <c r="L423" s="29">
        <f t="shared" si="4"/>
        <v>46189</v>
      </c>
      <c r="M423" s="30">
        <f t="shared" si="5"/>
        <v>233.86</v>
      </c>
      <c r="N423" s="32">
        <f t="shared" si="6"/>
        <v>11</v>
      </c>
      <c r="O423" s="33" t="str">
        <f t="shared" si="7"/>
        <v>VENCIDA</v>
      </c>
      <c r="P423" s="34">
        <f>LET(
  idVenta, I423&amp;"",
  montoTotal, M423,
  pagos, IFERROR(SUMIF(Aux_Datos!$B:$B, idVenta, Aux_Datos!$K:$K), 0),
  retenciones, IFERROR(SUMIF(Aux_Datos!$N:$N, idVenta, Aux_Datos!$R:$R), 0),
  pagos + retenciones
)</f>
        <v>0</v>
      </c>
      <c r="Q423" s="30" t="str">
        <f>IF(P423=0, "Sin Pago", 
  LET(
    idVenta, I423&amp;"",
    montoTotalPagado, P423,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23" s="30">
        <f t="shared" si="17"/>
        <v>233.86</v>
      </c>
      <c r="S423" s="29" t="str">
        <f>IF(P423=0, "Sin Pago", 
  IFERROR(
    MAXIFS(Aux_Datos!$A:$A, Aux_Datos!$B:$B, I423&amp;""), 
    IFERROR(MAXIFS(Aux_Datos!$A:$A, Aux_Datos!$B:$B, VALUE(I423)), "Revisar ID")
  )
)</f>
        <v>Sin Pago</v>
      </c>
      <c r="T423" s="35" t="str">
        <f t="shared" si="9"/>
        <v>PENDIENTE</v>
      </c>
      <c r="U423" s="35" t="str">
        <f t="shared" si="10"/>
        <v>CRÍTICO: VENCIDA</v>
      </c>
      <c r="V423" s="32">
        <f t="shared" si="11"/>
        <v>0</v>
      </c>
      <c r="W423" s="36" t="str">
        <f>IF(P423=0, "Sin Pago", 
  LET(
    monedaPago, Q423, 
    descuentoAplicado, G423,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23" s="36" t="str">
        <f t="shared" si="12"/>
        <v/>
      </c>
      <c r="Y423" s="36">
        <v>0.0</v>
      </c>
      <c r="Z423" s="33" t="s">
        <v>641</v>
      </c>
      <c r="AA423" s="33"/>
      <c r="AB423" s="33"/>
      <c r="AC423" s="33"/>
      <c r="AD423" s="33"/>
      <c r="AE423" s="33"/>
      <c r="AF423" s="33"/>
    </row>
    <row r="424" ht="22.5" customHeight="1">
      <c r="A424" s="23" t="s">
        <v>13</v>
      </c>
      <c r="B424" s="41">
        <v>46181.37152777778</v>
      </c>
      <c r="C424" s="23" t="s">
        <v>5</v>
      </c>
      <c r="D424" s="23" t="s">
        <v>552</v>
      </c>
      <c r="E424" s="25">
        <v>163.07</v>
      </c>
      <c r="F424" s="23" t="s">
        <v>608</v>
      </c>
      <c r="G424" s="26">
        <f>IF($E424=0,0,IF(SUMIF(Aux_Datos!$B:$B,$I424,Aux_Datos!$K:$K)/$E424&gt;=VLOOKUP(IF(COUNTIFS(Aux_Datos!$B:$B,$I424,Aux_Datos!$D:$D,"&lt;&gt;USD")=0,"USD","VES"),'Limites de Descuento'!$A$2:$D$4,4,FALSE),MAX(0,1-SUMIF(Aux_Datos!$B:$B,$I424,Aux_Datos!$K:$K)/$E424),0))</f>
        <v>0</v>
      </c>
      <c r="H424" s="27"/>
      <c r="I424" s="28">
        <f t="shared" si="14"/>
        <v>518</v>
      </c>
      <c r="J424" s="29">
        <f t="shared" si="2"/>
        <v>46181</v>
      </c>
      <c r="K424" s="30">
        <f t="shared" si="3"/>
        <v>7</v>
      </c>
      <c r="L424" s="29">
        <f t="shared" si="4"/>
        <v>46189</v>
      </c>
      <c r="M424" s="30">
        <f t="shared" si="5"/>
        <v>163.07</v>
      </c>
      <c r="N424" s="32">
        <f t="shared" si="6"/>
        <v>11</v>
      </c>
      <c r="O424" s="33" t="str">
        <f t="shared" si="7"/>
        <v>VENCIDA</v>
      </c>
      <c r="P424" s="34">
        <f>LET(
  idVenta, I424&amp;"",
  montoTotal, M424,
  pagos, IFERROR(SUMIF(Aux_Datos!$B:$B, idVenta, Aux_Datos!$K:$K), 0),
  retenciones, IFERROR(SUMIF(Aux_Datos!$N:$N, idVenta, Aux_Datos!$R:$R), 0),
  pagos + retenciones
)</f>
        <v>103</v>
      </c>
      <c r="Q424" s="30" t="str">
        <f>IF(P424=0, "Sin Pago", 
  LET(
    idVenta, I424&amp;"",
    montoTotalPagado, P424,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424" s="30">
        <f t="shared" si="17"/>
        <v>60.07</v>
      </c>
      <c r="S424" s="29">
        <f>IF(P424=0, "Sin Pago", 
  IFERROR(
    MAXIFS(Aux_Datos!$A:$A, Aux_Datos!$B:$B, I424&amp;""), 
    IFERROR(MAXIFS(Aux_Datos!$A:$A, Aux_Datos!$B:$B, VALUE(I424)), "Revisar ID")
  )
)</f>
        <v>46182</v>
      </c>
      <c r="T424" s="35" t="str">
        <f t="shared" si="9"/>
        <v>PAGO PARCIAL</v>
      </c>
      <c r="U424" s="35" t="str">
        <f t="shared" si="10"/>
        <v>CRÍTICO: VENCIDA</v>
      </c>
      <c r="V424" s="32">
        <f t="shared" si="11"/>
        <v>18</v>
      </c>
      <c r="W424" s="36" t="str">
        <f>IF(P424=0, "Sin Pago", 
  LET(
    monedaPago, Q424, 
    descuentoAplicado, G424,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424" s="36" t="str">
        <f t="shared" si="12"/>
        <v/>
      </c>
      <c r="Y424" s="36">
        <v>103.0</v>
      </c>
      <c r="Z424" s="33" t="s">
        <v>609</v>
      </c>
      <c r="AA424" s="33"/>
      <c r="AB424" s="33"/>
      <c r="AC424" s="33"/>
      <c r="AD424" s="33"/>
      <c r="AE424" s="33"/>
      <c r="AF424" s="33"/>
    </row>
    <row r="425" ht="22.5" customHeight="1">
      <c r="A425" s="23" t="s">
        <v>440</v>
      </c>
      <c r="B425" s="41">
        <v>46182.54478009259</v>
      </c>
      <c r="C425" s="23" t="s">
        <v>439</v>
      </c>
      <c r="D425" s="23" t="s">
        <v>544</v>
      </c>
      <c r="E425" s="25">
        <v>3496.92</v>
      </c>
      <c r="F425" s="23" t="s">
        <v>608</v>
      </c>
      <c r="G425" s="26">
        <f>IF($E425=0,0,IF(SUMIF(Aux_Datos!$B:$B,$I425,Aux_Datos!$K:$K)/$E425&gt;=VLOOKUP(IF(COUNTIFS(Aux_Datos!$B:$B,$I425,Aux_Datos!$D:$D,"&lt;&gt;USD")=0,"USD","VES"),'Limites de Descuento'!$A$2:$D$4,4,FALSE),MAX(0,1-SUMIF(Aux_Datos!$B:$B,$I425,Aux_Datos!$K:$K)/$E425),0))</f>
        <v>0</v>
      </c>
      <c r="H425" s="27"/>
      <c r="I425" s="28">
        <f t="shared" si="14"/>
        <v>519</v>
      </c>
      <c r="J425" s="29">
        <f t="shared" si="2"/>
        <v>46182</v>
      </c>
      <c r="K425" s="30">
        <f t="shared" si="3"/>
        <v>7</v>
      </c>
      <c r="L425" s="29">
        <f t="shared" si="4"/>
        <v>46190</v>
      </c>
      <c r="M425" s="30">
        <f t="shared" si="5"/>
        <v>3496.92</v>
      </c>
      <c r="N425" s="32">
        <f t="shared" si="6"/>
        <v>10</v>
      </c>
      <c r="O425" s="33" t="str">
        <f t="shared" si="7"/>
        <v>VENCIDA</v>
      </c>
      <c r="P425" s="34">
        <f>LET(
  idVenta, I425&amp;"",
  montoTotal, M425,
  pagos, IFERROR(SUMIF(Aux_Datos!$B:$B, idVenta, Aux_Datos!$K:$K), 0),
  retenciones, IFERROR(SUMIF(Aux_Datos!$N:$N, idVenta, Aux_Datos!$R:$R), 0),
  pagos + retenciones
)</f>
        <v>0</v>
      </c>
      <c r="Q425" s="30" t="str">
        <f>IF(P425=0, "Sin Pago", 
  LET(
    idVenta, I425&amp;"",
    montoTotalPagado, P425,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25" s="30">
        <f t="shared" si="17"/>
        <v>3496.92</v>
      </c>
      <c r="S425" s="29" t="str">
        <f>IF(P425=0, "Sin Pago", 
  IFERROR(
    MAXIFS(Aux_Datos!$A:$A, Aux_Datos!$B:$B, I425&amp;""), 
    IFERROR(MAXIFS(Aux_Datos!$A:$A, Aux_Datos!$B:$B, VALUE(I425)), "Revisar ID")
  )
)</f>
        <v>Sin Pago</v>
      </c>
      <c r="T425" s="35" t="str">
        <f t="shared" si="9"/>
        <v>PENDIENTE</v>
      </c>
      <c r="U425" s="35" t="str">
        <f t="shared" si="10"/>
        <v>CRÍTICO: VENCIDA</v>
      </c>
      <c r="V425" s="32">
        <f t="shared" si="11"/>
        <v>0</v>
      </c>
      <c r="W425" s="36" t="str">
        <f>IF(P425=0, "Sin Pago", 
  LET(
    monedaPago, Q425, 
    descuentoAplicado, G425,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25" s="36" t="str">
        <f t="shared" si="12"/>
        <v/>
      </c>
      <c r="Y425" s="36">
        <v>0.0</v>
      </c>
      <c r="Z425" s="33" t="s">
        <v>641</v>
      </c>
      <c r="AA425" s="33"/>
      <c r="AB425" s="33"/>
      <c r="AC425" s="33"/>
      <c r="AD425" s="33"/>
      <c r="AE425" s="33"/>
      <c r="AF425" s="33"/>
    </row>
    <row r="426" ht="22.5" customHeight="1">
      <c r="A426" s="23" t="s">
        <v>123</v>
      </c>
      <c r="B426" s="41">
        <v>46181.697488425925</v>
      </c>
      <c r="C426" s="23" t="s">
        <v>121</v>
      </c>
      <c r="D426" s="23" t="s">
        <v>529</v>
      </c>
      <c r="E426" s="25">
        <v>152.22</v>
      </c>
      <c r="F426" s="23" t="s">
        <v>608</v>
      </c>
      <c r="G426" s="26">
        <f>IF($E426=0,0,IF(SUMIF(Aux_Datos!$B:$B,$I426,Aux_Datos!$K:$K)/$E426&gt;=VLOOKUP(IF(COUNTIFS(Aux_Datos!$B:$B,$I426,Aux_Datos!$D:$D,"&lt;&gt;USD")=0,"USD","VES"),'Limites de Descuento'!$A$2:$D$4,4,FALSE),MAX(0,1-SUMIF(Aux_Datos!$B:$B,$I426,Aux_Datos!$K:$K)/$E426),0))</f>
        <v>0</v>
      </c>
      <c r="H426" s="45"/>
      <c r="I426" s="46">
        <f>VALUE(MID(A426,2,LEN(A426)))</f>
        <v>520</v>
      </c>
      <c r="J426" s="47">
        <f t="shared" si="2"/>
        <v>46181</v>
      </c>
      <c r="K426" s="48">
        <f t="shared" si="3"/>
        <v>7</v>
      </c>
      <c r="L426" s="47">
        <f t="shared" si="4"/>
        <v>46189</v>
      </c>
      <c r="M426" s="30">
        <f t="shared" si="5"/>
        <v>152.22</v>
      </c>
      <c r="N426" s="49">
        <f t="shared" si="6"/>
        <v>11</v>
      </c>
      <c r="O426" s="50" t="str">
        <f t="shared" si="7"/>
        <v>VENCIDA</v>
      </c>
      <c r="P426" s="51">
        <f>LET(
  idVenta, I426&amp;"",
  montoTotal, M426,
  pagos, IFERROR(SUMIF(Aux_Datos!$B:$B, idVenta, Aux_Datos!$K:$K), 0),
  retenciones, IFERROR(SUMIF(Aux_Datos!$N:$N, idVenta, Aux_Datos!$R:$R), 0),
  pagos + retenciones
)</f>
        <v>0</v>
      </c>
      <c r="Q426" s="52" t="str">
        <f>IF(P426=0, "Sin Pago", 
  LET(
    idVenta, I426&amp;"",
    montoTotalPagado, P426,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26" s="48">
        <f t="shared" si="17"/>
        <v>152.22</v>
      </c>
      <c r="S426" s="53" t="str">
        <f>IF(P426=0, "Sin Pago", 
  IFERROR(
    MAXIFS(Aux_Datos!$A:$A, Aux_Datos!$B:$B, I426&amp;""), 
    IFERROR(MAXIFS(Aux_Datos!$A:$A, Aux_Datos!$B:$B, VALUE(I426)), "Revisar ID")
  )
)</f>
        <v>Sin Pago</v>
      </c>
      <c r="T426" s="54" t="str">
        <f>IF(R426&lt;=0, "PAGADA", IF(P426&gt;0, "PAGO PARCIAL", "PENDIENTE"))</f>
        <v>PENDIENTE</v>
      </c>
      <c r="U426" s="54" t="str">
        <f t="shared" si="10"/>
        <v>CRÍTICO: VENCIDA</v>
      </c>
      <c r="V426" s="49">
        <f t="shared" si="11"/>
        <v>0</v>
      </c>
      <c r="W426" s="50" t="str">
        <f>IF(P426=0, "Sin Pago", 
  LET(
    monedaPago, Q426, 
    descuentoAplicado, G426,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26" s="55" t="str">
        <f t="shared" si="12"/>
        <v/>
      </c>
      <c r="Y426" s="55">
        <v>0.0</v>
      </c>
      <c r="Z426" s="56" t="s">
        <v>641</v>
      </c>
      <c r="AA426" s="57"/>
      <c r="AB426" s="57"/>
      <c r="AC426" s="57"/>
      <c r="AD426" s="57"/>
      <c r="AE426" s="57"/>
      <c r="AF426" s="57"/>
    </row>
    <row r="427" ht="22.5" customHeight="1">
      <c r="A427" s="23" t="s">
        <v>430</v>
      </c>
      <c r="B427" s="41">
        <v>46181.71857638889</v>
      </c>
      <c r="C427" s="23" t="s">
        <v>429</v>
      </c>
      <c r="D427" s="23" t="s">
        <v>323</v>
      </c>
      <c r="E427" s="25">
        <v>1429.24</v>
      </c>
      <c r="F427" s="23" t="s">
        <v>608</v>
      </c>
      <c r="G427" s="26">
        <f>IF($E427=0,0,IF(SUMIF(Aux_Datos!$B:$B,$I427,Aux_Datos!$K:$K)/$E427&gt;=VLOOKUP(IF(COUNTIFS(Aux_Datos!$B:$B,$I427,Aux_Datos!$D:$D,"&lt;&gt;USD")=0,"USD","VES"),'Limites de Descuento'!$A$2:$D$4,4,FALSE),MAX(0,1-SUMIF(Aux_Datos!$B:$B,$I427,Aux_Datos!$K:$K)/$E427),0))</f>
        <v>0</v>
      </c>
      <c r="H427" s="27"/>
      <c r="I427" s="28">
        <f t="shared" ref="I427:I429" si="18">VALUE(MID(A427,2,LEN(A427)))</f>
        <v>522</v>
      </c>
      <c r="J427" s="29">
        <f t="shared" si="2"/>
        <v>46181</v>
      </c>
      <c r="K427" s="30">
        <f t="shared" si="3"/>
        <v>7</v>
      </c>
      <c r="L427" s="29">
        <f t="shared" si="4"/>
        <v>46189</v>
      </c>
      <c r="M427" s="30">
        <f t="shared" si="5"/>
        <v>1429.24</v>
      </c>
      <c r="N427" s="32">
        <f t="shared" si="6"/>
        <v>11</v>
      </c>
      <c r="O427" s="33" t="str">
        <f t="shared" si="7"/>
        <v>VENCIDA</v>
      </c>
      <c r="P427" s="34">
        <f>LET(
  idVenta, I427&amp;"",
  montoTotal, M427,
  pagos, IFERROR(SUMIF(Aux_Datos!$B:$B, idVenta, Aux_Datos!$K:$K), 0),
  retenciones, IFERROR(SUMIF(Aux_Datos!$N:$N, idVenta, Aux_Datos!$R:$R), 0),
  pagos + retenciones
)</f>
        <v>0</v>
      </c>
      <c r="Q427" s="30" t="str">
        <f>IF(P427=0, "Sin Pago", 
  LET(
    idVenta, I427&amp;"",
    montoTotalPagado, P427,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27" s="30">
        <f t="shared" si="17"/>
        <v>1429.24</v>
      </c>
      <c r="S427" s="29" t="str">
        <f>IF(P427=0, "Sin Pago", 
  IFERROR(
    MAXIFS(Aux_Datos!$A:$A, Aux_Datos!$B:$B, I427&amp;""), 
    IFERROR(MAXIFS(Aux_Datos!$A:$A, Aux_Datos!$B:$B, VALUE(I427)), "Revisar ID")
  )
)</f>
        <v>Sin Pago</v>
      </c>
      <c r="T427" s="35" t="str">
        <f t="shared" ref="T427:T429" si="19">IF(R427&lt;=0, "PAGADA", IF(P427&gt;0, "PAGO PARCIAL", "PENDIENTE"))</f>
        <v>PENDIENTE</v>
      </c>
      <c r="U427" s="35" t="str">
        <f t="shared" si="10"/>
        <v>CRÍTICO: VENCIDA</v>
      </c>
      <c r="V427" s="32">
        <f t="shared" si="11"/>
        <v>0</v>
      </c>
      <c r="W427" s="36" t="str">
        <f>IF(P427=0, "Sin Pago", 
  LET(
    monedaPago, Q427, 
    descuentoAplicado, G427,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27" s="36" t="str">
        <f t="shared" si="12"/>
        <v/>
      </c>
      <c r="Y427" s="36">
        <v>0.0</v>
      </c>
      <c r="Z427" s="33" t="s">
        <v>641</v>
      </c>
      <c r="AA427" s="33"/>
      <c r="AB427" s="33"/>
      <c r="AC427" s="33"/>
      <c r="AD427" s="33"/>
      <c r="AE427" s="33"/>
      <c r="AF427" s="33"/>
    </row>
    <row r="428" ht="22.5" customHeight="1">
      <c r="A428" s="23" t="s">
        <v>434</v>
      </c>
      <c r="B428" s="41">
        <v>46182.39356481482</v>
      </c>
      <c r="C428" s="23" t="s">
        <v>433</v>
      </c>
      <c r="D428" s="23" t="s">
        <v>353</v>
      </c>
      <c r="E428" s="25">
        <v>421.34</v>
      </c>
      <c r="F428" s="23" t="s">
        <v>608</v>
      </c>
      <c r="G428" s="26">
        <f>IF($E428=0,0,IF(SUMIF(Aux_Datos!$B:$B,$I428,Aux_Datos!$K:$K)/$E428&gt;=VLOOKUP(IF(COUNTIFS(Aux_Datos!$B:$B,$I428,Aux_Datos!$D:$D,"&lt;&gt;USD")=0,"USD","VES"),'Limites de Descuento'!$A$2:$D$4,4,FALSE),MAX(0,1-SUMIF(Aux_Datos!$B:$B,$I428,Aux_Datos!$K:$K)/$E428),0))</f>
        <v>0</v>
      </c>
      <c r="H428" s="27"/>
      <c r="I428" s="28">
        <f t="shared" si="18"/>
        <v>523</v>
      </c>
      <c r="J428" s="29">
        <f t="shared" si="2"/>
        <v>46182</v>
      </c>
      <c r="K428" s="30">
        <f t="shared" si="3"/>
        <v>7</v>
      </c>
      <c r="L428" s="29">
        <f t="shared" si="4"/>
        <v>46190</v>
      </c>
      <c r="M428" s="30">
        <f t="shared" si="5"/>
        <v>421.34</v>
      </c>
      <c r="N428" s="32">
        <f t="shared" si="6"/>
        <v>10</v>
      </c>
      <c r="O428" s="33" t="str">
        <f t="shared" si="7"/>
        <v>VENCIDA</v>
      </c>
      <c r="P428" s="34">
        <f>LET(
  idVenta, I428&amp;"",
  montoTotal, M428,
  pagos, IFERROR(SUMIF(Aux_Datos!$B:$B, idVenta, Aux_Datos!$K:$K), 0),
  retenciones, IFERROR(SUMIF(Aux_Datos!$N:$N, idVenta, Aux_Datos!$R:$R), 0),
  pagos + retenciones
)</f>
        <v>0</v>
      </c>
      <c r="Q428" s="30" t="str">
        <f>IF(P428=0, "Sin Pago", 
  LET(
    idVenta, I428&amp;"",
    montoTotalPagado, P428,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28" s="30">
        <f t="shared" si="17"/>
        <v>421.34</v>
      </c>
      <c r="S428" s="29" t="str">
        <f>IF(P428=0, "Sin Pago", 
  IFERROR(
    MAXIFS(Aux_Datos!$A:$A, Aux_Datos!$B:$B, I428&amp;""), 
    IFERROR(MAXIFS(Aux_Datos!$A:$A, Aux_Datos!$B:$B, VALUE(I428)), "Revisar ID")
  )
)</f>
        <v>Sin Pago</v>
      </c>
      <c r="T428" s="35" t="str">
        <f t="shared" si="19"/>
        <v>PENDIENTE</v>
      </c>
      <c r="U428" s="35" t="str">
        <f t="shared" si="10"/>
        <v>CRÍTICO: VENCIDA</v>
      </c>
      <c r="V428" s="32">
        <f t="shared" si="11"/>
        <v>0</v>
      </c>
      <c r="W428" s="36" t="str">
        <f>IF(P428=0, "Sin Pago", 
  LET(
    monedaPago, Q428, 
    descuentoAplicado, G428,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28" s="36" t="str">
        <f t="shared" si="12"/>
        <v/>
      </c>
      <c r="Y428" s="36">
        <v>0.0</v>
      </c>
      <c r="Z428" s="33" t="s">
        <v>641</v>
      </c>
      <c r="AA428" s="33"/>
      <c r="AB428" s="33"/>
      <c r="AC428" s="33"/>
      <c r="AD428" s="33"/>
      <c r="AE428" s="33"/>
      <c r="AF428" s="33"/>
    </row>
    <row r="429" ht="22.5" customHeight="1">
      <c r="A429" s="23" t="s">
        <v>436</v>
      </c>
      <c r="B429" s="41">
        <v>46182.36744212963</v>
      </c>
      <c r="C429" s="23" t="s">
        <v>435</v>
      </c>
      <c r="D429" s="23" t="s">
        <v>550</v>
      </c>
      <c r="E429" s="25">
        <v>99.23</v>
      </c>
      <c r="F429" s="23" t="s">
        <v>608</v>
      </c>
      <c r="G429" s="26">
        <f>IF($E429=0,0,IF(SUMIF(Aux_Datos!$B:$B,$I429,Aux_Datos!$K:$K)/$E429&gt;=VLOOKUP(IF(COUNTIFS(Aux_Datos!$B:$B,$I429,Aux_Datos!$D:$D,"&lt;&gt;USD")=0,"USD","VES"),'Limites de Descuento'!$A$2:$D$4,4,FALSE),MAX(0,1-SUMIF(Aux_Datos!$B:$B,$I429,Aux_Datos!$K:$K)/$E429),0))</f>
        <v>0</v>
      </c>
      <c r="H429" s="27"/>
      <c r="I429" s="28">
        <f t="shared" si="18"/>
        <v>525</v>
      </c>
      <c r="J429" s="29">
        <f t="shared" si="2"/>
        <v>46182</v>
      </c>
      <c r="K429" s="30">
        <f t="shared" si="3"/>
        <v>7</v>
      </c>
      <c r="L429" s="29">
        <f t="shared" si="4"/>
        <v>46190</v>
      </c>
      <c r="M429" s="30">
        <f t="shared" si="5"/>
        <v>99.23</v>
      </c>
      <c r="N429" s="32">
        <f t="shared" si="6"/>
        <v>10</v>
      </c>
      <c r="O429" s="33" t="str">
        <f t="shared" si="7"/>
        <v>VENCIDA</v>
      </c>
      <c r="P429" s="34">
        <f>LET(
  idVenta, I429&amp;"",
  montoTotal, M429,
  pagos, IFERROR(SUMIF(Aux_Datos!$B:$B, idVenta, Aux_Datos!$K:$K), 0),
  retenciones, IFERROR(SUMIF(Aux_Datos!$N:$N, idVenta, Aux_Datos!$R:$R), 0),
  pagos + retenciones
)</f>
        <v>56</v>
      </c>
      <c r="Q429" s="30" t="str">
        <f>IF(P429=0, "Sin Pago", 
  LET(
    idVenta, I429&amp;"",
    montoTotalPagado, P429,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429" s="30">
        <f t="shared" si="17"/>
        <v>43.23</v>
      </c>
      <c r="S429" s="29">
        <f>IF(P429=0, "Sin Pago", 
  IFERROR(
    MAXIFS(Aux_Datos!$A:$A, Aux_Datos!$B:$B, I429&amp;""), 
    IFERROR(MAXIFS(Aux_Datos!$A:$A, Aux_Datos!$B:$B, VALUE(I429)), "Revisar ID")
  )
)</f>
        <v>46182</v>
      </c>
      <c r="T429" s="35" t="str">
        <f t="shared" si="19"/>
        <v>PAGO PARCIAL</v>
      </c>
      <c r="U429" s="35" t="str">
        <f t="shared" si="10"/>
        <v>CRÍTICO: VENCIDA</v>
      </c>
      <c r="V429" s="32">
        <f t="shared" si="11"/>
        <v>18</v>
      </c>
      <c r="W429" s="36" t="str">
        <f>IF(P429=0, "Sin Pago", 
  LET(
    monedaPago, Q429, 
    descuentoAplicado, G429,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429" s="36" t="str">
        <f t="shared" si="12"/>
        <v/>
      </c>
      <c r="Y429" s="36">
        <v>56.0</v>
      </c>
      <c r="Z429" s="33" t="s">
        <v>609</v>
      </c>
      <c r="AA429" s="33"/>
      <c r="AB429" s="33"/>
      <c r="AC429" s="33"/>
      <c r="AD429" s="33"/>
      <c r="AE429" s="33"/>
      <c r="AF429" s="33"/>
    </row>
    <row r="430" ht="22.5" customHeight="1">
      <c r="A430" s="23" t="s">
        <v>442</v>
      </c>
      <c r="B430" s="41">
        <v>46182.393900462965</v>
      </c>
      <c r="C430" s="23" t="s">
        <v>441</v>
      </c>
      <c r="D430" s="23" t="s">
        <v>552</v>
      </c>
      <c r="E430" s="25">
        <v>116.02</v>
      </c>
      <c r="F430" s="23" t="s">
        <v>608</v>
      </c>
      <c r="G430" s="26">
        <f>IF($E430=0,0,IF(SUMIF(Aux_Datos!$B:$B,$I430,Aux_Datos!$K:$K)/$E430&gt;=VLOOKUP(IF(COUNTIFS(Aux_Datos!$B:$B,$I430,Aux_Datos!$D:$D,"&lt;&gt;USD")=0,"USD","VES"),'Limites de Descuento'!$A$2:$D$4,4,FALSE),MAX(0,1-SUMIF(Aux_Datos!$B:$B,$I430,Aux_Datos!$K:$K)/$E430),0))</f>
        <v>0</v>
      </c>
      <c r="H430" s="45"/>
      <c r="I430" s="46">
        <f>VALUE(MID(A430,2,LEN(A430)))</f>
        <v>526</v>
      </c>
      <c r="J430" s="47">
        <f t="shared" si="2"/>
        <v>46182</v>
      </c>
      <c r="K430" s="48">
        <f t="shared" si="3"/>
        <v>7</v>
      </c>
      <c r="L430" s="47">
        <f t="shared" si="4"/>
        <v>46190</v>
      </c>
      <c r="M430" s="30">
        <f t="shared" si="5"/>
        <v>116.02</v>
      </c>
      <c r="N430" s="49">
        <f t="shared" si="6"/>
        <v>10</v>
      </c>
      <c r="O430" s="50" t="str">
        <f t="shared" si="7"/>
        <v>VENCIDA</v>
      </c>
      <c r="P430" s="51">
        <f>LET(
  idVenta, I430&amp;"",
  montoTotal, M430,
  pagos, IFERROR(SUMIF(Aux_Datos!$B:$B, idVenta, Aux_Datos!$K:$K), 0),
  retenciones, IFERROR(SUMIF(Aux_Datos!$N:$N, idVenta, Aux_Datos!$R:$R), 0),
  pagos + retenciones
)</f>
        <v>0</v>
      </c>
      <c r="Q430" s="52" t="str">
        <f>IF(P430=0, "Sin Pago", 
  LET(
    idVenta, I430&amp;"",
    montoTotalPagado, P430,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30" s="48">
        <f t="shared" si="17"/>
        <v>116.02</v>
      </c>
      <c r="S430" s="47" t="str">
        <f>IF(P430=0, "Sin Pago", 
  IFERROR(
    MAXIFS(Aux_Datos!$A:$A, Aux_Datos!$B:$B, I430&amp;""), 
    IFERROR(MAXIFS(Aux_Datos!$A:$A, Aux_Datos!$B:$B, VALUE(I430)), "Revisar ID")
  )
)</f>
        <v>Sin Pago</v>
      </c>
      <c r="T430" s="54" t="str">
        <f>IF(R430&lt;=0, "PAGADA", IF(P430&gt;0, "PAGO PARCIAL", "PENDIENTE"))</f>
        <v>PENDIENTE</v>
      </c>
      <c r="U430" s="54" t="str">
        <f t="shared" si="10"/>
        <v>CRÍTICO: VENCIDA</v>
      </c>
      <c r="V430" s="49">
        <f t="shared" si="11"/>
        <v>0</v>
      </c>
      <c r="W430" s="50" t="str">
        <f>IF(P430=0, "Sin Pago", 
  LET(
    monedaPago, Q430, 
    descuentoAplicado, G430,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30" s="55" t="str">
        <f t="shared" si="12"/>
        <v/>
      </c>
      <c r="Y430" s="58">
        <v>0.0</v>
      </c>
      <c r="Z430" s="59" t="s">
        <v>641</v>
      </c>
      <c r="AA430" s="60"/>
      <c r="AB430" s="60"/>
      <c r="AC430" s="60"/>
      <c r="AD430" s="60"/>
      <c r="AE430" s="60"/>
      <c r="AF430" s="60"/>
    </row>
    <row r="431" ht="22.5" customHeight="1">
      <c r="A431" s="23" t="s">
        <v>494</v>
      </c>
      <c r="B431" s="41">
        <v>46188.699270833335</v>
      </c>
      <c r="C431" s="23" t="s">
        <v>493</v>
      </c>
      <c r="D431" s="23" t="s">
        <v>323</v>
      </c>
      <c r="E431" s="25">
        <v>143.5</v>
      </c>
      <c r="F431" s="23" t="s">
        <v>608</v>
      </c>
      <c r="G431" s="26">
        <f>IF($E431=0,0,IF(SUMIF(Aux_Datos!$B:$B,$I431,Aux_Datos!$K:$K)/$E431&gt;=VLOOKUP(IF(COUNTIFS(Aux_Datos!$B:$B,$I431,Aux_Datos!$D:$D,"&lt;&gt;USD")=0,"USD","VES"),'Limites de Descuento'!$A$2:$D$4,4,FALSE),MAX(0,1-SUMIF(Aux_Datos!$B:$B,$I431,Aux_Datos!$K:$K)/$E431),0))</f>
        <v>0</v>
      </c>
      <c r="H431" s="27"/>
      <c r="I431" s="28">
        <f t="shared" ref="I431:I595" si="20">VALUE(MID(A431,2,LEN(A431)))</f>
        <v>527</v>
      </c>
      <c r="J431" s="29">
        <f t="shared" si="2"/>
        <v>46188</v>
      </c>
      <c r="K431" s="30">
        <f t="shared" si="3"/>
        <v>7</v>
      </c>
      <c r="L431" s="29">
        <f t="shared" si="4"/>
        <v>46196</v>
      </c>
      <c r="M431" s="30">
        <f t="shared" si="5"/>
        <v>143.5</v>
      </c>
      <c r="N431" s="32">
        <f t="shared" si="6"/>
        <v>4</v>
      </c>
      <c r="O431" s="33" t="str">
        <f t="shared" si="7"/>
        <v>VENCIDA</v>
      </c>
      <c r="P431" s="34">
        <f>LET(
  idVenta, I431&amp;"",
  montoTotal, M431,
  pagos, IFERROR(SUMIF(Aux_Datos!$B:$B, idVenta, Aux_Datos!$K:$K), 0),
  retenciones, IFERROR(SUMIF(Aux_Datos!$N:$N, idVenta, Aux_Datos!$R:$R), 0),
  pagos + retenciones
)</f>
        <v>0</v>
      </c>
      <c r="Q431" s="30" t="str">
        <f>IF(P431=0, "Sin Pago", 
  LET(
    idVenta, I431&amp;"",
    montoTotalPagado, P431,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31" s="30">
        <f t="shared" si="17"/>
        <v>143.5</v>
      </c>
      <c r="S431" s="29" t="str">
        <f>IF(P431=0, "Sin Pago", 
  IFERROR(
    MAXIFS(Aux_Datos!$A:$A, Aux_Datos!$B:$B, I431&amp;""), 
    IFERROR(MAXIFS(Aux_Datos!$A:$A, Aux_Datos!$B:$B, VALUE(I431)), "Revisar ID")
  )
)</f>
        <v>Sin Pago</v>
      </c>
      <c r="T431" s="35" t="str">
        <f t="shared" ref="T431:T595" si="21">IF(R431&lt;=0, "PAGADA", IF(P431&gt;0, "PAGO PARCIAL", "PENDIENTE"))</f>
        <v>PENDIENTE</v>
      </c>
      <c r="U431" s="35" t="str">
        <f t="shared" si="10"/>
        <v>CRÍTICO: VENCIDA</v>
      </c>
      <c r="V431" s="32">
        <f t="shared" si="11"/>
        <v>0</v>
      </c>
      <c r="W431" s="36" t="str">
        <f>IF(P431=0, "Sin Pago", 
  LET(
    monedaPago, Q431, 
    descuentoAplicado, G431,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31" s="36" t="str">
        <f t="shared" si="12"/>
        <v/>
      </c>
      <c r="Y431" s="36">
        <v>0.0</v>
      </c>
      <c r="Z431" s="33" t="s">
        <v>641</v>
      </c>
      <c r="AA431" s="33"/>
      <c r="AB431" s="33"/>
      <c r="AC431" s="33"/>
      <c r="AD431" s="33"/>
      <c r="AE431" s="33"/>
      <c r="AF431" s="33"/>
    </row>
    <row r="432" ht="22.5" customHeight="1">
      <c r="A432" s="23" t="s">
        <v>141</v>
      </c>
      <c r="B432" s="41">
        <v>46182.522997685184</v>
      </c>
      <c r="C432" s="23" t="s">
        <v>139</v>
      </c>
      <c r="D432" s="23" t="s">
        <v>550</v>
      </c>
      <c r="E432" s="25">
        <v>55.0</v>
      </c>
      <c r="F432" s="23" t="s">
        <v>608</v>
      </c>
      <c r="G432" s="26">
        <f>IF($E432=0,0,IF(SUMIF(Aux_Datos!$B:$B,$I432,Aux_Datos!$K:$K)/$E432&gt;=VLOOKUP(IF(COUNTIFS(Aux_Datos!$B:$B,$I432,Aux_Datos!$D:$D,"&lt;&gt;USD")=0,"USD","VES"),'Limites de Descuento'!$A$2:$D$4,4,FALSE),MAX(0,1-SUMIF(Aux_Datos!$B:$B,$I432,Aux_Datos!$K:$K)/$E432),0))</f>
        <v>0</v>
      </c>
      <c r="H432" s="27"/>
      <c r="I432" s="28">
        <f t="shared" si="20"/>
        <v>528</v>
      </c>
      <c r="J432" s="29">
        <f t="shared" si="2"/>
        <v>46182</v>
      </c>
      <c r="K432" s="30">
        <f t="shared" si="3"/>
        <v>7</v>
      </c>
      <c r="L432" s="29">
        <f t="shared" si="4"/>
        <v>46190</v>
      </c>
      <c r="M432" s="30">
        <f t="shared" si="5"/>
        <v>55</v>
      </c>
      <c r="N432" s="32">
        <f t="shared" si="6"/>
        <v>10</v>
      </c>
      <c r="O432" s="33" t="str">
        <f t="shared" si="7"/>
        <v>VENCIDA</v>
      </c>
      <c r="P432" s="34">
        <f>LET(
  idVenta, I432&amp;"",
  montoTotal, M432,
  pagos, IFERROR(SUMIF(Aux_Datos!$B:$B, idVenta, Aux_Datos!$K:$K), 0),
  retenciones, IFERROR(SUMIF(Aux_Datos!$N:$N, idVenta, Aux_Datos!$R:$R), 0),
  pagos + retenciones
)</f>
        <v>0</v>
      </c>
      <c r="Q432" s="30" t="str">
        <f>IF(P432=0, "Sin Pago", 
  LET(
    idVenta, I432&amp;"",
    montoTotalPagado, P432,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32" s="30">
        <f t="shared" si="17"/>
        <v>55</v>
      </c>
      <c r="S432" s="29" t="str">
        <f>IF(P432=0, "Sin Pago", 
  IFERROR(
    MAXIFS(Aux_Datos!$A:$A, Aux_Datos!$B:$B, I432&amp;""), 
    IFERROR(MAXIFS(Aux_Datos!$A:$A, Aux_Datos!$B:$B, VALUE(I432)), "Revisar ID")
  )
)</f>
        <v>Sin Pago</v>
      </c>
      <c r="T432" s="35" t="str">
        <f t="shared" si="21"/>
        <v>PENDIENTE</v>
      </c>
      <c r="U432" s="35" t="str">
        <f t="shared" si="10"/>
        <v>CRÍTICO: VENCIDA</v>
      </c>
      <c r="V432" s="32">
        <f t="shared" si="11"/>
        <v>0</v>
      </c>
      <c r="W432" s="36" t="str">
        <f>IF(P432=0, "Sin Pago", 
  LET(
    monedaPago, Q432, 
    descuentoAplicado, G432,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32" s="36" t="str">
        <f t="shared" si="12"/>
        <v/>
      </c>
      <c r="Y432" s="36">
        <v>0.0</v>
      </c>
      <c r="Z432" s="33" t="s">
        <v>641</v>
      </c>
      <c r="AA432" s="33"/>
      <c r="AB432" s="33"/>
      <c r="AC432" s="33"/>
      <c r="AD432" s="33"/>
      <c r="AE432" s="33"/>
      <c r="AF432" s="33"/>
    </row>
    <row r="433" ht="22.5" customHeight="1">
      <c r="A433" s="23" t="s">
        <v>91</v>
      </c>
      <c r="B433" s="41">
        <v>46182.651041666664</v>
      </c>
      <c r="C433" s="23" t="s">
        <v>89</v>
      </c>
      <c r="D433" s="23" t="s">
        <v>544</v>
      </c>
      <c r="E433" s="25">
        <v>103.81</v>
      </c>
      <c r="F433" s="23" t="s">
        <v>608</v>
      </c>
      <c r="G433" s="26">
        <f>IF($E433=0,0,IF(SUMIF(Aux_Datos!$B:$B,$I433,Aux_Datos!$K:$K)/$E433&gt;=VLOOKUP(IF(COUNTIFS(Aux_Datos!$B:$B,$I433,Aux_Datos!$D:$D,"&lt;&gt;USD")=0,"USD","VES"),'Limites de Descuento'!$A$2:$D$4,4,FALSE),MAX(0,1-SUMIF(Aux_Datos!$B:$B,$I433,Aux_Datos!$K:$K)/$E433),0))</f>
        <v>0</v>
      </c>
      <c r="H433" s="27"/>
      <c r="I433" s="28">
        <f t="shared" si="20"/>
        <v>529</v>
      </c>
      <c r="J433" s="29">
        <f t="shared" si="2"/>
        <v>46182</v>
      </c>
      <c r="K433" s="30">
        <f t="shared" si="3"/>
        <v>7</v>
      </c>
      <c r="L433" s="29">
        <f t="shared" si="4"/>
        <v>46190</v>
      </c>
      <c r="M433" s="30">
        <f t="shared" si="5"/>
        <v>103.81</v>
      </c>
      <c r="N433" s="32">
        <f t="shared" si="6"/>
        <v>10</v>
      </c>
      <c r="O433" s="33" t="str">
        <f t="shared" si="7"/>
        <v>VENCIDA</v>
      </c>
      <c r="P433" s="34">
        <f>LET(
  idVenta, I433&amp;"",
  montoTotal, M433,
  pagos, IFERROR(SUMIF(Aux_Datos!$B:$B, idVenta, Aux_Datos!$K:$K), 0),
  retenciones, IFERROR(SUMIF(Aux_Datos!$N:$N, idVenta, Aux_Datos!$R:$R), 0),
  pagos + retenciones
)</f>
        <v>0</v>
      </c>
      <c r="Q433" s="30" t="str">
        <f>IF(P433=0, "Sin Pago", 
  LET(
    idVenta, I433&amp;"",
    montoTotalPagado, P433,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33" s="30">
        <f t="shared" si="17"/>
        <v>103.81</v>
      </c>
      <c r="S433" s="29" t="str">
        <f>IF(P433=0, "Sin Pago", 
  IFERROR(
    MAXIFS(Aux_Datos!$A:$A, Aux_Datos!$B:$B, I433&amp;""), 
    IFERROR(MAXIFS(Aux_Datos!$A:$A, Aux_Datos!$B:$B, VALUE(I433)), "Revisar ID")
  )
)</f>
        <v>Sin Pago</v>
      </c>
      <c r="T433" s="35" t="str">
        <f t="shared" si="21"/>
        <v>PENDIENTE</v>
      </c>
      <c r="U433" s="35" t="str">
        <f t="shared" si="10"/>
        <v>CRÍTICO: VENCIDA</v>
      </c>
      <c r="V433" s="32">
        <f t="shared" si="11"/>
        <v>0</v>
      </c>
      <c r="W433" s="36" t="str">
        <f>IF(P433=0, "Sin Pago", 
  LET(
    monedaPago, Q433, 
    descuentoAplicado, G433,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33" s="36" t="str">
        <f t="shared" si="12"/>
        <v/>
      </c>
      <c r="Y433" s="36">
        <v>0.0</v>
      </c>
      <c r="Z433" s="33" t="s">
        <v>641</v>
      </c>
      <c r="AA433" s="33"/>
      <c r="AB433" s="33"/>
      <c r="AC433" s="33"/>
      <c r="AD433" s="33"/>
      <c r="AE433" s="33"/>
      <c r="AF433" s="33"/>
    </row>
    <row r="434" ht="22.5" customHeight="1">
      <c r="A434" s="23" t="s">
        <v>130</v>
      </c>
      <c r="B434" s="41">
        <v>46182.65179398148</v>
      </c>
      <c r="C434" s="23" t="s">
        <v>128</v>
      </c>
      <c r="D434" s="23" t="s">
        <v>353</v>
      </c>
      <c r="E434" s="25">
        <v>757.17</v>
      </c>
      <c r="F434" s="23" t="s">
        <v>608</v>
      </c>
      <c r="G434" s="26">
        <f>IF($E434=0,0,IF(SUMIF(Aux_Datos!$B:$B,$I434,Aux_Datos!$K:$K)/$E434&gt;=VLOOKUP(IF(COUNTIFS(Aux_Datos!$B:$B,$I434,Aux_Datos!$D:$D,"&lt;&gt;USD")=0,"USD","VES"),'Limites de Descuento'!$A$2:$D$4,4,FALSE),MAX(0,1-SUMIF(Aux_Datos!$B:$B,$I434,Aux_Datos!$K:$K)/$E434),0))</f>
        <v>0</v>
      </c>
      <c r="H434" s="27"/>
      <c r="I434" s="28">
        <f t="shared" si="20"/>
        <v>530</v>
      </c>
      <c r="J434" s="29">
        <f t="shared" si="2"/>
        <v>46182</v>
      </c>
      <c r="K434" s="30">
        <f t="shared" si="3"/>
        <v>7</v>
      </c>
      <c r="L434" s="29">
        <f t="shared" si="4"/>
        <v>46190</v>
      </c>
      <c r="M434" s="30">
        <f t="shared" si="5"/>
        <v>757.17</v>
      </c>
      <c r="N434" s="32">
        <f t="shared" si="6"/>
        <v>10</v>
      </c>
      <c r="O434" s="33" t="str">
        <f t="shared" si="7"/>
        <v>VENCIDA</v>
      </c>
      <c r="P434" s="34">
        <f>LET(
  idVenta, I434&amp;"",
  montoTotal, M434,
  pagos, IFERROR(SUMIF(Aux_Datos!$B:$B, idVenta, Aux_Datos!$K:$K), 0),
  retenciones, IFERROR(SUMIF(Aux_Datos!$N:$N, idVenta, Aux_Datos!$R:$R), 0),
  pagos + retenciones
)</f>
        <v>0</v>
      </c>
      <c r="Q434" s="30" t="str">
        <f>IF(P434=0, "Sin Pago", 
  LET(
    idVenta, I434&amp;"",
    montoTotalPagado, P434,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34" s="30">
        <f t="shared" si="17"/>
        <v>757.17</v>
      </c>
      <c r="S434" s="29" t="str">
        <f>IF(P434=0, "Sin Pago", 
  IFERROR(
    MAXIFS(Aux_Datos!$A:$A, Aux_Datos!$B:$B, I434&amp;""), 
    IFERROR(MAXIFS(Aux_Datos!$A:$A, Aux_Datos!$B:$B, VALUE(I434)), "Revisar ID")
  )
)</f>
        <v>Sin Pago</v>
      </c>
      <c r="T434" s="35" t="str">
        <f t="shared" si="21"/>
        <v>PENDIENTE</v>
      </c>
      <c r="U434" s="35" t="str">
        <f t="shared" si="10"/>
        <v>CRÍTICO: VENCIDA</v>
      </c>
      <c r="V434" s="32">
        <f t="shared" si="11"/>
        <v>0</v>
      </c>
      <c r="W434" s="36" t="str">
        <f>IF(P434=0, "Sin Pago", 
  LET(
    monedaPago, Q434, 
    descuentoAplicado, G434,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34" s="36" t="str">
        <f t="shared" si="12"/>
        <v/>
      </c>
      <c r="Y434" s="36">
        <v>0.0</v>
      </c>
      <c r="Z434" s="33" t="s">
        <v>641</v>
      </c>
      <c r="AA434" s="33"/>
      <c r="AB434" s="33"/>
      <c r="AC434" s="33"/>
      <c r="AD434" s="33"/>
      <c r="AE434" s="33"/>
      <c r="AF434" s="33"/>
    </row>
    <row r="435" ht="22.5" customHeight="1">
      <c r="A435" s="23" t="s">
        <v>387</v>
      </c>
      <c r="B435" s="41">
        <v>46182.66920138889</v>
      </c>
      <c r="C435" s="23" t="s">
        <v>385</v>
      </c>
      <c r="D435" s="23" t="s">
        <v>546</v>
      </c>
      <c r="E435" s="25">
        <v>103.81</v>
      </c>
      <c r="F435" s="23" t="s">
        <v>619</v>
      </c>
      <c r="G435" s="26">
        <f>IF($E435=0,0,IF(SUMIF(Aux_Datos!$B:$B,$I435,Aux_Datos!$K:$K)/$E435&gt;=VLOOKUP(IF(COUNTIFS(Aux_Datos!$B:$B,$I435,Aux_Datos!$D:$D,"&lt;&gt;USD")=0,"USD","VES"),'Limites de Descuento'!$A$2:$D$4,4,FALSE),MAX(0,1-SUMIF(Aux_Datos!$B:$B,$I435,Aux_Datos!$K:$K)/$E435),0))</f>
        <v>0</v>
      </c>
      <c r="H435" s="27"/>
      <c r="I435" s="28">
        <f t="shared" si="20"/>
        <v>531</v>
      </c>
      <c r="J435" s="29">
        <f t="shared" si="2"/>
        <v>46182</v>
      </c>
      <c r="K435" s="30">
        <f t="shared" si="3"/>
        <v>15</v>
      </c>
      <c r="L435" s="29">
        <f t="shared" si="4"/>
        <v>46198</v>
      </c>
      <c r="M435" s="30">
        <f t="shared" si="5"/>
        <v>103.81</v>
      </c>
      <c r="N435" s="32">
        <f t="shared" si="6"/>
        <v>2</v>
      </c>
      <c r="O435" s="33" t="str">
        <f t="shared" si="7"/>
        <v>VENCIDA</v>
      </c>
      <c r="P435" s="34">
        <f>LET(
  idVenta, I435&amp;"",
  montoTotal, M435,
  pagos, IFERROR(SUMIF(Aux_Datos!$B:$B, idVenta, Aux_Datos!$K:$K), 0),
  retenciones, IFERROR(SUMIF(Aux_Datos!$N:$N, idVenta, Aux_Datos!$R:$R), 0),
  pagos + retenciones
)</f>
        <v>0</v>
      </c>
      <c r="Q435" s="30" t="str">
        <f>IF(P435=0, "Sin Pago", 
  LET(
    idVenta, I435&amp;"",
    montoTotalPagado, P435,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35" s="30">
        <f t="shared" si="17"/>
        <v>103.81</v>
      </c>
      <c r="S435" s="29" t="str">
        <f>IF(P435=0, "Sin Pago", 
  IFERROR(
    MAXIFS(Aux_Datos!$A:$A, Aux_Datos!$B:$B, I435&amp;""), 
    IFERROR(MAXIFS(Aux_Datos!$A:$A, Aux_Datos!$B:$B, VALUE(I435)), "Revisar ID")
  )
)</f>
        <v>Sin Pago</v>
      </c>
      <c r="T435" s="35" t="str">
        <f t="shared" si="21"/>
        <v>PENDIENTE</v>
      </c>
      <c r="U435" s="35" t="str">
        <f t="shared" si="10"/>
        <v>CRÍTICO: VENCIDA</v>
      </c>
      <c r="V435" s="32">
        <f t="shared" si="11"/>
        <v>0</v>
      </c>
      <c r="W435" s="36" t="str">
        <f>IF(P435=0, "Sin Pago", 
  LET(
    monedaPago, Q435, 
    descuentoAplicado, G435,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35" s="36" t="str">
        <f t="shared" si="12"/>
        <v/>
      </c>
      <c r="Y435" s="36">
        <v>0.0</v>
      </c>
      <c r="Z435" s="33" t="s">
        <v>641</v>
      </c>
      <c r="AA435" s="33"/>
      <c r="AB435" s="33"/>
      <c r="AC435" s="33"/>
      <c r="AD435" s="33"/>
      <c r="AE435" s="33"/>
      <c r="AF435" s="33"/>
    </row>
    <row r="436" ht="22.5" customHeight="1">
      <c r="A436" s="23" t="s">
        <v>452</v>
      </c>
      <c r="B436" s="41">
        <v>46183.51666666667</v>
      </c>
      <c r="C436" s="23" t="s">
        <v>451</v>
      </c>
      <c r="D436" s="23" t="s">
        <v>323</v>
      </c>
      <c r="E436" s="25">
        <v>1632.58</v>
      </c>
      <c r="F436" s="23" t="s">
        <v>608</v>
      </c>
      <c r="G436" s="26">
        <f>IF($E436=0,0,IF(SUMIF(Aux_Datos!$B:$B,$I436,Aux_Datos!$K:$K)/$E436&gt;=VLOOKUP(IF(COUNTIFS(Aux_Datos!$B:$B,$I436,Aux_Datos!$D:$D,"&lt;&gt;USD")=0,"USD","VES"),'Limites de Descuento'!$A$2:$D$4,4,FALSE),MAX(0,1-SUMIF(Aux_Datos!$B:$B,$I436,Aux_Datos!$K:$K)/$E436),0))</f>
        <v>0</v>
      </c>
      <c r="H436" s="27"/>
      <c r="I436" s="28">
        <f t="shared" si="20"/>
        <v>532</v>
      </c>
      <c r="J436" s="29">
        <f t="shared" si="2"/>
        <v>46183</v>
      </c>
      <c r="K436" s="30">
        <f t="shared" si="3"/>
        <v>7</v>
      </c>
      <c r="L436" s="29">
        <f t="shared" si="4"/>
        <v>46191</v>
      </c>
      <c r="M436" s="30">
        <f t="shared" si="5"/>
        <v>1632.58</v>
      </c>
      <c r="N436" s="32">
        <f t="shared" si="6"/>
        <v>9</v>
      </c>
      <c r="O436" s="33" t="str">
        <f t="shared" si="7"/>
        <v>VENCIDA</v>
      </c>
      <c r="P436" s="34">
        <f>LET(
  idVenta, I436&amp;"",
  montoTotal, M436,
  pagos, IFERROR(SUMIF(Aux_Datos!$B:$B, idVenta, Aux_Datos!$K:$K), 0),
  retenciones, IFERROR(SUMIF(Aux_Datos!$N:$N, idVenta, Aux_Datos!$R:$R), 0),
  pagos + retenciones
)</f>
        <v>0</v>
      </c>
      <c r="Q436" s="30" t="str">
        <f>IF(P436=0, "Sin Pago", 
  LET(
    idVenta, I436&amp;"",
    montoTotalPagado, P436,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36" s="30">
        <f t="shared" si="17"/>
        <v>1632.58</v>
      </c>
      <c r="S436" s="29" t="str">
        <f>IF(P436=0, "Sin Pago", 
  IFERROR(
    MAXIFS(Aux_Datos!$A:$A, Aux_Datos!$B:$B, I436&amp;""), 
    IFERROR(MAXIFS(Aux_Datos!$A:$A, Aux_Datos!$B:$B, VALUE(I436)), "Revisar ID")
  )
)</f>
        <v>Sin Pago</v>
      </c>
      <c r="T436" s="35" t="str">
        <f t="shared" si="21"/>
        <v>PENDIENTE</v>
      </c>
      <c r="U436" s="35" t="str">
        <f t="shared" si="10"/>
        <v>CRÍTICO: VENCIDA</v>
      </c>
      <c r="V436" s="32">
        <f t="shared" si="11"/>
        <v>0</v>
      </c>
      <c r="W436" s="36" t="str">
        <f>IF(P436=0, "Sin Pago", 
  LET(
    monedaPago, Q436, 
    descuentoAplicado, G436,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36" s="36" t="str">
        <f t="shared" si="12"/>
        <v/>
      </c>
      <c r="Y436" s="36">
        <v>0.0</v>
      </c>
      <c r="Z436" s="33" t="s">
        <v>641</v>
      </c>
      <c r="AA436" s="33"/>
      <c r="AB436" s="33"/>
      <c r="AC436" s="33"/>
      <c r="AD436" s="33"/>
      <c r="AE436" s="33"/>
      <c r="AF436" s="33"/>
    </row>
    <row r="437" ht="22.5" customHeight="1">
      <c r="A437" s="23" t="s">
        <v>448</v>
      </c>
      <c r="B437" s="41">
        <v>46183.37881944444</v>
      </c>
      <c r="C437" s="23" t="s">
        <v>447</v>
      </c>
      <c r="D437" s="23" t="s">
        <v>556</v>
      </c>
      <c r="E437" s="25">
        <v>160.4</v>
      </c>
      <c r="F437" s="23" t="s">
        <v>608</v>
      </c>
      <c r="G437" s="26">
        <f>IF($E437=0,0,IF(SUMIF(Aux_Datos!$B:$B,$I437,Aux_Datos!$K:$K)/$E437&gt;=VLOOKUP(IF(COUNTIFS(Aux_Datos!$B:$B,$I437,Aux_Datos!$D:$D,"&lt;&gt;USD")=0,"USD","VES"),'Limites de Descuento'!$A$2:$D$4,4,FALSE),MAX(0,1-SUMIF(Aux_Datos!$B:$B,$I437,Aux_Datos!$K:$K)/$E437),0))</f>
        <v>0</v>
      </c>
      <c r="H437" s="27"/>
      <c r="I437" s="28">
        <f t="shared" si="20"/>
        <v>533</v>
      </c>
      <c r="J437" s="29">
        <f t="shared" si="2"/>
        <v>46183</v>
      </c>
      <c r="K437" s="30">
        <f t="shared" si="3"/>
        <v>7</v>
      </c>
      <c r="L437" s="29">
        <f t="shared" si="4"/>
        <v>46191</v>
      </c>
      <c r="M437" s="30">
        <f t="shared" si="5"/>
        <v>160.4</v>
      </c>
      <c r="N437" s="32">
        <f t="shared" si="6"/>
        <v>9</v>
      </c>
      <c r="O437" s="33" t="str">
        <f t="shared" si="7"/>
        <v>VENCIDA</v>
      </c>
      <c r="P437" s="34">
        <f>LET(
  idVenta, I437&amp;"",
  montoTotal, M437,
  pagos, IFERROR(SUMIF(Aux_Datos!$B:$B, idVenta, Aux_Datos!$K:$K), 0),
  retenciones, IFERROR(SUMIF(Aux_Datos!$N:$N, idVenta, Aux_Datos!$R:$R), 0),
  pagos + retenciones
)</f>
        <v>0</v>
      </c>
      <c r="Q437" s="30" t="str">
        <f>IF(P437=0, "Sin Pago", 
  LET(
    idVenta, I437&amp;"",
    montoTotalPagado, P437,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37" s="30">
        <f t="shared" si="17"/>
        <v>160.4</v>
      </c>
      <c r="S437" s="29" t="str">
        <f>IF(P437=0, "Sin Pago", 
  IFERROR(
    MAXIFS(Aux_Datos!$A:$A, Aux_Datos!$B:$B, I437&amp;""), 
    IFERROR(MAXIFS(Aux_Datos!$A:$A, Aux_Datos!$B:$B, VALUE(I437)), "Revisar ID")
  )
)</f>
        <v>Sin Pago</v>
      </c>
      <c r="T437" s="35" t="str">
        <f t="shared" si="21"/>
        <v>PENDIENTE</v>
      </c>
      <c r="U437" s="35" t="str">
        <f t="shared" si="10"/>
        <v>CRÍTICO: VENCIDA</v>
      </c>
      <c r="V437" s="32">
        <f t="shared" si="11"/>
        <v>0</v>
      </c>
      <c r="W437" s="36" t="str">
        <f>IF(P437=0, "Sin Pago", 
  LET(
    monedaPago, Q437, 
    descuentoAplicado, G437,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37" s="36" t="str">
        <f t="shared" si="12"/>
        <v/>
      </c>
      <c r="Y437" s="36">
        <v>0.0</v>
      </c>
      <c r="Z437" s="33" t="s">
        <v>641</v>
      </c>
      <c r="AA437" s="33"/>
      <c r="AB437" s="33"/>
      <c r="AC437" s="33"/>
      <c r="AD437" s="33"/>
      <c r="AE437" s="33"/>
      <c r="AF437" s="33"/>
    </row>
    <row r="438" ht="22.5" customHeight="1">
      <c r="A438" s="23" t="s">
        <v>268</v>
      </c>
      <c r="B438" s="41">
        <v>46183.494467592594</v>
      </c>
      <c r="C438" s="23" t="s">
        <v>266</v>
      </c>
      <c r="D438" s="23" t="s">
        <v>552</v>
      </c>
      <c r="E438" s="25">
        <v>230.02</v>
      </c>
      <c r="F438" s="23" t="s">
        <v>619</v>
      </c>
      <c r="G438" s="26">
        <f>IF($E438=0,0,IF(SUMIF(Aux_Datos!$B:$B,$I438,Aux_Datos!$K:$K)/$E438&gt;=VLOOKUP(IF(COUNTIFS(Aux_Datos!$B:$B,$I438,Aux_Datos!$D:$D,"&lt;&gt;USD")=0,"USD","VES"),'Limites de Descuento'!$A$2:$D$4,4,FALSE),MAX(0,1-SUMIF(Aux_Datos!$B:$B,$I438,Aux_Datos!$K:$K)/$E438),0))</f>
        <v>0</v>
      </c>
      <c r="H438" s="27"/>
      <c r="I438" s="28">
        <f t="shared" si="20"/>
        <v>534</v>
      </c>
      <c r="J438" s="29">
        <f t="shared" si="2"/>
        <v>46183</v>
      </c>
      <c r="K438" s="30">
        <f t="shared" si="3"/>
        <v>15</v>
      </c>
      <c r="L438" s="29">
        <f t="shared" si="4"/>
        <v>46199</v>
      </c>
      <c r="M438" s="30">
        <f t="shared" si="5"/>
        <v>230.02</v>
      </c>
      <c r="N438" s="32">
        <f t="shared" si="6"/>
        <v>1</v>
      </c>
      <c r="O438" s="33" t="str">
        <f t="shared" si="7"/>
        <v>VENCIDA</v>
      </c>
      <c r="P438" s="34">
        <f>LET(
  idVenta, I438&amp;"",
  montoTotal, M438,
  pagos, IFERROR(SUMIF(Aux_Datos!$B:$B, idVenta, Aux_Datos!$K:$K), 0),
  retenciones, IFERROR(SUMIF(Aux_Datos!$N:$N, idVenta, Aux_Datos!$R:$R), 0),
  pagos + retenciones
)</f>
        <v>0</v>
      </c>
      <c r="Q438" s="30" t="str">
        <f>IF(P438=0, "Sin Pago", 
  LET(
    idVenta, I438&amp;"",
    montoTotalPagado, P438,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38" s="30">
        <f t="shared" si="17"/>
        <v>230.02</v>
      </c>
      <c r="S438" s="29" t="str">
        <f>IF(P438=0, "Sin Pago", 
  IFERROR(
    MAXIFS(Aux_Datos!$A:$A, Aux_Datos!$B:$B, I438&amp;""), 
    IFERROR(MAXIFS(Aux_Datos!$A:$A, Aux_Datos!$B:$B, VALUE(I438)), "Revisar ID")
  )
)</f>
        <v>Sin Pago</v>
      </c>
      <c r="T438" s="35" t="str">
        <f t="shared" si="21"/>
        <v>PENDIENTE</v>
      </c>
      <c r="U438" s="35" t="str">
        <f t="shared" si="10"/>
        <v>CRÍTICO: VENCIDA</v>
      </c>
      <c r="V438" s="32">
        <f t="shared" si="11"/>
        <v>0</v>
      </c>
      <c r="W438" s="36" t="str">
        <f>IF(P438=0, "Sin Pago", 
  LET(
    monedaPago, Q438, 
    descuentoAplicado, G438,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38" s="36" t="str">
        <f t="shared" si="12"/>
        <v/>
      </c>
      <c r="Y438" s="36">
        <v>0.0</v>
      </c>
      <c r="Z438" s="33" t="s">
        <v>641</v>
      </c>
      <c r="AA438" s="33"/>
      <c r="AB438" s="33"/>
      <c r="AC438" s="33"/>
      <c r="AD438" s="33"/>
      <c r="AE438" s="33"/>
      <c r="AF438" s="33"/>
    </row>
    <row r="439" ht="22.5" customHeight="1">
      <c r="A439" s="23" t="s">
        <v>409</v>
      </c>
      <c r="B439" s="41">
        <v>46183.585011574076</v>
      </c>
      <c r="C439" s="23" t="s">
        <v>408</v>
      </c>
      <c r="D439" s="23" t="s">
        <v>323</v>
      </c>
      <c r="E439" s="25">
        <v>335.96</v>
      </c>
      <c r="F439" s="23" t="s">
        <v>593</v>
      </c>
      <c r="G439" s="26">
        <f>IF($E439=0,0,IF(SUMIF(Aux_Datos!$B:$B,$I439,Aux_Datos!$K:$K)/$E439&gt;=VLOOKUP(IF(COUNTIFS(Aux_Datos!$B:$B,$I439,Aux_Datos!$D:$D,"&lt;&gt;USD")=0,"USD","VES"),'Limites de Descuento'!$A$2:$D$4,4,FALSE),MAX(0,1-SUMIF(Aux_Datos!$B:$B,$I439,Aux_Datos!$K:$K)/$E439),0))</f>
        <v>0</v>
      </c>
      <c r="H439" s="27"/>
      <c r="I439" s="28">
        <f t="shared" si="20"/>
        <v>535</v>
      </c>
      <c r="J439" s="29">
        <f t="shared" si="2"/>
        <v>46183</v>
      </c>
      <c r="K439" s="30">
        <f t="shared" si="3"/>
        <v>0</v>
      </c>
      <c r="L439" s="29">
        <f t="shared" si="4"/>
        <v>46184</v>
      </c>
      <c r="M439" s="30">
        <f t="shared" si="5"/>
        <v>335.96</v>
      </c>
      <c r="N439" s="32">
        <f t="shared" si="6"/>
        <v>16</v>
      </c>
      <c r="O439" s="33" t="str">
        <f t="shared" si="7"/>
        <v>VENCIDA</v>
      </c>
      <c r="P439" s="34">
        <f>LET(
  idVenta, I439&amp;"",
  montoTotal, M439,
  pagos, IFERROR(SUMIF(Aux_Datos!$B:$B, idVenta, Aux_Datos!$K:$K), 0),
  retenciones, IFERROR(SUMIF(Aux_Datos!$N:$N, idVenta, Aux_Datos!$R:$R), 0),
  pagos + retenciones
)</f>
        <v>0</v>
      </c>
      <c r="Q439" s="30" t="str">
        <f>IF(P439=0, "Sin Pago", 
  LET(
    idVenta, I439&amp;"",
    montoTotalPagado, P439,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39" s="30">
        <f t="shared" si="17"/>
        <v>335.96</v>
      </c>
      <c r="S439" s="29" t="str">
        <f>IF(P439=0, "Sin Pago", 
  IFERROR(
    MAXIFS(Aux_Datos!$A:$A, Aux_Datos!$B:$B, I439&amp;""), 
    IFERROR(MAXIFS(Aux_Datos!$A:$A, Aux_Datos!$B:$B, VALUE(I439)), "Revisar ID")
  )
)</f>
        <v>Sin Pago</v>
      </c>
      <c r="T439" s="35" t="str">
        <f t="shared" si="21"/>
        <v>PENDIENTE</v>
      </c>
      <c r="U439" s="35" t="str">
        <f t="shared" si="10"/>
        <v>CRÍTICO: VENCIDA</v>
      </c>
      <c r="V439" s="32">
        <f t="shared" si="11"/>
        <v>0</v>
      </c>
      <c r="W439" s="36" t="str">
        <f>IF(P439=0, "Sin Pago", 
  LET(
    monedaPago, Q439, 
    descuentoAplicado, G439,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39" s="36" t="str">
        <f t="shared" si="12"/>
        <v/>
      </c>
      <c r="Y439" s="36">
        <v>0.0</v>
      </c>
      <c r="Z439" s="33" t="s">
        <v>641</v>
      </c>
      <c r="AA439" s="33"/>
      <c r="AB439" s="33"/>
      <c r="AC439" s="33"/>
      <c r="AD439" s="33"/>
      <c r="AE439" s="33"/>
      <c r="AF439" s="33"/>
    </row>
    <row r="440" ht="22.5" customHeight="1">
      <c r="A440" s="23" t="s">
        <v>297</v>
      </c>
      <c r="B440" s="41">
        <v>46183.54653935185</v>
      </c>
      <c r="C440" s="23" t="s">
        <v>295</v>
      </c>
      <c r="D440" s="23" t="s">
        <v>552</v>
      </c>
      <c r="E440" s="25">
        <v>205.81</v>
      </c>
      <c r="F440" s="23" t="s">
        <v>608</v>
      </c>
      <c r="G440" s="26">
        <f>IF($E440=0,0,IF(SUMIF(Aux_Datos!$B:$B,$I440,Aux_Datos!$K:$K)/$E440&gt;=VLOOKUP(IF(COUNTIFS(Aux_Datos!$B:$B,$I440,Aux_Datos!$D:$D,"&lt;&gt;USD")=0,"USD","VES"),'Limites de Descuento'!$A$2:$D$4,4,FALSE),MAX(0,1-SUMIF(Aux_Datos!$B:$B,$I440,Aux_Datos!$K:$K)/$E440),0))</f>
        <v>0</v>
      </c>
      <c r="H440" s="27"/>
      <c r="I440" s="28">
        <f t="shared" si="20"/>
        <v>536</v>
      </c>
      <c r="J440" s="29">
        <f t="shared" si="2"/>
        <v>46183</v>
      </c>
      <c r="K440" s="30">
        <f t="shared" si="3"/>
        <v>7</v>
      </c>
      <c r="L440" s="29">
        <f t="shared" si="4"/>
        <v>46191</v>
      </c>
      <c r="M440" s="30">
        <f t="shared" si="5"/>
        <v>205.81</v>
      </c>
      <c r="N440" s="32">
        <f t="shared" si="6"/>
        <v>9</v>
      </c>
      <c r="O440" s="33" t="str">
        <f t="shared" si="7"/>
        <v>VENCIDA</v>
      </c>
      <c r="P440" s="34">
        <f>LET(
  idVenta, I440&amp;"",
  montoTotal, M440,
  pagos, IFERROR(SUMIF(Aux_Datos!$B:$B, idVenta, Aux_Datos!$K:$K), 0),
  retenciones, IFERROR(SUMIF(Aux_Datos!$N:$N, idVenta, Aux_Datos!$R:$R), 0),
  pagos + retenciones
)</f>
        <v>0</v>
      </c>
      <c r="Q440" s="30" t="str">
        <f>IF(P440=0, "Sin Pago", 
  LET(
    idVenta, I440&amp;"",
    montoTotalPagado, P440,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40" s="30">
        <f t="shared" si="17"/>
        <v>205.81</v>
      </c>
      <c r="S440" s="29" t="str">
        <f>IF(P440=0, "Sin Pago", 
  IFERROR(
    MAXIFS(Aux_Datos!$A:$A, Aux_Datos!$B:$B, I440&amp;""), 
    IFERROR(MAXIFS(Aux_Datos!$A:$A, Aux_Datos!$B:$B, VALUE(I440)), "Revisar ID")
  )
)</f>
        <v>Sin Pago</v>
      </c>
      <c r="T440" s="35" t="str">
        <f t="shared" si="21"/>
        <v>PENDIENTE</v>
      </c>
      <c r="U440" s="35" t="str">
        <f t="shared" si="10"/>
        <v>CRÍTICO: VENCIDA</v>
      </c>
      <c r="V440" s="32">
        <f t="shared" si="11"/>
        <v>0</v>
      </c>
      <c r="W440" s="36" t="str">
        <f>IF(P440=0, "Sin Pago", 
  LET(
    monedaPago, Q440, 
    descuentoAplicado, G440,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40" s="36" t="str">
        <f t="shared" si="12"/>
        <v/>
      </c>
      <c r="Y440" s="36">
        <v>0.0</v>
      </c>
      <c r="Z440" s="33" t="s">
        <v>641</v>
      </c>
      <c r="AA440" s="33"/>
      <c r="AB440" s="33"/>
      <c r="AC440" s="33"/>
      <c r="AD440" s="33"/>
      <c r="AE440" s="33"/>
      <c r="AF440" s="33"/>
    </row>
    <row r="441" ht="22.5" customHeight="1">
      <c r="A441" s="23" t="s">
        <v>446</v>
      </c>
      <c r="B441" s="41">
        <v>46183.546435185184</v>
      </c>
      <c r="C441" s="23" t="s">
        <v>445</v>
      </c>
      <c r="D441" s="23" t="s">
        <v>552</v>
      </c>
      <c r="E441" s="25">
        <v>160.4</v>
      </c>
      <c r="F441" s="23" t="s">
        <v>608</v>
      </c>
      <c r="G441" s="26">
        <f>IF($E441=0,0,IF(SUMIF(Aux_Datos!$B:$B,$I441,Aux_Datos!$K:$K)/$E441&gt;=VLOOKUP(IF(COUNTIFS(Aux_Datos!$B:$B,$I441,Aux_Datos!$D:$D,"&lt;&gt;USD")=0,"USD","VES"),'Limites de Descuento'!$A$2:$D$4,4,FALSE),MAX(0,1-SUMIF(Aux_Datos!$B:$B,$I441,Aux_Datos!$K:$K)/$E441),0))</f>
        <v>0</v>
      </c>
      <c r="H441" s="27"/>
      <c r="I441" s="28">
        <f t="shared" si="20"/>
        <v>537</v>
      </c>
      <c r="J441" s="29">
        <f t="shared" si="2"/>
        <v>46183</v>
      </c>
      <c r="K441" s="30">
        <f t="shared" si="3"/>
        <v>7</v>
      </c>
      <c r="L441" s="29">
        <f t="shared" si="4"/>
        <v>46191</v>
      </c>
      <c r="M441" s="30">
        <f t="shared" si="5"/>
        <v>160.4</v>
      </c>
      <c r="N441" s="32">
        <f t="shared" si="6"/>
        <v>9</v>
      </c>
      <c r="O441" s="33" t="str">
        <f t="shared" si="7"/>
        <v>VENCIDA</v>
      </c>
      <c r="P441" s="34">
        <f>LET(
  idVenta, I441&amp;"",
  montoTotal, M441,
  pagos, IFERROR(SUMIF(Aux_Datos!$B:$B, idVenta, Aux_Datos!$K:$K), 0),
  retenciones, IFERROR(SUMIF(Aux_Datos!$N:$N, idVenta, Aux_Datos!$R:$R), 0),
  pagos + retenciones
)</f>
        <v>0</v>
      </c>
      <c r="Q441" s="30" t="str">
        <f>IF(P441=0, "Sin Pago", 
  LET(
    idVenta, I441&amp;"",
    montoTotalPagado, P441,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41" s="30">
        <f t="shared" si="17"/>
        <v>160.4</v>
      </c>
      <c r="S441" s="29" t="str">
        <f>IF(P441=0, "Sin Pago", 
  IFERROR(
    MAXIFS(Aux_Datos!$A:$A, Aux_Datos!$B:$B, I441&amp;""), 
    IFERROR(MAXIFS(Aux_Datos!$A:$A, Aux_Datos!$B:$B, VALUE(I441)), "Revisar ID")
  )
)</f>
        <v>Sin Pago</v>
      </c>
      <c r="T441" s="35" t="str">
        <f t="shared" si="21"/>
        <v>PENDIENTE</v>
      </c>
      <c r="U441" s="35" t="str">
        <f t="shared" si="10"/>
        <v>CRÍTICO: VENCIDA</v>
      </c>
      <c r="V441" s="32">
        <f t="shared" si="11"/>
        <v>0</v>
      </c>
      <c r="W441" s="36" t="str">
        <f>IF(P441=0, "Sin Pago", 
  LET(
    monedaPago, Q441, 
    descuentoAplicado, G441,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41" s="36" t="str">
        <f t="shared" si="12"/>
        <v/>
      </c>
      <c r="Y441" s="36">
        <v>0.0</v>
      </c>
      <c r="Z441" s="33" t="s">
        <v>641</v>
      </c>
      <c r="AA441" s="33"/>
      <c r="AB441" s="33"/>
      <c r="AC441" s="33"/>
      <c r="AD441" s="33"/>
      <c r="AE441" s="33"/>
      <c r="AF441" s="33"/>
    </row>
    <row r="442" ht="22.5" customHeight="1">
      <c r="A442" s="23" t="s">
        <v>450</v>
      </c>
      <c r="B442" s="41">
        <v>46183.59736111111</v>
      </c>
      <c r="C442" s="23" t="s">
        <v>449</v>
      </c>
      <c r="D442" s="23" t="s">
        <v>552</v>
      </c>
      <c r="E442" s="25">
        <v>345.01</v>
      </c>
      <c r="F442" s="23" t="s">
        <v>608</v>
      </c>
      <c r="G442" s="26">
        <f>IF($E442=0,0,IF(SUMIF(Aux_Datos!$B:$B,$I442,Aux_Datos!$K:$K)/$E442&gt;=VLOOKUP(IF(COUNTIFS(Aux_Datos!$B:$B,$I442,Aux_Datos!$D:$D,"&lt;&gt;USD")=0,"USD","VES"),'Limites de Descuento'!$A$2:$D$4,4,FALSE),MAX(0,1-SUMIF(Aux_Datos!$B:$B,$I442,Aux_Datos!$K:$K)/$E442),0))</f>
        <v>0</v>
      </c>
      <c r="H442" s="27"/>
      <c r="I442" s="28">
        <f t="shared" si="20"/>
        <v>538</v>
      </c>
      <c r="J442" s="29">
        <f t="shared" si="2"/>
        <v>46183</v>
      </c>
      <c r="K442" s="30">
        <f t="shared" si="3"/>
        <v>7</v>
      </c>
      <c r="L442" s="29">
        <f t="shared" si="4"/>
        <v>46191</v>
      </c>
      <c r="M442" s="30">
        <f t="shared" si="5"/>
        <v>345.01</v>
      </c>
      <c r="N442" s="32">
        <f t="shared" si="6"/>
        <v>9</v>
      </c>
      <c r="O442" s="33" t="str">
        <f t="shared" si="7"/>
        <v>VENCIDA</v>
      </c>
      <c r="P442" s="37">
        <v>274.26</v>
      </c>
      <c r="Q442" s="30" t="str">
        <f>IF(P442=0, "Sin Pago", 
  LET(
    idVenta, I442&amp;"",
    montoTotalPagado, P442,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MIXTO</v>
      </c>
      <c r="R442" s="30">
        <f t="shared" si="17"/>
        <v>70.75</v>
      </c>
      <c r="S442" s="29">
        <f>IF(P442=0, "Sin Pago", 
  IFERROR(
    MAXIFS(Aux_Datos!$A:$A, Aux_Datos!$B:$B, I442&amp;""), 
    IFERROR(MAXIFS(Aux_Datos!$A:$A, Aux_Datos!$B:$B, VALUE(I442)), "Revisar ID")
  )
)</f>
        <v>0</v>
      </c>
      <c r="T442" s="35" t="str">
        <f t="shared" si="21"/>
        <v>PAGO PARCIAL</v>
      </c>
      <c r="U442" s="35" t="str">
        <f t="shared" si="10"/>
        <v>CRÍTICO: VENCIDA</v>
      </c>
      <c r="V442" s="32">
        <f t="shared" si="11"/>
        <v>46200</v>
      </c>
      <c r="W442" s="36" t="str">
        <f>IF(P442=0, "Sin Pago", 
  LET(
    monedaPago, Q442, 
    descuentoAplicado, G442,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442" s="36" t="str">
        <f t="shared" si="12"/>
        <v/>
      </c>
      <c r="Y442" s="36">
        <v>0.0</v>
      </c>
      <c r="Z442" s="33" t="s">
        <v>609</v>
      </c>
      <c r="AA442" s="33"/>
      <c r="AB442" s="33"/>
      <c r="AC442" s="33"/>
      <c r="AD442" s="33"/>
      <c r="AE442" s="33"/>
      <c r="AF442" s="33"/>
    </row>
    <row r="443" ht="22.5" customHeight="1">
      <c r="A443" s="23" t="s">
        <v>456</v>
      </c>
      <c r="B443" s="41">
        <v>46183.59725694444</v>
      </c>
      <c r="C443" s="23" t="s">
        <v>455</v>
      </c>
      <c r="D443" s="23" t="s">
        <v>556</v>
      </c>
      <c r="E443" s="25">
        <v>220.95</v>
      </c>
      <c r="F443" s="23" t="s">
        <v>608</v>
      </c>
      <c r="G443" s="26">
        <f>IF($E443=0,0,IF(SUMIF(Aux_Datos!$B:$B,$I443,Aux_Datos!$K:$K)/$E443&gt;=VLOOKUP(IF(COUNTIFS(Aux_Datos!$B:$B,$I443,Aux_Datos!$D:$D,"&lt;&gt;USD")=0,"USD","VES"),'Limites de Descuento'!$A$2:$D$4,4,FALSE),MAX(0,1-SUMIF(Aux_Datos!$B:$B,$I443,Aux_Datos!$K:$K)/$E443),0))</f>
        <v>0</v>
      </c>
      <c r="H443" s="27"/>
      <c r="I443" s="28">
        <f t="shared" si="20"/>
        <v>539</v>
      </c>
      <c r="J443" s="29">
        <f t="shared" si="2"/>
        <v>46183</v>
      </c>
      <c r="K443" s="30">
        <f t="shared" si="3"/>
        <v>7</v>
      </c>
      <c r="L443" s="29">
        <f t="shared" si="4"/>
        <v>46191</v>
      </c>
      <c r="M443" s="30">
        <f t="shared" si="5"/>
        <v>220.95</v>
      </c>
      <c r="N443" s="32">
        <f t="shared" si="6"/>
        <v>9</v>
      </c>
      <c r="O443" s="33" t="str">
        <f t="shared" si="7"/>
        <v>VENCIDA</v>
      </c>
      <c r="P443" s="34">
        <f>LET(
  idVenta, I443&amp;"",
  montoTotal, M443,
  pagos, IFERROR(SUMIF(Aux_Datos!$B:$B, idVenta, Aux_Datos!$K:$K), 0),
  retenciones, IFERROR(SUMIF(Aux_Datos!$N:$N, idVenta, Aux_Datos!$R:$R), 0),
  pagos + retenciones
)</f>
        <v>0</v>
      </c>
      <c r="Q443" s="30" t="str">
        <f>IF(P443=0, "Sin Pago", 
  LET(
    idVenta, I443&amp;"",
    montoTotalPagado, P443,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43" s="30">
        <f t="shared" si="17"/>
        <v>220.95</v>
      </c>
      <c r="S443" s="29" t="str">
        <f>IF(P443=0, "Sin Pago", 
  IFERROR(
    MAXIFS(Aux_Datos!$A:$A, Aux_Datos!$B:$B, I443&amp;""), 
    IFERROR(MAXIFS(Aux_Datos!$A:$A, Aux_Datos!$B:$B, VALUE(I443)), "Revisar ID")
  )
)</f>
        <v>Sin Pago</v>
      </c>
      <c r="T443" s="35" t="str">
        <f t="shared" si="21"/>
        <v>PENDIENTE</v>
      </c>
      <c r="U443" s="35" t="str">
        <f t="shared" si="10"/>
        <v>CRÍTICO: VENCIDA</v>
      </c>
      <c r="V443" s="32">
        <f t="shared" si="11"/>
        <v>0</v>
      </c>
      <c r="W443" s="36" t="str">
        <f>IF(P443=0, "Sin Pago", 
  LET(
    monedaPago, Q443, 
    descuentoAplicado, G443,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43" s="36" t="str">
        <f t="shared" si="12"/>
        <v/>
      </c>
      <c r="Y443" s="36">
        <v>0.0</v>
      </c>
      <c r="Z443" s="33" t="s">
        <v>641</v>
      </c>
      <c r="AA443" s="33"/>
      <c r="AB443" s="33"/>
      <c r="AC443" s="33"/>
      <c r="AD443" s="33"/>
      <c r="AE443" s="33"/>
      <c r="AF443" s="33"/>
    </row>
    <row r="444" ht="22.5" customHeight="1">
      <c r="A444" s="23" t="s">
        <v>860</v>
      </c>
      <c r="B444" s="41">
        <v>46183.59715277778</v>
      </c>
      <c r="C444" s="23" t="s">
        <v>592</v>
      </c>
      <c r="D444" s="23" t="s">
        <v>552</v>
      </c>
      <c r="E444" s="25">
        <v>298.11</v>
      </c>
      <c r="F444" s="23" t="s">
        <v>608</v>
      </c>
      <c r="G444" s="26">
        <f>IF($E444=0,0,IF(SUMIF(Aux_Datos!$B:$B,$I444,Aux_Datos!$K:$K)/$E444&gt;=VLOOKUP(IF(COUNTIFS(Aux_Datos!$B:$B,$I444,Aux_Datos!$D:$D,"&lt;&gt;USD")=0,"USD","VES"),'Limites de Descuento'!$A$2:$D$4,4,FALSE),MAX(0,1-SUMIF(Aux_Datos!$B:$B,$I444,Aux_Datos!$K:$K)/$E444),0))</f>
        <v>0.08000402784</v>
      </c>
      <c r="H444" s="27"/>
      <c r="I444" s="28">
        <f t="shared" si="20"/>
        <v>540</v>
      </c>
      <c r="J444" s="29">
        <f t="shared" si="2"/>
        <v>46183</v>
      </c>
      <c r="K444" s="30">
        <f t="shared" si="3"/>
        <v>7</v>
      </c>
      <c r="L444" s="29">
        <f t="shared" si="4"/>
        <v>46191</v>
      </c>
      <c r="M444" s="30">
        <f t="shared" si="5"/>
        <v>274.2599993</v>
      </c>
      <c r="N444" s="32">
        <f t="shared" si="6"/>
        <v>0</v>
      </c>
      <c r="O444" s="33" t="str">
        <f t="shared" si="7"/>
        <v>PAGADA</v>
      </c>
      <c r="P444" s="34">
        <f>LET(
  idVenta, I444&amp;"",
  montoTotal, M444,
  pagos, IFERROR(SUMIF(Aux_Datos!$B:$B, idVenta, Aux_Datos!$K:$K), 0),
  retenciones, IFERROR(SUMIF(Aux_Datos!$N:$N, idVenta, Aux_Datos!$R:$R), 0),
  pagos + retenciones
)</f>
        <v>274.2599993</v>
      </c>
      <c r="Q444" s="30" t="str">
        <f>IF(P444=0, "Sin Pago", 
  LET(
    idVenta, I444&amp;"",
    montoTotalPagado, P444,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444" s="30">
        <f t="shared" si="17"/>
        <v>0</v>
      </c>
      <c r="S444" s="29">
        <f>IF(P444=0, "Sin Pago", 
  IFERROR(
    MAXIFS(Aux_Datos!$A:$A, Aux_Datos!$B:$B, I444&amp;""), 
    IFERROR(MAXIFS(Aux_Datos!$A:$A, Aux_Datos!$B:$B, VALUE(I444)), "Revisar ID")
  )
)</f>
        <v>46189</v>
      </c>
      <c r="T444" s="35" t="str">
        <f t="shared" si="21"/>
        <v>PAGADA</v>
      </c>
      <c r="U444" s="35" t="str">
        <f t="shared" si="10"/>
        <v>SOLVENTE</v>
      </c>
      <c r="V444" s="32">
        <f t="shared" si="11"/>
        <v>0</v>
      </c>
      <c r="W444" s="36" t="str">
        <f>IF(P444=0, "Sin Pago", 
  LET(
    monedaPago, Q444, 
    descuentoAplicado, G444,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444" s="36" t="str">
        <f t="shared" si="12"/>
        <v/>
      </c>
      <c r="Y444" s="36">
        <v>274.2599992607798</v>
      </c>
      <c r="Z444" s="33" t="s">
        <v>596</v>
      </c>
      <c r="AA444" s="33"/>
      <c r="AB444" s="33"/>
      <c r="AC444" s="33"/>
      <c r="AD444" s="33"/>
      <c r="AE444" s="33"/>
      <c r="AF444" s="33"/>
    </row>
    <row r="445" ht="22.5" customHeight="1">
      <c r="A445" s="23" t="s">
        <v>458</v>
      </c>
      <c r="B445" s="41">
        <v>46183.63736111111</v>
      </c>
      <c r="C445" s="23" t="s">
        <v>457</v>
      </c>
      <c r="D445" s="23" t="s">
        <v>353</v>
      </c>
      <c r="E445" s="25">
        <v>349.57</v>
      </c>
      <c r="F445" s="23" t="s">
        <v>608</v>
      </c>
      <c r="G445" s="26">
        <f>IF($E445=0,0,IF(SUMIF(Aux_Datos!$B:$B,$I445,Aux_Datos!$K:$K)/$E445&gt;=VLOOKUP(IF(COUNTIFS(Aux_Datos!$B:$B,$I445,Aux_Datos!$D:$D,"&lt;&gt;USD")=0,"USD","VES"),'Limites de Descuento'!$A$2:$D$4,4,FALSE),MAX(0,1-SUMIF(Aux_Datos!$B:$B,$I445,Aux_Datos!$K:$K)/$E445),0))</f>
        <v>0</v>
      </c>
      <c r="H445" s="27"/>
      <c r="I445" s="28">
        <f t="shared" si="20"/>
        <v>541</v>
      </c>
      <c r="J445" s="29">
        <f t="shared" si="2"/>
        <v>46183</v>
      </c>
      <c r="K445" s="30">
        <f t="shared" si="3"/>
        <v>7</v>
      </c>
      <c r="L445" s="29">
        <f t="shared" si="4"/>
        <v>46191</v>
      </c>
      <c r="M445" s="30">
        <f t="shared" si="5"/>
        <v>349.57</v>
      </c>
      <c r="N445" s="32">
        <f t="shared" si="6"/>
        <v>9</v>
      </c>
      <c r="O445" s="33" t="str">
        <f t="shared" si="7"/>
        <v>VENCIDA</v>
      </c>
      <c r="P445" s="34">
        <f>LET(
  idVenta, I445&amp;"",
  montoTotal, M445,
  pagos, IFERROR(SUMIF(Aux_Datos!$B:$B, idVenta, Aux_Datos!$K:$K), 0),
  retenciones, IFERROR(SUMIF(Aux_Datos!$N:$N, idVenta, Aux_Datos!$R:$R), 0),
  pagos + retenciones
)</f>
        <v>0</v>
      </c>
      <c r="Q445" s="30" t="str">
        <f>IF(P445=0, "Sin Pago", 
  LET(
    idVenta, I445&amp;"",
    montoTotalPagado, P445,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45" s="30">
        <f t="shared" si="17"/>
        <v>349.57</v>
      </c>
      <c r="S445" s="29" t="str">
        <f>IF(P445=0, "Sin Pago", 
  IFERROR(
    MAXIFS(Aux_Datos!$A:$A, Aux_Datos!$B:$B, I445&amp;""), 
    IFERROR(MAXIFS(Aux_Datos!$A:$A, Aux_Datos!$B:$B, VALUE(I445)), "Revisar ID")
  )
)</f>
        <v>Sin Pago</v>
      </c>
      <c r="T445" s="35" t="str">
        <f t="shared" si="21"/>
        <v>PENDIENTE</v>
      </c>
      <c r="U445" s="35" t="str">
        <f t="shared" si="10"/>
        <v>CRÍTICO: VENCIDA</v>
      </c>
      <c r="V445" s="32">
        <f t="shared" si="11"/>
        <v>0</v>
      </c>
      <c r="W445" s="36" t="str">
        <f>IF(P445=0, "Sin Pago", 
  LET(
    monedaPago, Q445, 
    descuentoAplicado, G445,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45" s="36" t="str">
        <f t="shared" si="12"/>
        <v/>
      </c>
      <c r="Y445" s="36">
        <v>0.0</v>
      </c>
      <c r="Z445" s="33" t="s">
        <v>641</v>
      </c>
      <c r="AA445" s="33"/>
      <c r="AB445" s="33"/>
      <c r="AC445" s="33"/>
      <c r="AD445" s="33"/>
      <c r="AE445" s="33"/>
      <c r="AF445" s="33"/>
    </row>
    <row r="446" ht="22.5" customHeight="1">
      <c r="A446" s="23" t="s">
        <v>114</v>
      </c>
      <c r="B446" s="41">
        <v>46183.667858796296</v>
      </c>
      <c r="C446" s="23" t="s">
        <v>112</v>
      </c>
      <c r="D446" s="23" t="s">
        <v>529</v>
      </c>
      <c r="E446" s="25">
        <v>2049.11</v>
      </c>
      <c r="F446" s="23" t="s">
        <v>608</v>
      </c>
      <c r="G446" s="26">
        <f>IF($E446=0,0,IF(SUMIF(Aux_Datos!$B:$B,$I446,Aux_Datos!$K:$K)/$E446&gt;=VLOOKUP(IF(COUNTIFS(Aux_Datos!$B:$B,$I446,Aux_Datos!$D:$D,"&lt;&gt;USD")=0,"USD","VES"),'Limites de Descuento'!$A$2:$D$4,4,FALSE),MAX(0,1-SUMIF(Aux_Datos!$B:$B,$I446,Aux_Datos!$K:$K)/$E446),0))</f>
        <v>0</v>
      </c>
      <c r="H446" s="27"/>
      <c r="I446" s="28">
        <f t="shared" si="20"/>
        <v>542</v>
      </c>
      <c r="J446" s="29">
        <f t="shared" si="2"/>
        <v>46183</v>
      </c>
      <c r="K446" s="30">
        <f t="shared" si="3"/>
        <v>7</v>
      </c>
      <c r="L446" s="29">
        <f t="shared" si="4"/>
        <v>46191</v>
      </c>
      <c r="M446" s="30">
        <f t="shared" si="5"/>
        <v>2049.11</v>
      </c>
      <c r="N446" s="32">
        <f t="shared" si="6"/>
        <v>9</v>
      </c>
      <c r="O446" s="33" t="str">
        <f t="shared" si="7"/>
        <v>VENCIDA</v>
      </c>
      <c r="P446" s="34">
        <f>LET(
  idVenta, I446&amp;"",
  montoTotal, M446,
  pagos, IFERROR(SUMIF(Aux_Datos!$B:$B, idVenta, Aux_Datos!$K:$K), 0),
  retenciones, IFERROR(SUMIF(Aux_Datos!$N:$N, idVenta, Aux_Datos!$R:$R), 0),
  pagos + retenciones
)</f>
        <v>700</v>
      </c>
      <c r="Q446" s="30" t="str">
        <f>IF(P446=0, "Sin Pago", 
  LET(
    idVenta, I446&amp;"",
    montoTotalPagado, P446,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446" s="30">
        <f t="shared" si="17"/>
        <v>1349.11</v>
      </c>
      <c r="S446" s="29">
        <f>IF(P446=0, "Sin Pago", 
  IFERROR(
    MAXIFS(Aux_Datos!$A:$A, Aux_Datos!$B:$B, I446&amp;""), 
    IFERROR(MAXIFS(Aux_Datos!$A:$A, Aux_Datos!$B:$B, VALUE(I446)), "Revisar ID")
  )
)</f>
        <v>46192</v>
      </c>
      <c r="T446" s="35" t="str">
        <f t="shared" si="21"/>
        <v>PAGO PARCIAL</v>
      </c>
      <c r="U446" s="35" t="str">
        <f t="shared" si="10"/>
        <v>CRÍTICO: VENCIDA</v>
      </c>
      <c r="V446" s="32">
        <f t="shared" si="11"/>
        <v>8</v>
      </c>
      <c r="W446" s="36" t="str">
        <f>IF(P446=0, "Sin Pago", 
  LET(
    monedaPago, Q446, 
    descuentoAplicado, G446,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446" s="36" t="str">
        <f t="shared" si="12"/>
        <v/>
      </c>
      <c r="Y446" s="36">
        <v>700.0</v>
      </c>
      <c r="Z446" s="33" t="s">
        <v>609</v>
      </c>
      <c r="AA446" s="33"/>
      <c r="AB446" s="33"/>
      <c r="AC446" s="33"/>
      <c r="AD446" s="33"/>
      <c r="AE446" s="33"/>
      <c r="AF446" s="33"/>
    </row>
    <row r="447" ht="22.5" customHeight="1">
      <c r="A447" s="23" t="s">
        <v>861</v>
      </c>
      <c r="B447" s="41">
        <v>46183.6840625</v>
      </c>
      <c r="C447" s="23" t="s">
        <v>862</v>
      </c>
      <c r="D447" s="23" t="s">
        <v>544</v>
      </c>
      <c r="E447" s="25">
        <v>80.2</v>
      </c>
      <c r="F447" s="23" t="s">
        <v>680</v>
      </c>
      <c r="G447" s="26">
        <f>IF($E447=0,0,IF(SUMIF(Aux_Datos!$B:$B,$I447,Aux_Datos!$K:$K)/$E447&gt;=VLOOKUP(IF(COUNTIFS(Aux_Datos!$B:$B,$I447,Aux_Datos!$D:$D,"&lt;&gt;USD")=0,"USD","VES"),'Limites de Descuento'!$A$2:$D$4,4,FALSE),MAX(0,1-SUMIF(Aux_Datos!$B:$B,$I447,Aux_Datos!$K:$K)/$E447),0))</f>
        <v>0</v>
      </c>
      <c r="H447" s="27"/>
      <c r="I447" s="28">
        <f t="shared" si="20"/>
        <v>543</v>
      </c>
      <c r="J447" s="29">
        <f t="shared" si="2"/>
        <v>46183</v>
      </c>
      <c r="K447" s="30">
        <f t="shared" si="3"/>
        <v>30</v>
      </c>
      <c r="L447" s="29">
        <f t="shared" si="4"/>
        <v>46214</v>
      </c>
      <c r="M447" s="30">
        <f t="shared" si="5"/>
        <v>80.2</v>
      </c>
      <c r="N447" s="32">
        <f t="shared" si="6"/>
        <v>0</v>
      </c>
      <c r="O447" s="33" t="str">
        <f t="shared" si="7"/>
        <v>EN TIEMPO</v>
      </c>
      <c r="P447" s="34">
        <f>LET(
  idVenta, I447&amp;"",
  montoTotal, M447,
  pagos, IFERROR(SUMIF(Aux_Datos!$B:$B, idVenta, Aux_Datos!$K:$K), 0),
  retenciones, IFERROR(SUMIF(Aux_Datos!$N:$N, idVenta, Aux_Datos!$R:$R), 0),
  pagos + retenciones
)</f>
        <v>0</v>
      </c>
      <c r="Q447" s="30" t="str">
        <f>IF(P447=0, "Sin Pago", 
  LET(
    idVenta, I447&amp;"",
    montoTotalPagado, P447,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47" s="30">
        <f t="shared" si="17"/>
        <v>80.2</v>
      </c>
      <c r="S447" s="29" t="str">
        <f>IF(P447=0, "Sin Pago", 
  IFERROR(
    MAXIFS(Aux_Datos!$A:$A, Aux_Datos!$B:$B, I447&amp;""), 
    IFERROR(MAXIFS(Aux_Datos!$A:$A, Aux_Datos!$B:$B, VALUE(I447)), "Revisar ID")
  )
)</f>
        <v>Sin Pago</v>
      </c>
      <c r="T447" s="35" t="str">
        <f t="shared" si="21"/>
        <v>PENDIENTE</v>
      </c>
      <c r="U447" s="35" t="str">
        <f t="shared" si="10"/>
        <v>EN TIEMPO</v>
      </c>
      <c r="V447" s="32">
        <f t="shared" si="11"/>
        <v>0</v>
      </c>
      <c r="W447" s="36" t="str">
        <f>IF(P447=0, "Sin Pago", 
  LET(
    monedaPago, Q447, 
    descuentoAplicado, G447,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47" s="36" t="str">
        <f t="shared" si="12"/>
        <v/>
      </c>
      <c r="Y447" s="36">
        <v>0.0</v>
      </c>
      <c r="Z447" s="33" t="s">
        <v>641</v>
      </c>
      <c r="AA447" s="33"/>
      <c r="AB447" s="33"/>
      <c r="AC447" s="33"/>
      <c r="AD447" s="33"/>
      <c r="AE447" s="33"/>
      <c r="AF447" s="33"/>
    </row>
    <row r="448" ht="22.5" customHeight="1">
      <c r="A448" s="23" t="s">
        <v>380</v>
      </c>
      <c r="B448" s="41">
        <v>46183.68738425926</v>
      </c>
      <c r="C448" s="23" t="s">
        <v>378</v>
      </c>
      <c r="D448" s="23" t="s">
        <v>532</v>
      </c>
      <c r="E448" s="25">
        <v>441.86</v>
      </c>
      <c r="F448" s="23" t="s">
        <v>619</v>
      </c>
      <c r="G448" s="26">
        <f>IF($E448=0,0,IF(SUMIF(Aux_Datos!$B:$B,$I448,Aux_Datos!$K:$K)/$E448&gt;=VLOOKUP(IF(COUNTIFS(Aux_Datos!$B:$B,$I448,Aux_Datos!$D:$D,"&lt;&gt;USD")=0,"USD","VES"),'Limites de Descuento'!$A$2:$D$4,4,FALSE),MAX(0,1-SUMIF(Aux_Datos!$B:$B,$I448,Aux_Datos!$K:$K)/$E448),0))</f>
        <v>0</v>
      </c>
      <c r="H448" s="27"/>
      <c r="I448" s="28">
        <f t="shared" si="20"/>
        <v>544</v>
      </c>
      <c r="J448" s="29">
        <f t="shared" si="2"/>
        <v>46183</v>
      </c>
      <c r="K448" s="30">
        <f t="shared" si="3"/>
        <v>15</v>
      </c>
      <c r="L448" s="29">
        <f t="shared" si="4"/>
        <v>46199</v>
      </c>
      <c r="M448" s="30">
        <f t="shared" si="5"/>
        <v>441.86</v>
      </c>
      <c r="N448" s="32">
        <f t="shared" si="6"/>
        <v>1</v>
      </c>
      <c r="O448" s="33" t="str">
        <f t="shared" si="7"/>
        <v>VENCIDA</v>
      </c>
      <c r="P448" s="34">
        <f>LET(
  idVenta, I448&amp;"",
  montoTotal, M448,
  pagos, IFERROR(SUMIF(Aux_Datos!$B:$B, idVenta, Aux_Datos!$K:$K), 0),
  retenciones, IFERROR(SUMIF(Aux_Datos!$N:$N, idVenta, Aux_Datos!$R:$R), 0),
  pagos + retenciones
)</f>
        <v>0</v>
      </c>
      <c r="Q448" s="30" t="str">
        <f>IF(P448=0, "Sin Pago", 
  LET(
    idVenta, I448&amp;"",
    montoTotalPagado, P448,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48" s="30">
        <f t="shared" si="17"/>
        <v>441.86</v>
      </c>
      <c r="S448" s="29" t="str">
        <f>IF(P448=0, "Sin Pago", 
  IFERROR(
    MAXIFS(Aux_Datos!$A:$A, Aux_Datos!$B:$B, I448&amp;""), 
    IFERROR(MAXIFS(Aux_Datos!$A:$A, Aux_Datos!$B:$B, VALUE(I448)), "Revisar ID")
  )
)</f>
        <v>Sin Pago</v>
      </c>
      <c r="T448" s="35" t="str">
        <f t="shared" si="21"/>
        <v>PENDIENTE</v>
      </c>
      <c r="U448" s="35" t="str">
        <f t="shared" si="10"/>
        <v>CRÍTICO: VENCIDA</v>
      </c>
      <c r="V448" s="32">
        <f t="shared" si="11"/>
        <v>0</v>
      </c>
      <c r="W448" s="36" t="str">
        <f>IF(P448=0, "Sin Pago", 
  LET(
    monedaPago, Q448, 
    descuentoAplicado, G448,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48" s="36" t="str">
        <f t="shared" si="12"/>
        <v/>
      </c>
      <c r="Y448" s="36">
        <v>0.0</v>
      </c>
      <c r="Z448" s="33" t="s">
        <v>641</v>
      </c>
      <c r="AA448" s="33"/>
      <c r="AB448" s="33"/>
      <c r="AC448" s="33"/>
      <c r="AD448" s="33"/>
      <c r="AE448" s="33"/>
      <c r="AF448" s="33"/>
    </row>
    <row r="449" ht="22.5" customHeight="1">
      <c r="A449" s="23" t="s">
        <v>454</v>
      </c>
      <c r="B449" s="41">
        <v>46183.7590162037</v>
      </c>
      <c r="C449" s="23" t="s">
        <v>453</v>
      </c>
      <c r="D449" s="23" t="s">
        <v>546</v>
      </c>
      <c r="E449" s="25">
        <v>118.02</v>
      </c>
      <c r="F449" s="23" t="s">
        <v>608</v>
      </c>
      <c r="G449" s="26">
        <f>IF($E449=0,0,IF(SUMIF(Aux_Datos!$B:$B,$I449,Aux_Datos!$K:$K)/$E449&gt;=VLOOKUP(IF(COUNTIFS(Aux_Datos!$B:$B,$I449,Aux_Datos!$D:$D,"&lt;&gt;USD")=0,"USD","VES"),'Limites de Descuento'!$A$2:$D$4,4,FALSE),MAX(0,1-SUMIF(Aux_Datos!$B:$B,$I449,Aux_Datos!$K:$K)/$E449),0))</f>
        <v>0</v>
      </c>
      <c r="H449" s="27"/>
      <c r="I449" s="28">
        <f t="shared" si="20"/>
        <v>545</v>
      </c>
      <c r="J449" s="29">
        <f t="shared" si="2"/>
        <v>46183</v>
      </c>
      <c r="K449" s="30">
        <f t="shared" si="3"/>
        <v>7</v>
      </c>
      <c r="L449" s="29">
        <f t="shared" si="4"/>
        <v>46191</v>
      </c>
      <c r="M449" s="30">
        <f t="shared" si="5"/>
        <v>118.02</v>
      </c>
      <c r="N449" s="32">
        <f t="shared" si="6"/>
        <v>9</v>
      </c>
      <c r="O449" s="33" t="str">
        <f t="shared" si="7"/>
        <v>VENCIDA</v>
      </c>
      <c r="P449" s="34">
        <f>LET(
  idVenta, I449&amp;"",
  montoTotal, M449,
  pagos, IFERROR(SUMIF(Aux_Datos!$B:$B, idVenta, Aux_Datos!$K:$K), 0),
  retenciones, IFERROR(SUMIF(Aux_Datos!$N:$N, idVenta, Aux_Datos!$R:$R), 0),
  pagos + retenciones
)</f>
        <v>0</v>
      </c>
      <c r="Q449" s="30" t="str">
        <f>IF(P449=0, "Sin Pago", 
  LET(
    idVenta, I449&amp;"",
    montoTotalPagado, P449,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49" s="30">
        <f t="shared" si="17"/>
        <v>118.02</v>
      </c>
      <c r="S449" s="29" t="str">
        <f>IF(P449=0, "Sin Pago", 
  IFERROR(
    MAXIFS(Aux_Datos!$A:$A, Aux_Datos!$B:$B, I449&amp;""), 
    IFERROR(MAXIFS(Aux_Datos!$A:$A, Aux_Datos!$B:$B, VALUE(I449)), "Revisar ID")
  )
)</f>
        <v>Sin Pago</v>
      </c>
      <c r="T449" s="35" t="str">
        <f t="shared" si="21"/>
        <v>PENDIENTE</v>
      </c>
      <c r="U449" s="35" t="str">
        <f t="shared" si="10"/>
        <v>CRÍTICO: VENCIDA</v>
      </c>
      <c r="V449" s="32">
        <f t="shared" si="11"/>
        <v>0</v>
      </c>
      <c r="W449" s="36" t="str">
        <f>IF(P449=0, "Sin Pago", 
  LET(
    monedaPago, Q449, 
    descuentoAplicado, G449,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49" s="36" t="str">
        <f t="shared" si="12"/>
        <v/>
      </c>
      <c r="Y449" s="36">
        <v>0.0</v>
      </c>
      <c r="Z449" s="33" t="s">
        <v>641</v>
      </c>
      <c r="AA449" s="33"/>
      <c r="AB449" s="33"/>
      <c r="AC449" s="33"/>
      <c r="AD449" s="33"/>
      <c r="AE449" s="33"/>
      <c r="AF449" s="33"/>
    </row>
    <row r="450" ht="22.5" customHeight="1">
      <c r="A450" s="23" t="s">
        <v>863</v>
      </c>
      <c r="B450" s="41">
        <v>46184.62368055555</v>
      </c>
      <c r="C450" s="23" t="s">
        <v>252</v>
      </c>
      <c r="D450" s="23" t="s">
        <v>353</v>
      </c>
      <c r="E450" s="25">
        <v>399.14</v>
      </c>
      <c r="F450" s="23" t="s">
        <v>619</v>
      </c>
      <c r="G450" s="26">
        <f>IF($E450=0,0,IF(SUMIF(Aux_Datos!$B:$B,$I450,Aux_Datos!$K:$K)/$E450&gt;=VLOOKUP(IF(COUNTIFS(Aux_Datos!$B:$B,$I450,Aux_Datos!$D:$D,"&lt;&gt;USD")=0,"USD","VES"),'Limites de Descuento'!$A$2:$D$4,4,FALSE),MAX(0,1-SUMIF(Aux_Datos!$B:$B,$I450,Aux_Datos!$K:$K)/$E450),0))</f>
        <v>0</v>
      </c>
      <c r="H450" s="27"/>
      <c r="I450" s="28">
        <f t="shared" si="20"/>
        <v>546</v>
      </c>
      <c r="J450" s="29">
        <f t="shared" si="2"/>
        <v>46184</v>
      </c>
      <c r="K450" s="30">
        <f t="shared" si="3"/>
        <v>15</v>
      </c>
      <c r="L450" s="29">
        <f t="shared" si="4"/>
        <v>46200</v>
      </c>
      <c r="M450" s="30">
        <f t="shared" si="5"/>
        <v>399.14</v>
      </c>
      <c r="N450" s="32">
        <f t="shared" si="6"/>
        <v>0</v>
      </c>
      <c r="O450" s="33" t="str">
        <f t="shared" si="7"/>
        <v>EN TIEMPO</v>
      </c>
      <c r="P450" s="34">
        <f>LET(
  idVenta, I450&amp;"",
  montoTotal, M450,
  pagos, IFERROR(SUMIF(Aux_Datos!$B:$B, idVenta, Aux_Datos!$K:$K), 0),
  retenciones, IFERROR(SUMIF(Aux_Datos!$N:$N, idVenta, Aux_Datos!$R:$R), 0),
  pagos + retenciones
)</f>
        <v>0</v>
      </c>
      <c r="Q450" s="30" t="str">
        <f>IF(P450=0, "Sin Pago", 
  LET(
    idVenta, I450&amp;"",
    montoTotalPagado, P450,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50" s="30">
        <f t="shared" si="17"/>
        <v>399.14</v>
      </c>
      <c r="S450" s="29" t="str">
        <f>IF(P450=0, "Sin Pago", 
  IFERROR(
    MAXIFS(Aux_Datos!$A:$A, Aux_Datos!$B:$B, I450&amp;""), 
    IFERROR(MAXIFS(Aux_Datos!$A:$A, Aux_Datos!$B:$B, VALUE(I450)), "Revisar ID")
  )
)</f>
        <v>Sin Pago</v>
      </c>
      <c r="T450" s="35" t="str">
        <f t="shared" si="21"/>
        <v>PENDIENTE</v>
      </c>
      <c r="U450" s="35" t="str">
        <f t="shared" si="10"/>
        <v>EN TIEMPO</v>
      </c>
      <c r="V450" s="32">
        <f t="shared" si="11"/>
        <v>0</v>
      </c>
      <c r="W450" s="36" t="str">
        <f>IF(P450=0, "Sin Pago", 
  LET(
    monedaPago, Q450, 
    descuentoAplicado, G450,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50" s="36" t="str">
        <f t="shared" si="12"/>
        <v/>
      </c>
      <c r="Y450" s="36">
        <v>0.0</v>
      </c>
      <c r="Z450" s="33" t="s">
        <v>641</v>
      </c>
      <c r="AA450" s="33"/>
      <c r="AB450" s="33"/>
      <c r="AC450" s="33"/>
      <c r="AD450" s="33"/>
      <c r="AE450" s="33"/>
      <c r="AF450" s="33"/>
    </row>
    <row r="451" ht="22.5" customHeight="1">
      <c r="A451" s="23" t="s">
        <v>462</v>
      </c>
      <c r="B451" s="41">
        <v>46184.6247337963</v>
      </c>
      <c r="C451" s="23" t="s">
        <v>461</v>
      </c>
      <c r="D451" s="23" t="s">
        <v>535</v>
      </c>
      <c r="E451" s="25">
        <v>114.04</v>
      </c>
      <c r="F451" s="23" t="s">
        <v>608</v>
      </c>
      <c r="G451" s="26">
        <f>IF($E451=0,0,IF(SUMIF(Aux_Datos!$B:$B,$I451,Aux_Datos!$K:$K)/$E451&gt;=VLOOKUP(IF(COUNTIFS(Aux_Datos!$B:$B,$I451,Aux_Datos!$D:$D,"&lt;&gt;USD")=0,"USD","VES"),'Limites de Descuento'!$A$2:$D$4,4,FALSE),MAX(0,1-SUMIF(Aux_Datos!$B:$B,$I451,Aux_Datos!$K:$K)/$E451),0))</f>
        <v>0</v>
      </c>
      <c r="H451" s="27"/>
      <c r="I451" s="28">
        <f t="shared" si="20"/>
        <v>547</v>
      </c>
      <c r="J451" s="29">
        <f t="shared" si="2"/>
        <v>46184</v>
      </c>
      <c r="K451" s="30">
        <f t="shared" si="3"/>
        <v>7</v>
      </c>
      <c r="L451" s="29">
        <f t="shared" si="4"/>
        <v>46192</v>
      </c>
      <c r="M451" s="30">
        <f t="shared" si="5"/>
        <v>114.04</v>
      </c>
      <c r="N451" s="32">
        <f t="shared" si="6"/>
        <v>8</v>
      </c>
      <c r="O451" s="33" t="str">
        <f t="shared" si="7"/>
        <v>VENCIDA</v>
      </c>
      <c r="P451" s="34">
        <f>LET(
  idVenta, I451&amp;"",
  montoTotal, M451,
  pagos, IFERROR(SUMIF(Aux_Datos!$B:$B, idVenta, Aux_Datos!$K:$K), 0),
  retenciones, IFERROR(SUMIF(Aux_Datos!$N:$N, idVenta, Aux_Datos!$R:$R), 0),
  pagos + retenciones
)</f>
        <v>0</v>
      </c>
      <c r="Q451" s="30" t="str">
        <f>IF(P451=0, "Sin Pago", 
  LET(
    idVenta, I451&amp;"",
    montoTotalPagado, P451,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51" s="30">
        <f t="shared" si="17"/>
        <v>114.04</v>
      </c>
      <c r="S451" s="29" t="str">
        <f>IF(P451=0, "Sin Pago", 
  IFERROR(
    MAXIFS(Aux_Datos!$A:$A, Aux_Datos!$B:$B, I451&amp;""), 
    IFERROR(MAXIFS(Aux_Datos!$A:$A, Aux_Datos!$B:$B, VALUE(I451)), "Revisar ID")
  )
)</f>
        <v>Sin Pago</v>
      </c>
      <c r="T451" s="35" t="str">
        <f t="shared" si="21"/>
        <v>PENDIENTE</v>
      </c>
      <c r="U451" s="35" t="str">
        <f t="shared" si="10"/>
        <v>CRÍTICO: VENCIDA</v>
      </c>
      <c r="V451" s="32">
        <f t="shared" si="11"/>
        <v>0</v>
      </c>
      <c r="W451" s="36" t="str">
        <f>IF(P451=0, "Sin Pago", 
  LET(
    monedaPago, Q451, 
    descuentoAplicado, G451,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51" s="36" t="str">
        <f t="shared" si="12"/>
        <v/>
      </c>
      <c r="Y451" s="36">
        <v>0.0</v>
      </c>
      <c r="Z451" s="33" t="s">
        <v>641</v>
      </c>
      <c r="AA451" s="33"/>
      <c r="AB451" s="33"/>
      <c r="AC451" s="33"/>
      <c r="AD451" s="33"/>
      <c r="AE451" s="33"/>
      <c r="AF451" s="33"/>
    </row>
    <row r="452" ht="22.5" customHeight="1">
      <c r="A452" s="23" t="s">
        <v>286</v>
      </c>
      <c r="B452" s="41">
        <v>46184.63560185185</v>
      </c>
      <c r="C452" s="23" t="s">
        <v>284</v>
      </c>
      <c r="D452" s="23" t="s">
        <v>544</v>
      </c>
      <c r="E452" s="25">
        <v>363.13</v>
      </c>
      <c r="F452" s="23" t="s">
        <v>608</v>
      </c>
      <c r="G452" s="26">
        <f>IF($E452=0,0,IF(SUMIF(Aux_Datos!$B:$B,$I452,Aux_Datos!$K:$K)/$E452&gt;=VLOOKUP(IF(COUNTIFS(Aux_Datos!$B:$B,$I452,Aux_Datos!$D:$D,"&lt;&gt;USD")=0,"USD","VES"),'Limites de Descuento'!$A$2:$D$4,4,FALSE),MAX(0,1-SUMIF(Aux_Datos!$B:$B,$I452,Aux_Datos!$K:$K)/$E452),0))</f>
        <v>0</v>
      </c>
      <c r="H452" s="27"/>
      <c r="I452" s="28">
        <f t="shared" si="20"/>
        <v>549</v>
      </c>
      <c r="J452" s="29">
        <f t="shared" si="2"/>
        <v>46184</v>
      </c>
      <c r="K452" s="30">
        <f t="shared" si="3"/>
        <v>7</v>
      </c>
      <c r="L452" s="29">
        <f t="shared" si="4"/>
        <v>46192</v>
      </c>
      <c r="M452" s="30">
        <f t="shared" si="5"/>
        <v>363.13</v>
      </c>
      <c r="N452" s="32">
        <f t="shared" si="6"/>
        <v>8</v>
      </c>
      <c r="O452" s="33" t="str">
        <f t="shared" si="7"/>
        <v>VENCIDA</v>
      </c>
      <c r="P452" s="34">
        <f>LET(
  idVenta, I452&amp;"",
  montoTotal, M452,
  pagos, IFERROR(SUMIF(Aux_Datos!$B:$B, idVenta, Aux_Datos!$K:$K), 0),
  retenciones, IFERROR(SUMIF(Aux_Datos!$N:$N, idVenta, Aux_Datos!$R:$R), 0),
  pagos + retenciones
)</f>
        <v>0</v>
      </c>
      <c r="Q452" s="30" t="str">
        <f>IF(P452=0, "Sin Pago", 
  LET(
    idVenta, I452&amp;"",
    montoTotalPagado, P452,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52" s="30">
        <f t="shared" si="17"/>
        <v>363.13</v>
      </c>
      <c r="S452" s="29" t="str">
        <f>IF(P452=0, "Sin Pago", 
  IFERROR(
    MAXIFS(Aux_Datos!$A:$A, Aux_Datos!$B:$B, I452&amp;""), 
    IFERROR(MAXIFS(Aux_Datos!$A:$A, Aux_Datos!$B:$B, VALUE(I452)), "Revisar ID")
  )
)</f>
        <v>Sin Pago</v>
      </c>
      <c r="T452" s="35" t="str">
        <f t="shared" si="21"/>
        <v>PENDIENTE</v>
      </c>
      <c r="U452" s="35" t="str">
        <f t="shared" si="10"/>
        <v>CRÍTICO: VENCIDA</v>
      </c>
      <c r="V452" s="32">
        <f t="shared" si="11"/>
        <v>0</v>
      </c>
      <c r="W452" s="36" t="str">
        <f>IF(P452=0, "Sin Pago", 
  LET(
    monedaPago, Q452, 
    descuentoAplicado, G452,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52" s="36" t="str">
        <f t="shared" si="12"/>
        <v/>
      </c>
      <c r="Y452" s="36">
        <v>0.0</v>
      </c>
      <c r="Z452" s="33" t="s">
        <v>641</v>
      </c>
      <c r="AA452" s="33"/>
      <c r="AB452" s="33"/>
      <c r="AC452" s="33"/>
      <c r="AD452" s="33"/>
      <c r="AE452" s="33"/>
      <c r="AF452" s="33"/>
    </row>
    <row r="453" ht="22.5" customHeight="1">
      <c r="A453" s="23" t="s">
        <v>474</v>
      </c>
      <c r="B453" s="41">
        <v>46184.64210648148</v>
      </c>
      <c r="C453" s="23" t="s">
        <v>473</v>
      </c>
      <c r="D453" s="23" t="s">
        <v>544</v>
      </c>
      <c r="E453" s="25">
        <v>519.17</v>
      </c>
      <c r="F453" s="23" t="s">
        <v>608</v>
      </c>
      <c r="G453" s="26">
        <f>IF($E453=0,0,IF(SUMIF(Aux_Datos!$B:$B,$I453,Aux_Datos!$K:$K)/$E453&gt;=VLOOKUP(IF(COUNTIFS(Aux_Datos!$B:$B,$I453,Aux_Datos!$D:$D,"&lt;&gt;USD")=0,"USD","VES"),'Limites de Descuento'!$A$2:$D$4,4,FALSE),MAX(0,1-SUMIF(Aux_Datos!$B:$B,$I453,Aux_Datos!$K:$K)/$E453),0))</f>
        <v>0</v>
      </c>
      <c r="H453" s="27"/>
      <c r="I453" s="28">
        <f t="shared" si="20"/>
        <v>550</v>
      </c>
      <c r="J453" s="29">
        <f t="shared" si="2"/>
        <v>46184</v>
      </c>
      <c r="K453" s="30">
        <f t="shared" si="3"/>
        <v>7</v>
      </c>
      <c r="L453" s="29">
        <f t="shared" si="4"/>
        <v>46192</v>
      </c>
      <c r="M453" s="30">
        <f t="shared" si="5"/>
        <v>519.17</v>
      </c>
      <c r="N453" s="32">
        <f t="shared" si="6"/>
        <v>8</v>
      </c>
      <c r="O453" s="33" t="str">
        <f t="shared" si="7"/>
        <v>VENCIDA</v>
      </c>
      <c r="P453" s="34">
        <f>LET(
  idVenta, I453&amp;"",
  montoTotal, M453,
  pagos, IFERROR(SUMIF(Aux_Datos!$B:$B, idVenta, Aux_Datos!$K:$K), 0),
  retenciones, IFERROR(SUMIF(Aux_Datos!$N:$N, idVenta, Aux_Datos!$R:$R), 0),
  pagos + retenciones
)</f>
        <v>0</v>
      </c>
      <c r="Q453" s="30" t="str">
        <f>IF(P453=0, "Sin Pago", 
  LET(
    idVenta, I453&amp;"",
    montoTotalPagado, P453,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53" s="30">
        <f t="shared" si="17"/>
        <v>519.17</v>
      </c>
      <c r="S453" s="29" t="str">
        <f>IF(P453=0, "Sin Pago", 
  IFERROR(
    MAXIFS(Aux_Datos!$A:$A, Aux_Datos!$B:$B, I453&amp;""), 
    IFERROR(MAXIFS(Aux_Datos!$A:$A, Aux_Datos!$B:$B, VALUE(I453)), "Revisar ID")
  )
)</f>
        <v>Sin Pago</v>
      </c>
      <c r="T453" s="35" t="str">
        <f t="shared" si="21"/>
        <v>PENDIENTE</v>
      </c>
      <c r="U453" s="35" t="str">
        <f t="shared" si="10"/>
        <v>CRÍTICO: VENCIDA</v>
      </c>
      <c r="V453" s="32">
        <f t="shared" si="11"/>
        <v>0</v>
      </c>
      <c r="W453" s="36" t="str">
        <f>IF(P453=0, "Sin Pago", 
  LET(
    monedaPago, Q453, 
    descuentoAplicado, G453,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53" s="36" t="str">
        <f t="shared" si="12"/>
        <v/>
      </c>
      <c r="Y453" s="36">
        <v>0.0</v>
      </c>
      <c r="Z453" s="33" t="s">
        <v>641</v>
      </c>
      <c r="AA453" s="33"/>
      <c r="AB453" s="33"/>
      <c r="AC453" s="33"/>
      <c r="AD453" s="33"/>
      <c r="AE453" s="33"/>
      <c r="AF453" s="33"/>
    </row>
    <row r="454" ht="22.5" customHeight="1">
      <c r="A454" s="23" t="s">
        <v>466</v>
      </c>
      <c r="B454" s="41">
        <v>46184.670902777776</v>
      </c>
      <c r="C454" s="23" t="s">
        <v>465</v>
      </c>
      <c r="D454" s="23" t="s">
        <v>353</v>
      </c>
      <c r="E454" s="25">
        <v>424.63</v>
      </c>
      <c r="F454" s="23" t="s">
        <v>608</v>
      </c>
      <c r="G454" s="26">
        <f>IF($E454=0,0,IF(SUMIF(Aux_Datos!$B:$B,$I454,Aux_Datos!$K:$K)/$E454&gt;=VLOOKUP(IF(COUNTIFS(Aux_Datos!$B:$B,$I454,Aux_Datos!$D:$D,"&lt;&gt;USD")=0,"USD","VES"),'Limites de Descuento'!$A$2:$D$4,4,FALSE),MAX(0,1-SUMIF(Aux_Datos!$B:$B,$I454,Aux_Datos!$K:$K)/$E454),0))</f>
        <v>0</v>
      </c>
      <c r="H454" s="27"/>
      <c r="I454" s="28">
        <f t="shared" si="20"/>
        <v>551</v>
      </c>
      <c r="J454" s="29">
        <f t="shared" si="2"/>
        <v>46184</v>
      </c>
      <c r="K454" s="30">
        <f t="shared" si="3"/>
        <v>7</v>
      </c>
      <c r="L454" s="29">
        <f t="shared" si="4"/>
        <v>46192</v>
      </c>
      <c r="M454" s="30">
        <f t="shared" si="5"/>
        <v>424.63</v>
      </c>
      <c r="N454" s="32">
        <f t="shared" si="6"/>
        <v>8</v>
      </c>
      <c r="O454" s="33" t="str">
        <f t="shared" si="7"/>
        <v>VENCIDA</v>
      </c>
      <c r="P454" s="34">
        <f>LET(
  idVenta, I454&amp;"",
  montoTotal, M454,
  pagos, IFERROR(SUMIF(Aux_Datos!$B:$B, idVenta, Aux_Datos!$K:$K), 0),
  retenciones, IFERROR(SUMIF(Aux_Datos!$N:$N, idVenta, Aux_Datos!$R:$R), 0),
  pagos + retenciones
)</f>
        <v>0</v>
      </c>
      <c r="Q454" s="30" t="str">
        <f>IF(P454=0, "Sin Pago", 
  LET(
    idVenta, I454&amp;"",
    montoTotalPagado, P454,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54" s="30">
        <f t="shared" si="17"/>
        <v>424.63</v>
      </c>
      <c r="S454" s="29" t="str">
        <f>IF(P454=0, "Sin Pago", 
  IFERROR(
    MAXIFS(Aux_Datos!$A:$A, Aux_Datos!$B:$B, I454&amp;""), 
    IFERROR(MAXIFS(Aux_Datos!$A:$A, Aux_Datos!$B:$B, VALUE(I454)), "Revisar ID")
  )
)</f>
        <v>Sin Pago</v>
      </c>
      <c r="T454" s="35" t="str">
        <f t="shared" si="21"/>
        <v>PENDIENTE</v>
      </c>
      <c r="U454" s="35" t="str">
        <f t="shared" si="10"/>
        <v>CRÍTICO: VENCIDA</v>
      </c>
      <c r="V454" s="32">
        <f t="shared" si="11"/>
        <v>0</v>
      </c>
      <c r="W454" s="36" t="str">
        <f>IF(P454=0, "Sin Pago", 
  LET(
    monedaPago, Q454, 
    descuentoAplicado, G454,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54" s="36" t="str">
        <f t="shared" si="12"/>
        <v/>
      </c>
      <c r="Y454" s="36">
        <v>0.0</v>
      </c>
      <c r="Z454" s="33" t="s">
        <v>641</v>
      </c>
      <c r="AA454" s="33"/>
      <c r="AB454" s="33"/>
      <c r="AC454" s="33"/>
      <c r="AD454" s="33"/>
      <c r="AE454" s="33"/>
      <c r="AF454" s="33"/>
    </row>
    <row r="455" ht="22.5" customHeight="1">
      <c r="A455" s="23" t="s">
        <v>464</v>
      </c>
      <c r="B455" s="41">
        <v>46184.70991898148</v>
      </c>
      <c r="C455" s="23" t="s">
        <v>463</v>
      </c>
      <c r="D455" s="23" t="s">
        <v>538</v>
      </c>
      <c r="E455" s="25">
        <v>373.62</v>
      </c>
      <c r="F455" s="23" t="s">
        <v>608</v>
      </c>
      <c r="G455" s="26">
        <f>IF($E455=0,0,IF(SUMIF(Aux_Datos!$B:$B,$I455,Aux_Datos!$K:$K)/$E455&gt;=VLOOKUP(IF(COUNTIFS(Aux_Datos!$B:$B,$I455,Aux_Datos!$D:$D,"&lt;&gt;USD")=0,"USD","VES"),'Limites de Descuento'!$A$2:$D$4,4,FALSE),MAX(0,1-SUMIF(Aux_Datos!$B:$B,$I455,Aux_Datos!$K:$K)/$E455),0))</f>
        <v>0</v>
      </c>
      <c r="H455" s="27"/>
      <c r="I455" s="28">
        <f t="shared" si="20"/>
        <v>552</v>
      </c>
      <c r="J455" s="29">
        <f t="shared" si="2"/>
        <v>46184</v>
      </c>
      <c r="K455" s="30">
        <f t="shared" si="3"/>
        <v>7</v>
      </c>
      <c r="L455" s="29">
        <f t="shared" si="4"/>
        <v>46192</v>
      </c>
      <c r="M455" s="30">
        <f t="shared" si="5"/>
        <v>373.62</v>
      </c>
      <c r="N455" s="32">
        <f t="shared" si="6"/>
        <v>8</v>
      </c>
      <c r="O455" s="33" t="str">
        <f t="shared" si="7"/>
        <v>VENCIDA</v>
      </c>
      <c r="P455" s="34">
        <f>LET(
  idVenta, I455&amp;"",
  montoTotal, M455,
  pagos, IFERROR(SUMIF(Aux_Datos!$B:$B, idVenta, Aux_Datos!$K:$K), 0),
  retenciones, IFERROR(SUMIF(Aux_Datos!$N:$N, idVenta, Aux_Datos!$R:$R), 0),
  pagos + retenciones
)</f>
        <v>0</v>
      </c>
      <c r="Q455" s="30" t="str">
        <f>IF(P455=0, "Sin Pago", 
  LET(
    idVenta, I455&amp;"",
    montoTotalPagado, P455,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55" s="30">
        <f t="shared" si="17"/>
        <v>373.62</v>
      </c>
      <c r="S455" s="29" t="str">
        <f>IF(P455=0, "Sin Pago", 
  IFERROR(
    MAXIFS(Aux_Datos!$A:$A, Aux_Datos!$B:$B, I455&amp;""), 
    IFERROR(MAXIFS(Aux_Datos!$A:$A, Aux_Datos!$B:$B, VALUE(I455)), "Revisar ID")
  )
)</f>
        <v>Sin Pago</v>
      </c>
      <c r="T455" s="35" t="str">
        <f t="shared" si="21"/>
        <v>PENDIENTE</v>
      </c>
      <c r="U455" s="35" t="str">
        <f t="shared" si="10"/>
        <v>CRÍTICO: VENCIDA</v>
      </c>
      <c r="V455" s="32">
        <f t="shared" si="11"/>
        <v>0</v>
      </c>
      <c r="W455" s="36" t="str">
        <f>IF(P455=0, "Sin Pago", 
  LET(
    monedaPago, Q455, 
    descuentoAplicado, G455,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55" s="36" t="str">
        <f t="shared" si="12"/>
        <v/>
      </c>
      <c r="Y455" s="36">
        <v>0.0</v>
      </c>
      <c r="Z455" s="33" t="s">
        <v>641</v>
      </c>
      <c r="AA455" s="33"/>
      <c r="AB455" s="33"/>
      <c r="AC455" s="33"/>
      <c r="AD455" s="33"/>
      <c r="AE455" s="33"/>
      <c r="AF455" s="33"/>
    </row>
    <row r="456" ht="22.5" customHeight="1">
      <c r="A456" s="23" t="s">
        <v>472</v>
      </c>
      <c r="B456" s="41">
        <v>46184.70976851852</v>
      </c>
      <c r="C456" s="23" t="s">
        <v>471</v>
      </c>
      <c r="D456" s="23" t="s">
        <v>538</v>
      </c>
      <c r="E456" s="25">
        <v>349.62</v>
      </c>
      <c r="F456" s="23" t="s">
        <v>608</v>
      </c>
      <c r="G456" s="26">
        <f>IF($E456=0,0,IF(SUMIF(Aux_Datos!$B:$B,$I456,Aux_Datos!$K:$K)/$E456&gt;=VLOOKUP(IF(COUNTIFS(Aux_Datos!$B:$B,$I456,Aux_Datos!$D:$D,"&lt;&gt;USD")=0,"USD","VES"),'Limites de Descuento'!$A$2:$D$4,4,FALSE),MAX(0,1-SUMIF(Aux_Datos!$B:$B,$I456,Aux_Datos!$K:$K)/$E456),0))</f>
        <v>0</v>
      </c>
      <c r="H456" s="27"/>
      <c r="I456" s="28">
        <f t="shared" si="20"/>
        <v>553</v>
      </c>
      <c r="J456" s="29">
        <f t="shared" si="2"/>
        <v>46184</v>
      </c>
      <c r="K456" s="30">
        <f t="shared" si="3"/>
        <v>7</v>
      </c>
      <c r="L456" s="29">
        <f t="shared" si="4"/>
        <v>46192</v>
      </c>
      <c r="M456" s="30">
        <f t="shared" si="5"/>
        <v>349.62</v>
      </c>
      <c r="N456" s="32">
        <f t="shared" si="6"/>
        <v>8</v>
      </c>
      <c r="O456" s="33" t="str">
        <f t="shared" si="7"/>
        <v>VENCIDA</v>
      </c>
      <c r="P456" s="34">
        <f>LET(
  idVenta, I456&amp;"",
  montoTotal, M456,
  pagos, IFERROR(SUMIF(Aux_Datos!$B:$B, idVenta, Aux_Datos!$K:$K), 0),
  retenciones, IFERROR(SUMIF(Aux_Datos!$N:$N, idVenta, Aux_Datos!$R:$R), 0),
  pagos + retenciones
)</f>
        <v>0</v>
      </c>
      <c r="Q456" s="30" t="str">
        <f>IF(P456=0, "Sin Pago", 
  LET(
    idVenta, I456&amp;"",
    montoTotalPagado, P456,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56" s="30">
        <f t="shared" si="17"/>
        <v>349.62</v>
      </c>
      <c r="S456" s="29" t="str">
        <f>IF(P456=0, "Sin Pago", 
  IFERROR(
    MAXIFS(Aux_Datos!$A:$A, Aux_Datos!$B:$B, I456&amp;""), 
    IFERROR(MAXIFS(Aux_Datos!$A:$A, Aux_Datos!$B:$B, VALUE(I456)), "Revisar ID")
  )
)</f>
        <v>Sin Pago</v>
      </c>
      <c r="T456" s="35" t="str">
        <f t="shared" si="21"/>
        <v>PENDIENTE</v>
      </c>
      <c r="U456" s="35" t="str">
        <f t="shared" si="10"/>
        <v>CRÍTICO: VENCIDA</v>
      </c>
      <c r="V456" s="32">
        <f t="shared" si="11"/>
        <v>0</v>
      </c>
      <c r="W456" s="36" t="str">
        <f>IF(P456=0, "Sin Pago", 
  LET(
    monedaPago, Q456, 
    descuentoAplicado, G456,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56" s="36" t="str">
        <f t="shared" si="12"/>
        <v/>
      </c>
      <c r="Y456" s="36">
        <v>0.0</v>
      </c>
      <c r="Z456" s="33" t="s">
        <v>641</v>
      </c>
      <c r="AA456" s="33"/>
      <c r="AB456" s="33"/>
      <c r="AC456" s="33"/>
      <c r="AD456" s="33"/>
      <c r="AE456" s="33"/>
      <c r="AF456" s="33"/>
    </row>
    <row r="457" ht="22.5" customHeight="1">
      <c r="A457" s="23" t="s">
        <v>468</v>
      </c>
      <c r="B457" s="41">
        <v>46184.711875</v>
      </c>
      <c r="C457" s="23" t="s">
        <v>467</v>
      </c>
      <c r="D457" s="23" t="s">
        <v>546</v>
      </c>
      <c r="E457" s="25">
        <v>117.05</v>
      </c>
      <c r="F457" s="23" t="s">
        <v>608</v>
      </c>
      <c r="G457" s="26">
        <f>IF($E457=0,0,IF(SUMIF(Aux_Datos!$B:$B,$I457,Aux_Datos!$K:$K)/$E457&gt;=VLOOKUP(IF(COUNTIFS(Aux_Datos!$B:$B,$I457,Aux_Datos!$D:$D,"&lt;&gt;USD")=0,"USD","VES"),'Limites de Descuento'!$A$2:$D$4,4,FALSE),MAX(0,1-SUMIF(Aux_Datos!$B:$B,$I457,Aux_Datos!$K:$K)/$E457),0))</f>
        <v>0</v>
      </c>
      <c r="H457" s="27"/>
      <c r="I457" s="28">
        <f t="shared" si="20"/>
        <v>554</v>
      </c>
      <c r="J457" s="29">
        <f t="shared" si="2"/>
        <v>46184</v>
      </c>
      <c r="K457" s="30">
        <f t="shared" si="3"/>
        <v>7</v>
      </c>
      <c r="L457" s="29">
        <f t="shared" si="4"/>
        <v>46192</v>
      </c>
      <c r="M457" s="30">
        <f t="shared" si="5"/>
        <v>117.05</v>
      </c>
      <c r="N457" s="32">
        <f t="shared" si="6"/>
        <v>8</v>
      </c>
      <c r="O457" s="33" t="str">
        <f t="shared" si="7"/>
        <v>VENCIDA</v>
      </c>
      <c r="P457" s="34">
        <f>LET(
  idVenta, I457&amp;"",
  montoTotal, M457,
  pagos, IFERROR(SUMIF(Aux_Datos!$B:$B, idVenta, Aux_Datos!$K:$K), 0),
  retenciones, IFERROR(SUMIF(Aux_Datos!$N:$N, idVenta, Aux_Datos!$R:$R), 0),
  pagos + retenciones
)</f>
        <v>0</v>
      </c>
      <c r="Q457" s="30" t="str">
        <f>IF(P457=0, "Sin Pago", 
  LET(
    idVenta, I457&amp;"",
    montoTotalPagado, P457,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57" s="30">
        <f t="shared" si="17"/>
        <v>117.05</v>
      </c>
      <c r="S457" s="29" t="str">
        <f>IF(P457=0, "Sin Pago", 
  IFERROR(
    MAXIFS(Aux_Datos!$A:$A, Aux_Datos!$B:$B, I457&amp;""), 
    IFERROR(MAXIFS(Aux_Datos!$A:$A, Aux_Datos!$B:$B, VALUE(I457)), "Revisar ID")
  )
)</f>
        <v>Sin Pago</v>
      </c>
      <c r="T457" s="35" t="str">
        <f t="shared" si="21"/>
        <v>PENDIENTE</v>
      </c>
      <c r="U457" s="35" t="str">
        <f t="shared" si="10"/>
        <v>CRÍTICO: VENCIDA</v>
      </c>
      <c r="V457" s="32">
        <f t="shared" si="11"/>
        <v>0</v>
      </c>
      <c r="W457" s="36" t="str">
        <f>IF(P457=0, "Sin Pago", 
  LET(
    monedaPago, Q457, 
    descuentoAplicado, G457,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57" s="36" t="str">
        <f t="shared" si="12"/>
        <v/>
      </c>
      <c r="Y457" s="36">
        <v>0.0</v>
      </c>
      <c r="Z457" s="33" t="s">
        <v>641</v>
      </c>
      <c r="AA457" s="33"/>
      <c r="AB457" s="33"/>
      <c r="AC457" s="33"/>
      <c r="AD457" s="33"/>
      <c r="AE457" s="33"/>
      <c r="AF457" s="33"/>
    </row>
    <row r="458" ht="22.5" customHeight="1">
      <c r="A458" s="23" t="s">
        <v>864</v>
      </c>
      <c r="B458" s="41">
        <v>46192.57922453704</v>
      </c>
      <c r="C458" s="23" t="s">
        <v>799</v>
      </c>
      <c r="D458" s="23" t="s">
        <v>208</v>
      </c>
      <c r="E458" s="25">
        <v>21577.54</v>
      </c>
      <c r="F458" s="23" t="s">
        <v>608</v>
      </c>
      <c r="G458" s="26">
        <f>IF($E458=0,0,IF(SUMIF(Aux_Datos!$B:$B,$I458,Aux_Datos!$K:$K)/$E458&gt;=VLOOKUP(IF(COUNTIFS(Aux_Datos!$B:$B,$I458,Aux_Datos!$D:$D,"&lt;&gt;USD")=0,"USD","VES"),'Limites de Descuento'!$A$2:$D$4,4,FALSE),MAX(0,1-SUMIF(Aux_Datos!$B:$B,$I458,Aux_Datos!$K:$K)/$E458),0))</f>
        <v>0</v>
      </c>
      <c r="H458" s="27"/>
      <c r="I458" s="28">
        <f t="shared" si="20"/>
        <v>555</v>
      </c>
      <c r="J458" s="29">
        <f t="shared" si="2"/>
        <v>46192</v>
      </c>
      <c r="K458" s="30">
        <f t="shared" si="3"/>
        <v>7</v>
      </c>
      <c r="L458" s="29">
        <f t="shared" si="4"/>
        <v>46200</v>
      </c>
      <c r="M458" s="30">
        <f t="shared" si="5"/>
        <v>21577.54</v>
      </c>
      <c r="N458" s="32">
        <f t="shared" si="6"/>
        <v>0</v>
      </c>
      <c r="O458" s="33" t="str">
        <f t="shared" si="7"/>
        <v>PAGADA</v>
      </c>
      <c r="P458" s="34">
        <f>LET(
  idVenta, I458&amp;"",
  montoTotal, M458,
  pagos, IFERROR(SUMIF(Aux_Datos!$B:$B, idVenta, Aux_Datos!$K:$K), 0),
  retenciones, IFERROR(SUMIF(Aux_Datos!$N:$N, idVenta, Aux_Datos!$R:$R), 0),
  pagos + retenciones
)</f>
        <v>21577.54</v>
      </c>
      <c r="Q458" s="30" t="str">
        <f>IF(P458=0, "Sin Pago", 
  LET(
    idVenta, I458&amp;"",
    montoTotalPagado, P458,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458" s="30">
        <f t="shared" si="17"/>
        <v>0</v>
      </c>
      <c r="S458" s="29">
        <f>IF(P458=0, "Sin Pago", 
  IFERROR(
    MAXIFS(Aux_Datos!$A:$A, Aux_Datos!$B:$B, I458&amp;""), 
    IFERROR(MAXIFS(Aux_Datos!$A:$A, Aux_Datos!$B:$B, VALUE(I458)), "Revisar ID")
  )
)</f>
        <v>46196</v>
      </c>
      <c r="T458" s="35" t="str">
        <f t="shared" si="21"/>
        <v>PAGADA</v>
      </c>
      <c r="U458" s="35" t="str">
        <f t="shared" si="10"/>
        <v>SOLVENTE</v>
      </c>
      <c r="V458" s="32">
        <f t="shared" si="11"/>
        <v>0</v>
      </c>
      <c r="W458" s="36" t="str">
        <f>IF(P458=0, "Sin Pago", 
  LET(
    monedaPago, Q458, 
    descuentoAplicado, G458,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458" s="36" t="str">
        <f t="shared" si="12"/>
        <v/>
      </c>
      <c r="Y458" s="36">
        <v>21577.54</v>
      </c>
      <c r="Z458" s="33" t="s">
        <v>596</v>
      </c>
      <c r="AA458" s="33"/>
      <c r="AB458" s="33"/>
      <c r="AC458" s="33"/>
      <c r="AD458" s="33"/>
      <c r="AE458" s="33"/>
      <c r="AF458" s="33"/>
    </row>
    <row r="459" ht="22.5" customHeight="1">
      <c r="A459" s="23" t="s">
        <v>865</v>
      </c>
      <c r="B459" s="41">
        <v>46185.38837962963</v>
      </c>
      <c r="C459" s="23" t="s">
        <v>429</v>
      </c>
      <c r="D459" s="23" t="s">
        <v>323</v>
      </c>
      <c r="E459" s="25">
        <v>428.32</v>
      </c>
      <c r="F459" s="23" t="s">
        <v>608</v>
      </c>
      <c r="G459" s="26">
        <f>IF($E459=0,0,IF(SUMIF(Aux_Datos!$B:$B,$I459,Aux_Datos!$K:$K)/$E459&gt;=VLOOKUP(IF(COUNTIFS(Aux_Datos!$B:$B,$I459,Aux_Datos!$D:$D,"&lt;&gt;USD")=0,"USD","VES"),'Limites de Descuento'!$A$2:$D$4,4,FALSE),MAX(0,1-SUMIF(Aux_Datos!$B:$B,$I459,Aux_Datos!$K:$K)/$E459),0))</f>
        <v>0</v>
      </c>
      <c r="H459" s="27"/>
      <c r="I459" s="28">
        <f t="shared" si="20"/>
        <v>556</v>
      </c>
      <c r="J459" s="29">
        <f t="shared" si="2"/>
        <v>46185</v>
      </c>
      <c r="K459" s="30">
        <f t="shared" si="3"/>
        <v>7</v>
      </c>
      <c r="L459" s="29">
        <f t="shared" si="4"/>
        <v>46193</v>
      </c>
      <c r="M459" s="30">
        <f t="shared" si="5"/>
        <v>428.32</v>
      </c>
      <c r="N459" s="32">
        <f t="shared" si="6"/>
        <v>0</v>
      </c>
      <c r="O459" s="33" t="str">
        <f t="shared" si="7"/>
        <v>PAGADA</v>
      </c>
      <c r="P459" s="34">
        <f>LET(
  idVenta, I459&amp;"",
  montoTotal, M459,
  pagos, IFERROR(SUMIF(Aux_Datos!$B:$B, idVenta, Aux_Datos!$K:$K), 0),
  retenciones, IFERROR(SUMIF(Aux_Datos!$N:$N, idVenta, Aux_Datos!$R:$R), 0),
  pagos + retenciones
)</f>
        <v>0</v>
      </c>
      <c r="Q459" s="30" t="str">
        <f>IF(P459=0, "Sin Pago", 
  LET(
    idVenta, I459&amp;"",
    montoTotalPagado, P459,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59" s="38">
        <v>0.0</v>
      </c>
      <c r="S459" s="29" t="str">
        <f>IF(P459=0, "Sin Pago", 
  IFERROR(
    MAXIFS(Aux_Datos!$A:$A, Aux_Datos!$B:$B, I459&amp;""), 
    IFERROR(MAXIFS(Aux_Datos!$A:$A, Aux_Datos!$B:$B, VALUE(I459)), "Revisar ID")
  )
)</f>
        <v>Sin Pago</v>
      </c>
      <c r="T459" s="35" t="str">
        <f t="shared" si="21"/>
        <v>PAGADA</v>
      </c>
      <c r="U459" s="35" t="str">
        <f t="shared" si="10"/>
        <v>SOLVENTE</v>
      </c>
      <c r="V459" s="32">
        <f t="shared" si="11"/>
        <v>0</v>
      </c>
      <c r="W459" s="36" t="str">
        <f>IF(P459=0, "Sin Pago", 
  LET(
    monedaPago, Q459, 
    descuentoAplicado, G459,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59" s="36" t="str">
        <f t="shared" si="12"/>
        <v/>
      </c>
      <c r="Y459" s="36">
        <v>0.0</v>
      </c>
      <c r="Z459" s="33" t="s">
        <v>641</v>
      </c>
      <c r="AA459" s="33"/>
      <c r="AB459" s="33"/>
      <c r="AC459" s="33"/>
      <c r="AD459" s="33"/>
      <c r="AE459" s="33"/>
      <c r="AF459" s="33"/>
    </row>
    <row r="460" ht="22.5" customHeight="1">
      <c r="A460" s="23" t="s">
        <v>261</v>
      </c>
      <c r="B460" s="41">
        <v>46185.63431712963</v>
      </c>
      <c r="C460" s="23" t="s">
        <v>259</v>
      </c>
      <c r="D460" s="23" t="s">
        <v>556</v>
      </c>
      <c r="E460" s="25">
        <v>199.3</v>
      </c>
      <c r="F460" s="23" t="s">
        <v>608</v>
      </c>
      <c r="G460" s="26">
        <f>IF($E460=0,0,IF(SUMIF(Aux_Datos!$B:$B,$I460,Aux_Datos!$K:$K)/$E460&gt;=VLOOKUP(IF(COUNTIFS(Aux_Datos!$B:$B,$I460,Aux_Datos!$D:$D,"&lt;&gt;USD")=0,"USD","VES"),'Limites de Descuento'!$A$2:$D$4,4,FALSE),MAX(0,1-SUMIF(Aux_Datos!$B:$B,$I460,Aux_Datos!$K:$K)/$E460),0))</f>
        <v>0</v>
      </c>
      <c r="H460" s="27"/>
      <c r="I460" s="28">
        <f t="shared" si="20"/>
        <v>557</v>
      </c>
      <c r="J460" s="29">
        <f t="shared" si="2"/>
        <v>46185</v>
      </c>
      <c r="K460" s="30">
        <f t="shared" si="3"/>
        <v>7</v>
      </c>
      <c r="L460" s="29">
        <f t="shared" si="4"/>
        <v>46193</v>
      </c>
      <c r="M460" s="30">
        <f t="shared" si="5"/>
        <v>199.3</v>
      </c>
      <c r="N460" s="32">
        <f t="shared" si="6"/>
        <v>7</v>
      </c>
      <c r="O460" s="33" t="str">
        <f t="shared" si="7"/>
        <v>VENCIDA</v>
      </c>
      <c r="P460" s="34">
        <f>LET(
  idVenta, I460&amp;"",
  montoTotal, M460,
  pagos, IFERROR(SUMIF(Aux_Datos!$B:$B, idVenta, Aux_Datos!$K:$K), 0),
  retenciones, IFERROR(SUMIF(Aux_Datos!$N:$N, idVenta, Aux_Datos!$R:$R), 0),
  pagos + retenciones
)</f>
        <v>0</v>
      </c>
      <c r="Q460" s="30" t="str">
        <f>IF(P460=0, "Sin Pago", 
  LET(
    idVenta, I460&amp;"",
    montoTotalPagado, P460,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60" s="30">
        <f t="shared" ref="R460:R471" si="22">M460-P460</f>
        <v>199.3</v>
      </c>
      <c r="S460" s="29" t="str">
        <f>IF(P460=0, "Sin Pago", 
  IFERROR(
    MAXIFS(Aux_Datos!$A:$A, Aux_Datos!$B:$B, I460&amp;""), 
    IFERROR(MAXIFS(Aux_Datos!$A:$A, Aux_Datos!$B:$B, VALUE(I460)), "Revisar ID")
  )
)</f>
        <v>Sin Pago</v>
      </c>
      <c r="T460" s="35" t="str">
        <f t="shared" si="21"/>
        <v>PENDIENTE</v>
      </c>
      <c r="U460" s="35" t="str">
        <f t="shared" si="10"/>
        <v>CRÍTICO: VENCIDA</v>
      </c>
      <c r="V460" s="32">
        <f t="shared" si="11"/>
        <v>0</v>
      </c>
      <c r="W460" s="36" t="str">
        <f>IF(P460=0, "Sin Pago", 
  LET(
    monedaPago, Q460, 
    descuentoAplicado, G460,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60" s="36" t="str">
        <f t="shared" si="12"/>
        <v/>
      </c>
      <c r="Y460" s="36">
        <v>0.0</v>
      </c>
      <c r="Z460" s="33" t="s">
        <v>641</v>
      </c>
      <c r="AA460" s="33"/>
      <c r="AB460" s="33"/>
      <c r="AC460" s="33"/>
      <c r="AD460" s="33"/>
      <c r="AE460" s="33"/>
      <c r="AF460" s="33"/>
    </row>
    <row r="461" ht="22.5" customHeight="1">
      <c r="A461" s="23" t="s">
        <v>428</v>
      </c>
      <c r="B461" s="41">
        <v>46185.549479166664</v>
      </c>
      <c r="C461" s="23" t="s">
        <v>427</v>
      </c>
      <c r="D461" s="23" t="s">
        <v>323</v>
      </c>
      <c r="E461" s="25">
        <v>136.0</v>
      </c>
      <c r="F461" s="23" t="s">
        <v>593</v>
      </c>
      <c r="G461" s="26">
        <f>IF($E461=0,0,IF(SUMIF(Aux_Datos!$B:$B,$I461,Aux_Datos!$K:$K)/$E461&gt;=VLOOKUP(IF(COUNTIFS(Aux_Datos!$B:$B,$I461,Aux_Datos!$D:$D,"&lt;&gt;USD")=0,"USD","VES"),'Limites de Descuento'!$A$2:$D$4,4,FALSE),MAX(0,1-SUMIF(Aux_Datos!$B:$B,$I461,Aux_Datos!$K:$K)/$E461),0))</f>
        <v>0</v>
      </c>
      <c r="H461" s="27"/>
      <c r="I461" s="28">
        <f t="shared" si="20"/>
        <v>558</v>
      </c>
      <c r="J461" s="29">
        <f t="shared" si="2"/>
        <v>46185</v>
      </c>
      <c r="K461" s="30">
        <f t="shared" si="3"/>
        <v>0</v>
      </c>
      <c r="L461" s="29">
        <f t="shared" si="4"/>
        <v>46186</v>
      </c>
      <c r="M461" s="30">
        <f t="shared" si="5"/>
        <v>136</v>
      </c>
      <c r="N461" s="32">
        <f t="shared" si="6"/>
        <v>14</v>
      </c>
      <c r="O461" s="33" t="str">
        <f t="shared" si="7"/>
        <v>VENCIDA</v>
      </c>
      <c r="P461" s="34">
        <f>LET(
  idVenta, I461&amp;"",
  montoTotal, M461,
  pagos, IFERROR(SUMIF(Aux_Datos!$B:$B, idVenta, Aux_Datos!$K:$K), 0),
  retenciones, IFERROR(SUMIF(Aux_Datos!$N:$N, idVenta, Aux_Datos!$R:$R), 0),
  pagos + retenciones
)</f>
        <v>0</v>
      </c>
      <c r="Q461" s="30" t="str">
        <f>IF(P461=0, "Sin Pago", 
  LET(
    idVenta, I461&amp;"",
    montoTotalPagado, P461,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61" s="30">
        <f t="shared" si="22"/>
        <v>136</v>
      </c>
      <c r="S461" s="29" t="str">
        <f>IF(P461=0, "Sin Pago", 
  IFERROR(
    MAXIFS(Aux_Datos!$A:$A, Aux_Datos!$B:$B, I461&amp;""), 
    IFERROR(MAXIFS(Aux_Datos!$A:$A, Aux_Datos!$B:$B, VALUE(I461)), "Revisar ID")
  )
)</f>
        <v>Sin Pago</v>
      </c>
      <c r="T461" s="35" t="str">
        <f t="shared" si="21"/>
        <v>PENDIENTE</v>
      </c>
      <c r="U461" s="35" t="str">
        <f t="shared" si="10"/>
        <v>CRÍTICO: VENCIDA</v>
      </c>
      <c r="V461" s="32">
        <f t="shared" si="11"/>
        <v>0</v>
      </c>
      <c r="W461" s="36" t="str">
        <f>IF(P461=0, "Sin Pago", 
  LET(
    monedaPago, Q461, 
    descuentoAplicado, G461,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61" s="36" t="str">
        <f t="shared" si="12"/>
        <v/>
      </c>
      <c r="Y461" s="36">
        <v>0.0</v>
      </c>
      <c r="Z461" s="33" t="s">
        <v>641</v>
      </c>
      <c r="AA461" s="33"/>
      <c r="AB461" s="33"/>
      <c r="AC461" s="33"/>
      <c r="AD461" s="33"/>
      <c r="AE461" s="33"/>
      <c r="AF461" s="33"/>
    </row>
    <row r="462" ht="22.5" customHeight="1">
      <c r="A462" s="23" t="s">
        <v>476</v>
      </c>
      <c r="B462" s="41">
        <v>46185.65833333333</v>
      </c>
      <c r="C462" s="23" t="s">
        <v>475</v>
      </c>
      <c r="D462" s="23" t="s">
        <v>546</v>
      </c>
      <c r="E462" s="25">
        <v>115.99</v>
      </c>
      <c r="F462" s="23" t="s">
        <v>608</v>
      </c>
      <c r="G462" s="26">
        <f>IF($E462=0,0,IF(SUMIF(Aux_Datos!$B:$B,$I462,Aux_Datos!$K:$K)/$E462&gt;=VLOOKUP(IF(COUNTIFS(Aux_Datos!$B:$B,$I462,Aux_Datos!$D:$D,"&lt;&gt;USD")=0,"USD","VES"),'Limites de Descuento'!$A$2:$D$4,4,FALSE),MAX(0,1-SUMIF(Aux_Datos!$B:$B,$I462,Aux_Datos!$K:$K)/$E462),0))</f>
        <v>0</v>
      </c>
      <c r="H462" s="27"/>
      <c r="I462" s="28">
        <f t="shared" si="20"/>
        <v>559</v>
      </c>
      <c r="J462" s="29">
        <f t="shared" si="2"/>
        <v>46185</v>
      </c>
      <c r="K462" s="30">
        <f t="shared" si="3"/>
        <v>7</v>
      </c>
      <c r="L462" s="29">
        <f t="shared" si="4"/>
        <v>46193</v>
      </c>
      <c r="M462" s="30">
        <f t="shared" si="5"/>
        <v>115.99</v>
      </c>
      <c r="N462" s="32">
        <f t="shared" si="6"/>
        <v>7</v>
      </c>
      <c r="O462" s="33" t="str">
        <f t="shared" si="7"/>
        <v>VENCIDA</v>
      </c>
      <c r="P462" s="34">
        <f>LET(
  idVenta, I462&amp;"",
  montoTotal, M462,
  pagos, IFERROR(SUMIF(Aux_Datos!$B:$B, idVenta, Aux_Datos!$K:$K), 0),
  retenciones, IFERROR(SUMIF(Aux_Datos!$N:$N, idVenta, Aux_Datos!$R:$R), 0),
  pagos + retenciones
)</f>
        <v>0</v>
      </c>
      <c r="Q462" s="30" t="str">
        <f>IF(P462=0, "Sin Pago", 
  LET(
    idVenta, I462&amp;"",
    montoTotalPagado, P462,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62" s="30">
        <f t="shared" si="22"/>
        <v>115.99</v>
      </c>
      <c r="S462" s="29" t="str">
        <f>IF(P462=0, "Sin Pago", 
  IFERROR(
    MAXIFS(Aux_Datos!$A:$A, Aux_Datos!$B:$B, I462&amp;""), 
    IFERROR(MAXIFS(Aux_Datos!$A:$A, Aux_Datos!$B:$B, VALUE(I462)), "Revisar ID")
  )
)</f>
        <v>Sin Pago</v>
      </c>
      <c r="T462" s="35" t="str">
        <f t="shared" si="21"/>
        <v>PENDIENTE</v>
      </c>
      <c r="U462" s="35" t="str">
        <f t="shared" si="10"/>
        <v>CRÍTICO: VENCIDA</v>
      </c>
      <c r="V462" s="32">
        <f t="shared" si="11"/>
        <v>0</v>
      </c>
      <c r="W462" s="36" t="str">
        <f>IF(P462=0, "Sin Pago", 
  LET(
    monedaPago, Q462, 
    descuentoAplicado, G462,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62" s="36" t="str">
        <f t="shared" si="12"/>
        <v/>
      </c>
      <c r="Y462" s="36">
        <v>0.0</v>
      </c>
      <c r="Z462" s="33" t="s">
        <v>641</v>
      </c>
      <c r="AA462" s="33"/>
      <c r="AB462" s="33"/>
      <c r="AC462" s="33"/>
      <c r="AD462" s="33"/>
      <c r="AE462" s="33"/>
      <c r="AF462" s="33"/>
    </row>
    <row r="463" ht="22.5" customHeight="1">
      <c r="A463" s="23" t="s">
        <v>866</v>
      </c>
      <c r="B463" s="41">
        <v>46185.65851851852</v>
      </c>
      <c r="C463" s="23" t="s">
        <v>867</v>
      </c>
      <c r="D463" s="23" t="s">
        <v>546</v>
      </c>
      <c r="E463" s="25">
        <v>226.07</v>
      </c>
      <c r="F463" s="23" t="s">
        <v>619</v>
      </c>
      <c r="G463" s="26">
        <f>IF($E463=0,0,IF(SUMIF(Aux_Datos!$B:$B,$I463,Aux_Datos!$K:$K)/$E463&gt;=VLOOKUP(IF(COUNTIFS(Aux_Datos!$B:$B,$I463,Aux_Datos!$D:$D,"&lt;&gt;USD")=0,"USD","VES"),'Limites de Descuento'!$A$2:$D$4,4,FALSE),MAX(0,1-SUMIF(Aux_Datos!$B:$B,$I463,Aux_Datos!$K:$K)/$E463),0))</f>
        <v>0</v>
      </c>
      <c r="H463" s="27"/>
      <c r="I463" s="28">
        <f t="shared" si="20"/>
        <v>560</v>
      </c>
      <c r="J463" s="29">
        <f t="shared" si="2"/>
        <v>46185</v>
      </c>
      <c r="K463" s="30">
        <f t="shared" si="3"/>
        <v>15</v>
      </c>
      <c r="L463" s="29">
        <f t="shared" si="4"/>
        <v>46201</v>
      </c>
      <c r="M463" s="30">
        <f t="shared" si="5"/>
        <v>226.07</v>
      </c>
      <c r="N463" s="32">
        <f t="shared" si="6"/>
        <v>0</v>
      </c>
      <c r="O463" s="33" t="str">
        <f t="shared" si="7"/>
        <v>EN TIEMPO</v>
      </c>
      <c r="P463" s="34">
        <f>LET(
  idVenta, I463&amp;"",
  montoTotal, M463,
  pagos, IFERROR(SUMIF(Aux_Datos!$B:$B, idVenta, Aux_Datos!$K:$K), 0),
  retenciones, IFERROR(SUMIF(Aux_Datos!$N:$N, idVenta, Aux_Datos!$R:$R), 0),
  pagos + retenciones
)</f>
        <v>0</v>
      </c>
      <c r="Q463" s="30" t="str">
        <f>IF(P463=0, "Sin Pago", 
  LET(
    idVenta, I463&amp;"",
    montoTotalPagado, P463,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63" s="30">
        <f t="shared" si="22"/>
        <v>226.07</v>
      </c>
      <c r="S463" s="29" t="str">
        <f>IF(P463=0, "Sin Pago", 
  IFERROR(
    MAXIFS(Aux_Datos!$A:$A, Aux_Datos!$B:$B, I463&amp;""), 
    IFERROR(MAXIFS(Aux_Datos!$A:$A, Aux_Datos!$B:$B, VALUE(I463)), "Revisar ID")
  )
)</f>
        <v>Sin Pago</v>
      </c>
      <c r="T463" s="35" t="str">
        <f t="shared" si="21"/>
        <v>PENDIENTE</v>
      </c>
      <c r="U463" s="35" t="str">
        <f t="shared" si="10"/>
        <v>EN TIEMPO</v>
      </c>
      <c r="V463" s="32">
        <f t="shared" si="11"/>
        <v>0</v>
      </c>
      <c r="W463" s="36" t="str">
        <f>IF(P463=0, "Sin Pago", 
  LET(
    monedaPago, Q463, 
    descuentoAplicado, G463,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63" s="36" t="str">
        <f t="shared" si="12"/>
        <v/>
      </c>
      <c r="Y463" s="36">
        <v>0.0</v>
      </c>
      <c r="Z463" s="33" t="s">
        <v>641</v>
      </c>
      <c r="AA463" s="33"/>
      <c r="AB463" s="33"/>
      <c r="AC463" s="33"/>
      <c r="AD463" s="33"/>
      <c r="AE463" s="33"/>
      <c r="AF463" s="33"/>
    </row>
    <row r="464" ht="22.5" customHeight="1">
      <c r="A464" s="23" t="s">
        <v>868</v>
      </c>
      <c r="B464" s="41">
        <v>46185.67982638889</v>
      </c>
      <c r="C464" s="23" t="s">
        <v>869</v>
      </c>
      <c r="D464" s="23" t="s">
        <v>546</v>
      </c>
      <c r="E464" s="25">
        <v>1023.22</v>
      </c>
      <c r="F464" s="23" t="s">
        <v>680</v>
      </c>
      <c r="G464" s="26">
        <f>IF($E464=0,0,IF(SUMIF(Aux_Datos!$B:$B,$I464,Aux_Datos!$K:$K)/$E464&gt;=VLOOKUP(IF(COUNTIFS(Aux_Datos!$B:$B,$I464,Aux_Datos!$D:$D,"&lt;&gt;USD")=0,"USD","VES"),'Limites de Descuento'!$A$2:$D$4,4,FALSE),MAX(0,1-SUMIF(Aux_Datos!$B:$B,$I464,Aux_Datos!$K:$K)/$E464),0))</f>
        <v>0</v>
      </c>
      <c r="H464" s="27"/>
      <c r="I464" s="28">
        <f t="shared" si="20"/>
        <v>561</v>
      </c>
      <c r="J464" s="29">
        <f t="shared" si="2"/>
        <v>46185</v>
      </c>
      <c r="K464" s="30">
        <f t="shared" si="3"/>
        <v>30</v>
      </c>
      <c r="L464" s="29">
        <f t="shared" si="4"/>
        <v>46216</v>
      </c>
      <c r="M464" s="30">
        <f t="shared" si="5"/>
        <v>1023.22</v>
      </c>
      <c r="N464" s="32">
        <f t="shared" si="6"/>
        <v>0</v>
      </c>
      <c r="O464" s="33" t="str">
        <f t="shared" si="7"/>
        <v>EN TIEMPO</v>
      </c>
      <c r="P464" s="34">
        <f>LET(
  idVenta, I464&amp;"",
  montoTotal, M464,
  pagos, IFERROR(SUMIF(Aux_Datos!$B:$B, idVenta, Aux_Datos!$K:$K), 0),
  retenciones, IFERROR(SUMIF(Aux_Datos!$N:$N, idVenta, Aux_Datos!$R:$R), 0),
  pagos + retenciones
)</f>
        <v>0</v>
      </c>
      <c r="Q464" s="30" t="str">
        <f>IF(P464=0, "Sin Pago", 
  LET(
    idVenta, I464&amp;"",
    montoTotalPagado, P464,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64" s="30">
        <f t="shared" si="22"/>
        <v>1023.22</v>
      </c>
      <c r="S464" s="29" t="str">
        <f>IF(P464=0, "Sin Pago", 
  IFERROR(
    MAXIFS(Aux_Datos!$A:$A, Aux_Datos!$B:$B, I464&amp;""), 
    IFERROR(MAXIFS(Aux_Datos!$A:$A, Aux_Datos!$B:$B, VALUE(I464)), "Revisar ID")
  )
)</f>
        <v>Sin Pago</v>
      </c>
      <c r="T464" s="35" t="str">
        <f t="shared" si="21"/>
        <v>PENDIENTE</v>
      </c>
      <c r="U464" s="35" t="str">
        <f t="shared" si="10"/>
        <v>EN TIEMPO</v>
      </c>
      <c r="V464" s="32">
        <f t="shared" si="11"/>
        <v>0</v>
      </c>
      <c r="W464" s="36" t="str">
        <f>IF(P464=0, "Sin Pago", 
  LET(
    monedaPago, Q464, 
    descuentoAplicado, G464,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64" s="36" t="str">
        <f t="shared" si="12"/>
        <v/>
      </c>
      <c r="Y464" s="36">
        <v>0.0</v>
      </c>
      <c r="Z464" s="33" t="s">
        <v>641</v>
      </c>
      <c r="AA464" s="33"/>
      <c r="AB464" s="33"/>
      <c r="AC464" s="33"/>
      <c r="AD464" s="33"/>
      <c r="AE464" s="33"/>
      <c r="AF464" s="33"/>
    </row>
    <row r="465" ht="22.5" customHeight="1">
      <c r="A465" s="23" t="s">
        <v>480</v>
      </c>
      <c r="B465" s="41">
        <v>46185.68</v>
      </c>
      <c r="C465" s="23" t="s">
        <v>479</v>
      </c>
      <c r="D465" s="23" t="s">
        <v>538</v>
      </c>
      <c r="E465" s="25">
        <v>116.0</v>
      </c>
      <c r="F465" s="23" t="s">
        <v>608</v>
      </c>
      <c r="G465" s="26">
        <f>IF($E465=0,0,IF(SUMIF(Aux_Datos!$B:$B,$I465,Aux_Datos!$K:$K)/$E465&gt;=VLOOKUP(IF(COUNTIFS(Aux_Datos!$B:$B,$I465,Aux_Datos!$D:$D,"&lt;&gt;USD")=0,"USD","VES"),'Limites de Descuento'!$A$2:$D$4,4,FALSE),MAX(0,1-SUMIF(Aux_Datos!$B:$B,$I465,Aux_Datos!$K:$K)/$E465),0))</f>
        <v>0</v>
      </c>
      <c r="H465" s="27"/>
      <c r="I465" s="28">
        <f t="shared" si="20"/>
        <v>562</v>
      </c>
      <c r="J465" s="29">
        <f t="shared" si="2"/>
        <v>46185</v>
      </c>
      <c r="K465" s="30">
        <f t="shared" si="3"/>
        <v>7</v>
      </c>
      <c r="L465" s="29">
        <f t="shared" si="4"/>
        <v>46193</v>
      </c>
      <c r="M465" s="30">
        <f t="shared" si="5"/>
        <v>116</v>
      </c>
      <c r="N465" s="32">
        <f t="shared" si="6"/>
        <v>7</v>
      </c>
      <c r="O465" s="33" t="str">
        <f t="shared" si="7"/>
        <v>VENCIDA</v>
      </c>
      <c r="P465" s="34">
        <f>LET(
  idVenta, I465&amp;"",
  montoTotal, M465,
  pagos, IFERROR(SUMIF(Aux_Datos!$B:$B, idVenta, Aux_Datos!$K:$K), 0),
  retenciones, IFERROR(SUMIF(Aux_Datos!$N:$N, idVenta, Aux_Datos!$R:$R), 0),
  pagos + retenciones
)</f>
        <v>0</v>
      </c>
      <c r="Q465" s="30" t="str">
        <f>IF(P465=0, "Sin Pago", 
  LET(
    idVenta, I465&amp;"",
    montoTotalPagado, P465,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65" s="30">
        <f t="shared" si="22"/>
        <v>116</v>
      </c>
      <c r="S465" s="29" t="str">
        <f>IF(P465=0, "Sin Pago", 
  IFERROR(
    MAXIFS(Aux_Datos!$A:$A, Aux_Datos!$B:$B, I465&amp;""), 
    IFERROR(MAXIFS(Aux_Datos!$A:$A, Aux_Datos!$B:$B, VALUE(I465)), "Revisar ID")
  )
)</f>
        <v>Sin Pago</v>
      </c>
      <c r="T465" s="35" t="str">
        <f t="shared" si="21"/>
        <v>PENDIENTE</v>
      </c>
      <c r="U465" s="35" t="str">
        <f t="shared" si="10"/>
        <v>CRÍTICO: VENCIDA</v>
      </c>
      <c r="V465" s="32">
        <f t="shared" si="11"/>
        <v>0</v>
      </c>
      <c r="W465" s="36" t="str">
        <f>IF(P465=0, "Sin Pago", 
  LET(
    monedaPago, Q465, 
    descuentoAplicado, G465,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65" s="36" t="str">
        <f t="shared" si="12"/>
        <v/>
      </c>
      <c r="Y465" s="36">
        <v>0.0</v>
      </c>
      <c r="Z465" s="33" t="s">
        <v>641</v>
      </c>
      <c r="AA465" s="33"/>
      <c r="AB465" s="33"/>
      <c r="AC465" s="33"/>
      <c r="AD465" s="33"/>
      <c r="AE465" s="33"/>
      <c r="AF465" s="33"/>
    </row>
    <row r="466" ht="22.5" customHeight="1">
      <c r="A466" s="23" t="s">
        <v>478</v>
      </c>
      <c r="B466" s="41">
        <v>46185.701898148145</v>
      </c>
      <c r="C466" s="23" t="s">
        <v>477</v>
      </c>
      <c r="D466" s="23" t="s">
        <v>529</v>
      </c>
      <c r="E466" s="25">
        <v>1017.34</v>
      </c>
      <c r="F466" s="23" t="s">
        <v>608</v>
      </c>
      <c r="G466" s="26">
        <f>IF($E466=0,0,IF(SUMIF(Aux_Datos!$B:$B,$I466,Aux_Datos!$K:$K)/$E466&gt;=VLOOKUP(IF(COUNTIFS(Aux_Datos!$B:$B,$I466,Aux_Datos!$D:$D,"&lt;&gt;USD")=0,"USD","VES"),'Limites de Descuento'!$A$2:$D$4,4,FALSE),MAX(0,1-SUMIF(Aux_Datos!$B:$B,$I466,Aux_Datos!$K:$K)/$E466),0))</f>
        <v>0</v>
      </c>
      <c r="H466" s="27"/>
      <c r="I466" s="28">
        <f t="shared" si="20"/>
        <v>563</v>
      </c>
      <c r="J466" s="29">
        <f t="shared" si="2"/>
        <v>46185</v>
      </c>
      <c r="K466" s="30">
        <f t="shared" si="3"/>
        <v>7</v>
      </c>
      <c r="L466" s="29">
        <f t="shared" si="4"/>
        <v>46193</v>
      </c>
      <c r="M466" s="30">
        <f t="shared" si="5"/>
        <v>1017.34</v>
      </c>
      <c r="N466" s="32">
        <f t="shared" si="6"/>
        <v>7</v>
      </c>
      <c r="O466" s="33" t="str">
        <f t="shared" si="7"/>
        <v>VENCIDA</v>
      </c>
      <c r="P466" s="34">
        <f>LET(
  idVenta, I466&amp;"",
  montoTotal, M466,
  pagos, IFERROR(SUMIF(Aux_Datos!$B:$B, idVenta, Aux_Datos!$K:$K), 0),
  retenciones, IFERROR(SUMIF(Aux_Datos!$N:$N, idVenta, Aux_Datos!$R:$R), 0),
  pagos + retenciones
)</f>
        <v>229.9733587</v>
      </c>
      <c r="Q466" s="30" t="str">
        <f>IF(P466=0, "Sin Pago", 
  LET(
    idVenta, I466&amp;"",
    montoTotalPagado, P466,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VES</v>
      </c>
      <c r="R466" s="30">
        <f t="shared" si="22"/>
        <v>787.3666413</v>
      </c>
      <c r="S466" s="29">
        <f>IF(P466=0, "Sin Pago", 
  IFERROR(
    MAXIFS(Aux_Datos!$A:$A, Aux_Datos!$B:$B, I466&amp;""), 
    IFERROR(MAXIFS(Aux_Datos!$A:$A, Aux_Datos!$B:$B, VALUE(I466)), "Revisar ID")
  )
)</f>
        <v>46195</v>
      </c>
      <c r="T466" s="35" t="str">
        <f t="shared" si="21"/>
        <v>PAGO PARCIAL</v>
      </c>
      <c r="U466" s="35" t="str">
        <f t="shared" si="10"/>
        <v>CRÍTICO: VENCIDA</v>
      </c>
      <c r="V466" s="32">
        <f t="shared" si="11"/>
        <v>5</v>
      </c>
      <c r="W466" s="36" t="str">
        <f>IF(P466=0, "Sin Pago", 
  LET(
    monedaPago, Q466, 
    descuentoAplicado, G466,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466" s="36" t="str">
        <f t="shared" si="12"/>
        <v/>
      </c>
      <c r="Y466" s="36">
        <v>229.9733587271232</v>
      </c>
      <c r="Z466" s="33" t="s">
        <v>609</v>
      </c>
      <c r="AA466" s="33"/>
      <c r="AB466" s="33"/>
      <c r="AC466" s="33"/>
      <c r="AD466" s="33"/>
      <c r="AE466" s="33"/>
      <c r="AF466" s="33"/>
    </row>
    <row r="467" ht="22.5" customHeight="1">
      <c r="A467" s="23" t="s">
        <v>482</v>
      </c>
      <c r="B467" s="41">
        <v>46186.59842592593</v>
      </c>
      <c r="C467" s="23" t="s">
        <v>481</v>
      </c>
      <c r="D467" s="23" t="s">
        <v>323</v>
      </c>
      <c r="E467" s="25">
        <v>353.95</v>
      </c>
      <c r="F467" s="23" t="s">
        <v>608</v>
      </c>
      <c r="G467" s="26">
        <f>IF($E467=0,0,IF(SUMIF(Aux_Datos!$B:$B,$I467,Aux_Datos!$K:$K)/$E467&gt;=VLOOKUP(IF(COUNTIFS(Aux_Datos!$B:$B,$I467,Aux_Datos!$D:$D,"&lt;&gt;USD")=0,"USD","VES"),'Limites de Descuento'!$A$2:$D$4,4,FALSE),MAX(0,1-SUMIF(Aux_Datos!$B:$B,$I467,Aux_Datos!$K:$K)/$E467),0))</f>
        <v>0</v>
      </c>
      <c r="H467" s="27"/>
      <c r="I467" s="28">
        <f t="shared" si="20"/>
        <v>564</v>
      </c>
      <c r="J467" s="29">
        <f t="shared" si="2"/>
        <v>46186</v>
      </c>
      <c r="K467" s="30">
        <f t="shared" si="3"/>
        <v>7</v>
      </c>
      <c r="L467" s="29">
        <f t="shared" si="4"/>
        <v>46194</v>
      </c>
      <c r="M467" s="30">
        <f t="shared" si="5"/>
        <v>353.95</v>
      </c>
      <c r="N467" s="32">
        <f t="shared" si="6"/>
        <v>6</v>
      </c>
      <c r="O467" s="33" t="str">
        <f t="shared" si="7"/>
        <v>VENCIDA</v>
      </c>
      <c r="P467" s="34">
        <f>LET(
  idVenta, I467&amp;"",
  montoTotal, M467,
  pagos, IFERROR(SUMIF(Aux_Datos!$B:$B, idVenta, Aux_Datos!$K:$K), 0),
  retenciones, IFERROR(SUMIF(Aux_Datos!$N:$N, idVenta, Aux_Datos!$R:$R), 0),
  pagos + retenciones
)</f>
        <v>0</v>
      </c>
      <c r="Q467" s="30" t="str">
        <f>IF(P467=0, "Sin Pago", 
  LET(
    idVenta, I467&amp;"",
    montoTotalPagado, P467,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67" s="30">
        <f t="shared" si="22"/>
        <v>353.95</v>
      </c>
      <c r="S467" s="29" t="str">
        <f>IF(P467=0, "Sin Pago", 
  IFERROR(
    MAXIFS(Aux_Datos!$A:$A, Aux_Datos!$B:$B, I467&amp;""), 
    IFERROR(MAXIFS(Aux_Datos!$A:$A, Aux_Datos!$B:$B, VALUE(I467)), "Revisar ID")
  )
)</f>
        <v>Sin Pago</v>
      </c>
      <c r="T467" s="35" t="str">
        <f t="shared" si="21"/>
        <v>PENDIENTE</v>
      </c>
      <c r="U467" s="35" t="str">
        <f t="shared" si="10"/>
        <v>CRÍTICO: VENCIDA</v>
      </c>
      <c r="V467" s="32">
        <f t="shared" si="11"/>
        <v>0</v>
      </c>
      <c r="W467" s="36" t="str">
        <f>IF(P467=0, "Sin Pago", 
  LET(
    monedaPago, Q467, 
    descuentoAplicado, G467,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67" s="36" t="str">
        <f t="shared" si="12"/>
        <v/>
      </c>
      <c r="Y467" s="36">
        <v>0.0</v>
      </c>
      <c r="Z467" s="33" t="s">
        <v>641</v>
      </c>
      <c r="AA467" s="33"/>
      <c r="AB467" s="33"/>
      <c r="AC467" s="33"/>
      <c r="AD467" s="33"/>
      <c r="AE467" s="33"/>
      <c r="AF467" s="33"/>
    </row>
    <row r="468" ht="22.5" customHeight="1">
      <c r="A468" s="23" t="s">
        <v>490</v>
      </c>
      <c r="B468" s="41">
        <v>46188.60402777778</v>
      </c>
      <c r="C468" s="23" t="s">
        <v>489</v>
      </c>
      <c r="D468" s="23" t="s">
        <v>550</v>
      </c>
      <c r="E468" s="25">
        <v>76.0</v>
      </c>
      <c r="F468" s="23" t="s">
        <v>608</v>
      </c>
      <c r="G468" s="26">
        <f>IF($E468=0,0,IF(SUMIF(Aux_Datos!$B:$B,$I468,Aux_Datos!$K:$K)/$E468&gt;=VLOOKUP(IF(COUNTIFS(Aux_Datos!$B:$B,$I468,Aux_Datos!$D:$D,"&lt;&gt;USD")=0,"USD","VES"),'Limites de Descuento'!$A$2:$D$4,4,FALSE),MAX(0,1-SUMIF(Aux_Datos!$B:$B,$I468,Aux_Datos!$K:$K)/$E468),0))</f>
        <v>0</v>
      </c>
      <c r="H468" s="27"/>
      <c r="I468" s="28">
        <f t="shared" si="20"/>
        <v>565</v>
      </c>
      <c r="J468" s="29">
        <f t="shared" si="2"/>
        <v>46188</v>
      </c>
      <c r="K468" s="30">
        <f t="shared" si="3"/>
        <v>7</v>
      </c>
      <c r="L468" s="29">
        <f t="shared" si="4"/>
        <v>46196</v>
      </c>
      <c r="M468" s="30">
        <f t="shared" si="5"/>
        <v>76</v>
      </c>
      <c r="N468" s="32">
        <f t="shared" si="6"/>
        <v>4</v>
      </c>
      <c r="O468" s="33" t="str">
        <f t="shared" si="7"/>
        <v>VENCIDA</v>
      </c>
      <c r="P468" s="34">
        <f>LET(
  idVenta, I468&amp;"",
  montoTotal, M468,
  pagos, IFERROR(SUMIF(Aux_Datos!$B:$B, idVenta, Aux_Datos!$K:$K), 0),
  retenciones, IFERROR(SUMIF(Aux_Datos!$N:$N, idVenta, Aux_Datos!$R:$R), 0),
  pagos + retenciones
)</f>
        <v>0</v>
      </c>
      <c r="Q468" s="30" t="str">
        <f>IF(P468=0, "Sin Pago", 
  LET(
    idVenta, I468&amp;"",
    montoTotalPagado, P468,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68" s="30">
        <f t="shared" si="22"/>
        <v>76</v>
      </c>
      <c r="S468" s="29" t="str">
        <f>IF(P468=0, "Sin Pago", 
  IFERROR(
    MAXIFS(Aux_Datos!$A:$A, Aux_Datos!$B:$B, I468&amp;""), 
    IFERROR(MAXIFS(Aux_Datos!$A:$A, Aux_Datos!$B:$B, VALUE(I468)), "Revisar ID")
  )
)</f>
        <v>Sin Pago</v>
      </c>
      <c r="T468" s="35" t="str">
        <f t="shared" si="21"/>
        <v>PENDIENTE</v>
      </c>
      <c r="U468" s="35" t="str">
        <f t="shared" si="10"/>
        <v>CRÍTICO: VENCIDA</v>
      </c>
      <c r="V468" s="32">
        <f t="shared" si="11"/>
        <v>0</v>
      </c>
      <c r="W468" s="36" t="str">
        <f>IF(P468=0, "Sin Pago", 
  LET(
    monedaPago, Q468, 
    descuentoAplicado, G468,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68" s="36" t="str">
        <f t="shared" si="12"/>
        <v/>
      </c>
      <c r="Y468" s="36">
        <v>0.0</v>
      </c>
      <c r="Z468" s="33" t="s">
        <v>641</v>
      </c>
      <c r="AA468" s="33"/>
      <c r="AB468" s="33"/>
      <c r="AC468" s="33"/>
      <c r="AD468" s="33"/>
      <c r="AE468" s="33"/>
      <c r="AF468" s="33"/>
    </row>
    <row r="469" ht="22.5" customHeight="1">
      <c r="A469" s="23" t="s">
        <v>258</v>
      </c>
      <c r="B469" s="41">
        <v>46188.69125</v>
      </c>
      <c r="C469" s="23" t="s">
        <v>256</v>
      </c>
      <c r="D469" s="23" t="s">
        <v>544</v>
      </c>
      <c r="E469" s="25">
        <v>2841.41</v>
      </c>
      <c r="F469" s="23" t="s">
        <v>608</v>
      </c>
      <c r="G469" s="26">
        <f>IF($E469=0,0,IF(SUMIF(Aux_Datos!$B:$B,$I469,Aux_Datos!$K:$K)/$E469&gt;=VLOOKUP(IF(COUNTIFS(Aux_Datos!$B:$B,$I469,Aux_Datos!$D:$D,"&lt;&gt;USD")=0,"USD","VES"),'Limites de Descuento'!$A$2:$D$4,4,FALSE),MAX(0,1-SUMIF(Aux_Datos!$B:$B,$I469,Aux_Datos!$K:$K)/$E469),0))</f>
        <v>0</v>
      </c>
      <c r="H469" s="27"/>
      <c r="I469" s="28">
        <f t="shared" si="20"/>
        <v>566</v>
      </c>
      <c r="J469" s="29">
        <f t="shared" si="2"/>
        <v>46188</v>
      </c>
      <c r="K469" s="30">
        <f t="shared" si="3"/>
        <v>7</v>
      </c>
      <c r="L469" s="29">
        <f t="shared" si="4"/>
        <v>46196</v>
      </c>
      <c r="M469" s="30">
        <f t="shared" si="5"/>
        <v>2841.41</v>
      </c>
      <c r="N469" s="32">
        <f t="shared" si="6"/>
        <v>4</v>
      </c>
      <c r="O469" s="33" t="str">
        <f t="shared" si="7"/>
        <v>VENCIDA</v>
      </c>
      <c r="P469" s="34">
        <f>LET(
  idVenta, I469&amp;"",
  montoTotal, M469,
  pagos, IFERROR(SUMIF(Aux_Datos!$B:$B, idVenta, Aux_Datos!$K:$K), 0),
  retenciones, IFERROR(SUMIF(Aux_Datos!$N:$N, idVenta, Aux_Datos!$R:$R), 0),
  pagos + retenciones
)</f>
        <v>0</v>
      </c>
      <c r="Q469" s="30" t="str">
        <f>IF(P469=0, "Sin Pago", 
  LET(
    idVenta, I469&amp;"",
    montoTotalPagado, P469,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69" s="30">
        <f t="shared" si="22"/>
        <v>2841.41</v>
      </c>
      <c r="S469" s="29" t="str">
        <f>IF(P469=0, "Sin Pago", 
  IFERROR(
    MAXIFS(Aux_Datos!$A:$A, Aux_Datos!$B:$B, I469&amp;""), 
    IFERROR(MAXIFS(Aux_Datos!$A:$A, Aux_Datos!$B:$B, VALUE(I469)), "Revisar ID")
  )
)</f>
        <v>Sin Pago</v>
      </c>
      <c r="T469" s="35" t="str">
        <f t="shared" si="21"/>
        <v>PENDIENTE</v>
      </c>
      <c r="U469" s="35" t="str">
        <f t="shared" si="10"/>
        <v>CRÍTICO: VENCIDA</v>
      </c>
      <c r="V469" s="32">
        <f t="shared" si="11"/>
        <v>0</v>
      </c>
      <c r="W469" s="36" t="str">
        <f>IF(P469=0, "Sin Pago", 
  LET(
    monedaPago, Q469, 
    descuentoAplicado, G469,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69" s="36" t="str">
        <f t="shared" si="12"/>
        <v/>
      </c>
      <c r="Y469" s="36">
        <v>0.0</v>
      </c>
      <c r="Z469" s="33" t="s">
        <v>641</v>
      </c>
      <c r="AA469" s="33"/>
      <c r="AB469" s="33"/>
      <c r="AC469" s="33"/>
      <c r="AD469" s="33"/>
      <c r="AE469" s="33"/>
      <c r="AF469" s="33"/>
    </row>
    <row r="470" ht="22.5" customHeight="1">
      <c r="A470" s="23" t="s">
        <v>484</v>
      </c>
      <c r="B470" s="41">
        <v>46188.69111111111</v>
      </c>
      <c r="C470" s="23" t="s">
        <v>483</v>
      </c>
      <c r="D470" s="23" t="s">
        <v>353</v>
      </c>
      <c r="E470" s="25">
        <v>359.98</v>
      </c>
      <c r="F470" s="23" t="s">
        <v>608</v>
      </c>
      <c r="G470" s="26">
        <f>IF($E470=0,0,IF(SUMIF(Aux_Datos!$B:$B,$I470,Aux_Datos!$K:$K)/$E470&gt;=VLOOKUP(IF(COUNTIFS(Aux_Datos!$B:$B,$I470,Aux_Datos!$D:$D,"&lt;&gt;USD")=0,"USD","VES"),'Limites de Descuento'!$A$2:$D$4,4,FALSE),MAX(0,1-SUMIF(Aux_Datos!$B:$B,$I470,Aux_Datos!$K:$K)/$E470),0))</f>
        <v>0</v>
      </c>
      <c r="H470" s="27"/>
      <c r="I470" s="28">
        <f t="shared" si="20"/>
        <v>567</v>
      </c>
      <c r="J470" s="29">
        <f t="shared" si="2"/>
        <v>46188</v>
      </c>
      <c r="K470" s="30">
        <f t="shared" si="3"/>
        <v>7</v>
      </c>
      <c r="L470" s="29">
        <f t="shared" si="4"/>
        <v>46196</v>
      </c>
      <c r="M470" s="30">
        <f t="shared" si="5"/>
        <v>359.98</v>
      </c>
      <c r="N470" s="32">
        <f t="shared" si="6"/>
        <v>4</v>
      </c>
      <c r="O470" s="33" t="str">
        <f t="shared" si="7"/>
        <v>VENCIDA</v>
      </c>
      <c r="P470" s="34">
        <f>LET(
  idVenta, I470&amp;"",
  montoTotal, M470,
  pagos, IFERROR(SUMIF(Aux_Datos!$B:$B, idVenta, Aux_Datos!$K:$K), 0),
  retenciones, IFERROR(SUMIF(Aux_Datos!$N:$N, idVenta, Aux_Datos!$R:$R), 0),
  pagos + retenciones
)</f>
        <v>0</v>
      </c>
      <c r="Q470" s="30" t="str">
        <f>IF(P470=0, "Sin Pago", 
  LET(
    idVenta, I470&amp;"",
    montoTotalPagado, P470,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70" s="30">
        <f t="shared" si="22"/>
        <v>359.98</v>
      </c>
      <c r="S470" s="29" t="str">
        <f>IF(P470=0, "Sin Pago", 
  IFERROR(
    MAXIFS(Aux_Datos!$A:$A, Aux_Datos!$B:$B, I470&amp;""), 
    IFERROR(MAXIFS(Aux_Datos!$A:$A, Aux_Datos!$B:$B, VALUE(I470)), "Revisar ID")
  )
)</f>
        <v>Sin Pago</v>
      </c>
      <c r="T470" s="35" t="str">
        <f t="shared" si="21"/>
        <v>PENDIENTE</v>
      </c>
      <c r="U470" s="35" t="str">
        <f t="shared" si="10"/>
        <v>CRÍTICO: VENCIDA</v>
      </c>
      <c r="V470" s="32">
        <f t="shared" si="11"/>
        <v>0</v>
      </c>
      <c r="W470" s="36" t="str">
        <f>IF(P470=0, "Sin Pago", 
  LET(
    monedaPago, Q470, 
    descuentoAplicado, G470,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70" s="36" t="str">
        <f t="shared" si="12"/>
        <v/>
      </c>
      <c r="Y470" s="36">
        <v>0.0</v>
      </c>
      <c r="Z470" s="33" t="s">
        <v>641</v>
      </c>
      <c r="AA470" s="33"/>
      <c r="AB470" s="33"/>
      <c r="AC470" s="33"/>
      <c r="AD470" s="33"/>
      <c r="AE470" s="33"/>
      <c r="AF470" s="33"/>
    </row>
    <row r="471" ht="22.5" customHeight="1">
      <c r="A471" s="23" t="s">
        <v>492</v>
      </c>
      <c r="B471" s="41">
        <v>46188.72236111111</v>
      </c>
      <c r="C471" s="23" t="s">
        <v>491</v>
      </c>
      <c r="D471" s="23" t="s">
        <v>538</v>
      </c>
      <c r="E471" s="25">
        <v>346.7</v>
      </c>
      <c r="F471" s="23" t="s">
        <v>608</v>
      </c>
      <c r="G471" s="26">
        <f>IF($E471=0,0,IF(SUMIF(Aux_Datos!$B:$B,$I471,Aux_Datos!$K:$K)/$E471&gt;=VLOOKUP(IF(COUNTIFS(Aux_Datos!$B:$B,$I471,Aux_Datos!$D:$D,"&lt;&gt;USD")=0,"USD","VES"),'Limites de Descuento'!$A$2:$D$4,4,FALSE),MAX(0,1-SUMIF(Aux_Datos!$B:$B,$I471,Aux_Datos!$K:$K)/$E471),0))</f>
        <v>0</v>
      </c>
      <c r="H471" s="27"/>
      <c r="I471" s="28">
        <f t="shared" si="20"/>
        <v>568</v>
      </c>
      <c r="J471" s="29">
        <f t="shared" si="2"/>
        <v>46188</v>
      </c>
      <c r="K471" s="30">
        <f t="shared" si="3"/>
        <v>7</v>
      </c>
      <c r="L471" s="29">
        <f t="shared" si="4"/>
        <v>46196</v>
      </c>
      <c r="M471" s="30">
        <f t="shared" si="5"/>
        <v>346.7</v>
      </c>
      <c r="N471" s="32">
        <f t="shared" si="6"/>
        <v>4</v>
      </c>
      <c r="O471" s="33" t="str">
        <f t="shared" si="7"/>
        <v>VENCIDA</v>
      </c>
      <c r="P471" s="34">
        <f>LET(
  idVenta, I471&amp;"",
  montoTotal, M471,
  pagos, IFERROR(SUMIF(Aux_Datos!$B:$B, idVenta, Aux_Datos!$K:$K), 0),
  retenciones, IFERROR(SUMIF(Aux_Datos!$N:$N, idVenta, Aux_Datos!$R:$R), 0),
  pagos + retenciones
)</f>
        <v>0</v>
      </c>
      <c r="Q471" s="30" t="str">
        <f>IF(P471=0, "Sin Pago", 
  LET(
    idVenta, I471&amp;"",
    montoTotalPagado, P471,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71" s="30">
        <f t="shared" si="22"/>
        <v>346.7</v>
      </c>
      <c r="S471" s="29" t="str">
        <f>IF(P471=0, "Sin Pago", 
  IFERROR(
    MAXIFS(Aux_Datos!$A:$A, Aux_Datos!$B:$B, I471&amp;""), 
    IFERROR(MAXIFS(Aux_Datos!$A:$A, Aux_Datos!$B:$B, VALUE(I471)), "Revisar ID")
  )
)</f>
        <v>Sin Pago</v>
      </c>
      <c r="T471" s="35" t="str">
        <f t="shared" si="21"/>
        <v>PENDIENTE</v>
      </c>
      <c r="U471" s="35" t="str">
        <f t="shared" si="10"/>
        <v>CRÍTICO: VENCIDA</v>
      </c>
      <c r="V471" s="32">
        <f t="shared" si="11"/>
        <v>0</v>
      </c>
      <c r="W471" s="36" t="str">
        <f>IF(P471=0, "Sin Pago", 
  LET(
    monedaPago, Q471, 
    descuentoAplicado, G471,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71" s="36" t="str">
        <f t="shared" si="12"/>
        <v/>
      </c>
      <c r="Y471" s="36">
        <v>0.0</v>
      </c>
      <c r="Z471" s="33" t="s">
        <v>641</v>
      </c>
      <c r="AA471" s="33"/>
      <c r="AB471" s="33"/>
      <c r="AC471" s="33"/>
      <c r="AD471" s="33"/>
      <c r="AE471" s="33"/>
      <c r="AF471" s="33"/>
    </row>
    <row r="472" ht="22.5" customHeight="1">
      <c r="A472" s="23" t="s">
        <v>870</v>
      </c>
      <c r="B472" s="41">
        <v>46189.422106481485</v>
      </c>
      <c r="C472" s="23" t="s">
        <v>819</v>
      </c>
      <c r="D472" s="23" t="s">
        <v>208</v>
      </c>
      <c r="E472" s="25">
        <v>36.66</v>
      </c>
      <c r="F472" s="23" t="s">
        <v>608</v>
      </c>
      <c r="G472" s="26">
        <f>IF($E472=0,0,IF(SUMIF(Aux_Datos!$B:$B,$I472,Aux_Datos!$K:$K)/$E472&gt;=VLOOKUP(IF(COUNTIFS(Aux_Datos!$B:$B,$I472,Aux_Datos!$D:$D,"&lt;&gt;USD")=0,"USD","VES"),'Limites de Descuento'!$A$2:$D$4,4,FALSE),MAX(0,1-SUMIF(Aux_Datos!$B:$B,$I472,Aux_Datos!$K:$K)/$E472),0))</f>
        <v>0</v>
      </c>
      <c r="H472" s="27"/>
      <c r="I472" s="28">
        <f t="shared" si="20"/>
        <v>570</v>
      </c>
      <c r="J472" s="29">
        <f t="shared" si="2"/>
        <v>46189</v>
      </c>
      <c r="K472" s="30">
        <f t="shared" si="3"/>
        <v>7</v>
      </c>
      <c r="L472" s="29">
        <f t="shared" si="4"/>
        <v>46197</v>
      </c>
      <c r="M472" s="30">
        <f t="shared" si="5"/>
        <v>36.66</v>
      </c>
      <c r="N472" s="32">
        <f t="shared" si="6"/>
        <v>0</v>
      </c>
      <c r="O472" s="33" t="str">
        <f t="shared" si="7"/>
        <v>PAGADA</v>
      </c>
      <c r="P472" s="37">
        <v>37.0</v>
      </c>
      <c r="Q472" s="30" t="str">
        <f>IF(P472=0, "Sin Pago", 
  LET(
    idVenta, I472&amp;"",
    montoTotalPagado, P472,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MIXTO</v>
      </c>
      <c r="R472" s="38">
        <v>0.0</v>
      </c>
      <c r="S472" s="29">
        <f>IF(P472=0, "Sin Pago", 
  IFERROR(
    MAXIFS(Aux_Datos!$A:$A, Aux_Datos!$B:$B, I472&amp;""), 
    IFERROR(MAXIFS(Aux_Datos!$A:$A, Aux_Datos!$B:$B, VALUE(I472)), "Revisar ID")
  )
)</f>
        <v>0</v>
      </c>
      <c r="T472" s="35" t="str">
        <f t="shared" si="21"/>
        <v>PAGADA</v>
      </c>
      <c r="U472" s="35" t="str">
        <f t="shared" si="10"/>
        <v>SOLVENTE</v>
      </c>
      <c r="V472" s="32">
        <f t="shared" si="11"/>
        <v>0</v>
      </c>
      <c r="W472" s="36" t="str">
        <f>IF(P472=0, "Sin Pago", 
  LET(
    monedaPago, Q472, 
    descuentoAplicado, G472,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472" s="36" t="str">
        <f t="shared" si="12"/>
        <v/>
      </c>
      <c r="Y472" s="36">
        <v>0.0</v>
      </c>
      <c r="Z472" s="33" t="s">
        <v>596</v>
      </c>
      <c r="AA472" s="33"/>
      <c r="AB472" s="33"/>
      <c r="AC472" s="33"/>
      <c r="AD472" s="33"/>
      <c r="AE472" s="33"/>
      <c r="AF472" s="33"/>
    </row>
    <row r="473" ht="22.5" customHeight="1">
      <c r="A473" s="23" t="s">
        <v>195</v>
      </c>
      <c r="B473" s="41">
        <v>46189.701145833336</v>
      </c>
      <c r="C473" s="23" t="s">
        <v>192</v>
      </c>
      <c r="D473" s="23" t="s">
        <v>353</v>
      </c>
      <c r="E473" s="25">
        <v>20547.78</v>
      </c>
      <c r="F473" s="23" t="s">
        <v>608</v>
      </c>
      <c r="G473" s="26">
        <f>IF($E473=0,0,IF(SUMIF(Aux_Datos!$B:$B,$I473,Aux_Datos!$K:$K)/$E473&gt;=VLOOKUP(IF(COUNTIFS(Aux_Datos!$B:$B,$I473,Aux_Datos!$D:$D,"&lt;&gt;USD")=0,"USD","VES"),'Limites de Descuento'!$A$2:$D$4,4,FALSE),MAX(0,1-SUMIF(Aux_Datos!$B:$B,$I473,Aux_Datos!$K:$K)/$E473),0))</f>
        <v>0</v>
      </c>
      <c r="H473" s="27"/>
      <c r="I473" s="28">
        <f t="shared" si="20"/>
        <v>571</v>
      </c>
      <c r="J473" s="29">
        <f t="shared" si="2"/>
        <v>46189</v>
      </c>
      <c r="K473" s="30">
        <f t="shared" si="3"/>
        <v>7</v>
      </c>
      <c r="L473" s="29">
        <f t="shared" si="4"/>
        <v>46197</v>
      </c>
      <c r="M473" s="30">
        <f t="shared" si="5"/>
        <v>20547.78</v>
      </c>
      <c r="N473" s="32">
        <f t="shared" si="6"/>
        <v>3</v>
      </c>
      <c r="O473" s="33" t="str">
        <f t="shared" si="7"/>
        <v>VENCIDA</v>
      </c>
      <c r="P473" s="34">
        <f>LET(
  idVenta, I473&amp;"",
  montoTotal, M473,
  pagos, IFERROR(SUMIF(Aux_Datos!$B:$B, idVenta, Aux_Datos!$K:$K), 0),
  retenciones, IFERROR(SUMIF(Aux_Datos!$N:$N, idVenta, Aux_Datos!$R:$R), 0),
  pagos + retenciones
)</f>
        <v>0</v>
      </c>
      <c r="Q473" s="30" t="str">
        <f>IF(P473=0, "Sin Pago", 
  LET(
    idVenta, I473&amp;"",
    montoTotalPagado, P473,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73" s="30">
        <f t="shared" ref="R473:R595" si="23">M473-P473</f>
        <v>20547.78</v>
      </c>
      <c r="S473" s="29" t="str">
        <f>IF(P473=0, "Sin Pago", 
  IFERROR(
    MAXIFS(Aux_Datos!$A:$A, Aux_Datos!$B:$B, I473&amp;""), 
    IFERROR(MAXIFS(Aux_Datos!$A:$A, Aux_Datos!$B:$B, VALUE(I473)), "Revisar ID")
  )
)</f>
        <v>Sin Pago</v>
      </c>
      <c r="T473" s="35" t="str">
        <f t="shared" si="21"/>
        <v>PENDIENTE</v>
      </c>
      <c r="U473" s="35" t="str">
        <f t="shared" si="10"/>
        <v>CRÍTICO: VENCIDA</v>
      </c>
      <c r="V473" s="32">
        <f t="shared" si="11"/>
        <v>0</v>
      </c>
      <c r="W473" s="36" t="str">
        <f>IF(P473=0, "Sin Pago", 
  LET(
    monedaPago, Q473, 
    descuentoAplicado, G473,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73" s="36" t="str">
        <f t="shared" si="12"/>
        <v/>
      </c>
      <c r="Y473" s="36">
        <v>0.0</v>
      </c>
      <c r="Z473" s="33" t="s">
        <v>641</v>
      </c>
      <c r="AA473" s="33"/>
      <c r="AB473" s="33"/>
      <c r="AC473" s="33"/>
      <c r="AD473" s="33"/>
      <c r="AE473" s="33"/>
      <c r="AF473" s="33"/>
    </row>
    <row r="474" ht="22.5" customHeight="1">
      <c r="A474" s="23" t="s">
        <v>500</v>
      </c>
      <c r="B474" s="41">
        <v>46189.70135416667</v>
      </c>
      <c r="C474" s="23" t="s">
        <v>499</v>
      </c>
      <c r="D474" s="23" t="s">
        <v>552</v>
      </c>
      <c r="E474" s="25">
        <v>447.53</v>
      </c>
      <c r="F474" s="23" t="s">
        <v>608</v>
      </c>
      <c r="G474" s="26">
        <f>IF($E474=0,0,IF(SUMIF(Aux_Datos!$B:$B,$I474,Aux_Datos!$K:$K)/$E474&gt;=VLOOKUP(IF(COUNTIFS(Aux_Datos!$B:$B,$I474,Aux_Datos!$D:$D,"&lt;&gt;USD")=0,"USD","VES"),'Limites de Descuento'!$A$2:$D$4,4,FALSE),MAX(0,1-SUMIF(Aux_Datos!$B:$B,$I474,Aux_Datos!$K:$K)/$E474),0))</f>
        <v>0</v>
      </c>
      <c r="H474" s="27"/>
      <c r="I474" s="28">
        <f t="shared" si="20"/>
        <v>572</v>
      </c>
      <c r="J474" s="29">
        <f t="shared" si="2"/>
        <v>46189</v>
      </c>
      <c r="K474" s="30">
        <f t="shared" si="3"/>
        <v>7</v>
      </c>
      <c r="L474" s="29">
        <f t="shared" si="4"/>
        <v>46197</v>
      </c>
      <c r="M474" s="30">
        <f t="shared" si="5"/>
        <v>447.53</v>
      </c>
      <c r="N474" s="32">
        <f t="shared" si="6"/>
        <v>3</v>
      </c>
      <c r="O474" s="33" t="str">
        <f t="shared" si="7"/>
        <v>VENCIDA</v>
      </c>
      <c r="P474" s="34">
        <f>LET(
  idVenta, I474&amp;"",
  montoTotal, M474,
  pagos, IFERROR(SUMIF(Aux_Datos!$B:$B, idVenta, Aux_Datos!$K:$K), 0),
  retenciones, IFERROR(SUMIF(Aux_Datos!$N:$N, idVenta, Aux_Datos!$R:$R), 0),
  pagos + retenciones
)</f>
        <v>0</v>
      </c>
      <c r="Q474" s="30" t="str">
        <f>IF(P474=0, "Sin Pago", 
  LET(
    idVenta, I474&amp;"",
    montoTotalPagado, P474,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74" s="30">
        <f t="shared" si="23"/>
        <v>447.53</v>
      </c>
      <c r="S474" s="29" t="str">
        <f>IF(P474=0, "Sin Pago", 
  IFERROR(
    MAXIFS(Aux_Datos!$A:$A, Aux_Datos!$B:$B, I474&amp;""), 
    IFERROR(MAXIFS(Aux_Datos!$A:$A, Aux_Datos!$B:$B, VALUE(I474)), "Revisar ID")
  )
)</f>
        <v>Sin Pago</v>
      </c>
      <c r="T474" s="35" t="str">
        <f t="shared" si="21"/>
        <v>PENDIENTE</v>
      </c>
      <c r="U474" s="35" t="str">
        <f t="shared" si="10"/>
        <v>CRÍTICO: VENCIDA</v>
      </c>
      <c r="V474" s="32">
        <f t="shared" si="11"/>
        <v>0</v>
      </c>
      <c r="W474" s="36" t="str">
        <f>IF(P474=0, "Sin Pago", 
  LET(
    monedaPago, Q474, 
    descuentoAplicado, G474,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74" s="36" t="str">
        <f t="shared" si="12"/>
        <v/>
      </c>
      <c r="Y474" s="36">
        <v>0.0</v>
      </c>
      <c r="Z474" s="33" t="s">
        <v>641</v>
      </c>
      <c r="AA474" s="33"/>
      <c r="AB474" s="33"/>
      <c r="AC474" s="33"/>
      <c r="AD474" s="33"/>
      <c r="AE474" s="33"/>
      <c r="AF474" s="33"/>
    </row>
    <row r="475" ht="22.5" customHeight="1">
      <c r="A475" s="23" t="s">
        <v>194</v>
      </c>
      <c r="B475" s="41">
        <v>46189.70178240741</v>
      </c>
      <c r="C475" s="23" t="s">
        <v>192</v>
      </c>
      <c r="D475" s="23" t="s">
        <v>353</v>
      </c>
      <c r="E475" s="25">
        <v>1860.43</v>
      </c>
      <c r="F475" s="23" t="s">
        <v>608</v>
      </c>
      <c r="G475" s="26">
        <f>IF($E475=0,0,IF(SUMIF(Aux_Datos!$B:$B,$I475,Aux_Datos!$K:$K)/$E475&gt;=VLOOKUP(IF(COUNTIFS(Aux_Datos!$B:$B,$I475,Aux_Datos!$D:$D,"&lt;&gt;USD")=0,"USD","VES"),'Limites de Descuento'!$A$2:$D$4,4,FALSE),MAX(0,1-SUMIF(Aux_Datos!$B:$B,$I475,Aux_Datos!$K:$K)/$E475),0))</f>
        <v>0</v>
      </c>
      <c r="H475" s="27"/>
      <c r="I475" s="28">
        <f t="shared" si="20"/>
        <v>573</v>
      </c>
      <c r="J475" s="29">
        <f t="shared" si="2"/>
        <v>46189</v>
      </c>
      <c r="K475" s="30">
        <f t="shared" si="3"/>
        <v>7</v>
      </c>
      <c r="L475" s="29">
        <f t="shared" si="4"/>
        <v>46197</v>
      </c>
      <c r="M475" s="30">
        <f t="shared" si="5"/>
        <v>1860.43</v>
      </c>
      <c r="N475" s="32">
        <f t="shared" si="6"/>
        <v>3</v>
      </c>
      <c r="O475" s="33" t="str">
        <f t="shared" si="7"/>
        <v>VENCIDA</v>
      </c>
      <c r="P475" s="34">
        <f>LET(
  idVenta, I475&amp;"",
  montoTotal, M475,
  pagos, IFERROR(SUMIF(Aux_Datos!$B:$B, idVenta, Aux_Datos!$K:$K), 0),
  retenciones, IFERROR(SUMIF(Aux_Datos!$N:$N, idVenta, Aux_Datos!$R:$R), 0),
  pagos + retenciones
)</f>
        <v>0</v>
      </c>
      <c r="Q475" s="30" t="str">
        <f>IF(P475=0, "Sin Pago", 
  LET(
    idVenta, I475&amp;"",
    montoTotalPagado, P475,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75" s="30">
        <f t="shared" si="23"/>
        <v>1860.43</v>
      </c>
      <c r="S475" s="29" t="str">
        <f>IF(P475=0, "Sin Pago", 
  IFERROR(
    MAXIFS(Aux_Datos!$A:$A, Aux_Datos!$B:$B, I475&amp;""), 
    IFERROR(MAXIFS(Aux_Datos!$A:$A, Aux_Datos!$B:$B, VALUE(I475)), "Revisar ID")
  )
)</f>
        <v>Sin Pago</v>
      </c>
      <c r="T475" s="35" t="str">
        <f t="shared" si="21"/>
        <v>PENDIENTE</v>
      </c>
      <c r="U475" s="35" t="str">
        <f t="shared" si="10"/>
        <v>CRÍTICO: VENCIDA</v>
      </c>
      <c r="V475" s="32">
        <f t="shared" si="11"/>
        <v>0</v>
      </c>
      <c r="W475" s="36" t="str">
        <f>IF(P475=0, "Sin Pago", 
  LET(
    monedaPago, Q475, 
    descuentoAplicado, G475,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75" s="36" t="str">
        <f t="shared" si="12"/>
        <v/>
      </c>
      <c r="Y475" s="36">
        <v>0.0</v>
      </c>
      <c r="Z475" s="33" t="s">
        <v>641</v>
      </c>
      <c r="AA475" s="33"/>
      <c r="AB475" s="33"/>
      <c r="AC475" s="33"/>
      <c r="AD475" s="33"/>
      <c r="AE475" s="33"/>
      <c r="AF475" s="33"/>
    </row>
    <row r="476" ht="22.5" customHeight="1">
      <c r="A476" s="23" t="s">
        <v>18</v>
      </c>
      <c r="B476" s="41">
        <v>46189.70155092593</v>
      </c>
      <c r="C476" s="23" t="s">
        <v>14</v>
      </c>
      <c r="D476" s="23" t="s">
        <v>353</v>
      </c>
      <c r="E476" s="25">
        <v>222.32</v>
      </c>
      <c r="F476" s="23" t="s">
        <v>608</v>
      </c>
      <c r="G476" s="26">
        <f>IF($E476=0,0,IF(SUMIF(Aux_Datos!$B:$B,$I476,Aux_Datos!$K:$K)/$E476&gt;=VLOOKUP(IF(COUNTIFS(Aux_Datos!$B:$B,$I476,Aux_Datos!$D:$D,"&lt;&gt;USD")=0,"USD","VES"),'Limites de Descuento'!$A$2:$D$4,4,FALSE),MAX(0,1-SUMIF(Aux_Datos!$B:$B,$I476,Aux_Datos!$K:$K)/$E476),0))</f>
        <v>0</v>
      </c>
      <c r="H476" s="27"/>
      <c r="I476" s="28">
        <f t="shared" si="20"/>
        <v>574</v>
      </c>
      <c r="J476" s="29">
        <f t="shared" si="2"/>
        <v>46189</v>
      </c>
      <c r="K476" s="30">
        <f t="shared" si="3"/>
        <v>7</v>
      </c>
      <c r="L476" s="29">
        <f t="shared" si="4"/>
        <v>46197</v>
      </c>
      <c r="M476" s="30">
        <f t="shared" si="5"/>
        <v>222.32</v>
      </c>
      <c r="N476" s="32">
        <f t="shared" si="6"/>
        <v>3</v>
      </c>
      <c r="O476" s="33" t="str">
        <f t="shared" si="7"/>
        <v>VENCIDA</v>
      </c>
      <c r="P476" s="34">
        <f>LET(
  idVenta, I476&amp;"",
  montoTotal, M476,
  pagos, IFERROR(SUMIF(Aux_Datos!$B:$B, idVenta, Aux_Datos!$K:$K), 0),
  retenciones, IFERROR(SUMIF(Aux_Datos!$N:$N, idVenta, Aux_Datos!$R:$R), 0),
  pagos + retenciones
)</f>
        <v>140</v>
      </c>
      <c r="Q476" s="30" t="str">
        <f>IF(P476=0, "Sin Pago", 
  LET(
    idVenta, I476&amp;"",
    montoTotalPagado, P476,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476" s="30">
        <f t="shared" si="23"/>
        <v>82.32</v>
      </c>
      <c r="S476" s="29">
        <f>IF(P476=0, "Sin Pago", 
  IFERROR(
    MAXIFS(Aux_Datos!$A:$A, Aux_Datos!$B:$B, I476&amp;""), 
    IFERROR(MAXIFS(Aux_Datos!$A:$A, Aux_Datos!$B:$B, VALUE(I476)), "Revisar ID")
  )
)</f>
        <v>46190</v>
      </c>
      <c r="T476" s="35" t="str">
        <f t="shared" si="21"/>
        <v>PAGO PARCIAL</v>
      </c>
      <c r="U476" s="35" t="str">
        <f t="shared" si="10"/>
        <v>CRÍTICO: VENCIDA</v>
      </c>
      <c r="V476" s="32">
        <f t="shared" si="11"/>
        <v>10</v>
      </c>
      <c r="W476" s="36" t="str">
        <f>IF(P476=0, "Sin Pago", 
  LET(
    monedaPago, Q476, 
    descuentoAplicado, G476,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476" s="36" t="str">
        <f t="shared" si="12"/>
        <v/>
      </c>
      <c r="Y476" s="36">
        <v>140.0</v>
      </c>
      <c r="Z476" s="33" t="s">
        <v>609</v>
      </c>
      <c r="AA476" s="33"/>
      <c r="AB476" s="33"/>
      <c r="AC476" s="33"/>
      <c r="AD476" s="33"/>
      <c r="AE476" s="33"/>
      <c r="AF476" s="33"/>
    </row>
    <row r="477" ht="22.5" customHeight="1">
      <c r="A477" s="23" t="s">
        <v>506</v>
      </c>
      <c r="B477" s="41">
        <v>46190.39795138889</v>
      </c>
      <c r="C477" s="23" t="s">
        <v>505</v>
      </c>
      <c r="D477" s="23" t="s">
        <v>323</v>
      </c>
      <c r="E477" s="25">
        <v>94.39</v>
      </c>
      <c r="F477" s="23" t="s">
        <v>608</v>
      </c>
      <c r="G477" s="26">
        <f>IF($E477=0,0,IF(SUMIF(Aux_Datos!$B:$B,$I477,Aux_Datos!$K:$K)/$E477&gt;=VLOOKUP(IF(COUNTIFS(Aux_Datos!$B:$B,$I477,Aux_Datos!$D:$D,"&lt;&gt;USD")=0,"USD","VES"),'Limites de Descuento'!$A$2:$D$4,4,FALSE),MAX(0,1-SUMIF(Aux_Datos!$B:$B,$I477,Aux_Datos!$K:$K)/$E477),0))</f>
        <v>0</v>
      </c>
      <c r="H477" s="27"/>
      <c r="I477" s="28">
        <f t="shared" si="20"/>
        <v>575</v>
      </c>
      <c r="J477" s="29">
        <f t="shared" si="2"/>
        <v>46190</v>
      </c>
      <c r="K477" s="30">
        <f t="shared" si="3"/>
        <v>7</v>
      </c>
      <c r="L477" s="29">
        <f t="shared" si="4"/>
        <v>46198</v>
      </c>
      <c r="M477" s="30">
        <f t="shared" si="5"/>
        <v>94.39</v>
      </c>
      <c r="N477" s="32">
        <f t="shared" si="6"/>
        <v>2</v>
      </c>
      <c r="O477" s="33" t="str">
        <f t="shared" si="7"/>
        <v>VENCIDA</v>
      </c>
      <c r="P477" s="34">
        <f>LET(
  idVenta, I477&amp;"",
  montoTotal, M477,
  pagos, IFERROR(SUMIF(Aux_Datos!$B:$B, idVenta, Aux_Datos!$K:$K), 0),
  retenciones, IFERROR(SUMIF(Aux_Datos!$N:$N, idVenta, Aux_Datos!$R:$R), 0),
  pagos + retenciones
)</f>
        <v>0</v>
      </c>
      <c r="Q477" s="30" t="str">
        <f>IF(P477=0, "Sin Pago", 
  LET(
    idVenta, I477&amp;"",
    montoTotalPagado, P477,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77" s="30">
        <f t="shared" si="23"/>
        <v>94.39</v>
      </c>
      <c r="S477" s="29" t="str">
        <f>IF(P477=0, "Sin Pago", 
  IFERROR(
    MAXIFS(Aux_Datos!$A:$A, Aux_Datos!$B:$B, I477&amp;""), 
    IFERROR(MAXIFS(Aux_Datos!$A:$A, Aux_Datos!$B:$B, VALUE(I477)), "Revisar ID")
  )
)</f>
        <v>Sin Pago</v>
      </c>
      <c r="T477" s="35" t="str">
        <f t="shared" si="21"/>
        <v>PENDIENTE</v>
      </c>
      <c r="U477" s="35" t="str">
        <f t="shared" si="10"/>
        <v>CRÍTICO: VENCIDA</v>
      </c>
      <c r="V477" s="32">
        <f t="shared" si="11"/>
        <v>0</v>
      </c>
      <c r="W477" s="36" t="str">
        <f>IF(P477=0, "Sin Pago", 
  LET(
    monedaPago, Q477, 
    descuentoAplicado, G477,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77" s="36" t="str">
        <f t="shared" si="12"/>
        <v/>
      </c>
      <c r="Y477" s="36">
        <v>0.0</v>
      </c>
      <c r="Z477" s="33" t="s">
        <v>641</v>
      </c>
      <c r="AA477" s="33"/>
      <c r="AB477" s="33"/>
      <c r="AC477" s="33"/>
      <c r="AD477" s="33"/>
      <c r="AE477" s="33"/>
      <c r="AF477" s="33"/>
    </row>
    <row r="478" ht="22.5" customHeight="1">
      <c r="A478" s="23" t="s">
        <v>504</v>
      </c>
      <c r="B478" s="41">
        <v>46190.71519675926</v>
      </c>
      <c r="C478" s="23" t="s">
        <v>503</v>
      </c>
      <c r="D478" s="23" t="s">
        <v>552</v>
      </c>
      <c r="E478" s="25">
        <v>148.11</v>
      </c>
      <c r="F478" s="23" t="s">
        <v>608</v>
      </c>
      <c r="G478" s="26">
        <f>IF($E478=0,0,IF(SUMIF(Aux_Datos!$B:$B,$I478,Aux_Datos!$K:$K)/$E478&gt;=VLOOKUP(IF(COUNTIFS(Aux_Datos!$B:$B,$I478,Aux_Datos!$D:$D,"&lt;&gt;USD")=0,"USD","VES"),'Limites de Descuento'!$A$2:$D$4,4,FALSE),MAX(0,1-SUMIF(Aux_Datos!$B:$B,$I478,Aux_Datos!$K:$K)/$E478),0))</f>
        <v>0</v>
      </c>
      <c r="H478" s="27"/>
      <c r="I478" s="28">
        <f t="shared" si="20"/>
        <v>576</v>
      </c>
      <c r="J478" s="29">
        <f t="shared" si="2"/>
        <v>46190</v>
      </c>
      <c r="K478" s="30">
        <f t="shared" si="3"/>
        <v>7</v>
      </c>
      <c r="L478" s="29">
        <f t="shared" si="4"/>
        <v>46198</v>
      </c>
      <c r="M478" s="30">
        <f t="shared" si="5"/>
        <v>148.11</v>
      </c>
      <c r="N478" s="32">
        <f t="shared" si="6"/>
        <v>2</v>
      </c>
      <c r="O478" s="33" t="str">
        <f t="shared" si="7"/>
        <v>VENCIDA</v>
      </c>
      <c r="P478" s="34">
        <f>LET(
  idVenta, I478&amp;"",
  montoTotal, M478,
  pagos, IFERROR(SUMIF(Aux_Datos!$B:$B, idVenta, Aux_Datos!$K:$K), 0),
  retenciones, IFERROR(SUMIF(Aux_Datos!$N:$N, idVenta, Aux_Datos!$R:$R), 0),
  pagos + retenciones
)</f>
        <v>0</v>
      </c>
      <c r="Q478" s="30" t="str">
        <f>IF(P478=0, "Sin Pago", 
  LET(
    idVenta, I478&amp;"",
    montoTotalPagado, P478,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78" s="30">
        <f t="shared" si="23"/>
        <v>148.11</v>
      </c>
      <c r="S478" s="29" t="str">
        <f>IF(P478=0, "Sin Pago", 
  IFERROR(
    MAXIFS(Aux_Datos!$A:$A, Aux_Datos!$B:$B, I478&amp;""), 
    IFERROR(MAXIFS(Aux_Datos!$A:$A, Aux_Datos!$B:$B, VALUE(I478)), "Revisar ID")
  )
)</f>
        <v>Sin Pago</v>
      </c>
      <c r="T478" s="35" t="str">
        <f t="shared" si="21"/>
        <v>PENDIENTE</v>
      </c>
      <c r="U478" s="35" t="str">
        <f t="shared" si="10"/>
        <v>CRÍTICO: VENCIDA</v>
      </c>
      <c r="V478" s="32">
        <f t="shared" si="11"/>
        <v>0</v>
      </c>
      <c r="W478" s="36" t="str">
        <f>IF(P478=0, "Sin Pago", 
  LET(
    monedaPago, Q478, 
    descuentoAplicado, G478,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78" s="36" t="str">
        <f t="shared" si="12"/>
        <v/>
      </c>
      <c r="Y478" s="36">
        <v>0.0</v>
      </c>
      <c r="Z478" s="33" t="s">
        <v>641</v>
      </c>
      <c r="AA478" s="33"/>
      <c r="AB478" s="33"/>
      <c r="AC478" s="33"/>
      <c r="AD478" s="33"/>
      <c r="AE478" s="33"/>
      <c r="AF478" s="33"/>
    </row>
    <row r="479" ht="22.5" customHeight="1">
      <c r="A479" s="23" t="s">
        <v>502</v>
      </c>
      <c r="B479" s="41">
        <v>46190.61715277778</v>
      </c>
      <c r="C479" s="23" t="s">
        <v>501</v>
      </c>
      <c r="D479" s="23" t="s">
        <v>323</v>
      </c>
      <c r="E479" s="25">
        <v>173.68</v>
      </c>
      <c r="F479" s="23" t="s">
        <v>608</v>
      </c>
      <c r="G479" s="26">
        <f>IF($E479=0,0,IF(SUMIF(Aux_Datos!$B:$B,$I479,Aux_Datos!$K:$K)/$E479&gt;=VLOOKUP(IF(COUNTIFS(Aux_Datos!$B:$B,$I479,Aux_Datos!$D:$D,"&lt;&gt;USD")=0,"USD","VES"),'Limites de Descuento'!$A$2:$D$4,4,FALSE),MAX(0,1-SUMIF(Aux_Datos!$B:$B,$I479,Aux_Datos!$K:$K)/$E479),0))</f>
        <v>0</v>
      </c>
      <c r="H479" s="27"/>
      <c r="I479" s="28">
        <f t="shared" si="20"/>
        <v>577</v>
      </c>
      <c r="J479" s="29">
        <f t="shared" si="2"/>
        <v>46190</v>
      </c>
      <c r="K479" s="30">
        <f t="shared" si="3"/>
        <v>7</v>
      </c>
      <c r="L479" s="29">
        <f t="shared" si="4"/>
        <v>46198</v>
      </c>
      <c r="M479" s="30">
        <f t="shared" si="5"/>
        <v>173.68</v>
      </c>
      <c r="N479" s="32">
        <f t="shared" si="6"/>
        <v>2</v>
      </c>
      <c r="O479" s="33" t="str">
        <f t="shared" si="7"/>
        <v>VENCIDA</v>
      </c>
      <c r="P479" s="34">
        <f>LET(
  idVenta, I479&amp;"",
  montoTotal, M479,
  pagos, IFERROR(SUMIF(Aux_Datos!$B:$B, idVenta, Aux_Datos!$K:$K), 0),
  retenciones, IFERROR(SUMIF(Aux_Datos!$N:$N, idVenta, Aux_Datos!$R:$R), 0),
  pagos + retenciones
)</f>
        <v>0</v>
      </c>
      <c r="Q479" s="30" t="str">
        <f>IF(P479=0, "Sin Pago", 
  LET(
    idVenta, I479&amp;"",
    montoTotalPagado, P479,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79" s="30">
        <f t="shared" si="23"/>
        <v>173.68</v>
      </c>
      <c r="S479" s="29" t="str">
        <f>IF(P479=0, "Sin Pago", 
  IFERROR(
    MAXIFS(Aux_Datos!$A:$A, Aux_Datos!$B:$B, I479&amp;""), 
    IFERROR(MAXIFS(Aux_Datos!$A:$A, Aux_Datos!$B:$B, VALUE(I479)), "Revisar ID")
  )
)</f>
        <v>Sin Pago</v>
      </c>
      <c r="T479" s="35" t="str">
        <f t="shared" si="21"/>
        <v>PENDIENTE</v>
      </c>
      <c r="U479" s="35" t="str">
        <f t="shared" si="10"/>
        <v>CRÍTICO: VENCIDA</v>
      </c>
      <c r="V479" s="32">
        <f t="shared" si="11"/>
        <v>0</v>
      </c>
      <c r="W479" s="36" t="str">
        <f>IF(P479=0, "Sin Pago", 
  LET(
    monedaPago, Q479, 
    descuentoAplicado, G479,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79" s="36" t="str">
        <f t="shared" si="12"/>
        <v/>
      </c>
      <c r="Y479" s="36">
        <v>0.0</v>
      </c>
      <c r="Z479" s="33" t="s">
        <v>641</v>
      </c>
      <c r="AA479" s="33"/>
      <c r="AB479" s="33"/>
      <c r="AC479" s="33"/>
      <c r="AD479" s="33"/>
      <c r="AE479" s="33"/>
      <c r="AF479" s="33"/>
    </row>
    <row r="480" ht="22.5" customHeight="1">
      <c r="A480" s="23" t="s">
        <v>871</v>
      </c>
      <c r="B480" s="41">
        <v>46190.71486111111</v>
      </c>
      <c r="C480" s="23" t="s">
        <v>872</v>
      </c>
      <c r="D480" s="23" t="s">
        <v>532</v>
      </c>
      <c r="E480" s="25">
        <v>387.73</v>
      </c>
      <c r="F480" s="23" t="s">
        <v>619</v>
      </c>
      <c r="G480" s="26">
        <f>IF($E480=0,0,IF(SUMIF(Aux_Datos!$B:$B,$I480,Aux_Datos!$K:$K)/$E480&gt;=VLOOKUP(IF(COUNTIFS(Aux_Datos!$B:$B,$I480,Aux_Datos!$D:$D,"&lt;&gt;USD")=0,"USD","VES"),'Limites de Descuento'!$A$2:$D$4,4,FALSE),MAX(0,1-SUMIF(Aux_Datos!$B:$B,$I480,Aux_Datos!$K:$K)/$E480),0))</f>
        <v>0</v>
      </c>
      <c r="H480" s="27"/>
      <c r="I480" s="28">
        <f t="shared" si="20"/>
        <v>578</v>
      </c>
      <c r="J480" s="29">
        <f t="shared" si="2"/>
        <v>46190</v>
      </c>
      <c r="K480" s="30">
        <f t="shared" si="3"/>
        <v>15</v>
      </c>
      <c r="L480" s="29">
        <f t="shared" si="4"/>
        <v>46206</v>
      </c>
      <c r="M480" s="30">
        <f t="shared" si="5"/>
        <v>387.73</v>
      </c>
      <c r="N480" s="32">
        <f t="shared" si="6"/>
        <v>0</v>
      </c>
      <c r="O480" s="33" t="str">
        <f t="shared" si="7"/>
        <v>EN TIEMPO</v>
      </c>
      <c r="P480" s="34">
        <f>LET(
  idVenta, I480&amp;"",
  montoTotal, M480,
  pagos, IFERROR(SUMIF(Aux_Datos!$B:$B, idVenta, Aux_Datos!$K:$K), 0),
  retenciones, IFERROR(SUMIF(Aux_Datos!$N:$N, idVenta, Aux_Datos!$R:$R), 0),
  pagos + retenciones
)</f>
        <v>0</v>
      </c>
      <c r="Q480" s="30" t="str">
        <f>IF(P480=0, "Sin Pago", 
  LET(
    idVenta, I480&amp;"",
    montoTotalPagado, P480,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80" s="30">
        <f t="shared" si="23"/>
        <v>387.73</v>
      </c>
      <c r="S480" s="29" t="str">
        <f>IF(P480=0, "Sin Pago", 
  IFERROR(
    MAXIFS(Aux_Datos!$A:$A, Aux_Datos!$B:$B, I480&amp;""), 
    IFERROR(MAXIFS(Aux_Datos!$A:$A, Aux_Datos!$B:$B, VALUE(I480)), "Revisar ID")
  )
)</f>
        <v>Sin Pago</v>
      </c>
      <c r="T480" s="35" t="str">
        <f t="shared" si="21"/>
        <v>PENDIENTE</v>
      </c>
      <c r="U480" s="35" t="str">
        <f t="shared" si="10"/>
        <v>EN TIEMPO</v>
      </c>
      <c r="V480" s="32">
        <f t="shared" si="11"/>
        <v>0</v>
      </c>
      <c r="W480" s="36" t="str">
        <f>IF(P480=0, "Sin Pago", 
  LET(
    monedaPago, Q480, 
    descuentoAplicado, G480,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80" s="36" t="str">
        <f t="shared" si="12"/>
        <v/>
      </c>
      <c r="Y480" s="36">
        <v>0.0</v>
      </c>
      <c r="Z480" s="33" t="s">
        <v>641</v>
      </c>
      <c r="AA480" s="33"/>
      <c r="AB480" s="33"/>
      <c r="AC480" s="33"/>
      <c r="AD480" s="33"/>
      <c r="AE480" s="33"/>
      <c r="AF480" s="33"/>
    </row>
    <row r="481" ht="22.5" customHeight="1">
      <c r="A481" s="23" t="s">
        <v>873</v>
      </c>
      <c r="B481" s="41">
        <v>46191.540983796294</v>
      </c>
      <c r="C481" s="23" t="s">
        <v>754</v>
      </c>
      <c r="D481" s="23" t="s">
        <v>552</v>
      </c>
      <c r="E481" s="25">
        <v>109.35</v>
      </c>
      <c r="F481" s="23" t="s">
        <v>619</v>
      </c>
      <c r="G481" s="26">
        <f>IF($E481=0,0,IF(SUMIF(Aux_Datos!$B:$B,$I481,Aux_Datos!$K:$K)/$E481&gt;=VLOOKUP(IF(COUNTIFS(Aux_Datos!$B:$B,$I481,Aux_Datos!$D:$D,"&lt;&gt;USD")=0,"USD","VES"),'Limites de Descuento'!$A$2:$D$4,4,FALSE),MAX(0,1-SUMIF(Aux_Datos!$B:$B,$I481,Aux_Datos!$K:$K)/$E481),0))</f>
        <v>0</v>
      </c>
      <c r="H481" s="27"/>
      <c r="I481" s="28">
        <f t="shared" si="20"/>
        <v>579</v>
      </c>
      <c r="J481" s="29">
        <f t="shared" si="2"/>
        <v>46191</v>
      </c>
      <c r="K481" s="30">
        <f t="shared" si="3"/>
        <v>15</v>
      </c>
      <c r="L481" s="29">
        <f t="shared" si="4"/>
        <v>46207</v>
      </c>
      <c r="M481" s="30">
        <f t="shared" si="5"/>
        <v>109.35</v>
      </c>
      <c r="N481" s="32">
        <f t="shared" si="6"/>
        <v>0</v>
      </c>
      <c r="O481" s="33" t="str">
        <f t="shared" si="7"/>
        <v>EN TIEMPO</v>
      </c>
      <c r="P481" s="34">
        <f>LET(
  idVenta, I481&amp;"",
  montoTotal, M481,
  pagos, IFERROR(SUMIF(Aux_Datos!$B:$B, idVenta, Aux_Datos!$K:$K), 0),
  retenciones, IFERROR(SUMIF(Aux_Datos!$N:$N, idVenta, Aux_Datos!$R:$R), 0),
  pagos + retenciones
)</f>
        <v>0</v>
      </c>
      <c r="Q481" s="30" t="str">
        <f>IF(P481=0, "Sin Pago", 
  LET(
    idVenta, I481&amp;"",
    montoTotalPagado, P481,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81" s="30">
        <f t="shared" si="23"/>
        <v>109.35</v>
      </c>
      <c r="S481" s="29" t="str">
        <f>IF(P481=0, "Sin Pago", 
  IFERROR(
    MAXIFS(Aux_Datos!$A:$A, Aux_Datos!$B:$B, I481&amp;""), 
    IFERROR(MAXIFS(Aux_Datos!$A:$A, Aux_Datos!$B:$B, VALUE(I481)), "Revisar ID")
  )
)</f>
        <v>Sin Pago</v>
      </c>
      <c r="T481" s="35" t="str">
        <f t="shared" si="21"/>
        <v>PENDIENTE</v>
      </c>
      <c r="U481" s="35" t="str">
        <f t="shared" si="10"/>
        <v>EN TIEMPO</v>
      </c>
      <c r="V481" s="32">
        <f t="shared" si="11"/>
        <v>0</v>
      </c>
      <c r="W481" s="36" t="str">
        <f>IF(P481=0, "Sin Pago", 
  LET(
    monedaPago, Q481, 
    descuentoAplicado, G481,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81" s="36" t="str">
        <f t="shared" si="12"/>
        <v/>
      </c>
      <c r="Y481" s="36">
        <v>0.0</v>
      </c>
      <c r="Z481" s="33" t="s">
        <v>641</v>
      </c>
      <c r="AA481" s="33"/>
      <c r="AB481" s="33"/>
      <c r="AC481" s="33"/>
      <c r="AD481" s="33"/>
      <c r="AE481" s="33"/>
      <c r="AF481" s="33"/>
    </row>
    <row r="482" ht="22.5" customHeight="1">
      <c r="A482" s="23" t="s">
        <v>874</v>
      </c>
      <c r="B482" s="41">
        <v>46191.73207175926</v>
      </c>
      <c r="C482" s="23" t="s">
        <v>828</v>
      </c>
      <c r="D482" s="23" t="s">
        <v>546</v>
      </c>
      <c r="E482" s="25">
        <v>614.35</v>
      </c>
      <c r="F482" s="23" t="s">
        <v>603</v>
      </c>
      <c r="G482" s="26">
        <f>IF($E482=0,0,IF(SUMIF(Aux_Datos!$B:$B,$I482,Aux_Datos!$K:$K)/$E482&gt;=VLOOKUP(IF(COUNTIFS(Aux_Datos!$B:$B,$I482,Aux_Datos!$D:$D,"&lt;&gt;USD")=0,"USD","VES"),'Limites de Descuento'!$A$2:$D$4,4,FALSE),MAX(0,1-SUMIF(Aux_Datos!$B:$B,$I482,Aux_Datos!$K:$K)/$E482),0))</f>
        <v>0</v>
      </c>
      <c r="H482" s="27"/>
      <c r="I482" s="28">
        <f t="shared" si="20"/>
        <v>580</v>
      </c>
      <c r="J482" s="29">
        <f t="shared" si="2"/>
        <v>46191</v>
      </c>
      <c r="K482" s="30">
        <f t="shared" si="3"/>
        <v>21</v>
      </c>
      <c r="L482" s="29">
        <f t="shared" si="4"/>
        <v>46213</v>
      </c>
      <c r="M482" s="30">
        <f t="shared" si="5"/>
        <v>614.35</v>
      </c>
      <c r="N482" s="32">
        <f t="shared" si="6"/>
        <v>0</v>
      </c>
      <c r="O482" s="33" t="str">
        <f t="shared" si="7"/>
        <v>EN TIEMPO</v>
      </c>
      <c r="P482" s="34">
        <f>LET(
  idVenta, I482&amp;"",
  montoTotal, M482,
  pagos, IFERROR(SUMIF(Aux_Datos!$B:$B, idVenta, Aux_Datos!$K:$K), 0),
  retenciones, IFERROR(SUMIF(Aux_Datos!$N:$N, idVenta, Aux_Datos!$R:$R), 0),
  pagos + retenciones
)</f>
        <v>0</v>
      </c>
      <c r="Q482" s="30" t="str">
        <f>IF(P482=0, "Sin Pago", 
  LET(
    idVenta, I482&amp;"",
    montoTotalPagado, P482,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82" s="30">
        <f t="shared" si="23"/>
        <v>614.35</v>
      </c>
      <c r="S482" s="29" t="str">
        <f>IF(P482=0, "Sin Pago", 
  IFERROR(
    MAXIFS(Aux_Datos!$A:$A, Aux_Datos!$B:$B, I482&amp;""), 
    IFERROR(MAXIFS(Aux_Datos!$A:$A, Aux_Datos!$B:$B, VALUE(I482)), "Revisar ID")
  )
)</f>
        <v>Sin Pago</v>
      </c>
      <c r="T482" s="35" t="str">
        <f t="shared" si="21"/>
        <v>PENDIENTE</v>
      </c>
      <c r="U482" s="35" t="str">
        <f t="shared" si="10"/>
        <v>EN TIEMPO</v>
      </c>
      <c r="V482" s="32">
        <f t="shared" si="11"/>
        <v>0</v>
      </c>
      <c r="W482" s="36" t="str">
        <f>IF(P482=0, "Sin Pago", 
  LET(
    monedaPago, Q482, 
    descuentoAplicado, G482,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82" s="36" t="str">
        <f t="shared" si="12"/>
        <v/>
      </c>
      <c r="Y482" s="36">
        <v>0.0</v>
      </c>
      <c r="Z482" s="33" t="s">
        <v>641</v>
      </c>
      <c r="AA482" s="33"/>
      <c r="AB482" s="33"/>
      <c r="AC482" s="33"/>
      <c r="AD482" s="33"/>
      <c r="AE482" s="33"/>
      <c r="AF482" s="33"/>
    </row>
    <row r="483" ht="22.5" customHeight="1">
      <c r="A483" s="23" t="s">
        <v>508</v>
      </c>
      <c r="B483" s="41">
        <v>46191.73226851852</v>
      </c>
      <c r="C483" s="23" t="s">
        <v>507</v>
      </c>
      <c r="D483" s="23" t="s">
        <v>538</v>
      </c>
      <c r="E483" s="25">
        <v>338.12</v>
      </c>
      <c r="F483" s="23" t="s">
        <v>608</v>
      </c>
      <c r="G483" s="26">
        <f>IF($E483=0,0,IF(SUMIF(Aux_Datos!$B:$B,$I483,Aux_Datos!$K:$K)/$E483&gt;=VLOOKUP(IF(COUNTIFS(Aux_Datos!$B:$B,$I483,Aux_Datos!$D:$D,"&lt;&gt;USD")=0,"USD","VES"),'Limites de Descuento'!$A$2:$D$4,4,FALSE),MAX(0,1-SUMIF(Aux_Datos!$B:$B,$I483,Aux_Datos!$K:$K)/$E483),0))</f>
        <v>0</v>
      </c>
      <c r="H483" s="27"/>
      <c r="I483" s="28">
        <f t="shared" si="20"/>
        <v>581</v>
      </c>
      <c r="J483" s="29">
        <f t="shared" si="2"/>
        <v>46191</v>
      </c>
      <c r="K483" s="30">
        <f t="shared" si="3"/>
        <v>7</v>
      </c>
      <c r="L483" s="29">
        <f t="shared" si="4"/>
        <v>46199</v>
      </c>
      <c r="M483" s="30">
        <f t="shared" si="5"/>
        <v>338.12</v>
      </c>
      <c r="N483" s="32">
        <f t="shared" si="6"/>
        <v>1</v>
      </c>
      <c r="O483" s="33" t="str">
        <f t="shared" si="7"/>
        <v>VENCIDA</v>
      </c>
      <c r="P483" s="34">
        <f>LET(
  idVenta, I483&amp;"",
  montoTotal, M483,
  pagos, IFERROR(SUMIF(Aux_Datos!$B:$B, idVenta, Aux_Datos!$K:$K), 0),
  retenciones, IFERROR(SUMIF(Aux_Datos!$N:$N, idVenta, Aux_Datos!$R:$R), 0),
  pagos + retenciones
)</f>
        <v>0</v>
      </c>
      <c r="Q483" s="30" t="str">
        <f>IF(P483=0, "Sin Pago", 
  LET(
    idVenta, I483&amp;"",
    montoTotalPagado, P483,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83" s="30">
        <f t="shared" si="23"/>
        <v>338.12</v>
      </c>
      <c r="S483" s="29" t="str">
        <f>IF(P483=0, "Sin Pago", 
  IFERROR(
    MAXIFS(Aux_Datos!$A:$A, Aux_Datos!$B:$B, I483&amp;""), 
    IFERROR(MAXIFS(Aux_Datos!$A:$A, Aux_Datos!$B:$B, VALUE(I483)), "Revisar ID")
  )
)</f>
        <v>Sin Pago</v>
      </c>
      <c r="T483" s="35" t="str">
        <f t="shared" si="21"/>
        <v>PENDIENTE</v>
      </c>
      <c r="U483" s="35" t="str">
        <f t="shared" si="10"/>
        <v>CRÍTICO: VENCIDA</v>
      </c>
      <c r="V483" s="32">
        <f t="shared" si="11"/>
        <v>0</v>
      </c>
      <c r="W483" s="36" t="str">
        <f>IF(P483=0, "Sin Pago", 
  LET(
    monedaPago, Q483, 
    descuentoAplicado, G483,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83" s="36" t="str">
        <f t="shared" si="12"/>
        <v/>
      </c>
      <c r="Y483" s="36">
        <v>0.0</v>
      </c>
      <c r="Z483" s="33" t="s">
        <v>641</v>
      </c>
      <c r="AA483" s="33"/>
      <c r="AB483" s="33"/>
      <c r="AC483" s="33"/>
      <c r="AD483" s="33"/>
      <c r="AE483" s="33"/>
      <c r="AF483" s="33"/>
    </row>
    <row r="484" ht="22.5" customHeight="1">
      <c r="A484" s="23" t="s">
        <v>875</v>
      </c>
      <c r="B484" s="41">
        <v>46192.38659722222</v>
      </c>
      <c r="C484" s="23" t="s">
        <v>876</v>
      </c>
      <c r="D484" s="23" t="s">
        <v>323</v>
      </c>
      <c r="E484" s="25">
        <v>54.22</v>
      </c>
      <c r="F484" s="23" t="s">
        <v>608</v>
      </c>
      <c r="G484" s="26">
        <f>IF($E484=0,0,IF(SUMIF(Aux_Datos!$B:$B,$I484,Aux_Datos!$K:$K)/$E484&gt;=VLOOKUP(IF(COUNTIFS(Aux_Datos!$B:$B,$I484,Aux_Datos!$D:$D,"&lt;&gt;USD")=0,"USD","VES"),'Limites de Descuento'!$A$2:$D$4,4,FALSE),MAX(0,1-SUMIF(Aux_Datos!$B:$B,$I484,Aux_Datos!$K:$K)/$E484),0))</f>
        <v>0</v>
      </c>
      <c r="H484" s="27"/>
      <c r="I484" s="28">
        <f t="shared" si="20"/>
        <v>582</v>
      </c>
      <c r="J484" s="29">
        <f t="shared" si="2"/>
        <v>46192</v>
      </c>
      <c r="K484" s="30">
        <f t="shared" si="3"/>
        <v>7</v>
      </c>
      <c r="L484" s="29">
        <f t="shared" si="4"/>
        <v>46200</v>
      </c>
      <c r="M484" s="30">
        <f t="shared" si="5"/>
        <v>54.22</v>
      </c>
      <c r="N484" s="32">
        <f t="shared" si="6"/>
        <v>0</v>
      </c>
      <c r="O484" s="33" t="str">
        <f t="shared" si="7"/>
        <v>EN TIEMPO</v>
      </c>
      <c r="P484" s="34">
        <f>LET(
  idVenta, I484&amp;"",
  montoTotal, M484,
  pagos, IFERROR(SUMIF(Aux_Datos!$B:$B, idVenta, Aux_Datos!$K:$K), 0),
  retenciones, IFERROR(SUMIF(Aux_Datos!$N:$N, idVenta, Aux_Datos!$R:$R), 0),
  pagos + retenciones
)</f>
        <v>0</v>
      </c>
      <c r="Q484" s="30" t="str">
        <f>IF(P484=0, "Sin Pago", 
  LET(
    idVenta, I484&amp;"",
    montoTotalPagado, P484,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84" s="30">
        <f t="shared" si="23"/>
        <v>54.22</v>
      </c>
      <c r="S484" s="29" t="str">
        <f>IF(P484=0, "Sin Pago", 
  IFERROR(
    MAXIFS(Aux_Datos!$A:$A, Aux_Datos!$B:$B, I484&amp;""), 
    IFERROR(MAXIFS(Aux_Datos!$A:$A, Aux_Datos!$B:$B, VALUE(I484)), "Revisar ID")
  )
)</f>
        <v>Sin Pago</v>
      </c>
      <c r="T484" s="35" t="str">
        <f t="shared" si="21"/>
        <v>PENDIENTE</v>
      </c>
      <c r="U484" s="35" t="str">
        <f t="shared" si="10"/>
        <v>EN TIEMPO</v>
      </c>
      <c r="V484" s="32">
        <f t="shared" si="11"/>
        <v>0</v>
      </c>
      <c r="W484" s="36" t="str">
        <f>IF(P484=0, "Sin Pago", 
  LET(
    monedaPago, Q484, 
    descuentoAplicado, G484,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84" s="36" t="str">
        <f t="shared" si="12"/>
        <v/>
      </c>
      <c r="Y484" s="36">
        <v>0.0</v>
      </c>
      <c r="Z484" s="33" t="s">
        <v>641</v>
      </c>
      <c r="AA484" s="33"/>
      <c r="AB484" s="33"/>
      <c r="AC484" s="33"/>
      <c r="AD484" s="33"/>
      <c r="AE484" s="33"/>
      <c r="AF484" s="33"/>
    </row>
    <row r="485" ht="22.5" customHeight="1">
      <c r="A485" s="23" t="s">
        <v>877</v>
      </c>
      <c r="B485" s="41">
        <v>46192.40237268519</v>
      </c>
      <c r="C485" s="23" t="s">
        <v>878</v>
      </c>
      <c r="D485" s="23" t="s">
        <v>323</v>
      </c>
      <c r="E485" s="25">
        <v>325.29</v>
      </c>
      <c r="F485" s="23" t="s">
        <v>608</v>
      </c>
      <c r="G485" s="26">
        <f>IF($E485=0,0,IF(SUMIF(Aux_Datos!$B:$B,$I485,Aux_Datos!$K:$K)/$E485&gt;=VLOOKUP(IF(COUNTIFS(Aux_Datos!$B:$B,$I485,Aux_Datos!$D:$D,"&lt;&gt;USD")=0,"USD","VES"),'Limites de Descuento'!$A$2:$D$4,4,FALSE),MAX(0,1-SUMIF(Aux_Datos!$B:$B,$I485,Aux_Datos!$K:$K)/$E485),0))</f>
        <v>0</v>
      </c>
      <c r="H485" s="27"/>
      <c r="I485" s="28">
        <f t="shared" si="20"/>
        <v>583</v>
      </c>
      <c r="J485" s="29">
        <f t="shared" si="2"/>
        <v>46192</v>
      </c>
      <c r="K485" s="30">
        <f t="shared" si="3"/>
        <v>7</v>
      </c>
      <c r="L485" s="29">
        <f t="shared" si="4"/>
        <v>46200</v>
      </c>
      <c r="M485" s="30">
        <f t="shared" si="5"/>
        <v>325.29</v>
      </c>
      <c r="N485" s="32">
        <f t="shared" si="6"/>
        <v>0</v>
      </c>
      <c r="O485" s="33" t="str">
        <f t="shared" si="7"/>
        <v>EN TIEMPO</v>
      </c>
      <c r="P485" s="34">
        <f>LET(
  idVenta, I485&amp;"",
  montoTotal, M485,
  pagos, IFERROR(SUMIF(Aux_Datos!$B:$B, idVenta, Aux_Datos!$K:$K), 0),
  retenciones, IFERROR(SUMIF(Aux_Datos!$N:$N, idVenta, Aux_Datos!$R:$R), 0),
  pagos + retenciones
)</f>
        <v>0</v>
      </c>
      <c r="Q485" s="30" t="str">
        <f>IF(P485=0, "Sin Pago", 
  LET(
    idVenta, I485&amp;"",
    montoTotalPagado, P485,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85" s="30">
        <f t="shared" si="23"/>
        <v>325.29</v>
      </c>
      <c r="S485" s="29" t="str">
        <f>IF(P485=0, "Sin Pago", 
  IFERROR(
    MAXIFS(Aux_Datos!$A:$A, Aux_Datos!$B:$B, I485&amp;""), 
    IFERROR(MAXIFS(Aux_Datos!$A:$A, Aux_Datos!$B:$B, VALUE(I485)), "Revisar ID")
  )
)</f>
        <v>Sin Pago</v>
      </c>
      <c r="T485" s="35" t="str">
        <f t="shared" si="21"/>
        <v>PENDIENTE</v>
      </c>
      <c r="U485" s="35" t="str">
        <f t="shared" si="10"/>
        <v>EN TIEMPO</v>
      </c>
      <c r="V485" s="32">
        <f t="shared" si="11"/>
        <v>0</v>
      </c>
      <c r="W485" s="36" t="str">
        <f>IF(P485=0, "Sin Pago", 
  LET(
    monedaPago, Q485, 
    descuentoAplicado, G485,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85" s="36" t="str">
        <f t="shared" si="12"/>
        <v/>
      </c>
      <c r="Y485" s="36">
        <v>0.0</v>
      </c>
      <c r="Z485" s="33" t="s">
        <v>641</v>
      </c>
      <c r="AA485" s="33"/>
      <c r="AB485" s="33"/>
      <c r="AC485" s="33"/>
      <c r="AD485" s="33"/>
      <c r="AE485" s="33"/>
      <c r="AF485" s="33"/>
    </row>
    <row r="486" ht="22.5" customHeight="1">
      <c r="A486" s="23" t="s">
        <v>879</v>
      </c>
      <c r="B486" s="41">
        <v>46192.63337962963</v>
      </c>
      <c r="C486" s="23" t="s">
        <v>602</v>
      </c>
      <c r="D486" s="23" t="s">
        <v>208</v>
      </c>
      <c r="E486" s="25">
        <v>21970.0</v>
      </c>
      <c r="F486" s="23" t="s">
        <v>680</v>
      </c>
      <c r="G486" s="26">
        <f>IF($E486=0,0,IF(SUMIF(Aux_Datos!$B:$B,$I486,Aux_Datos!$K:$K)/$E486&gt;=VLOOKUP(IF(COUNTIFS(Aux_Datos!$B:$B,$I486,Aux_Datos!$D:$D,"&lt;&gt;USD")=0,"USD","VES"),'Limites de Descuento'!$A$2:$D$4,4,FALSE),MAX(0,1-SUMIF(Aux_Datos!$B:$B,$I486,Aux_Datos!$K:$K)/$E486),0))</f>
        <v>0</v>
      </c>
      <c r="H486" s="27"/>
      <c r="I486" s="28">
        <f t="shared" si="20"/>
        <v>584</v>
      </c>
      <c r="J486" s="29">
        <f t="shared" si="2"/>
        <v>46192</v>
      </c>
      <c r="K486" s="30">
        <f t="shared" si="3"/>
        <v>30</v>
      </c>
      <c r="L486" s="29">
        <f t="shared" si="4"/>
        <v>46223</v>
      </c>
      <c r="M486" s="30">
        <f t="shared" si="5"/>
        <v>21970</v>
      </c>
      <c r="N486" s="32">
        <f t="shared" si="6"/>
        <v>0</v>
      </c>
      <c r="O486" s="33" t="str">
        <f t="shared" si="7"/>
        <v>EN TIEMPO</v>
      </c>
      <c r="P486" s="34">
        <f>LET(
  idVenta, I486&amp;"",
  montoTotal, M486,
  pagos, IFERROR(SUMIF(Aux_Datos!$B:$B, idVenta, Aux_Datos!$K:$K), 0),
  retenciones, IFERROR(SUMIF(Aux_Datos!$N:$N, idVenta, Aux_Datos!$R:$R), 0),
  pagos + retenciones
)</f>
        <v>0</v>
      </c>
      <c r="Q486" s="30" t="str">
        <f>IF(P486=0, "Sin Pago", 
  LET(
    idVenta, I486&amp;"",
    montoTotalPagado, P486,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86" s="30">
        <f t="shared" si="23"/>
        <v>21970</v>
      </c>
      <c r="S486" s="29" t="str">
        <f>IF(P486=0, "Sin Pago", 
  IFERROR(
    MAXIFS(Aux_Datos!$A:$A, Aux_Datos!$B:$B, I486&amp;""), 
    IFERROR(MAXIFS(Aux_Datos!$A:$A, Aux_Datos!$B:$B, VALUE(I486)), "Revisar ID")
  )
)</f>
        <v>Sin Pago</v>
      </c>
      <c r="T486" s="35" t="str">
        <f t="shared" si="21"/>
        <v>PENDIENTE</v>
      </c>
      <c r="U486" s="35" t="str">
        <f t="shared" si="10"/>
        <v>EN TIEMPO</v>
      </c>
      <c r="V486" s="32">
        <f t="shared" si="11"/>
        <v>0</v>
      </c>
      <c r="W486" s="36" t="str">
        <f>IF(P486=0, "Sin Pago", 
  LET(
    monedaPago, Q486, 
    descuentoAplicado, G486,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86" s="36" t="str">
        <f t="shared" si="12"/>
        <v/>
      </c>
      <c r="Y486" s="36">
        <v>0.0</v>
      </c>
      <c r="Z486" s="33" t="s">
        <v>641</v>
      </c>
      <c r="AA486" s="33"/>
      <c r="AB486" s="33"/>
      <c r="AC486" s="33"/>
      <c r="AD486" s="33"/>
      <c r="AE486" s="33"/>
      <c r="AF486" s="33"/>
    </row>
    <row r="487" ht="22.5" customHeight="1">
      <c r="A487" s="23" t="s">
        <v>880</v>
      </c>
      <c r="B487" s="41">
        <v>46192.44640046296</v>
      </c>
      <c r="C487" s="23" t="s">
        <v>600</v>
      </c>
      <c r="D487" s="23" t="s">
        <v>529</v>
      </c>
      <c r="E487" s="25">
        <v>600.64</v>
      </c>
      <c r="F487" s="23" t="s">
        <v>608</v>
      </c>
      <c r="G487" s="26">
        <f>IF($E487=0,0,IF(SUMIF(Aux_Datos!$B:$B,$I487,Aux_Datos!$K:$K)/$E487&gt;=VLOOKUP(IF(COUNTIFS(Aux_Datos!$B:$B,$I487,Aux_Datos!$D:$D,"&lt;&gt;USD")=0,"USD","VES"),'Limites de Descuento'!$A$2:$D$4,4,FALSE),MAX(0,1-SUMIF(Aux_Datos!$B:$B,$I487,Aux_Datos!$K:$K)/$E487),0))</f>
        <v>0</v>
      </c>
      <c r="H487" s="27"/>
      <c r="I487" s="28">
        <f t="shared" si="20"/>
        <v>585</v>
      </c>
      <c r="J487" s="29">
        <f t="shared" si="2"/>
        <v>46192</v>
      </c>
      <c r="K487" s="30">
        <f t="shared" si="3"/>
        <v>7</v>
      </c>
      <c r="L487" s="29">
        <f t="shared" si="4"/>
        <v>46200</v>
      </c>
      <c r="M487" s="30">
        <f t="shared" si="5"/>
        <v>600.64</v>
      </c>
      <c r="N487" s="32">
        <f t="shared" si="6"/>
        <v>0</v>
      </c>
      <c r="O487" s="33" t="str">
        <f t="shared" si="7"/>
        <v>EN TIEMPO</v>
      </c>
      <c r="P487" s="34">
        <f>LET(
  idVenta, I487&amp;"",
  montoTotal, M487,
  pagos, IFERROR(SUMIF(Aux_Datos!$B:$B, idVenta, Aux_Datos!$K:$K), 0),
  retenciones, IFERROR(SUMIF(Aux_Datos!$N:$N, idVenta, Aux_Datos!$R:$R), 0),
  pagos + retenciones
)</f>
        <v>390</v>
      </c>
      <c r="Q487" s="30" t="str">
        <f>IF(P487=0, "Sin Pago", 
  LET(
    idVenta, I487&amp;"",
    montoTotalPagado, P487,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USD</v>
      </c>
      <c r="R487" s="30">
        <f t="shared" si="23"/>
        <v>210.64</v>
      </c>
      <c r="S487" s="29">
        <f>IF(P487=0, "Sin Pago", 
  IFERROR(
    MAXIFS(Aux_Datos!$A:$A, Aux_Datos!$B:$B, I487&amp;""), 
    IFERROR(MAXIFS(Aux_Datos!$A:$A, Aux_Datos!$B:$B, VALUE(I487)), "Revisar ID")
  )
)</f>
        <v>46192</v>
      </c>
      <c r="T487" s="35" t="str">
        <f t="shared" si="21"/>
        <v>PAGO PARCIAL</v>
      </c>
      <c r="U487" s="35" t="str">
        <f t="shared" si="10"/>
        <v>EN TIEMPO</v>
      </c>
      <c r="V487" s="32">
        <f t="shared" si="11"/>
        <v>8</v>
      </c>
      <c r="W487" s="36" t="str">
        <f>IF(P487=0, "Sin Pago", 
  LET(
    monedaPago, Q487, 
    descuentoAplicado, G487, 
    limitePermitido, IFERROR(VLOOKUP(monedaPago, 'Limites de Descuento'!$A$2:$B595, 2, FALSE), 0),
    IF(descuentoAplicado &gt; limitePermitido, 
      "ALERTA: EXCESO (" &amp; TEXT(limitePermitido, "0%") &amp; " máx)", 
      "OK")
  )
)</f>
        <v>OK</v>
      </c>
      <c r="X487" s="36" t="str">
        <f t="shared" si="12"/>
        <v/>
      </c>
      <c r="Y487" s="36">
        <v>390.0</v>
      </c>
      <c r="Z487" s="33" t="s">
        <v>609</v>
      </c>
      <c r="AA487" s="33"/>
      <c r="AB487" s="33"/>
      <c r="AC487" s="33"/>
      <c r="AD487" s="33"/>
      <c r="AE487" s="33"/>
      <c r="AF487" s="33"/>
    </row>
    <row r="488" ht="22.5" customHeight="1">
      <c r="A488" s="23" t="s">
        <v>881</v>
      </c>
      <c r="B488" s="41">
        <v>46192.72133101852</v>
      </c>
      <c r="C488" s="23" t="s">
        <v>882</v>
      </c>
      <c r="D488" s="23" t="s">
        <v>544</v>
      </c>
      <c r="E488" s="25">
        <v>226.85</v>
      </c>
      <c r="F488" s="23" t="s">
        <v>680</v>
      </c>
      <c r="G488" s="26">
        <f>IF($E488=0,0,IF(SUMIF(Aux_Datos!$B:$B,$I488,Aux_Datos!$K:$K)/$E488&gt;=VLOOKUP(IF(COUNTIFS(Aux_Datos!$B:$B,$I488,Aux_Datos!$D:$D,"&lt;&gt;USD")=0,"USD","VES"),'Limites de Descuento'!$A$2:$D$4,4,FALSE),MAX(0,1-SUMIF(Aux_Datos!$B:$B,$I488,Aux_Datos!$K:$K)/$E488),0))</f>
        <v>0</v>
      </c>
      <c r="H488" s="27"/>
      <c r="I488" s="28">
        <f t="shared" si="20"/>
        <v>586</v>
      </c>
      <c r="J488" s="29">
        <f t="shared" si="2"/>
        <v>46192</v>
      </c>
      <c r="K488" s="30">
        <f t="shared" si="3"/>
        <v>30</v>
      </c>
      <c r="L488" s="29">
        <f t="shared" si="4"/>
        <v>46223</v>
      </c>
      <c r="M488" s="30">
        <f t="shared" si="5"/>
        <v>226.85</v>
      </c>
      <c r="N488" s="32">
        <f t="shared" si="6"/>
        <v>0</v>
      </c>
      <c r="O488" s="33" t="str">
        <f t="shared" si="7"/>
        <v>EN TIEMPO</v>
      </c>
      <c r="P488" s="34">
        <f>LET(
  idVenta, I488&amp;"",
  montoTotal, M488,
  pagos, IFERROR(SUMIF(Aux_Datos!$B:$B, idVenta, Aux_Datos!$K:$K), 0),
  retenciones, IFERROR(SUMIF(Aux_Datos!$N:$N, idVenta, Aux_Datos!$R:$R), 0),
  pagos + retenciones
)</f>
        <v>0</v>
      </c>
      <c r="Q488" s="30" t="str">
        <f>IF(P488=0, "Sin Pago", 
  LET(
    idVenta, I488&amp;"",
    montoTotalPagado, P488,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88" s="30">
        <f t="shared" si="23"/>
        <v>226.85</v>
      </c>
      <c r="S488" s="29" t="str">
        <f>IF(P488=0, "Sin Pago", 
  IFERROR(
    MAXIFS(Aux_Datos!$A:$A, Aux_Datos!$B:$B, I488&amp;""), 
    IFERROR(MAXIFS(Aux_Datos!$A:$A, Aux_Datos!$B:$B, VALUE(I488)), "Revisar ID")
  )
)</f>
        <v>Sin Pago</v>
      </c>
      <c r="T488" s="35" t="str">
        <f t="shared" si="21"/>
        <v>PENDIENTE</v>
      </c>
      <c r="U488" s="35" t="str">
        <f t="shared" si="10"/>
        <v>EN TIEMPO</v>
      </c>
      <c r="V488" s="32">
        <f t="shared" si="11"/>
        <v>0</v>
      </c>
      <c r="W488" s="36" t="str">
        <f>IF(P488=0, "Sin Pago", 
  LET(
    monedaPago, Q488, 
    descuentoAplicado, G488,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88" s="36" t="str">
        <f t="shared" si="12"/>
        <v/>
      </c>
      <c r="Y488" s="36">
        <v>0.0</v>
      </c>
      <c r="Z488" s="33" t="s">
        <v>641</v>
      </c>
      <c r="AA488" s="33"/>
      <c r="AB488" s="33"/>
      <c r="AC488" s="33"/>
      <c r="AD488" s="33"/>
      <c r="AE488" s="33"/>
      <c r="AF488" s="33"/>
    </row>
    <row r="489" ht="22.5" customHeight="1">
      <c r="A489" s="23" t="s">
        <v>883</v>
      </c>
      <c r="B489" s="41">
        <v>46192.72121527778</v>
      </c>
      <c r="C489" s="23" t="s">
        <v>325</v>
      </c>
      <c r="D489" s="23" t="s">
        <v>544</v>
      </c>
      <c r="E489" s="25">
        <v>38.52</v>
      </c>
      <c r="F489" s="23" t="s">
        <v>680</v>
      </c>
      <c r="G489" s="26">
        <f>IF($E489=0,0,IF(SUMIF(Aux_Datos!$B:$B,$I489,Aux_Datos!$K:$K)/$E489&gt;=VLOOKUP(IF(COUNTIFS(Aux_Datos!$B:$B,$I489,Aux_Datos!$D:$D,"&lt;&gt;USD")=0,"USD","VES"),'Limites de Descuento'!$A$2:$D$4,4,FALSE),MAX(0,1-SUMIF(Aux_Datos!$B:$B,$I489,Aux_Datos!$K:$K)/$E489),0))</f>
        <v>0</v>
      </c>
      <c r="H489" s="27"/>
      <c r="I489" s="28">
        <f t="shared" si="20"/>
        <v>587</v>
      </c>
      <c r="J489" s="29">
        <f t="shared" si="2"/>
        <v>46192</v>
      </c>
      <c r="K489" s="30">
        <f t="shared" si="3"/>
        <v>30</v>
      </c>
      <c r="L489" s="29">
        <f t="shared" si="4"/>
        <v>46223</v>
      </c>
      <c r="M489" s="30">
        <f t="shared" si="5"/>
        <v>38.52</v>
      </c>
      <c r="N489" s="32">
        <f t="shared" si="6"/>
        <v>0</v>
      </c>
      <c r="O489" s="33" t="str">
        <f t="shared" si="7"/>
        <v>EN TIEMPO</v>
      </c>
      <c r="P489" s="34">
        <f>LET(
  idVenta, I489&amp;"",
  montoTotal, M489,
  pagos, IFERROR(SUMIF(Aux_Datos!$B:$B, idVenta, Aux_Datos!$K:$K), 0),
  retenciones, IFERROR(SUMIF(Aux_Datos!$N:$N, idVenta, Aux_Datos!$R:$R), 0),
  pagos + retenciones
)</f>
        <v>0</v>
      </c>
      <c r="Q489" s="30" t="str">
        <f>IF(P489=0, "Sin Pago", 
  LET(
    idVenta, I489&amp;"",
    montoTotalPagado, P489,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89" s="30">
        <f t="shared" si="23"/>
        <v>38.52</v>
      </c>
      <c r="S489" s="29" t="str">
        <f>IF(P489=0, "Sin Pago", 
  IFERROR(
    MAXIFS(Aux_Datos!$A:$A, Aux_Datos!$B:$B, I489&amp;""), 
    IFERROR(MAXIFS(Aux_Datos!$A:$A, Aux_Datos!$B:$B, VALUE(I489)), "Revisar ID")
  )
)</f>
        <v>Sin Pago</v>
      </c>
      <c r="T489" s="35" t="str">
        <f t="shared" si="21"/>
        <v>PENDIENTE</v>
      </c>
      <c r="U489" s="35" t="str">
        <f t="shared" si="10"/>
        <v>EN TIEMPO</v>
      </c>
      <c r="V489" s="32">
        <f t="shared" si="11"/>
        <v>0</v>
      </c>
      <c r="W489" s="36" t="str">
        <f>IF(P489=0, "Sin Pago", 
  LET(
    monedaPago, Q489, 
    descuentoAplicado, G489,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89" s="36" t="str">
        <f t="shared" si="12"/>
        <v/>
      </c>
      <c r="Y489" s="36">
        <v>0.0</v>
      </c>
      <c r="Z489" s="33" t="s">
        <v>641</v>
      </c>
      <c r="AA489" s="33"/>
      <c r="AB489" s="33"/>
      <c r="AC489" s="33"/>
      <c r="AD489" s="33"/>
      <c r="AE489" s="33"/>
      <c r="AF489" s="33"/>
    </row>
    <row r="490" ht="22.5" customHeight="1">
      <c r="A490" s="23" t="s">
        <v>884</v>
      </c>
      <c r="B490" s="41">
        <v>46192.72111111111</v>
      </c>
      <c r="C490" s="23" t="s">
        <v>744</v>
      </c>
      <c r="D490" s="23" t="s">
        <v>546</v>
      </c>
      <c r="E490" s="25">
        <v>497.93</v>
      </c>
      <c r="F490" s="23" t="s">
        <v>608</v>
      </c>
      <c r="G490" s="26">
        <f>IF($E490=0,0,IF(SUMIF(Aux_Datos!$B:$B,$I490,Aux_Datos!$K:$K)/$E490&gt;=VLOOKUP(IF(COUNTIFS(Aux_Datos!$B:$B,$I490,Aux_Datos!$D:$D,"&lt;&gt;USD")=0,"USD","VES"),'Limites de Descuento'!$A$2:$D$4,4,FALSE),MAX(0,1-SUMIF(Aux_Datos!$B:$B,$I490,Aux_Datos!$K:$K)/$E490),0))</f>
        <v>0</v>
      </c>
      <c r="H490" s="27"/>
      <c r="I490" s="28">
        <f t="shared" si="20"/>
        <v>588</v>
      </c>
      <c r="J490" s="29">
        <f t="shared" si="2"/>
        <v>46192</v>
      </c>
      <c r="K490" s="30">
        <f t="shared" si="3"/>
        <v>7</v>
      </c>
      <c r="L490" s="29">
        <f t="shared" si="4"/>
        <v>46200</v>
      </c>
      <c r="M490" s="30">
        <f t="shared" si="5"/>
        <v>497.93</v>
      </c>
      <c r="N490" s="32">
        <f t="shared" si="6"/>
        <v>0</v>
      </c>
      <c r="O490" s="33" t="str">
        <f t="shared" si="7"/>
        <v>EN TIEMPO</v>
      </c>
      <c r="P490" s="34">
        <f>LET(
  idVenta, I490&amp;"",
  montoTotal, M490,
  pagos, IFERROR(SUMIF(Aux_Datos!$B:$B, idVenta, Aux_Datos!$K:$K), 0),
  retenciones, IFERROR(SUMIF(Aux_Datos!$N:$N, idVenta, Aux_Datos!$R:$R), 0),
  pagos + retenciones
)</f>
        <v>0</v>
      </c>
      <c r="Q490" s="30" t="str">
        <f>IF(P490=0, "Sin Pago", 
  LET(
    idVenta, I490&amp;"",
    montoTotalPagado, P490,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90" s="30">
        <f t="shared" si="23"/>
        <v>497.93</v>
      </c>
      <c r="S490" s="29" t="str">
        <f>IF(P490=0, "Sin Pago", 
  IFERROR(
    MAXIFS(Aux_Datos!$A:$A, Aux_Datos!$B:$B, I490&amp;""), 
    IFERROR(MAXIFS(Aux_Datos!$A:$A, Aux_Datos!$B:$B, VALUE(I490)), "Revisar ID")
  )
)</f>
        <v>Sin Pago</v>
      </c>
      <c r="T490" s="35" t="str">
        <f t="shared" si="21"/>
        <v>PENDIENTE</v>
      </c>
      <c r="U490" s="35" t="str">
        <f t="shared" si="10"/>
        <v>EN TIEMPO</v>
      </c>
      <c r="V490" s="32">
        <f t="shared" si="11"/>
        <v>0</v>
      </c>
      <c r="W490" s="36" t="str">
        <f>IF(P490=0, "Sin Pago", 
  LET(
    monedaPago, Q490, 
    descuentoAplicado, G490,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90" s="36" t="str">
        <f t="shared" si="12"/>
        <v/>
      </c>
      <c r="Y490" s="36">
        <v>0.0</v>
      </c>
      <c r="Z490" s="33" t="s">
        <v>641</v>
      </c>
      <c r="AA490" s="33"/>
      <c r="AB490" s="33"/>
      <c r="AC490" s="33"/>
      <c r="AD490" s="33"/>
      <c r="AE490" s="33"/>
      <c r="AF490" s="33"/>
    </row>
    <row r="491" ht="22.5" customHeight="1">
      <c r="A491" s="23" t="s">
        <v>885</v>
      </c>
      <c r="B491" s="41">
        <v>46195.33703703704</v>
      </c>
      <c r="C491" s="23" t="s">
        <v>886</v>
      </c>
      <c r="D491" s="23" t="s">
        <v>552</v>
      </c>
      <c r="E491" s="25">
        <v>900.28</v>
      </c>
      <c r="F491" s="23" t="s">
        <v>608</v>
      </c>
      <c r="G491" s="26">
        <f>IF($E491=0,0,IF(SUMIF(Aux_Datos!$B:$B,$I491,Aux_Datos!$K:$K)/$E491&gt;=VLOOKUP(IF(COUNTIFS(Aux_Datos!$B:$B,$I491,Aux_Datos!$D:$D,"&lt;&gt;USD")=0,"USD","VES"),'Limites de Descuento'!$A$2:$D$4,4,FALSE),MAX(0,1-SUMIF(Aux_Datos!$B:$B,$I491,Aux_Datos!$K:$K)/$E491),0))</f>
        <v>0</v>
      </c>
      <c r="H491" s="27"/>
      <c r="I491" s="28">
        <f t="shared" si="20"/>
        <v>589</v>
      </c>
      <c r="J491" s="29">
        <f t="shared" si="2"/>
        <v>46195</v>
      </c>
      <c r="K491" s="30">
        <f t="shared" si="3"/>
        <v>7</v>
      </c>
      <c r="L491" s="29">
        <f t="shared" si="4"/>
        <v>46203</v>
      </c>
      <c r="M491" s="30">
        <f t="shared" si="5"/>
        <v>900.28</v>
      </c>
      <c r="N491" s="32">
        <f t="shared" si="6"/>
        <v>0</v>
      </c>
      <c r="O491" s="33" t="str">
        <f t="shared" si="7"/>
        <v>EN TIEMPO</v>
      </c>
      <c r="P491" s="34">
        <f>LET(
  idVenta, I491&amp;"",
  montoTotal, M491,
  pagos, IFERROR(SUMIF(Aux_Datos!$B:$B, idVenta, Aux_Datos!$K:$K), 0),
  retenciones, IFERROR(SUMIF(Aux_Datos!$N:$N, idVenta, Aux_Datos!$R:$R), 0),
  pagos + retenciones
)</f>
        <v>0</v>
      </c>
      <c r="Q491" s="30" t="str">
        <f>IF(P491=0, "Sin Pago", 
  LET(
    idVenta, I491&amp;"",
    montoTotalPagado, P491,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91" s="30">
        <f t="shared" si="23"/>
        <v>900.28</v>
      </c>
      <c r="S491" s="29" t="str">
        <f>IF(P491=0, "Sin Pago", 
  IFERROR(
    MAXIFS(Aux_Datos!$A:$A, Aux_Datos!$B:$B, I491&amp;""), 
    IFERROR(MAXIFS(Aux_Datos!$A:$A, Aux_Datos!$B:$B, VALUE(I491)), "Revisar ID")
  )
)</f>
        <v>Sin Pago</v>
      </c>
      <c r="T491" s="35" t="str">
        <f t="shared" si="21"/>
        <v>PENDIENTE</v>
      </c>
      <c r="U491" s="35" t="str">
        <f t="shared" si="10"/>
        <v>EN TIEMPO</v>
      </c>
      <c r="V491" s="32">
        <f t="shared" si="11"/>
        <v>0</v>
      </c>
      <c r="W491" s="36" t="str">
        <f>IF(P491=0, "Sin Pago", 
  LET(
    monedaPago, Q491, 
    descuentoAplicado, G491,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91" s="36" t="str">
        <f t="shared" si="12"/>
        <v/>
      </c>
      <c r="Y491" s="36">
        <v>0.0</v>
      </c>
      <c r="Z491" s="33" t="s">
        <v>641</v>
      </c>
      <c r="AA491" s="33"/>
      <c r="AB491" s="33"/>
      <c r="AC491" s="33"/>
      <c r="AD491" s="33"/>
      <c r="AE491" s="33"/>
      <c r="AF491" s="33"/>
    </row>
    <row r="492" ht="22.5" customHeight="1">
      <c r="A492" s="23" t="s">
        <v>887</v>
      </c>
      <c r="B492" s="41">
        <v>46195.46668981481</v>
      </c>
      <c r="C492" s="23" t="s">
        <v>404</v>
      </c>
      <c r="D492" s="23" t="s">
        <v>353</v>
      </c>
      <c r="E492" s="25">
        <v>178.29</v>
      </c>
      <c r="F492" s="23" t="s">
        <v>608</v>
      </c>
      <c r="G492" s="26">
        <f>IF($E492=0,0,IF(SUMIF(Aux_Datos!$B:$B,$I492,Aux_Datos!$K:$K)/$E492&gt;=VLOOKUP(IF(COUNTIFS(Aux_Datos!$B:$B,$I492,Aux_Datos!$D:$D,"&lt;&gt;USD")=0,"USD","VES"),'Limites de Descuento'!$A$2:$D$4,4,FALSE),MAX(0,1-SUMIF(Aux_Datos!$B:$B,$I492,Aux_Datos!$K:$K)/$E492),0))</f>
        <v>0</v>
      </c>
      <c r="H492" s="27"/>
      <c r="I492" s="28">
        <f t="shared" si="20"/>
        <v>590</v>
      </c>
      <c r="J492" s="29">
        <f t="shared" si="2"/>
        <v>46195</v>
      </c>
      <c r="K492" s="30">
        <f t="shared" si="3"/>
        <v>7</v>
      </c>
      <c r="L492" s="29">
        <f t="shared" si="4"/>
        <v>46203</v>
      </c>
      <c r="M492" s="30">
        <f t="shared" si="5"/>
        <v>178.29</v>
      </c>
      <c r="N492" s="32">
        <f t="shared" si="6"/>
        <v>0</v>
      </c>
      <c r="O492" s="33" t="str">
        <f t="shared" si="7"/>
        <v>EN TIEMPO</v>
      </c>
      <c r="P492" s="34">
        <f>LET(
  idVenta, I492&amp;"",
  montoTotal, M492,
  pagos, IFERROR(SUMIF(Aux_Datos!$B:$B, idVenta, Aux_Datos!$K:$K), 0),
  retenciones, IFERROR(SUMIF(Aux_Datos!$N:$N, idVenta, Aux_Datos!$R:$R), 0),
  pagos + retenciones
)</f>
        <v>0</v>
      </c>
      <c r="Q492" s="30" t="str">
        <f>IF(P492=0, "Sin Pago", 
  LET(
    idVenta, I492&amp;"",
    montoTotalPagado, P492,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92" s="30">
        <f t="shared" si="23"/>
        <v>178.29</v>
      </c>
      <c r="S492" s="29" t="str">
        <f>IF(P492=0, "Sin Pago", 
  IFERROR(
    MAXIFS(Aux_Datos!$A:$A, Aux_Datos!$B:$B, I492&amp;""), 
    IFERROR(MAXIFS(Aux_Datos!$A:$A, Aux_Datos!$B:$B, VALUE(I492)), "Revisar ID")
  )
)</f>
        <v>Sin Pago</v>
      </c>
      <c r="T492" s="35" t="str">
        <f t="shared" si="21"/>
        <v>PENDIENTE</v>
      </c>
      <c r="U492" s="35" t="str">
        <f t="shared" si="10"/>
        <v>EN TIEMPO</v>
      </c>
      <c r="V492" s="32">
        <f t="shared" si="11"/>
        <v>0</v>
      </c>
      <c r="W492" s="36" t="str">
        <f>IF(P492=0, "Sin Pago", 
  LET(
    monedaPago, Q492, 
    descuentoAplicado, G492,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92" s="36" t="str">
        <f t="shared" si="12"/>
        <v/>
      </c>
      <c r="Y492" s="36">
        <v>0.0</v>
      </c>
      <c r="Z492" s="33" t="s">
        <v>641</v>
      </c>
      <c r="AA492" s="33"/>
      <c r="AB492" s="33"/>
      <c r="AC492" s="33"/>
      <c r="AD492" s="33"/>
      <c r="AE492" s="33"/>
      <c r="AF492" s="33"/>
    </row>
    <row r="493" ht="22.5" customHeight="1">
      <c r="A493" s="23" t="s">
        <v>888</v>
      </c>
      <c r="B493" s="41">
        <v>46195.49116898148</v>
      </c>
      <c r="C493" s="23" t="s">
        <v>889</v>
      </c>
      <c r="D493" s="23" t="s">
        <v>550</v>
      </c>
      <c r="E493" s="25">
        <v>107.54</v>
      </c>
      <c r="F493" s="23" t="s">
        <v>608</v>
      </c>
      <c r="G493" s="26">
        <f>IF($E493=0,0,IF(SUMIF(Aux_Datos!$B:$B,$I493,Aux_Datos!$K:$K)/$E493&gt;=VLOOKUP(IF(COUNTIFS(Aux_Datos!$B:$B,$I493,Aux_Datos!$D:$D,"&lt;&gt;USD")=0,"USD","VES"),'Limites de Descuento'!$A$2:$D$4,4,FALSE),MAX(0,1-SUMIF(Aux_Datos!$B:$B,$I493,Aux_Datos!$K:$K)/$E493),0))</f>
        <v>0</v>
      </c>
      <c r="H493" s="27"/>
      <c r="I493" s="28">
        <f t="shared" si="20"/>
        <v>591</v>
      </c>
      <c r="J493" s="29">
        <f t="shared" si="2"/>
        <v>46195</v>
      </c>
      <c r="K493" s="30">
        <f t="shared" si="3"/>
        <v>7</v>
      </c>
      <c r="L493" s="29">
        <f t="shared" si="4"/>
        <v>46203</v>
      </c>
      <c r="M493" s="30">
        <f t="shared" si="5"/>
        <v>107.54</v>
      </c>
      <c r="N493" s="32">
        <f t="shared" si="6"/>
        <v>0</v>
      </c>
      <c r="O493" s="33" t="str">
        <f t="shared" si="7"/>
        <v>EN TIEMPO</v>
      </c>
      <c r="P493" s="34">
        <f>LET(
  idVenta, I493&amp;"",
  montoTotal, M493,
  pagos, IFERROR(SUMIF(Aux_Datos!$B:$B, idVenta, Aux_Datos!$K:$K), 0),
  retenciones, IFERROR(SUMIF(Aux_Datos!$N:$N, idVenta, Aux_Datos!$R:$R), 0),
  pagos + retenciones
)</f>
        <v>0</v>
      </c>
      <c r="Q493" s="30" t="str">
        <f>IF(P493=0, "Sin Pago", 
  LET(
    idVenta, I493&amp;"",
    montoTotalPagado, P493,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93" s="30">
        <f t="shared" si="23"/>
        <v>107.54</v>
      </c>
      <c r="S493" s="29" t="str">
        <f>IF(P493=0, "Sin Pago", 
  IFERROR(
    MAXIFS(Aux_Datos!$A:$A, Aux_Datos!$B:$B, I493&amp;""), 
    IFERROR(MAXIFS(Aux_Datos!$A:$A, Aux_Datos!$B:$B, VALUE(I493)), "Revisar ID")
  )
)</f>
        <v>Sin Pago</v>
      </c>
      <c r="T493" s="35" t="str">
        <f t="shared" si="21"/>
        <v>PENDIENTE</v>
      </c>
      <c r="U493" s="35" t="str">
        <f t="shared" si="10"/>
        <v>EN TIEMPO</v>
      </c>
      <c r="V493" s="32">
        <f t="shared" si="11"/>
        <v>0</v>
      </c>
      <c r="W493" s="36" t="str">
        <f>IF(P493=0, "Sin Pago", 
  LET(
    monedaPago, Q493, 
    descuentoAplicado, G493,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93" s="36" t="str">
        <f t="shared" si="12"/>
        <v/>
      </c>
      <c r="Y493" s="36">
        <v>0.0</v>
      </c>
      <c r="Z493" s="33" t="s">
        <v>641</v>
      </c>
      <c r="AA493" s="33"/>
      <c r="AB493" s="33"/>
      <c r="AC493" s="33"/>
      <c r="AD493" s="33"/>
      <c r="AE493" s="33"/>
      <c r="AF493" s="33"/>
    </row>
    <row r="494" ht="22.5" customHeight="1">
      <c r="A494" s="23" t="s">
        <v>890</v>
      </c>
      <c r="B494" s="41">
        <v>46195.70863425926</v>
      </c>
      <c r="C494" s="23" t="s">
        <v>891</v>
      </c>
      <c r="D494" s="23" t="s">
        <v>538</v>
      </c>
      <c r="E494" s="25">
        <v>91.98</v>
      </c>
      <c r="F494" s="23" t="s">
        <v>608</v>
      </c>
      <c r="G494" s="26">
        <f>IF($E494=0,0,IF(SUMIF(Aux_Datos!$B:$B,$I494,Aux_Datos!$K:$K)/$E494&gt;=VLOOKUP(IF(COUNTIFS(Aux_Datos!$B:$B,$I494,Aux_Datos!$D:$D,"&lt;&gt;USD")=0,"USD","VES"),'Limites de Descuento'!$A$2:$D$4,4,FALSE),MAX(0,1-SUMIF(Aux_Datos!$B:$B,$I494,Aux_Datos!$K:$K)/$E494),0))</f>
        <v>0</v>
      </c>
      <c r="H494" s="27"/>
      <c r="I494" s="28">
        <f t="shared" si="20"/>
        <v>592</v>
      </c>
      <c r="J494" s="29">
        <f t="shared" si="2"/>
        <v>46195</v>
      </c>
      <c r="K494" s="30">
        <f t="shared" si="3"/>
        <v>7</v>
      </c>
      <c r="L494" s="29">
        <f t="shared" si="4"/>
        <v>46203</v>
      </c>
      <c r="M494" s="30">
        <f t="shared" si="5"/>
        <v>91.98</v>
      </c>
      <c r="N494" s="32">
        <f t="shared" si="6"/>
        <v>0</v>
      </c>
      <c r="O494" s="33" t="str">
        <f t="shared" si="7"/>
        <v>EN TIEMPO</v>
      </c>
      <c r="P494" s="34">
        <f>LET(
  idVenta, I494&amp;"",
  montoTotal, M494,
  pagos, IFERROR(SUMIF(Aux_Datos!$B:$B, idVenta, Aux_Datos!$K:$K), 0),
  retenciones, IFERROR(SUMIF(Aux_Datos!$N:$N, idVenta, Aux_Datos!$R:$R), 0),
  pagos + retenciones
)</f>
        <v>0</v>
      </c>
      <c r="Q494" s="30" t="str">
        <f>IF(P494=0, "Sin Pago", 
  LET(
    idVenta, I494&amp;"",
    montoTotalPagado, P494,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94" s="30">
        <f t="shared" si="23"/>
        <v>91.98</v>
      </c>
      <c r="S494" s="29" t="str">
        <f>IF(P494=0, "Sin Pago", 
  IFERROR(
    MAXIFS(Aux_Datos!$A:$A, Aux_Datos!$B:$B, I494&amp;""), 
    IFERROR(MAXIFS(Aux_Datos!$A:$A, Aux_Datos!$B:$B, VALUE(I494)), "Revisar ID")
  )
)</f>
        <v>Sin Pago</v>
      </c>
      <c r="T494" s="35" t="str">
        <f t="shared" si="21"/>
        <v>PENDIENTE</v>
      </c>
      <c r="U494" s="35" t="str">
        <f t="shared" si="10"/>
        <v>EN TIEMPO</v>
      </c>
      <c r="V494" s="32">
        <f t="shared" si="11"/>
        <v>0</v>
      </c>
      <c r="W494" s="36" t="str">
        <f>IF(P494=0, "Sin Pago", 
  LET(
    monedaPago, Q494, 
    descuentoAplicado, G494,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94" s="36" t="str">
        <f t="shared" si="12"/>
        <v/>
      </c>
      <c r="Y494" s="36">
        <v>0.0</v>
      </c>
      <c r="Z494" s="33" t="s">
        <v>641</v>
      </c>
      <c r="AA494" s="33"/>
      <c r="AB494" s="33"/>
      <c r="AC494" s="33"/>
      <c r="AD494" s="33"/>
      <c r="AE494" s="33"/>
      <c r="AF494" s="33"/>
    </row>
    <row r="495" ht="22.5" customHeight="1">
      <c r="A495" s="23" t="s">
        <v>885</v>
      </c>
      <c r="B495" s="41">
        <v>46195.33703703704</v>
      </c>
      <c r="C495" s="23" t="s">
        <v>886</v>
      </c>
      <c r="D495" s="23" t="s">
        <v>552</v>
      </c>
      <c r="E495" s="25">
        <v>900.28</v>
      </c>
      <c r="F495" s="23" t="s">
        <v>608</v>
      </c>
      <c r="G495" s="26">
        <f>IF($E495=0,0,IF(SUMIF(Aux_Datos!$B:$B,$I495,Aux_Datos!$K:$K)/$E495&gt;=VLOOKUP(IF(COUNTIFS(Aux_Datos!$B:$B,$I495,Aux_Datos!$D:$D,"&lt;&gt;USD")=0,"USD","VES"),'Limites de Descuento'!$A$2:$D$4,4,FALSE),MAX(0,1-SUMIF(Aux_Datos!$B:$B,$I495,Aux_Datos!$K:$K)/$E495),0))</f>
        <v>0</v>
      </c>
      <c r="H495" s="27"/>
      <c r="I495" s="28">
        <f t="shared" si="20"/>
        <v>589</v>
      </c>
      <c r="J495" s="29">
        <f t="shared" si="2"/>
        <v>46195</v>
      </c>
      <c r="K495" s="30">
        <f t="shared" si="3"/>
        <v>7</v>
      </c>
      <c r="L495" s="29">
        <f t="shared" si="4"/>
        <v>46203</v>
      </c>
      <c r="M495" s="30">
        <f t="shared" si="5"/>
        <v>900.28</v>
      </c>
      <c r="N495" s="32">
        <f t="shared" si="6"/>
        <v>0</v>
      </c>
      <c r="O495" s="33" t="str">
        <f t="shared" si="7"/>
        <v>EN TIEMPO</v>
      </c>
      <c r="P495" s="34">
        <f>LET(
  idVenta, I495&amp;"",
  montoTotal, M495,
  pagos, IFERROR(SUMIF(Aux_Datos!$B:$B, idVenta, Aux_Datos!$K:$K), 0),
  retenciones, IFERROR(SUMIF(Aux_Datos!$N:$N, idVenta, Aux_Datos!$R:$R), 0),
  pagos + retenciones
)</f>
        <v>0</v>
      </c>
      <c r="Q495" s="30" t="str">
        <f>IF(P495=0, "Sin Pago", 
  LET(
    idVenta, I495&amp;"",
    montoTotalPagado, P495,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95" s="30">
        <f t="shared" si="23"/>
        <v>900.28</v>
      </c>
      <c r="S495" s="29" t="str">
        <f>IF(P495=0, "Sin Pago", 
  IFERROR(
    MAXIFS(Aux_Datos!$A:$A, Aux_Datos!$B:$B, I495&amp;""), 
    IFERROR(MAXIFS(Aux_Datos!$A:$A, Aux_Datos!$B:$B, VALUE(I495)), "Revisar ID")
  )
)</f>
        <v>Sin Pago</v>
      </c>
      <c r="T495" s="35" t="str">
        <f t="shared" si="21"/>
        <v>PENDIENTE</v>
      </c>
      <c r="U495" s="35" t="str">
        <f t="shared" si="10"/>
        <v>EN TIEMPO</v>
      </c>
      <c r="V495" s="32">
        <f t="shared" si="11"/>
        <v>0</v>
      </c>
      <c r="W495" s="36" t="str">
        <f>IF(P495=0, "Sin Pago", 
  LET(
    monedaPago, Q495, 
    descuentoAplicado, G495,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95" s="36" t="str">
        <f t="shared" si="12"/>
        <v/>
      </c>
      <c r="Y495" s="36">
        <v>0.0</v>
      </c>
      <c r="Z495" s="33" t="s">
        <v>641</v>
      </c>
      <c r="AA495" s="33"/>
      <c r="AB495" s="33"/>
      <c r="AC495" s="33"/>
      <c r="AD495" s="33"/>
      <c r="AE495" s="33"/>
      <c r="AF495" s="33"/>
    </row>
    <row r="496" ht="22.5" customHeight="1">
      <c r="A496" s="23" t="s">
        <v>887</v>
      </c>
      <c r="B496" s="41">
        <v>46195.46668981481</v>
      </c>
      <c r="C496" s="23" t="s">
        <v>404</v>
      </c>
      <c r="D496" s="23" t="s">
        <v>353</v>
      </c>
      <c r="E496" s="25">
        <v>178.29</v>
      </c>
      <c r="F496" s="23" t="s">
        <v>608</v>
      </c>
      <c r="G496" s="26">
        <f>IF($E496=0,0,IF(SUMIF(Aux_Datos!$B:$B,$I496,Aux_Datos!$K:$K)/$E496&gt;=VLOOKUP(IF(COUNTIFS(Aux_Datos!$B:$B,$I496,Aux_Datos!$D:$D,"&lt;&gt;USD")=0,"USD","VES"),'Limites de Descuento'!$A$2:$D$4,4,FALSE),MAX(0,1-SUMIF(Aux_Datos!$B:$B,$I496,Aux_Datos!$K:$K)/$E496),0))</f>
        <v>0</v>
      </c>
      <c r="H496" s="27"/>
      <c r="I496" s="28">
        <f t="shared" si="20"/>
        <v>590</v>
      </c>
      <c r="J496" s="29">
        <f t="shared" si="2"/>
        <v>46195</v>
      </c>
      <c r="K496" s="30">
        <f t="shared" si="3"/>
        <v>7</v>
      </c>
      <c r="L496" s="29">
        <f t="shared" si="4"/>
        <v>46203</v>
      </c>
      <c r="M496" s="30">
        <f t="shared" si="5"/>
        <v>178.29</v>
      </c>
      <c r="N496" s="32">
        <f t="shared" si="6"/>
        <v>0</v>
      </c>
      <c r="O496" s="33" t="str">
        <f t="shared" si="7"/>
        <v>EN TIEMPO</v>
      </c>
      <c r="P496" s="34">
        <f>LET(
  idVenta, I496&amp;"",
  montoTotal, M496,
  pagos, IFERROR(SUMIF(Aux_Datos!$B:$B, idVenta, Aux_Datos!$K:$K), 0),
  retenciones, IFERROR(SUMIF(Aux_Datos!$N:$N, idVenta, Aux_Datos!$R:$R), 0),
  pagos + retenciones
)</f>
        <v>0</v>
      </c>
      <c r="Q496" s="30" t="str">
        <f>IF(P496=0, "Sin Pago", 
  LET(
    idVenta, I496&amp;"",
    montoTotalPagado, P496,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96" s="30">
        <f t="shared" si="23"/>
        <v>178.29</v>
      </c>
      <c r="S496" s="29" t="str">
        <f>IF(P496=0, "Sin Pago", 
  IFERROR(
    MAXIFS(Aux_Datos!$A:$A, Aux_Datos!$B:$B, I496&amp;""), 
    IFERROR(MAXIFS(Aux_Datos!$A:$A, Aux_Datos!$B:$B, VALUE(I496)), "Revisar ID")
  )
)</f>
        <v>Sin Pago</v>
      </c>
      <c r="T496" s="35" t="str">
        <f t="shared" si="21"/>
        <v>PENDIENTE</v>
      </c>
      <c r="U496" s="35" t="str">
        <f t="shared" si="10"/>
        <v>EN TIEMPO</v>
      </c>
      <c r="V496" s="32">
        <f t="shared" si="11"/>
        <v>0</v>
      </c>
      <c r="W496" s="36" t="str">
        <f>IF(P496=0, "Sin Pago", 
  LET(
    monedaPago, Q496, 
    descuentoAplicado, G496,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96" s="36" t="str">
        <f t="shared" si="12"/>
        <v/>
      </c>
      <c r="Y496" s="36">
        <v>0.0</v>
      </c>
      <c r="Z496" s="33" t="s">
        <v>641</v>
      </c>
      <c r="AA496" s="33"/>
      <c r="AB496" s="33"/>
      <c r="AC496" s="33"/>
      <c r="AD496" s="33"/>
      <c r="AE496" s="33"/>
      <c r="AF496" s="33"/>
    </row>
    <row r="497" ht="22.5" customHeight="1">
      <c r="A497" s="23" t="s">
        <v>888</v>
      </c>
      <c r="B497" s="41">
        <v>46195.49116898148</v>
      </c>
      <c r="C497" s="23" t="s">
        <v>889</v>
      </c>
      <c r="D497" s="23" t="s">
        <v>550</v>
      </c>
      <c r="E497" s="25">
        <v>107.54</v>
      </c>
      <c r="F497" s="23" t="s">
        <v>608</v>
      </c>
      <c r="G497" s="26">
        <f>IF($E497=0,0,IF(SUMIF(Aux_Datos!$B:$B,$I497,Aux_Datos!$K:$K)/$E497&gt;=VLOOKUP(IF(COUNTIFS(Aux_Datos!$B:$B,$I497,Aux_Datos!$D:$D,"&lt;&gt;USD")=0,"USD","VES"),'Limites de Descuento'!$A$2:$D$4,4,FALSE),MAX(0,1-SUMIF(Aux_Datos!$B:$B,$I497,Aux_Datos!$K:$K)/$E497),0))</f>
        <v>0</v>
      </c>
      <c r="H497" s="27"/>
      <c r="I497" s="28">
        <f t="shared" si="20"/>
        <v>591</v>
      </c>
      <c r="J497" s="29">
        <f t="shared" si="2"/>
        <v>46195</v>
      </c>
      <c r="K497" s="30">
        <f t="shared" si="3"/>
        <v>7</v>
      </c>
      <c r="L497" s="29">
        <f t="shared" si="4"/>
        <v>46203</v>
      </c>
      <c r="M497" s="30">
        <f t="shared" si="5"/>
        <v>107.54</v>
      </c>
      <c r="N497" s="32">
        <f t="shared" si="6"/>
        <v>0</v>
      </c>
      <c r="O497" s="33" t="str">
        <f t="shared" si="7"/>
        <v>EN TIEMPO</v>
      </c>
      <c r="P497" s="34">
        <f>LET(
  idVenta, I497&amp;"",
  montoTotal, M497,
  pagos, IFERROR(SUMIF(Aux_Datos!$B:$B, idVenta, Aux_Datos!$K:$K), 0),
  retenciones, IFERROR(SUMIF(Aux_Datos!$N:$N, idVenta, Aux_Datos!$R:$R), 0),
  pagos + retenciones
)</f>
        <v>0</v>
      </c>
      <c r="Q497" s="30" t="str">
        <f>IF(P497=0, "Sin Pago", 
  LET(
    idVenta, I497&amp;"",
    montoTotalPagado, P497,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97" s="30">
        <f t="shared" si="23"/>
        <v>107.54</v>
      </c>
      <c r="S497" s="29" t="str">
        <f>IF(P497=0, "Sin Pago", 
  IFERROR(
    MAXIFS(Aux_Datos!$A:$A, Aux_Datos!$B:$B, I497&amp;""), 
    IFERROR(MAXIFS(Aux_Datos!$A:$A, Aux_Datos!$B:$B, VALUE(I497)), "Revisar ID")
  )
)</f>
        <v>Sin Pago</v>
      </c>
      <c r="T497" s="35" t="str">
        <f t="shared" si="21"/>
        <v>PENDIENTE</v>
      </c>
      <c r="U497" s="35" t="str">
        <f t="shared" si="10"/>
        <v>EN TIEMPO</v>
      </c>
      <c r="V497" s="32">
        <f t="shared" si="11"/>
        <v>0</v>
      </c>
      <c r="W497" s="36" t="str">
        <f>IF(P497=0, "Sin Pago", 
  LET(
    monedaPago, Q497, 
    descuentoAplicado, G497,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97" s="36" t="str">
        <f t="shared" si="12"/>
        <v/>
      </c>
      <c r="Y497" s="36">
        <v>0.0</v>
      </c>
      <c r="Z497" s="33" t="s">
        <v>641</v>
      </c>
      <c r="AA497" s="33"/>
      <c r="AB497" s="33"/>
      <c r="AC497" s="33"/>
      <c r="AD497" s="33"/>
      <c r="AE497" s="33"/>
      <c r="AF497" s="33"/>
    </row>
    <row r="498" ht="22.5" customHeight="1">
      <c r="A498" s="23" t="s">
        <v>890</v>
      </c>
      <c r="B498" s="41">
        <v>46195.70863425926</v>
      </c>
      <c r="C498" s="23" t="s">
        <v>891</v>
      </c>
      <c r="D498" s="23" t="s">
        <v>538</v>
      </c>
      <c r="E498" s="25">
        <v>91.98</v>
      </c>
      <c r="F498" s="23" t="s">
        <v>608</v>
      </c>
      <c r="G498" s="26">
        <f>IF($E498=0,0,IF(SUMIF(Aux_Datos!$B:$B,$I498,Aux_Datos!$K:$K)/$E498&gt;=VLOOKUP(IF(COUNTIFS(Aux_Datos!$B:$B,$I498,Aux_Datos!$D:$D,"&lt;&gt;USD")=0,"USD","VES"),'Limites de Descuento'!$A$2:$D$4,4,FALSE),MAX(0,1-SUMIF(Aux_Datos!$B:$B,$I498,Aux_Datos!$K:$K)/$E498),0))</f>
        <v>0</v>
      </c>
      <c r="H498" s="27"/>
      <c r="I498" s="28">
        <f t="shared" si="20"/>
        <v>592</v>
      </c>
      <c r="J498" s="29">
        <f t="shared" si="2"/>
        <v>46195</v>
      </c>
      <c r="K498" s="30">
        <f t="shared" si="3"/>
        <v>7</v>
      </c>
      <c r="L498" s="29">
        <f t="shared" si="4"/>
        <v>46203</v>
      </c>
      <c r="M498" s="30">
        <f t="shared" si="5"/>
        <v>91.98</v>
      </c>
      <c r="N498" s="32">
        <f t="shared" si="6"/>
        <v>0</v>
      </c>
      <c r="O498" s="33" t="str">
        <f t="shared" si="7"/>
        <v>EN TIEMPO</v>
      </c>
      <c r="P498" s="34">
        <f>LET(
  idVenta, I498&amp;"",
  montoTotal, M498,
  pagos, IFERROR(SUMIF(Aux_Datos!$B:$B, idVenta, Aux_Datos!$K:$K), 0),
  retenciones, IFERROR(SUMIF(Aux_Datos!$N:$N, idVenta, Aux_Datos!$R:$R), 0),
  pagos + retenciones
)</f>
        <v>0</v>
      </c>
      <c r="Q498" s="30" t="str">
        <f>IF(P498=0, "Sin Pago", 
  LET(
    idVenta, I498&amp;"",
    montoTotalPagado, P498,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98" s="30">
        <f t="shared" si="23"/>
        <v>91.98</v>
      </c>
      <c r="S498" s="29" t="str">
        <f>IF(P498=0, "Sin Pago", 
  IFERROR(
    MAXIFS(Aux_Datos!$A:$A, Aux_Datos!$B:$B, I498&amp;""), 
    IFERROR(MAXIFS(Aux_Datos!$A:$A, Aux_Datos!$B:$B, VALUE(I498)), "Revisar ID")
  )
)</f>
        <v>Sin Pago</v>
      </c>
      <c r="T498" s="35" t="str">
        <f t="shared" si="21"/>
        <v>PENDIENTE</v>
      </c>
      <c r="U498" s="35" t="str">
        <f t="shared" si="10"/>
        <v>EN TIEMPO</v>
      </c>
      <c r="V498" s="32">
        <f t="shared" si="11"/>
        <v>0</v>
      </c>
      <c r="W498" s="36" t="str">
        <f>IF(P498=0, "Sin Pago", 
  LET(
    monedaPago, Q498, 
    descuentoAplicado, G498,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98" s="36" t="str">
        <f t="shared" si="12"/>
        <v/>
      </c>
      <c r="Y498" s="36">
        <v>0.0</v>
      </c>
      <c r="Z498" s="33" t="s">
        <v>641</v>
      </c>
      <c r="AA498" s="33"/>
      <c r="AB498" s="33"/>
      <c r="AC498" s="33"/>
      <c r="AD498" s="33"/>
      <c r="AE498" s="33"/>
      <c r="AF498" s="33"/>
    </row>
    <row r="499" ht="22.5" customHeight="1">
      <c r="A499" s="23"/>
      <c r="B499" s="41"/>
      <c r="C499" s="23"/>
      <c r="D499" s="23"/>
      <c r="E499" s="25"/>
      <c r="F499" s="23"/>
      <c r="G499" s="27"/>
      <c r="H499" s="27"/>
      <c r="I499" s="28">
        <f t="shared" si="20"/>
        <v>0</v>
      </c>
      <c r="J499" s="29">
        <f t="shared" si="2"/>
        <v>0</v>
      </c>
      <c r="K499" s="30" t="str">
        <f t="shared" si="3"/>
        <v/>
      </c>
      <c r="L499" s="29">
        <f t="shared" si="4"/>
        <v>1</v>
      </c>
      <c r="M499" s="30">
        <f t="shared" si="5"/>
        <v>0</v>
      </c>
      <c r="N499" s="32">
        <f t="shared" si="6"/>
        <v>0</v>
      </c>
      <c r="O499" s="33" t="str">
        <f t="shared" si="7"/>
        <v>PAGADA</v>
      </c>
      <c r="P499" s="34">
        <f>LET(
  idVenta, I499&amp;"",
  montoTotal, M499,
  pagos, IFERROR(SUMIF(Aux_Datos!$B:$B, idVenta, Aux_Datos!$K:$K), 0),
  retenciones, IFERROR(SUMIF(Aux_Datos!$N:$N, idVenta, Aux_Datos!$R:$R), 0),
  pagos + retenciones
)</f>
        <v>0</v>
      </c>
      <c r="Q499" s="30" t="str">
        <f>IF(P499=0, "Sin Pago", 
  LET(
    idVenta, I499&amp;"",
    montoTotalPagado, P499,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499" s="30">
        <f t="shared" si="23"/>
        <v>0</v>
      </c>
      <c r="S499" s="29" t="str">
        <f>IF(P499=0, "Sin Pago", 
  IFERROR(
    MAXIFS(Aux_Datos!$A:$A, Aux_Datos!$B:$B, I499&amp;""), 
    IFERROR(MAXIFS(Aux_Datos!$A:$A, Aux_Datos!$B:$B, VALUE(I499)), "Revisar ID")
  )
)</f>
        <v>Sin Pago</v>
      </c>
      <c r="T499" s="35" t="str">
        <f t="shared" si="21"/>
        <v>PAGADA</v>
      </c>
      <c r="U499" s="35" t="str">
        <f t="shared" si="10"/>
        <v>SOLVENTE</v>
      </c>
      <c r="V499" s="32">
        <f t="shared" si="11"/>
        <v>0</v>
      </c>
      <c r="W499" s="36" t="str">
        <f>IF(P499=0, "Sin Pago", 
  LET(
    monedaPago, Q499, 
    descuentoAplicado, G499,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499" s="36" t="str">
        <f t="shared" si="12"/>
        <v/>
      </c>
      <c r="Y499" s="36">
        <v>0.0</v>
      </c>
      <c r="Z499" s="33" t="s">
        <v>892</v>
      </c>
      <c r="AA499" s="33"/>
      <c r="AB499" s="33"/>
      <c r="AC499" s="33"/>
      <c r="AD499" s="33"/>
      <c r="AE499" s="33"/>
      <c r="AF499" s="33"/>
    </row>
    <row r="500" ht="22.5" customHeight="1">
      <c r="A500" s="23"/>
      <c r="B500" s="41"/>
      <c r="C500" s="23"/>
      <c r="D500" s="23"/>
      <c r="E500" s="25"/>
      <c r="F500" s="23"/>
      <c r="G500" s="27"/>
      <c r="H500" s="27"/>
      <c r="I500" s="28">
        <f t="shared" si="20"/>
        <v>0</v>
      </c>
      <c r="J500" s="29">
        <f t="shared" si="2"/>
        <v>0</v>
      </c>
      <c r="K500" s="30" t="str">
        <f t="shared" si="3"/>
        <v/>
      </c>
      <c r="L500" s="29">
        <f t="shared" si="4"/>
        <v>1</v>
      </c>
      <c r="M500" s="30">
        <f t="shared" si="5"/>
        <v>0</v>
      </c>
      <c r="N500" s="32">
        <f t="shared" si="6"/>
        <v>0</v>
      </c>
      <c r="O500" s="33" t="str">
        <f t="shared" si="7"/>
        <v>PAGADA</v>
      </c>
      <c r="P500" s="34">
        <f>LET(
  idVenta, I500&amp;"",
  montoTotal, M500,
  pagos, IFERROR(SUMIF(Aux_Datos!$B:$B, idVenta, Aux_Datos!$K:$K), 0),
  retenciones, IFERROR(SUMIF(Aux_Datos!$N:$N, idVenta, Aux_Datos!$R:$R), 0),
  pagos + retenciones
)</f>
        <v>0</v>
      </c>
      <c r="Q500" s="30" t="str">
        <f>IF(P500=0, "Sin Pago", 
  LET(
    idVenta, I500&amp;"",
    montoTotalPagado, P500,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00" s="30">
        <f t="shared" si="23"/>
        <v>0</v>
      </c>
      <c r="S500" s="29" t="str">
        <f>IF(P500=0, "Sin Pago", 
  IFERROR(
    MAXIFS(Aux_Datos!$A:$A, Aux_Datos!$B:$B, I500&amp;""), 
    IFERROR(MAXIFS(Aux_Datos!$A:$A, Aux_Datos!$B:$B, VALUE(I500)), "Revisar ID")
  )
)</f>
        <v>Sin Pago</v>
      </c>
      <c r="T500" s="35" t="str">
        <f t="shared" si="21"/>
        <v>PAGADA</v>
      </c>
      <c r="U500" s="35" t="str">
        <f t="shared" si="10"/>
        <v>SOLVENTE</v>
      </c>
      <c r="V500" s="32">
        <f t="shared" si="11"/>
        <v>0</v>
      </c>
      <c r="W500" s="36" t="str">
        <f>IF(P500=0, "Sin Pago", 
  LET(
    monedaPago, Q500, 
    descuentoAplicado, G500,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00" s="36" t="str">
        <f t="shared" si="12"/>
        <v/>
      </c>
      <c r="Y500" s="36">
        <v>0.0</v>
      </c>
      <c r="Z500" s="33" t="s">
        <v>892</v>
      </c>
      <c r="AA500" s="33"/>
      <c r="AB500" s="33"/>
      <c r="AC500" s="33"/>
      <c r="AD500" s="33"/>
      <c r="AE500" s="33"/>
      <c r="AF500" s="33"/>
    </row>
    <row r="501" ht="22.5" customHeight="1">
      <c r="A501" s="23"/>
      <c r="B501" s="41"/>
      <c r="C501" s="23"/>
      <c r="D501" s="23"/>
      <c r="E501" s="25"/>
      <c r="F501" s="23"/>
      <c r="G501" s="27"/>
      <c r="H501" s="27"/>
      <c r="I501" s="28">
        <f t="shared" si="20"/>
        <v>0</v>
      </c>
      <c r="J501" s="29">
        <f t="shared" si="2"/>
        <v>0</v>
      </c>
      <c r="K501" s="30" t="str">
        <f t="shared" si="3"/>
        <v/>
      </c>
      <c r="L501" s="29">
        <f t="shared" si="4"/>
        <v>1</v>
      </c>
      <c r="M501" s="30">
        <f t="shared" si="5"/>
        <v>0</v>
      </c>
      <c r="N501" s="32">
        <f t="shared" si="6"/>
        <v>0</v>
      </c>
      <c r="O501" s="33" t="str">
        <f t="shared" si="7"/>
        <v>PAGADA</v>
      </c>
      <c r="P501" s="34">
        <f>LET(
  idVenta, I501&amp;"",
  montoTotal, M501,
  pagos, IFERROR(SUMIF(Aux_Datos!$B:$B, idVenta, Aux_Datos!$K:$K), 0),
  retenciones, IFERROR(SUMIF(Aux_Datos!$N:$N, idVenta, Aux_Datos!$R:$R), 0),
  pagos + retenciones
)</f>
        <v>0</v>
      </c>
      <c r="Q501" s="30" t="str">
        <f>IF(P501=0, "Sin Pago", 
  LET(
    idVenta, I501&amp;"",
    montoTotalPagado, P501,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01" s="30">
        <f t="shared" si="23"/>
        <v>0</v>
      </c>
      <c r="S501" s="29" t="str">
        <f>IF(P501=0, "Sin Pago", 
  IFERROR(
    MAXIFS(Aux_Datos!$A:$A, Aux_Datos!$B:$B, I501&amp;""), 
    IFERROR(MAXIFS(Aux_Datos!$A:$A, Aux_Datos!$B:$B, VALUE(I501)), "Revisar ID")
  )
)</f>
        <v>Sin Pago</v>
      </c>
      <c r="T501" s="35" t="str">
        <f t="shared" si="21"/>
        <v>PAGADA</v>
      </c>
      <c r="U501" s="35" t="str">
        <f t="shared" si="10"/>
        <v>SOLVENTE</v>
      </c>
      <c r="V501" s="32">
        <f t="shared" si="11"/>
        <v>0</v>
      </c>
      <c r="W501" s="36" t="str">
        <f>IF(P501=0, "Sin Pago", 
  LET(
    monedaPago, Q501, 
    descuentoAplicado, G501,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01" s="36" t="str">
        <f t="shared" si="12"/>
        <v/>
      </c>
      <c r="Y501" s="36">
        <v>0.0</v>
      </c>
      <c r="Z501" s="33" t="s">
        <v>892</v>
      </c>
      <c r="AA501" s="33"/>
      <c r="AB501" s="33"/>
      <c r="AC501" s="33"/>
      <c r="AD501" s="33"/>
      <c r="AE501" s="33"/>
      <c r="AF501" s="33"/>
    </row>
    <row r="502" ht="22.5" customHeight="1">
      <c r="A502" s="23"/>
      <c r="B502" s="41"/>
      <c r="C502" s="23"/>
      <c r="D502" s="23"/>
      <c r="E502" s="25"/>
      <c r="F502" s="23"/>
      <c r="G502" s="27"/>
      <c r="H502" s="27"/>
      <c r="I502" s="28">
        <f t="shared" si="20"/>
        <v>0</v>
      </c>
      <c r="J502" s="29">
        <f t="shared" si="2"/>
        <v>0</v>
      </c>
      <c r="K502" s="30" t="str">
        <f t="shared" si="3"/>
        <v/>
      </c>
      <c r="L502" s="29">
        <f t="shared" si="4"/>
        <v>1</v>
      </c>
      <c r="M502" s="30">
        <f t="shared" si="5"/>
        <v>0</v>
      </c>
      <c r="N502" s="32">
        <f t="shared" si="6"/>
        <v>0</v>
      </c>
      <c r="O502" s="33" t="str">
        <f t="shared" si="7"/>
        <v>PAGADA</v>
      </c>
      <c r="P502" s="34">
        <f>LET(
  idVenta, I502&amp;"",
  montoTotal, M502,
  pagos, IFERROR(SUMIF(Aux_Datos!$B:$B, idVenta, Aux_Datos!$K:$K), 0),
  retenciones, IFERROR(SUMIF(Aux_Datos!$N:$N, idVenta, Aux_Datos!$R:$R), 0),
  pagos + retenciones
)</f>
        <v>0</v>
      </c>
      <c r="Q502" s="30" t="str">
        <f>IF(P502=0, "Sin Pago", 
  LET(
    idVenta, I502&amp;"",
    montoTotalPagado, P502,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02" s="30">
        <f t="shared" si="23"/>
        <v>0</v>
      </c>
      <c r="S502" s="29" t="str">
        <f>IF(P502=0, "Sin Pago", 
  IFERROR(
    MAXIFS(Aux_Datos!$A:$A, Aux_Datos!$B:$B, I502&amp;""), 
    IFERROR(MAXIFS(Aux_Datos!$A:$A, Aux_Datos!$B:$B, VALUE(I502)), "Revisar ID")
  )
)</f>
        <v>Sin Pago</v>
      </c>
      <c r="T502" s="35" t="str">
        <f t="shared" si="21"/>
        <v>PAGADA</v>
      </c>
      <c r="U502" s="35" t="str">
        <f t="shared" si="10"/>
        <v>SOLVENTE</v>
      </c>
      <c r="V502" s="32">
        <f t="shared" si="11"/>
        <v>0</v>
      </c>
      <c r="W502" s="36" t="str">
        <f>IF(P502=0, "Sin Pago", 
  LET(
    monedaPago, Q502, 
    descuentoAplicado, G502,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02" s="36" t="str">
        <f t="shared" si="12"/>
        <v/>
      </c>
      <c r="Y502" s="36">
        <v>0.0</v>
      </c>
      <c r="Z502" s="33" t="s">
        <v>892</v>
      </c>
      <c r="AA502" s="33"/>
      <c r="AB502" s="33"/>
      <c r="AC502" s="33"/>
      <c r="AD502" s="33"/>
      <c r="AE502" s="33"/>
      <c r="AF502" s="33"/>
    </row>
    <row r="503" ht="22.5" customHeight="1">
      <c r="A503" s="23"/>
      <c r="B503" s="41"/>
      <c r="C503" s="23"/>
      <c r="D503" s="23"/>
      <c r="E503" s="25"/>
      <c r="F503" s="23"/>
      <c r="G503" s="27"/>
      <c r="H503" s="27"/>
      <c r="I503" s="28">
        <f t="shared" si="20"/>
        <v>0</v>
      </c>
      <c r="J503" s="29">
        <f t="shared" si="2"/>
        <v>0</v>
      </c>
      <c r="K503" s="30" t="str">
        <f t="shared" si="3"/>
        <v/>
      </c>
      <c r="L503" s="29">
        <f t="shared" si="4"/>
        <v>1</v>
      </c>
      <c r="M503" s="30">
        <f t="shared" si="5"/>
        <v>0</v>
      </c>
      <c r="N503" s="32">
        <f t="shared" si="6"/>
        <v>0</v>
      </c>
      <c r="O503" s="33" t="str">
        <f t="shared" si="7"/>
        <v>PAGADA</v>
      </c>
      <c r="P503" s="34">
        <f>LET(
  idVenta, I503&amp;"",
  montoTotal, M503,
  pagos, IFERROR(SUMIF(Aux_Datos!$B:$B, idVenta, Aux_Datos!$K:$K), 0),
  retenciones, IFERROR(SUMIF(Aux_Datos!$N:$N, idVenta, Aux_Datos!$R:$R), 0),
  pagos + retenciones
)</f>
        <v>0</v>
      </c>
      <c r="Q503" s="30" t="str">
        <f>IF(P503=0, "Sin Pago", 
  LET(
    idVenta, I503&amp;"",
    montoTotalPagado, P503,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03" s="30">
        <f t="shared" si="23"/>
        <v>0</v>
      </c>
      <c r="S503" s="29" t="str">
        <f>IF(P503=0, "Sin Pago", 
  IFERROR(
    MAXIFS(Aux_Datos!$A:$A, Aux_Datos!$B:$B, I503&amp;""), 
    IFERROR(MAXIFS(Aux_Datos!$A:$A, Aux_Datos!$B:$B, VALUE(I503)), "Revisar ID")
  )
)</f>
        <v>Sin Pago</v>
      </c>
      <c r="T503" s="35" t="str">
        <f t="shared" si="21"/>
        <v>PAGADA</v>
      </c>
      <c r="U503" s="35" t="str">
        <f t="shared" si="10"/>
        <v>SOLVENTE</v>
      </c>
      <c r="V503" s="32">
        <f t="shared" si="11"/>
        <v>0</v>
      </c>
      <c r="W503" s="36" t="str">
        <f>IF(P503=0, "Sin Pago", 
  LET(
    monedaPago, Q503, 
    descuentoAplicado, G503,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03" s="36" t="str">
        <f t="shared" si="12"/>
        <v/>
      </c>
      <c r="Y503" s="36">
        <v>0.0</v>
      </c>
      <c r="Z503" s="33" t="s">
        <v>892</v>
      </c>
      <c r="AA503" s="33"/>
      <c r="AB503" s="33"/>
      <c r="AC503" s="33"/>
      <c r="AD503" s="33"/>
      <c r="AE503" s="33"/>
      <c r="AF503" s="33"/>
    </row>
    <row r="504" ht="22.5" customHeight="1">
      <c r="A504" s="23"/>
      <c r="B504" s="41"/>
      <c r="C504" s="23"/>
      <c r="D504" s="23"/>
      <c r="E504" s="25"/>
      <c r="F504" s="23"/>
      <c r="G504" s="27"/>
      <c r="H504" s="27"/>
      <c r="I504" s="28">
        <f t="shared" si="20"/>
        <v>0</v>
      </c>
      <c r="J504" s="29">
        <f t="shared" si="2"/>
        <v>0</v>
      </c>
      <c r="K504" s="30" t="str">
        <f t="shared" si="3"/>
        <v/>
      </c>
      <c r="L504" s="29">
        <f t="shared" si="4"/>
        <v>1</v>
      </c>
      <c r="M504" s="30">
        <f t="shared" si="5"/>
        <v>0</v>
      </c>
      <c r="N504" s="32">
        <f t="shared" si="6"/>
        <v>0</v>
      </c>
      <c r="O504" s="33" t="str">
        <f t="shared" si="7"/>
        <v>PAGADA</v>
      </c>
      <c r="P504" s="34">
        <f>LET(
  idVenta, I504&amp;"",
  montoTotal, M504,
  pagos, IFERROR(SUMIF(Aux_Datos!$B:$B, idVenta, Aux_Datos!$K:$K), 0),
  retenciones, IFERROR(SUMIF(Aux_Datos!$N:$N, idVenta, Aux_Datos!$R:$R), 0),
  pagos + retenciones
)</f>
        <v>0</v>
      </c>
      <c r="Q504" s="30" t="str">
        <f>IF(P504=0, "Sin Pago", 
  LET(
    idVenta, I504&amp;"",
    montoTotalPagado, P504,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04" s="30">
        <f t="shared" si="23"/>
        <v>0</v>
      </c>
      <c r="S504" s="29" t="str">
        <f>IF(P504=0, "Sin Pago", 
  IFERROR(
    MAXIFS(Aux_Datos!$A:$A, Aux_Datos!$B:$B, I504&amp;""), 
    IFERROR(MAXIFS(Aux_Datos!$A:$A, Aux_Datos!$B:$B, VALUE(I504)), "Revisar ID")
  )
)</f>
        <v>Sin Pago</v>
      </c>
      <c r="T504" s="35" t="str">
        <f t="shared" si="21"/>
        <v>PAGADA</v>
      </c>
      <c r="U504" s="35" t="str">
        <f t="shared" si="10"/>
        <v>SOLVENTE</v>
      </c>
      <c r="V504" s="32">
        <f t="shared" si="11"/>
        <v>0</v>
      </c>
      <c r="W504" s="36" t="str">
        <f>IF(P504=0, "Sin Pago", 
  LET(
    monedaPago, Q504, 
    descuentoAplicado, G504,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04" s="36" t="str">
        <f t="shared" si="12"/>
        <v/>
      </c>
      <c r="Y504" s="36">
        <v>0.0</v>
      </c>
      <c r="Z504" s="33" t="s">
        <v>892</v>
      </c>
      <c r="AA504" s="33"/>
      <c r="AB504" s="33"/>
      <c r="AC504" s="33"/>
      <c r="AD504" s="33"/>
      <c r="AE504" s="33"/>
      <c r="AF504" s="33"/>
    </row>
    <row r="505" ht="22.5" customHeight="1">
      <c r="A505" s="23"/>
      <c r="B505" s="41"/>
      <c r="C505" s="23"/>
      <c r="D505" s="23"/>
      <c r="E505" s="25"/>
      <c r="F505" s="23"/>
      <c r="G505" s="27"/>
      <c r="H505" s="27"/>
      <c r="I505" s="28">
        <f t="shared" si="20"/>
        <v>0</v>
      </c>
      <c r="J505" s="29">
        <f t="shared" si="2"/>
        <v>0</v>
      </c>
      <c r="K505" s="30" t="str">
        <f t="shared" si="3"/>
        <v/>
      </c>
      <c r="L505" s="29">
        <f t="shared" si="4"/>
        <v>1</v>
      </c>
      <c r="M505" s="30">
        <f t="shared" si="5"/>
        <v>0</v>
      </c>
      <c r="N505" s="32">
        <f t="shared" si="6"/>
        <v>0</v>
      </c>
      <c r="O505" s="33" t="str">
        <f t="shared" si="7"/>
        <v>PAGADA</v>
      </c>
      <c r="P505" s="34">
        <f>LET(
  idVenta, I505&amp;"",
  montoTotal, M505,
  pagos, IFERROR(SUMIF(Aux_Datos!$B:$B, idVenta, Aux_Datos!$K:$K), 0),
  retenciones, IFERROR(SUMIF(Aux_Datos!$N:$N, idVenta, Aux_Datos!$R:$R), 0),
  pagos + retenciones
)</f>
        <v>0</v>
      </c>
      <c r="Q505" s="30" t="str">
        <f>IF(P505=0, "Sin Pago", 
  LET(
    idVenta, I505&amp;"",
    montoTotalPagado, P505,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05" s="30">
        <f t="shared" si="23"/>
        <v>0</v>
      </c>
      <c r="S505" s="29" t="str">
        <f>IF(P505=0, "Sin Pago", 
  IFERROR(
    MAXIFS(Aux_Datos!$A:$A, Aux_Datos!$B:$B, I505&amp;""), 
    IFERROR(MAXIFS(Aux_Datos!$A:$A, Aux_Datos!$B:$B, VALUE(I505)), "Revisar ID")
  )
)</f>
        <v>Sin Pago</v>
      </c>
      <c r="T505" s="35" t="str">
        <f t="shared" si="21"/>
        <v>PAGADA</v>
      </c>
      <c r="U505" s="35" t="str">
        <f t="shared" si="10"/>
        <v>SOLVENTE</v>
      </c>
      <c r="V505" s="32">
        <f t="shared" si="11"/>
        <v>0</v>
      </c>
      <c r="W505" s="36" t="str">
        <f>IF(P505=0, "Sin Pago", 
  LET(
    monedaPago, Q505, 
    descuentoAplicado, G505,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05" s="36" t="str">
        <f t="shared" si="12"/>
        <v/>
      </c>
      <c r="Y505" s="36">
        <v>0.0</v>
      </c>
      <c r="Z505" s="33" t="s">
        <v>892</v>
      </c>
      <c r="AA505" s="33"/>
      <c r="AB505" s="33"/>
      <c r="AC505" s="33"/>
      <c r="AD505" s="33"/>
      <c r="AE505" s="33"/>
      <c r="AF505" s="33"/>
    </row>
    <row r="506" ht="22.5" customHeight="1">
      <c r="A506" s="23"/>
      <c r="B506" s="41"/>
      <c r="C506" s="23"/>
      <c r="D506" s="23"/>
      <c r="E506" s="25"/>
      <c r="F506" s="23"/>
      <c r="G506" s="27"/>
      <c r="H506" s="27"/>
      <c r="I506" s="28">
        <f t="shared" si="20"/>
        <v>0</v>
      </c>
      <c r="J506" s="29">
        <f t="shared" si="2"/>
        <v>0</v>
      </c>
      <c r="K506" s="30" t="str">
        <f t="shared" si="3"/>
        <v/>
      </c>
      <c r="L506" s="29">
        <f t="shared" si="4"/>
        <v>1</v>
      </c>
      <c r="M506" s="30">
        <f t="shared" si="5"/>
        <v>0</v>
      </c>
      <c r="N506" s="32">
        <f t="shared" si="6"/>
        <v>0</v>
      </c>
      <c r="O506" s="33" t="str">
        <f t="shared" si="7"/>
        <v>PAGADA</v>
      </c>
      <c r="P506" s="34">
        <f>LET(
  idVenta, I506&amp;"",
  montoTotal, M506,
  pagos, IFERROR(SUMIF(Aux_Datos!$B:$B, idVenta, Aux_Datos!$K:$K), 0),
  retenciones, IFERROR(SUMIF(Aux_Datos!$N:$N, idVenta, Aux_Datos!$R:$R), 0),
  pagos + retenciones
)</f>
        <v>0</v>
      </c>
      <c r="Q506" s="30" t="str">
        <f>IF(P506=0, "Sin Pago", 
  LET(
    idVenta, I506&amp;"",
    montoTotalPagado, P506,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06" s="30">
        <f t="shared" si="23"/>
        <v>0</v>
      </c>
      <c r="S506" s="29" t="str">
        <f>IF(P506=0, "Sin Pago", 
  IFERROR(
    MAXIFS(Aux_Datos!$A:$A, Aux_Datos!$B:$B, I506&amp;""), 
    IFERROR(MAXIFS(Aux_Datos!$A:$A, Aux_Datos!$B:$B, VALUE(I506)), "Revisar ID")
  )
)</f>
        <v>Sin Pago</v>
      </c>
      <c r="T506" s="35" t="str">
        <f t="shared" si="21"/>
        <v>PAGADA</v>
      </c>
      <c r="U506" s="35" t="str">
        <f t="shared" si="10"/>
        <v>SOLVENTE</v>
      </c>
      <c r="V506" s="32">
        <f t="shared" si="11"/>
        <v>0</v>
      </c>
      <c r="W506" s="36" t="str">
        <f>IF(P506=0, "Sin Pago", 
  LET(
    monedaPago, Q506, 
    descuentoAplicado, G506,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06" s="36" t="str">
        <f t="shared" si="12"/>
        <v/>
      </c>
      <c r="Y506" s="36">
        <v>0.0</v>
      </c>
      <c r="Z506" s="33" t="s">
        <v>892</v>
      </c>
      <c r="AA506" s="33"/>
      <c r="AB506" s="33"/>
      <c r="AC506" s="33"/>
      <c r="AD506" s="33"/>
      <c r="AE506" s="33"/>
      <c r="AF506" s="33"/>
    </row>
    <row r="507" ht="22.5" customHeight="1">
      <c r="A507" s="23"/>
      <c r="B507" s="41"/>
      <c r="C507" s="23"/>
      <c r="D507" s="23"/>
      <c r="E507" s="25"/>
      <c r="F507" s="23"/>
      <c r="G507" s="27"/>
      <c r="H507" s="27"/>
      <c r="I507" s="28">
        <f t="shared" si="20"/>
        <v>0</v>
      </c>
      <c r="J507" s="29">
        <f t="shared" si="2"/>
        <v>0</v>
      </c>
      <c r="K507" s="30" t="str">
        <f t="shared" si="3"/>
        <v/>
      </c>
      <c r="L507" s="29">
        <f t="shared" si="4"/>
        <v>1</v>
      </c>
      <c r="M507" s="30">
        <f t="shared" si="5"/>
        <v>0</v>
      </c>
      <c r="N507" s="32">
        <f t="shared" si="6"/>
        <v>0</v>
      </c>
      <c r="O507" s="33" t="str">
        <f t="shared" si="7"/>
        <v>PAGADA</v>
      </c>
      <c r="P507" s="34">
        <f>LET(
  idVenta, I507&amp;"",
  montoTotal, M507,
  pagos, IFERROR(SUMIF(Aux_Datos!$B:$B, idVenta, Aux_Datos!$K:$K), 0),
  retenciones, IFERROR(SUMIF(Aux_Datos!$N:$N, idVenta, Aux_Datos!$R:$R), 0),
  pagos + retenciones
)</f>
        <v>0</v>
      </c>
      <c r="Q507" s="30" t="str">
        <f>IF(P507=0, "Sin Pago", 
  LET(
    idVenta, I507&amp;"",
    montoTotalPagado, P507,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07" s="30">
        <f t="shared" si="23"/>
        <v>0</v>
      </c>
      <c r="S507" s="29" t="str">
        <f>IF(P507=0, "Sin Pago", 
  IFERROR(
    MAXIFS(Aux_Datos!$A:$A, Aux_Datos!$B:$B, I507&amp;""), 
    IFERROR(MAXIFS(Aux_Datos!$A:$A, Aux_Datos!$B:$B, VALUE(I507)), "Revisar ID")
  )
)</f>
        <v>Sin Pago</v>
      </c>
      <c r="T507" s="35" t="str">
        <f t="shared" si="21"/>
        <v>PAGADA</v>
      </c>
      <c r="U507" s="35" t="str">
        <f t="shared" si="10"/>
        <v>SOLVENTE</v>
      </c>
      <c r="V507" s="32">
        <f t="shared" si="11"/>
        <v>0</v>
      </c>
      <c r="W507" s="36" t="str">
        <f>IF(P507=0, "Sin Pago", 
  LET(
    monedaPago, Q507, 
    descuentoAplicado, G507,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07" s="36" t="str">
        <f t="shared" si="12"/>
        <v/>
      </c>
      <c r="Y507" s="36">
        <v>0.0</v>
      </c>
      <c r="Z507" s="33" t="s">
        <v>892</v>
      </c>
      <c r="AA507" s="33"/>
      <c r="AB507" s="33"/>
      <c r="AC507" s="33"/>
      <c r="AD507" s="33"/>
      <c r="AE507" s="33"/>
      <c r="AF507" s="33"/>
    </row>
    <row r="508" ht="22.5" customHeight="1">
      <c r="A508" s="23"/>
      <c r="B508" s="41"/>
      <c r="C508" s="23"/>
      <c r="D508" s="23"/>
      <c r="E508" s="25"/>
      <c r="F508" s="23"/>
      <c r="G508" s="27"/>
      <c r="H508" s="27"/>
      <c r="I508" s="28">
        <f t="shared" si="20"/>
        <v>0</v>
      </c>
      <c r="J508" s="29">
        <f t="shared" si="2"/>
        <v>0</v>
      </c>
      <c r="K508" s="30" t="str">
        <f t="shared" si="3"/>
        <v/>
      </c>
      <c r="L508" s="29">
        <f t="shared" si="4"/>
        <v>1</v>
      </c>
      <c r="M508" s="30">
        <f t="shared" si="5"/>
        <v>0</v>
      </c>
      <c r="N508" s="32">
        <f t="shared" si="6"/>
        <v>0</v>
      </c>
      <c r="O508" s="33" t="str">
        <f t="shared" si="7"/>
        <v>PAGADA</v>
      </c>
      <c r="P508" s="34">
        <f>LET(
  idVenta, I508&amp;"",
  montoTotal, M508,
  pagos, IFERROR(SUMIF(Aux_Datos!$B:$B, idVenta, Aux_Datos!$K:$K), 0),
  retenciones, IFERROR(SUMIF(Aux_Datos!$N:$N, idVenta, Aux_Datos!$R:$R), 0),
  pagos + retenciones
)</f>
        <v>0</v>
      </c>
      <c r="Q508" s="30" t="str">
        <f>IF(P508=0, "Sin Pago", 
  LET(
    idVenta, I508&amp;"",
    montoTotalPagado, P508,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08" s="30">
        <f t="shared" si="23"/>
        <v>0</v>
      </c>
      <c r="S508" s="29" t="str">
        <f>IF(P508=0, "Sin Pago", 
  IFERROR(
    MAXIFS(Aux_Datos!$A:$A, Aux_Datos!$B:$B, I508&amp;""), 
    IFERROR(MAXIFS(Aux_Datos!$A:$A, Aux_Datos!$B:$B, VALUE(I508)), "Revisar ID")
  )
)</f>
        <v>Sin Pago</v>
      </c>
      <c r="T508" s="35" t="str">
        <f t="shared" si="21"/>
        <v>PAGADA</v>
      </c>
      <c r="U508" s="35" t="str">
        <f t="shared" si="10"/>
        <v>SOLVENTE</v>
      </c>
      <c r="V508" s="32">
        <f t="shared" si="11"/>
        <v>0</v>
      </c>
      <c r="W508" s="36" t="str">
        <f>IF(P508=0, "Sin Pago", 
  LET(
    monedaPago, Q508, 
    descuentoAplicado, G508,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08" s="36" t="str">
        <f t="shared" si="12"/>
        <v/>
      </c>
      <c r="Y508" s="36">
        <v>0.0</v>
      </c>
      <c r="Z508" s="33" t="s">
        <v>892</v>
      </c>
      <c r="AA508" s="33"/>
      <c r="AB508" s="33"/>
      <c r="AC508" s="33"/>
      <c r="AD508" s="33"/>
      <c r="AE508" s="33"/>
      <c r="AF508" s="33"/>
    </row>
    <row r="509" ht="22.5" customHeight="1">
      <c r="A509" s="23"/>
      <c r="B509" s="41"/>
      <c r="C509" s="23"/>
      <c r="D509" s="23"/>
      <c r="E509" s="25"/>
      <c r="F509" s="23"/>
      <c r="G509" s="27"/>
      <c r="H509" s="27"/>
      <c r="I509" s="28">
        <f t="shared" si="20"/>
        <v>0</v>
      </c>
      <c r="J509" s="29">
        <f t="shared" si="2"/>
        <v>0</v>
      </c>
      <c r="K509" s="30" t="str">
        <f t="shared" si="3"/>
        <v/>
      </c>
      <c r="L509" s="29">
        <f t="shared" si="4"/>
        <v>1</v>
      </c>
      <c r="M509" s="30">
        <f t="shared" si="5"/>
        <v>0</v>
      </c>
      <c r="N509" s="32">
        <f t="shared" si="6"/>
        <v>0</v>
      </c>
      <c r="O509" s="33" t="str">
        <f t="shared" si="7"/>
        <v>PAGADA</v>
      </c>
      <c r="P509" s="34">
        <f>LET(
  idVenta, I509&amp;"",
  montoTotal, M509,
  pagos, IFERROR(SUMIF(Aux_Datos!$B:$B, idVenta, Aux_Datos!$K:$K), 0),
  retenciones, IFERROR(SUMIF(Aux_Datos!$N:$N, idVenta, Aux_Datos!$R:$R), 0),
  pagos + retenciones
)</f>
        <v>0</v>
      </c>
      <c r="Q509" s="30" t="str">
        <f>IF(P509=0, "Sin Pago", 
  LET(
    idVenta, I509&amp;"",
    montoTotalPagado, P509,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09" s="30">
        <f t="shared" si="23"/>
        <v>0</v>
      </c>
      <c r="S509" s="29" t="str">
        <f>IF(P509=0, "Sin Pago", 
  IFERROR(
    MAXIFS(Aux_Datos!$A:$A, Aux_Datos!$B:$B, I509&amp;""), 
    IFERROR(MAXIFS(Aux_Datos!$A:$A, Aux_Datos!$B:$B, VALUE(I509)), "Revisar ID")
  )
)</f>
        <v>Sin Pago</v>
      </c>
      <c r="T509" s="35" t="str">
        <f t="shared" si="21"/>
        <v>PAGADA</v>
      </c>
      <c r="U509" s="35" t="str">
        <f t="shared" si="10"/>
        <v>SOLVENTE</v>
      </c>
      <c r="V509" s="32">
        <f t="shared" si="11"/>
        <v>0</v>
      </c>
      <c r="W509" s="36" t="str">
        <f>IF(P509=0, "Sin Pago", 
  LET(
    monedaPago, Q509, 
    descuentoAplicado, G509,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09" s="36" t="str">
        <f t="shared" si="12"/>
        <v/>
      </c>
      <c r="Y509" s="36">
        <v>0.0</v>
      </c>
      <c r="Z509" s="33" t="s">
        <v>892</v>
      </c>
      <c r="AA509" s="33"/>
      <c r="AB509" s="33"/>
      <c r="AC509" s="33"/>
      <c r="AD509" s="33"/>
      <c r="AE509" s="33"/>
      <c r="AF509" s="33"/>
    </row>
    <row r="510" ht="22.5" customHeight="1">
      <c r="A510" s="23"/>
      <c r="B510" s="41"/>
      <c r="C510" s="23"/>
      <c r="D510" s="23"/>
      <c r="E510" s="25"/>
      <c r="F510" s="23"/>
      <c r="G510" s="27"/>
      <c r="H510" s="27"/>
      <c r="I510" s="28">
        <f t="shared" si="20"/>
        <v>0</v>
      </c>
      <c r="J510" s="29">
        <f t="shared" si="2"/>
        <v>0</v>
      </c>
      <c r="K510" s="30" t="str">
        <f t="shared" si="3"/>
        <v/>
      </c>
      <c r="L510" s="29">
        <f t="shared" si="4"/>
        <v>1</v>
      </c>
      <c r="M510" s="30">
        <f t="shared" si="5"/>
        <v>0</v>
      </c>
      <c r="N510" s="32">
        <f t="shared" si="6"/>
        <v>0</v>
      </c>
      <c r="O510" s="33" t="str">
        <f t="shared" si="7"/>
        <v>PAGADA</v>
      </c>
      <c r="P510" s="34">
        <f>LET(
  idVenta, I510&amp;"",
  montoTotal, M510,
  pagos, IFERROR(SUMIF(Aux_Datos!$B:$B, idVenta, Aux_Datos!$K:$K), 0),
  retenciones, IFERROR(SUMIF(Aux_Datos!$N:$N, idVenta, Aux_Datos!$R:$R), 0),
  pagos + retenciones
)</f>
        <v>0</v>
      </c>
      <c r="Q510" s="30" t="str">
        <f>IF(P510=0, "Sin Pago", 
  LET(
    idVenta, I510&amp;"",
    montoTotalPagado, P510,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10" s="30">
        <f t="shared" si="23"/>
        <v>0</v>
      </c>
      <c r="S510" s="29" t="str">
        <f>IF(P510=0, "Sin Pago", 
  IFERROR(
    MAXIFS(Aux_Datos!$A:$A, Aux_Datos!$B:$B, I510&amp;""), 
    IFERROR(MAXIFS(Aux_Datos!$A:$A, Aux_Datos!$B:$B, VALUE(I510)), "Revisar ID")
  )
)</f>
        <v>Sin Pago</v>
      </c>
      <c r="T510" s="35" t="str">
        <f t="shared" si="21"/>
        <v>PAGADA</v>
      </c>
      <c r="U510" s="35" t="str">
        <f t="shared" si="10"/>
        <v>SOLVENTE</v>
      </c>
      <c r="V510" s="32">
        <f t="shared" si="11"/>
        <v>0</v>
      </c>
      <c r="W510" s="36" t="str">
        <f>IF(P510=0, "Sin Pago", 
  LET(
    monedaPago, Q510, 
    descuentoAplicado, G510,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10" s="36" t="str">
        <f t="shared" si="12"/>
        <v/>
      </c>
      <c r="Y510" s="36">
        <v>0.0</v>
      </c>
      <c r="Z510" s="33" t="s">
        <v>892</v>
      </c>
      <c r="AA510" s="33"/>
      <c r="AB510" s="33"/>
      <c r="AC510" s="33"/>
      <c r="AD510" s="33"/>
      <c r="AE510" s="33"/>
      <c r="AF510" s="33"/>
    </row>
    <row r="511" ht="22.5" customHeight="1">
      <c r="A511" s="23"/>
      <c r="B511" s="41"/>
      <c r="C511" s="23"/>
      <c r="D511" s="23"/>
      <c r="E511" s="25"/>
      <c r="F511" s="23"/>
      <c r="G511" s="27"/>
      <c r="H511" s="27"/>
      <c r="I511" s="28">
        <f t="shared" si="20"/>
        <v>0</v>
      </c>
      <c r="J511" s="29">
        <f t="shared" si="2"/>
        <v>0</v>
      </c>
      <c r="K511" s="30" t="str">
        <f t="shared" si="3"/>
        <v/>
      </c>
      <c r="L511" s="29">
        <f t="shared" si="4"/>
        <v>1</v>
      </c>
      <c r="M511" s="30">
        <f t="shared" si="5"/>
        <v>0</v>
      </c>
      <c r="N511" s="32">
        <f t="shared" si="6"/>
        <v>0</v>
      </c>
      <c r="O511" s="33" t="str">
        <f t="shared" si="7"/>
        <v>PAGADA</v>
      </c>
      <c r="P511" s="34">
        <f>LET(
  idVenta, I511&amp;"",
  montoTotal, M511,
  pagos, IFERROR(SUMIF(Aux_Datos!$B:$B, idVenta, Aux_Datos!$K:$K), 0),
  retenciones, IFERROR(SUMIF(Aux_Datos!$N:$N, idVenta, Aux_Datos!$R:$R), 0),
  pagos + retenciones
)</f>
        <v>0</v>
      </c>
      <c r="Q511" s="30" t="str">
        <f>IF(P511=0, "Sin Pago", 
  LET(
    idVenta, I511&amp;"",
    montoTotalPagado, P511,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11" s="30">
        <f t="shared" si="23"/>
        <v>0</v>
      </c>
      <c r="S511" s="29" t="str">
        <f>IF(P511=0, "Sin Pago", 
  IFERROR(
    MAXIFS(Aux_Datos!$A:$A, Aux_Datos!$B:$B, I511&amp;""), 
    IFERROR(MAXIFS(Aux_Datos!$A:$A, Aux_Datos!$B:$B, VALUE(I511)), "Revisar ID")
  )
)</f>
        <v>Sin Pago</v>
      </c>
      <c r="T511" s="35" t="str">
        <f t="shared" si="21"/>
        <v>PAGADA</v>
      </c>
      <c r="U511" s="35" t="str">
        <f t="shared" si="10"/>
        <v>SOLVENTE</v>
      </c>
      <c r="V511" s="32">
        <f t="shared" si="11"/>
        <v>0</v>
      </c>
      <c r="W511" s="36" t="str">
        <f>IF(P511=0, "Sin Pago", 
  LET(
    monedaPago, Q511, 
    descuentoAplicado, G511,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11" s="36" t="str">
        <f t="shared" si="12"/>
        <v/>
      </c>
      <c r="Y511" s="36">
        <v>0.0</v>
      </c>
      <c r="Z511" s="33" t="s">
        <v>892</v>
      </c>
      <c r="AA511" s="33"/>
      <c r="AB511" s="33"/>
      <c r="AC511" s="33"/>
      <c r="AD511" s="33"/>
      <c r="AE511" s="33"/>
      <c r="AF511" s="33"/>
    </row>
    <row r="512" ht="22.5" customHeight="1">
      <c r="A512" s="23"/>
      <c r="B512" s="41"/>
      <c r="C512" s="23"/>
      <c r="D512" s="23"/>
      <c r="E512" s="25"/>
      <c r="F512" s="23"/>
      <c r="G512" s="27"/>
      <c r="H512" s="27"/>
      <c r="I512" s="28">
        <f t="shared" si="20"/>
        <v>0</v>
      </c>
      <c r="J512" s="29">
        <f t="shared" si="2"/>
        <v>0</v>
      </c>
      <c r="K512" s="30" t="str">
        <f t="shared" si="3"/>
        <v/>
      </c>
      <c r="L512" s="29">
        <f t="shared" si="4"/>
        <v>1</v>
      </c>
      <c r="M512" s="30">
        <f t="shared" si="5"/>
        <v>0</v>
      </c>
      <c r="N512" s="32">
        <f t="shared" si="6"/>
        <v>0</v>
      </c>
      <c r="O512" s="33" t="str">
        <f t="shared" si="7"/>
        <v>PAGADA</v>
      </c>
      <c r="P512" s="34">
        <f>LET(
  idVenta, I512&amp;"",
  montoTotal, M512,
  pagos, IFERROR(SUMIF(Aux_Datos!$B:$B, idVenta, Aux_Datos!$K:$K), 0),
  retenciones, IFERROR(SUMIF(Aux_Datos!$N:$N, idVenta, Aux_Datos!$R:$R), 0),
  pagos + retenciones
)</f>
        <v>0</v>
      </c>
      <c r="Q512" s="30" t="str">
        <f>IF(P512=0, "Sin Pago", 
  LET(
    idVenta, I512&amp;"",
    montoTotalPagado, P512,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12" s="30">
        <f t="shared" si="23"/>
        <v>0</v>
      </c>
      <c r="S512" s="29" t="str">
        <f>IF(P512=0, "Sin Pago", 
  IFERROR(
    MAXIFS(Aux_Datos!$A:$A, Aux_Datos!$B:$B, I512&amp;""), 
    IFERROR(MAXIFS(Aux_Datos!$A:$A, Aux_Datos!$B:$B, VALUE(I512)), "Revisar ID")
  )
)</f>
        <v>Sin Pago</v>
      </c>
      <c r="T512" s="35" t="str">
        <f t="shared" si="21"/>
        <v>PAGADA</v>
      </c>
      <c r="U512" s="35" t="str">
        <f t="shared" si="10"/>
        <v>SOLVENTE</v>
      </c>
      <c r="V512" s="32">
        <f t="shared" si="11"/>
        <v>0</v>
      </c>
      <c r="W512" s="36" t="str">
        <f>IF(P512=0, "Sin Pago", 
  LET(
    monedaPago, Q512, 
    descuentoAplicado, G512,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12" s="36" t="str">
        <f t="shared" si="12"/>
        <v/>
      </c>
      <c r="Y512" s="36">
        <v>0.0</v>
      </c>
      <c r="Z512" s="33" t="s">
        <v>892</v>
      </c>
      <c r="AA512" s="33"/>
      <c r="AB512" s="33"/>
      <c r="AC512" s="33"/>
      <c r="AD512" s="33"/>
      <c r="AE512" s="33"/>
      <c r="AF512" s="33"/>
    </row>
    <row r="513" ht="22.5" customHeight="1">
      <c r="A513" s="23"/>
      <c r="B513" s="41"/>
      <c r="C513" s="23"/>
      <c r="D513" s="23"/>
      <c r="E513" s="25"/>
      <c r="F513" s="23"/>
      <c r="G513" s="27"/>
      <c r="H513" s="27"/>
      <c r="I513" s="28">
        <f t="shared" si="20"/>
        <v>0</v>
      </c>
      <c r="J513" s="29">
        <f t="shared" si="2"/>
        <v>0</v>
      </c>
      <c r="K513" s="30" t="str">
        <f t="shared" si="3"/>
        <v/>
      </c>
      <c r="L513" s="29">
        <f t="shared" si="4"/>
        <v>1</v>
      </c>
      <c r="M513" s="30">
        <f t="shared" si="5"/>
        <v>0</v>
      </c>
      <c r="N513" s="32">
        <f t="shared" si="6"/>
        <v>0</v>
      </c>
      <c r="O513" s="33" t="str">
        <f t="shared" si="7"/>
        <v>PAGADA</v>
      </c>
      <c r="P513" s="34">
        <f>LET(
  idVenta, I513&amp;"",
  montoTotal, M513,
  pagos, IFERROR(SUMIF(Aux_Datos!$B:$B, idVenta, Aux_Datos!$K:$K), 0),
  retenciones, IFERROR(SUMIF(Aux_Datos!$N:$N, idVenta, Aux_Datos!$R:$R), 0),
  pagos + retenciones
)</f>
        <v>0</v>
      </c>
      <c r="Q513" s="30" t="str">
        <f>IF(P513=0, "Sin Pago", 
  LET(
    idVenta, I513&amp;"",
    montoTotalPagado, P513,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13" s="30">
        <f t="shared" si="23"/>
        <v>0</v>
      </c>
      <c r="S513" s="29" t="str">
        <f>IF(P513=0, "Sin Pago", 
  IFERROR(
    MAXIFS(Aux_Datos!$A:$A, Aux_Datos!$B:$B, I513&amp;""), 
    IFERROR(MAXIFS(Aux_Datos!$A:$A, Aux_Datos!$B:$B, VALUE(I513)), "Revisar ID")
  )
)</f>
        <v>Sin Pago</v>
      </c>
      <c r="T513" s="35" t="str">
        <f t="shared" si="21"/>
        <v>PAGADA</v>
      </c>
      <c r="U513" s="35" t="str">
        <f t="shared" si="10"/>
        <v>SOLVENTE</v>
      </c>
      <c r="V513" s="32">
        <f t="shared" si="11"/>
        <v>0</v>
      </c>
      <c r="W513" s="36" t="str">
        <f>IF(P513=0, "Sin Pago", 
  LET(
    monedaPago, Q513, 
    descuentoAplicado, G513,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13" s="36" t="str">
        <f t="shared" si="12"/>
        <v/>
      </c>
      <c r="Y513" s="36">
        <v>0.0</v>
      </c>
      <c r="Z513" s="33" t="s">
        <v>892</v>
      </c>
      <c r="AA513" s="33"/>
      <c r="AB513" s="33"/>
      <c r="AC513" s="33"/>
      <c r="AD513" s="33"/>
      <c r="AE513" s="33"/>
      <c r="AF513" s="33"/>
    </row>
    <row r="514" ht="22.5" customHeight="1">
      <c r="A514" s="23"/>
      <c r="B514" s="41"/>
      <c r="C514" s="23"/>
      <c r="D514" s="23"/>
      <c r="E514" s="25"/>
      <c r="F514" s="23"/>
      <c r="G514" s="27"/>
      <c r="H514" s="27"/>
      <c r="I514" s="28">
        <f t="shared" si="20"/>
        <v>0</v>
      </c>
      <c r="J514" s="29">
        <f t="shared" si="2"/>
        <v>0</v>
      </c>
      <c r="K514" s="30" t="str">
        <f t="shared" si="3"/>
        <v/>
      </c>
      <c r="L514" s="29">
        <f t="shared" si="4"/>
        <v>1</v>
      </c>
      <c r="M514" s="30">
        <f t="shared" si="5"/>
        <v>0</v>
      </c>
      <c r="N514" s="32">
        <f t="shared" si="6"/>
        <v>0</v>
      </c>
      <c r="O514" s="33" t="str">
        <f t="shared" si="7"/>
        <v>PAGADA</v>
      </c>
      <c r="P514" s="34">
        <f>LET(
  idVenta, I514&amp;"",
  montoTotal, M514,
  pagos, IFERROR(SUMIF(Aux_Datos!$B:$B, idVenta, Aux_Datos!$K:$K), 0),
  retenciones, IFERROR(SUMIF(Aux_Datos!$N:$N, idVenta, Aux_Datos!$R:$R), 0),
  pagos + retenciones
)</f>
        <v>0</v>
      </c>
      <c r="Q514" s="30" t="str">
        <f>IF(P514=0, "Sin Pago", 
  LET(
    idVenta, I514&amp;"",
    montoTotalPagado, P514,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14" s="30">
        <f t="shared" si="23"/>
        <v>0</v>
      </c>
      <c r="S514" s="29" t="str">
        <f>IF(P514=0, "Sin Pago", 
  IFERROR(
    MAXIFS(Aux_Datos!$A:$A, Aux_Datos!$B:$B, I514&amp;""), 
    IFERROR(MAXIFS(Aux_Datos!$A:$A, Aux_Datos!$B:$B, VALUE(I514)), "Revisar ID")
  )
)</f>
        <v>Sin Pago</v>
      </c>
      <c r="T514" s="35" t="str">
        <f t="shared" si="21"/>
        <v>PAGADA</v>
      </c>
      <c r="U514" s="35" t="str">
        <f t="shared" si="10"/>
        <v>SOLVENTE</v>
      </c>
      <c r="V514" s="32">
        <f t="shared" si="11"/>
        <v>0</v>
      </c>
      <c r="W514" s="36" t="str">
        <f>IF(P514=0, "Sin Pago", 
  LET(
    monedaPago, Q514, 
    descuentoAplicado, G514,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14" s="36" t="str">
        <f t="shared" si="12"/>
        <v/>
      </c>
      <c r="Y514" s="36">
        <v>0.0</v>
      </c>
      <c r="Z514" s="33" t="s">
        <v>892</v>
      </c>
      <c r="AA514" s="33"/>
      <c r="AB514" s="33"/>
      <c r="AC514" s="33"/>
      <c r="AD514" s="33"/>
      <c r="AE514" s="33"/>
      <c r="AF514" s="33"/>
    </row>
    <row r="515" ht="22.5" customHeight="1">
      <c r="A515" s="23"/>
      <c r="B515" s="41"/>
      <c r="C515" s="23"/>
      <c r="D515" s="23"/>
      <c r="E515" s="25"/>
      <c r="F515" s="23"/>
      <c r="G515" s="27"/>
      <c r="H515" s="27"/>
      <c r="I515" s="28">
        <f t="shared" si="20"/>
        <v>0</v>
      </c>
      <c r="J515" s="29">
        <f t="shared" si="2"/>
        <v>0</v>
      </c>
      <c r="K515" s="30" t="str">
        <f t="shared" si="3"/>
        <v/>
      </c>
      <c r="L515" s="29">
        <f t="shared" si="4"/>
        <v>1</v>
      </c>
      <c r="M515" s="30">
        <f t="shared" si="5"/>
        <v>0</v>
      </c>
      <c r="N515" s="32">
        <f t="shared" si="6"/>
        <v>0</v>
      </c>
      <c r="O515" s="33" t="str">
        <f t="shared" si="7"/>
        <v>PAGADA</v>
      </c>
      <c r="P515" s="34">
        <f>LET(
  idVenta, I515&amp;"",
  montoTotal, M515,
  pagos, IFERROR(SUMIF(Aux_Datos!$B:$B, idVenta, Aux_Datos!$K:$K), 0),
  retenciones, IFERROR(SUMIF(Aux_Datos!$N:$N, idVenta, Aux_Datos!$R:$R), 0),
  pagos + retenciones
)</f>
        <v>0</v>
      </c>
      <c r="Q515" s="30" t="str">
        <f>IF(P515=0, "Sin Pago", 
  LET(
    idVenta, I515&amp;"",
    montoTotalPagado, P515,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15" s="30">
        <f t="shared" si="23"/>
        <v>0</v>
      </c>
      <c r="S515" s="29" t="str">
        <f>IF(P515=0, "Sin Pago", 
  IFERROR(
    MAXIFS(Aux_Datos!$A:$A, Aux_Datos!$B:$B, I515&amp;""), 
    IFERROR(MAXIFS(Aux_Datos!$A:$A, Aux_Datos!$B:$B, VALUE(I515)), "Revisar ID")
  )
)</f>
        <v>Sin Pago</v>
      </c>
      <c r="T515" s="35" t="str">
        <f t="shared" si="21"/>
        <v>PAGADA</v>
      </c>
      <c r="U515" s="35" t="str">
        <f t="shared" si="10"/>
        <v>SOLVENTE</v>
      </c>
      <c r="V515" s="32">
        <f t="shared" si="11"/>
        <v>0</v>
      </c>
      <c r="W515" s="36" t="str">
        <f>IF(P515=0, "Sin Pago", 
  LET(
    monedaPago, Q515, 
    descuentoAplicado, G515,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15" s="36" t="str">
        <f t="shared" si="12"/>
        <v/>
      </c>
      <c r="Y515" s="36">
        <v>0.0</v>
      </c>
      <c r="Z515" s="33" t="s">
        <v>892</v>
      </c>
      <c r="AA515" s="33"/>
      <c r="AB515" s="33"/>
      <c r="AC515" s="33"/>
      <c r="AD515" s="33"/>
      <c r="AE515" s="33"/>
      <c r="AF515" s="33"/>
    </row>
    <row r="516" ht="22.5" customHeight="1">
      <c r="A516" s="23"/>
      <c r="B516" s="41"/>
      <c r="C516" s="23"/>
      <c r="D516" s="23"/>
      <c r="E516" s="25"/>
      <c r="F516" s="23"/>
      <c r="G516" s="27"/>
      <c r="H516" s="27"/>
      <c r="I516" s="28">
        <f t="shared" si="20"/>
        <v>0</v>
      </c>
      <c r="J516" s="29">
        <f t="shared" si="2"/>
        <v>0</v>
      </c>
      <c r="K516" s="30" t="str">
        <f t="shared" si="3"/>
        <v/>
      </c>
      <c r="L516" s="29">
        <f t="shared" si="4"/>
        <v>1</v>
      </c>
      <c r="M516" s="30">
        <f t="shared" si="5"/>
        <v>0</v>
      </c>
      <c r="N516" s="32">
        <f t="shared" si="6"/>
        <v>0</v>
      </c>
      <c r="O516" s="33" t="str">
        <f t="shared" si="7"/>
        <v>PAGADA</v>
      </c>
      <c r="P516" s="34">
        <f>LET(
  idVenta, I516&amp;"",
  montoTotal, M516,
  pagos, IFERROR(SUMIF(Aux_Datos!$B:$B, idVenta, Aux_Datos!$K:$K), 0),
  retenciones, IFERROR(SUMIF(Aux_Datos!$N:$N, idVenta, Aux_Datos!$R:$R), 0),
  pagos + retenciones
)</f>
        <v>0</v>
      </c>
      <c r="Q516" s="30" t="str">
        <f>IF(P516=0, "Sin Pago", 
  LET(
    idVenta, I516&amp;"",
    montoTotalPagado, P516,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16" s="30">
        <f t="shared" si="23"/>
        <v>0</v>
      </c>
      <c r="S516" s="29" t="str">
        <f>IF(P516=0, "Sin Pago", 
  IFERROR(
    MAXIFS(Aux_Datos!$A:$A, Aux_Datos!$B:$B, I516&amp;""), 
    IFERROR(MAXIFS(Aux_Datos!$A:$A, Aux_Datos!$B:$B, VALUE(I516)), "Revisar ID")
  )
)</f>
        <v>Sin Pago</v>
      </c>
      <c r="T516" s="35" t="str">
        <f t="shared" si="21"/>
        <v>PAGADA</v>
      </c>
      <c r="U516" s="35" t="str">
        <f t="shared" si="10"/>
        <v>SOLVENTE</v>
      </c>
      <c r="V516" s="32">
        <f t="shared" si="11"/>
        <v>0</v>
      </c>
      <c r="W516" s="36" t="str">
        <f>IF(P516=0, "Sin Pago", 
  LET(
    monedaPago, Q516, 
    descuentoAplicado, G516,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16" s="36" t="str">
        <f t="shared" si="12"/>
        <v/>
      </c>
      <c r="Y516" s="36">
        <v>0.0</v>
      </c>
      <c r="Z516" s="33" t="s">
        <v>892</v>
      </c>
      <c r="AA516" s="33"/>
      <c r="AB516" s="33"/>
      <c r="AC516" s="33"/>
      <c r="AD516" s="33"/>
      <c r="AE516" s="33"/>
      <c r="AF516" s="33"/>
    </row>
    <row r="517" ht="22.5" customHeight="1">
      <c r="A517" s="23"/>
      <c r="B517" s="41"/>
      <c r="C517" s="23"/>
      <c r="D517" s="23"/>
      <c r="E517" s="25"/>
      <c r="F517" s="23"/>
      <c r="G517" s="27"/>
      <c r="H517" s="27"/>
      <c r="I517" s="28">
        <f t="shared" si="20"/>
        <v>0</v>
      </c>
      <c r="J517" s="29">
        <f t="shared" si="2"/>
        <v>0</v>
      </c>
      <c r="K517" s="30" t="str">
        <f t="shared" si="3"/>
        <v/>
      </c>
      <c r="L517" s="29">
        <f t="shared" si="4"/>
        <v>1</v>
      </c>
      <c r="M517" s="30">
        <f t="shared" si="5"/>
        <v>0</v>
      </c>
      <c r="N517" s="32">
        <f t="shared" si="6"/>
        <v>0</v>
      </c>
      <c r="O517" s="33" t="str">
        <f t="shared" si="7"/>
        <v>PAGADA</v>
      </c>
      <c r="P517" s="34">
        <f>LET(
  idVenta, I517&amp;"",
  montoTotal, M517,
  pagos, IFERROR(SUMIF(Aux_Datos!$B:$B, idVenta, Aux_Datos!$K:$K), 0),
  retenciones, IFERROR(SUMIF(Aux_Datos!$N:$N, idVenta, Aux_Datos!$R:$R), 0),
  pagos + retenciones
)</f>
        <v>0</v>
      </c>
      <c r="Q517" s="30" t="str">
        <f>IF(P517=0, "Sin Pago", 
  LET(
    idVenta, I517&amp;"",
    montoTotalPagado, P517,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17" s="30">
        <f t="shared" si="23"/>
        <v>0</v>
      </c>
      <c r="S517" s="29" t="str">
        <f>IF(P517=0, "Sin Pago", 
  IFERROR(
    MAXIFS(Aux_Datos!$A:$A, Aux_Datos!$B:$B, I517&amp;""), 
    IFERROR(MAXIFS(Aux_Datos!$A:$A, Aux_Datos!$B:$B, VALUE(I517)), "Revisar ID")
  )
)</f>
        <v>Sin Pago</v>
      </c>
      <c r="T517" s="35" t="str">
        <f t="shared" si="21"/>
        <v>PAGADA</v>
      </c>
      <c r="U517" s="35" t="str">
        <f t="shared" si="10"/>
        <v>SOLVENTE</v>
      </c>
      <c r="V517" s="32">
        <f t="shared" si="11"/>
        <v>0</v>
      </c>
      <c r="W517" s="36" t="str">
        <f>IF(P517=0, "Sin Pago", 
  LET(
    monedaPago, Q517, 
    descuentoAplicado, G517,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17" s="36" t="str">
        <f t="shared" si="12"/>
        <v/>
      </c>
      <c r="Y517" s="36">
        <v>0.0</v>
      </c>
      <c r="Z517" s="33" t="s">
        <v>892</v>
      </c>
      <c r="AA517" s="33"/>
      <c r="AB517" s="33"/>
      <c r="AC517" s="33"/>
      <c r="AD517" s="33"/>
      <c r="AE517" s="33"/>
      <c r="AF517" s="33"/>
    </row>
    <row r="518" ht="22.5" customHeight="1">
      <c r="A518" s="23"/>
      <c r="B518" s="41"/>
      <c r="C518" s="23"/>
      <c r="D518" s="23"/>
      <c r="E518" s="25"/>
      <c r="F518" s="23"/>
      <c r="G518" s="27"/>
      <c r="H518" s="27"/>
      <c r="I518" s="28">
        <f t="shared" si="20"/>
        <v>0</v>
      </c>
      <c r="J518" s="29">
        <f t="shared" si="2"/>
        <v>0</v>
      </c>
      <c r="K518" s="30" t="str">
        <f t="shared" si="3"/>
        <v/>
      </c>
      <c r="L518" s="29">
        <f t="shared" si="4"/>
        <v>1</v>
      </c>
      <c r="M518" s="30">
        <f t="shared" si="5"/>
        <v>0</v>
      </c>
      <c r="N518" s="32">
        <f t="shared" si="6"/>
        <v>0</v>
      </c>
      <c r="O518" s="33" t="str">
        <f t="shared" si="7"/>
        <v>PAGADA</v>
      </c>
      <c r="P518" s="34">
        <f>LET(
  idVenta, I518&amp;"",
  montoTotal, M518,
  pagos, IFERROR(SUMIF(Aux_Datos!$B:$B, idVenta, Aux_Datos!$K:$K), 0),
  retenciones, IFERROR(SUMIF(Aux_Datos!$N:$N, idVenta, Aux_Datos!$R:$R), 0),
  pagos + retenciones
)</f>
        <v>0</v>
      </c>
      <c r="Q518" s="30" t="str">
        <f>IF(P518=0, "Sin Pago", 
  LET(
    idVenta, I518&amp;"",
    montoTotalPagado, P518,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18" s="30">
        <f t="shared" si="23"/>
        <v>0</v>
      </c>
      <c r="S518" s="29" t="str">
        <f>IF(P518=0, "Sin Pago", 
  IFERROR(
    MAXIFS(Aux_Datos!$A:$A, Aux_Datos!$B:$B, I518&amp;""), 
    IFERROR(MAXIFS(Aux_Datos!$A:$A, Aux_Datos!$B:$B, VALUE(I518)), "Revisar ID")
  )
)</f>
        <v>Sin Pago</v>
      </c>
      <c r="T518" s="35" t="str">
        <f t="shared" si="21"/>
        <v>PAGADA</v>
      </c>
      <c r="U518" s="35" t="str">
        <f t="shared" si="10"/>
        <v>SOLVENTE</v>
      </c>
      <c r="V518" s="32">
        <f t="shared" si="11"/>
        <v>0</v>
      </c>
      <c r="W518" s="36" t="str">
        <f>IF(P518=0, "Sin Pago", 
  LET(
    monedaPago, Q518, 
    descuentoAplicado, G518,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18" s="36" t="str">
        <f t="shared" si="12"/>
        <v/>
      </c>
      <c r="Y518" s="36">
        <v>0.0</v>
      </c>
      <c r="Z518" s="33" t="s">
        <v>892</v>
      </c>
      <c r="AA518" s="33"/>
      <c r="AB518" s="33"/>
      <c r="AC518" s="33"/>
      <c r="AD518" s="33"/>
      <c r="AE518" s="33"/>
      <c r="AF518" s="33"/>
    </row>
    <row r="519" ht="22.5" customHeight="1">
      <c r="A519" s="23"/>
      <c r="B519" s="41"/>
      <c r="C519" s="23"/>
      <c r="D519" s="23"/>
      <c r="E519" s="25"/>
      <c r="F519" s="23"/>
      <c r="G519" s="27"/>
      <c r="H519" s="27"/>
      <c r="I519" s="28">
        <f t="shared" si="20"/>
        <v>0</v>
      </c>
      <c r="J519" s="29">
        <f t="shared" si="2"/>
        <v>0</v>
      </c>
      <c r="K519" s="30" t="str">
        <f t="shared" si="3"/>
        <v/>
      </c>
      <c r="L519" s="29">
        <f t="shared" si="4"/>
        <v>1</v>
      </c>
      <c r="M519" s="30">
        <f t="shared" si="5"/>
        <v>0</v>
      </c>
      <c r="N519" s="32">
        <f t="shared" si="6"/>
        <v>0</v>
      </c>
      <c r="O519" s="33" t="str">
        <f t="shared" si="7"/>
        <v>PAGADA</v>
      </c>
      <c r="P519" s="34">
        <f>LET(
  idVenta, I519&amp;"",
  montoTotal, M519,
  pagos, IFERROR(SUMIF(Aux_Datos!$B:$B, idVenta, Aux_Datos!$K:$K), 0),
  retenciones, IFERROR(SUMIF(Aux_Datos!$N:$N, idVenta, Aux_Datos!$R:$R), 0),
  pagos + retenciones
)</f>
        <v>0</v>
      </c>
      <c r="Q519" s="30" t="str">
        <f>IF(P519=0, "Sin Pago", 
  LET(
    idVenta, I519&amp;"",
    montoTotalPagado, P519,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19" s="30">
        <f t="shared" si="23"/>
        <v>0</v>
      </c>
      <c r="S519" s="29" t="str">
        <f>IF(P519=0, "Sin Pago", 
  IFERROR(
    MAXIFS(Aux_Datos!$A:$A, Aux_Datos!$B:$B, I519&amp;""), 
    IFERROR(MAXIFS(Aux_Datos!$A:$A, Aux_Datos!$B:$B, VALUE(I519)), "Revisar ID")
  )
)</f>
        <v>Sin Pago</v>
      </c>
      <c r="T519" s="35" t="str">
        <f t="shared" si="21"/>
        <v>PAGADA</v>
      </c>
      <c r="U519" s="35" t="str">
        <f t="shared" si="10"/>
        <v>SOLVENTE</v>
      </c>
      <c r="V519" s="32">
        <f t="shared" si="11"/>
        <v>0</v>
      </c>
      <c r="W519" s="36" t="str">
        <f>IF(P519=0, "Sin Pago", 
  LET(
    monedaPago, Q519, 
    descuentoAplicado, G519,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19" s="36" t="str">
        <f t="shared" si="12"/>
        <v/>
      </c>
      <c r="Y519" s="36">
        <v>0.0</v>
      </c>
      <c r="Z519" s="33" t="s">
        <v>892</v>
      </c>
      <c r="AA519" s="33"/>
      <c r="AB519" s="33"/>
      <c r="AC519" s="33"/>
      <c r="AD519" s="33"/>
      <c r="AE519" s="33"/>
      <c r="AF519" s="33"/>
    </row>
    <row r="520" ht="22.5" customHeight="1">
      <c r="A520" s="23"/>
      <c r="B520" s="41"/>
      <c r="C520" s="23"/>
      <c r="D520" s="23"/>
      <c r="E520" s="25"/>
      <c r="F520" s="23"/>
      <c r="G520" s="27"/>
      <c r="H520" s="27"/>
      <c r="I520" s="28">
        <f t="shared" si="20"/>
        <v>0</v>
      </c>
      <c r="J520" s="29">
        <f t="shared" si="2"/>
        <v>0</v>
      </c>
      <c r="K520" s="30" t="str">
        <f t="shared" si="3"/>
        <v/>
      </c>
      <c r="L520" s="29">
        <f t="shared" si="4"/>
        <v>1</v>
      </c>
      <c r="M520" s="30">
        <f t="shared" si="5"/>
        <v>0</v>
      </c>
      <c r="N520" s="32">
        <f t="shared" si="6"/>
        <v>0</v>
      </c>
      <c r="O520" s="33" t="str">
        <f t="shared" si="7"/>
        <v>PAGADA</v>
      </c>
      <c r="P520" s="34">
        <f>LET(
  idVenta, I520&amp;"",
  montoTotal, M520,
  pagos, IFERROR(SUMIF(Aux_Datos!$B:$B, idVenta, Aux_Datos!$K:$K), 0),
  retenciones, IFERROR(SUMIF(Aux_Datos!$N:$N, idVenta, Aux_Datos!$R:$R), 0),
  pagos + retenciones
)</f>
        <v>0</v>
      </c>
      <c r="Q520" s="30" t="str">
        <f>IF(P520=0, "Sin Pago", 
  LET(
    idVenta, I520&amp;"",
    montoTotalPagado, P520,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20" s="30">
        <f t="shared" si="23"/>
        <v>0</v>
      </c>
      <c r="S520" s="29" t="str">
        <f>IF(P520=0, "Sin Pago", 
  IFERROR(
    MAXIFS(Aux_Datos!$A:$A, Aux_Datos!$B:$B, I520&amp;""), 
    IFERROR(MAXIFS(Aux_Datos!$A:$A, Aux_Datos!$B:$B, VALUE(I520)), "Revisar ID")
  )
)</f>
        <v>Sin Pago</v>
      </c>
      <c r="T520" s="35" t="str">
        <f t="shared" si="21"/>
        <v>PAGADA</v>
      </c>
      <c r="U520" s="35" t="str">
        <f t="shared" si="10"/>
        <v>SOLVENTE</v>
      </c>
      <c r="V520" s="32">
        <f t="shared" si="11"/>
        <v>0</v>
      </c>
      <c r="W520" s="36" t="str">
        <f>IF(P520=0, "Sin Pago", 
  LET(
    monedaPago, Q520, 
    descuentoAplicado, G520,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20" s="36" t="str">
        <f t="shared" si="12"/>
        <v/>
      </c>
      <c r="Y520" s="36">
        <v>0.0</v>
      </c>
      <c r="Z520" s="33" t="s">
        <v>892</v>
      </c>
      <c r="AA520" s="33"/>
      <c r="AB520" s="33"/>
      <c r="AC520" s="33"/>
      <c r="AD520" s="33"/>
      <c r="AE520" s="33"/>
      <c r="AF520" s="33"/>
    </row>
    <row r="521" ht="22.5" customHeight="1">
      <c r="A521" s="23"/>
      <c r="B521" s="41"/>
      <c r="C521" s="23"/>
      <c r="D521" s="23"/>
      <c r="E521" s="25"/>
      <c r="F521" s="23"/>
      <c r="G521" s="27"/>
      <c r="H521" s="27"/>
      <c r="I521" s="28">
        <f t="shared" si="20"/>
        <v>0</v>
      </c>
      <c r="J521" s="29">
        <f t="shared" si="2"/>
        <v>0</v>
      </c>
      <c r="K521" s="30" t="str">
        <f t="shared" si="3"/>
        <v/>
      </c>
      <c r="L521" s="29">
        <f t="shared" si="4"/>
        <v>1</v>
      </c>
      <c r="M521" s="30">
        <f t="shared" si="5"/>
        <v>0</v>
      </c>
      <c r="N521" s="32">
        <f t="shared" si="6"/>
        <v>0</v>
      </c>
      <c r="O521" s="33" t="str">
        <f t="shared" si="7"/>
        <v>PAGADA</v>
      </c>
      <c r="P521" s="34">
        <f>LET(
  idVenta, I521&amp;"",
  montoTotal, M521,
  pagos, IFERROR(SUMIF(Aux_Datos!$B:$B, idVenta, Aux_Datos!$K:$K), 0),
  retenciones, IFERROR(SUMIF(Aux_Datos!$N:$N, idVenta, Aux_Datos!$R:$R), 0),
  pagos + retenciones
)</f>
        <v>0</v>
      </c>
      <c r="Q521" s="30" t="str">
        <f>IF(P521=0, "Sin Pago", 
  LET(
    idVenta, I521&amp;"",
    montoTotalPagado, P521,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21" s="30">
        <f t="shared" si="23"/>
        <v>0</v>
      </c>
      <c r="S521" s="29" t="str">
        <f>IF(P521=0, "Sin Pago", 
  IFERROR(
    MAXIFS(Aux_Datos!$A:$A, Aux_Datos!$B:$B, I521&amp;""), 
    IFERROR(MAXIFS(Aux_Datos!$A:$A, Aux_Datos!$B:$B, VALUE(I521)), "Revisar ID")
  )
)</f>
        <v>Sin Pago</v>
      </c>
      <c r="T521" s="35" t="str">
        <f t="shared" si="21"/>
        <v>PAGADA</v>
      </c>
      <c r="U521" s="35" t="str">
        <f t="shared" si="10"/>
        <v>SOLVENTE</v>
      </c>
      <c r="V521" s="32">
        <f t="shared" si="11"/>
        <v>0</v>
      </c>
      <c r="W521" s="36" t="str">
        <f>IF(P521=0, "Sin Pago", 
  LET(
    monedaPago, Q521, 
    descuentoAplicado, G521,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21" s="36" t="str">
        <f t="shared" si="12"/>
        <v/>
      </c>
      <c r="Y521" s="36">
        <v>0.0</v>
      </c>
      <c r="Z521" s="33" t="s">
        <v>892</v>
      </c>
      <c r="AA521" s="33"/>
      <c r="AB521" s="33"/>
      <c r="AC521" s="33"/>
      <c r="AD521" s="33"/>
      <c r="AE521" s="33"/>
      <c r="AF521" s="33"/>
    </row>
    <row r="522" ht="22.5" customHeight="1">
      <c r="A522" s="23"/>
      <c r="B522" s="41"/>
      <c r="C522" s="23"/>
      <c r="D522" s="23"/>
      <c r="E522" s="25"/>
      <c r="F522" s="23"/>
      <c r="G522" s="27"/>
      <c r="H522" s="27"/>
      <c r="I522" s="28">
        <f t="shared" si="20"/>
        <v>0</v>
      </c>
      <c r="J522" s="29">
        <f t="shared" si="2"/>
        <v>0</v>
      </c>
      <c r="K522" s="30" t="str">
        <f t="shared" si="3"/>
        <v/>
      </c>
      <c r="L522" s="29">
        <f t="shared" si="4"/>
        <v>1</v>
      </c>
      <c r="M522" s="30">
        <f t="shared" si="5"/>
        <v>0</v>
      </c>
      <c r="N522" s="32">
        <f t="shared" si="6"/>
        <v>0</v>
      </c>
      <c r="O522" s="33" t="str">
        <f t="shared" si="7"/>
        <v>PAGADA</v>
      </c>
      <c r="P522" s="34">
        <f>LET(
  idVenta, I522&amp;"",
  montoTotal, M522,
  pagos, IFERROR(SUMIF(Aux_Datos!$B:$B, idVenta, Aux_Datos!$K:$K), 0),
  retenciones, IFERROR(SUMIF(Aux_Datos!$N:$N, idVenta, Aux_Datos!$R:$R), 0),
  pagos + retenciones
)</f>
        <v>0</v>
      </c>
      <c r="Q522" s="30" t="str">
        <f>IF(P522=0, "Sin Pago", 
  LET(
    idVenta, I522&amp;"",
    montoTotalPagado, P522,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22" s="30">
        <f t="shared" si="23"/>
        <v>0</v>
      </c>
      <c r="S522" s="29" t="str">
        <f>IF(P522=0, "Sin Pago", 
  IFERROR(
    MAXIFS(Aux_Datos!$A:$A, Aux_Datos!$B:$B, I522&amp;""), 
    IFERROR(MAXIFS(Aux_Datos!$A:$A, Aux_Datos!$B:$B, VALUE(I522)), "Revisar ID")
  )
)</f>
        <v>Sin Pago</v>
      </c>
      <c r="T522" s="35" t="str">
        <f t="shared" si="21"/>
        <v>PAGADA</v>
      </c>
      <c r="U522" s="35" t="str">
        <f t="shared" si="10"/>
        <v>SOLVENTE</v>
      </c>
      <c r="V522" s="32">
        <f t="shared" si="11"/>
        <v>0</v>
      </c>
      <c r="W522" s="36" t="str">
        <f>IF(P522=0, "Sin Pago", 
  LET(
    monedaPago, Q522, 
    descuentoAplicado, G522,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22" s="36" t="str">
        <f t="shared" si="12"/>
        <v/>
      </c>
      <c r="Y522" s="36">
        <v>0.0</v>
      </c>
      <c r="Z522" s="33" t="s">
        <v>892</v>
      </c>
      <c r="AA522" s="33"/>
      <c r="AB522" s="33"/>
      <c r="AC522" s="33"/>
      <c r="AD522" s="33"/>
      <c r="AE522" s="33"/>
      <c r="AF522" s="33"/>
    </row>
    <row r="523" ht="22.5" customHeight="1">
      <c r="A523" s="23"/>
      <c r="B523" s="41"/>
      <c r="C523" s="23"/>
      <c r="D523" s="23"/>
      <c r="E523" s="25"/>
      <c r="F523" s="23"/>
      <c r="G523" s="27"/>
      <c r="H523" s="27"/>
      <c r="I523" s="28">
        <f t="shared" si="20"/>
        <v>0</v>
      </c>
      <c r="J523" s="29">
        <f t="shared" si="2"/>
        <v>0</v>
      </c>
      <c r="K523" s="30" t="str">
        <f t="shared" si="3"/>
        <v/>
      </c>
      <c r="L523" s="29">
        <f t="shared" si="4"/>
        <v>1</v>
      </c>
      <c r="M523" s="30">
        <f t="shared" si="5"/>
        <v>0</v>
      </c>
      <c r="N523" s="32">
        <f t="shared" si="6"/>
        <v>0</v>
      </c>
      <c r="O523" s="33" t="str">
        <f t="shared" si="7"/>
        <v>PAGADA</v>
      </c>
      <c r="P523" s="34">
        <f>LET(
  idVenta, I523&amp;"",
  montoTotal, M523,
  pagos, IFERROR(SUMIF(Aux_Datos!$B:$B, idVenta, Aux_Datos!$K:$K), 0),
  retenciones, IFERROR(SUMIF(Aux_Datos!$N:$N, idVenta, Aux_Datos!$R:$R), 0),
  pagos + retenciones
)</f>
        <v>0</v>
      </c>
      <c r="Q523" s="30" t="str">
        <f>IF(P523=0, "Sin Pago", 
  LET(
    idVenta, I523&amp;"",
    montoTotalPagado, P523,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23" s="30">
        <f t="shared" si="23"/>
        <v>0</v>
      </c>
      <c r="S523" s="29" t="str">
        <f>IF(P523=0, "Sin Pago", 
  IFERROR(
    MAXIFS(Aux_Datos!$A:$A, Aux_Datos!$B:$B, I523&amp;""), 
    IFERROR(MAXIFS(Aux_Datos!$A:$A, Aux_Datos!$B:$B, VALUE(I523)), "Revisar ID")
  )
)</f>
        <v>Sin Pago</v>
      </c>
      <c r="T523" s="35" t="str">
        <f t="shared" si="21"/>
        <v>PAGADA</v>
      </c>
      <c r="U523" s="35" t="str">
        <f t="shared" si="10"/>
        <v>SOLVENTE</v>
      </c>
      <c r="V523" s="32">
        <f t="shared" si="11"/>
        <v>0</v>
      </c>
      <c r="W523" s="36" t="str">
        <f>IF(P523=0, "Sin Pago", 
  LET(
    monedaPago, Q523, 
    descuentoAplicado, G523,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23" s="36" t="str">
        <f t="shared" si="12"/>
        <v/>
      </c>
      <c r="Y523" s="36">
        <v>0.0</v>
      </c>
      <c r="Z523" s="33" t="s">
        <v>892</v>
      </c>
      <c r="AA523" s="33"/>
      <c r="AB523" s="33"/>
      <c r="AC523" s="33"/>
      <c r="AD523" s="33"/>
      <c r="AE523" s="33"/>
      <c r="AF523" s="33"/>
    </row>
    <row r="524" ht="22.5" customHeight="1">
      <c r="A524" s="23"/>
      <c r="B524" s="41"/>
      <c r="C524" s="23"/>
      <c r="D524" s="23"/>
      <c r="E524" s="25"/>
      <c r="F524" s="23"/>
      <c r="G524" s="27"/>
      <c r="H524" s="27"/>
      <c r="I524" s="28">
        <f t="shared" si="20"/>
        <v>0</v>
      </c>
      <c r="J524" s="29">
        <f t="shared" si="2"/>
        <v>0</v>
      </c>
      <c r="K524" s="30" t="str">
        <f t="shared" si="3"/>
        <v/>
      </c>
      <c r="L524" s="29">
        <f t="shared" si="4"/>
        <v>1</v>
      </c>
      <c r="M524" s="30">
        <f t="shared" si="5"/>
        <v>0</v>
      </c>
      <c r="N524" s="32">
        <f t="shared" si="6"/>
        <v>0</v>
      </c>
      <c r="O524" s="33" t="str">
        <f t="shared" si="7"/>
        <v>PAGADA</v>
      </c>
      <c r="P524" s="34">
        <f>LET(
  idVenta, I524&amp;"",
  montoTotal, M524,
  pagos, IFERROR(SUMIF(Aux_Datos!$B:$B, idVenta, Aux_Datos!$K:$K), 0),
  retenciones, IFERROR(SUMIF(Aux_Datos!$N:$N, idVenta, Aux_Datos!$R:$R), 0),
  pagos + retenciones
)</f>
        <v>0</v>
      </c>
      <c r="Q524" s="30" t="str">
        <f>IF(P524=0, "Sin Pago", 
  LET(
    idVenta, I524&amp;"",
    montoTotalPagado, P524,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24" s="30">
        <f t="shared" si="23"/>
        <v>0</v>
      </c>
      <c r="S524" s="29" t="str">
        <f>IF(P524=0, "Sin Pago", 
  IFERROR(
    MAXIFS(Aux_Datos!$A:$A, Aux_Datos!$B:$B, I524&amp;""), 
    IFERROR(MAXIFS(Aux_Datos!$A:$A, Aux_Datos!$B:$B, VALUE(I524)), "Revisar ID")
  )
)</f>
        <v>Sin Pago</v>
      </c>
      <c r="T524" s="35" t="str">
        <f t="shared" si="21"/>
        <v>PAGADA</v>
      </c>
      <c r="U524" s="35" t="str">
        <f t="shared" si="10"/>
        <v>SOLVENTE</v>
      </c>
      <c r="V524" s="32">
        <f t="shared" si="11"/>
        <v>0</v>
      </c>
      <c r="W524" s="36" t="str">
        <f>IF(P524=0, "Sin Pago", 
  LET(
    monedaPago, Q524, 
    descuentoAplicado, G524,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24" s="36" t="str">
        <f t="shared" si="12"/>
        <v/>
      </c>
      <c r="Y524" s="36">
        <v>0.0</v>
      </c>
      <c r="Z524" s="33" t="s">
        <v>892</v>
      </c>
      <c r="AA524" s="33"/>
      <c r="AB524" s="33"/>
      <c r="AC524" s="33"/>
      <c r="AD524" s="33"/>
      <c r="AE524" s="33"/>
      <c r="AF524" s="33"/>
    </row>
    <row r="525" ht="22.5" customHeight="1">
      <c r="A525" s="23"/>
      <c r="B525" s="41"/>
      <c r="C525" s="23"/>
      <c r="D525" s="23"/>
      <c r="E525" s="25"/>
      <c r="F525" s="23"/>
      <c r="G525" s="27"/>
      <c r="H525" s="27"/>
      <c r="I525" s="28">
        <f t="shared" si="20"/>
        <v>0</v>
      </c>
      <c r="J525" s="29">
        <f t="shared" si="2"/>
        <v>0</v>
      </c>
      <c r="K525" s="30" t="str">
        <f t="shared" si="3"/>
        <v/>
      </c>
      <c r="L525" s="29">
        <f t="shared" si="4"/>
        <v>1</v>
      </c>
      <c r="M525" s="30">
        <f t="shared" si="5"/>
        <v>0</v>
      </c>
      <c r="N525" s="32">
        <f t="shared" si="6"/>
        <v>0</v>
      </c>
      <c r="O525" s="33" t="str">
        <f t="shared" si="7"/>
        <v>PAGADA</v>
      </c>
      <c r="P525" s="34">
        <f>LET(
  idVenta, I525&amp;"",
  montoTotal, M525,
  pagos, IFERROR(SUMIF(Aux_Datos!$B:$B, idVenta, Aux_Datos!$K:$K), 0),
  retenciones, IFERROR(SUMIF(Aux_Datos!$N:$N, idVenta, Aux_Datos!$R:$R), 0),
  pagos + retenciones
)</f>
        <v>0</v>
      </c>
      <c r="Q525" s="30" t="str">
        <f>IF(P525=0, "Sin Pago", 
  LET(
    idVenta, I525&amp;"",
    montoTotalPagado, P525,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25" s="30">
        <f t="shared" si="23"/>
        <v>0</v>
      </c>
      <c r="S525" s="29" t="str">
        <f>IF(P525=0, "Sin Pago", 
  IFERROR(
    MAXIFS(Aux_Datos!$A:$A, Aux_Datos!$B:$B, I525&amp;""), 
    IFERROR(MAXIFS(Aux_Datos!$A:$A, Aux_Datos!$B:$B, VALUE(I525)), "Revisar ID")
  )
)</f>
        <v>Sin Pago</v>
      </c>
      <c r="T525" s="35" t="str">
        <f t="shared" si="21"/>
        <v>PAGADA</v>
      </c>
      <c r="U525" s="35" t="str">
        <f t="shared" si="10"/>
        <v>SOLVENTE</v>
      </c>
      <c r="V525" s="32">
        <f t="shared" si="11"/>
        <v>0</v>
      </c>
      <c r="W525" s="36" t="str">
        <f>IF(P525=0, "Sin Pago", 
  LET(
    monedaPago, Q525, 
    descuentoAplicado, G525,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25" s="36" t="str">
        <f t="shared" si="12"/>
        <v/>
      </c>
      <c r="Y525" s="36">
        <v>0.0</v>
      </c>
      <c r="Z525" s="33" t="s">
        <v>892</v>
      </c>
      <c r="AA525" s="33"/>
      <c r="AB525" s="33"/>
      <c r="AC525" s="33"/>
      <c r="AD525" s="33"/>
      <c r="AE525" s="33"/>
      <c r="AF525" s="33"/>
    </row>
    <row r="526" ht="22.5" customHeight="1">
      <c r="A526" s="23"/>
      <c r="B526" s="41"/>
      <c r="C526" s="23"/>
      <c r="D526" s="23"/>
      <c r="E526" s="25"/>
      <c r="F526" s="23"/>
      <c r="G526" s="27"/>
      <c r="H526" s="27"/>
      <c r="I526" s="28">
        <f t="shared" si="20"/>
        <v>0</v>
      </c>
      <c r="J526" s="29">
        <f t="shared" si="2"/>
        <v>0</v>
      </c>
      <c r="K526" s="30" t="str">
        <f t="shared" si="3"/>
        <v/>
      </c>
      <c r="L526" s="29">
        <f t="shared" si="4"/>
        <v>1</v>
      </c>
      <c r="M526" s="30">
        <f t="shared" si="5"/>
        <v>0</v>
      </c>
      <c r="N526" s="32">
        <f t="shared" si="6"/>
        <v>0</v>
      </c>
      <c r="O526" s="33" t="str">
        <f t="shared" si="7"/>
        <v>PAGADA</v>
      </c>
      <c r="P526" s="34">
        <f>LET(
  idVenta, I526&amp;"",
  montoTotal, M526,
  pagos, IFERROR(SUMIF(Aux_Datos!$B:$B, idVenta, Aux_Datos!$K:$K), 0),
  retenciones, IFERROR(SUMIF(Aux_Datos!$N:$N, idVenta, Aux_Datos!$R:$R), 0),
  pagos + retenciones
)</f>
        <v>0</v>
      </c>
      <c r="Q526" s="30" t="str">
        <f>IF(P526=0, "Sin Pago", 
  LET(
    idVenta, I526&amp;"",
    montoTotalPagado, P526,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26" s="30">
        <f t="shared" si="23"/>
        <v>0</v>
      </c>
      <c r="S526" s="29" t="str">
        <f>IF(P526=0, "Sin Pago", 
  IFERROR(
    MAXIFS(Aux_Datos!$A:$A, Aux_Datos!$B:$B, I526&amp;""), 
    IFERROR(MAXIFS(Aux_Datos!$A:$A, Aux_Datos!$B:$B, VALUE(I526)), "Revisar ID")
  )
)</f>
        <v>Sin Pago</v>
      </c>
      <c r="T526" s="35" t="str">
        <f t="shared" si="21"/>
        <v>PAGADA</v>
      </c>
      <c r="U526" s="35" t="str">
        <f t="shared" si="10"/>
        <v>SOLVENTE</v>
      </c>
      <c r="V526" s="32">
        <f t="shared" si="11"/>
        <v>0</v>
      </c>
      <c r="W526" s="36" t="str">
        <f>IF(P526=0, "Sin Pago", 
  LET(
    monedaPago, Q526, 
    descuentoAplicado, G526,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26" s="36" t="str">
        <f t="shared" si="12"/>
        <v/>
      </c>
      <c r="Y526" s="36">
        <v>0.0</v>
      </c>
      <c r="Z526" s="33" t="s">
        <v>892</v>
      </c>
      <c r="AA526" s="33"/>
      <c r="AB526" s="33"/>
      <c r="AC526" s="33"/>
      <c r="AD526" s="33"/>
      <c r="AE526" s="33"/>
      <c r="AF526" s="33"/>
    </row>
    <row r="527" ht="22.5" customHeight="1">
      <c r="A527" s="23"/>
      <c r="B527" s="41"/>
      <c r="C527" s="23"/>
      <c r="D527" s="23"/>
      <c r="E527" s="25"/>
      <c r="F527" s="23"/>
      <c r="G527" s="27"/>
      <c r="H527" s="27"/>
      <c r="I527" s="28">
        <f t="shared" si="20"/>
        <v>0</v>
      </c>
      <c r="J527" s="29">
        <f t="shared" si="2"/>
        <v>0</v>
      </c>
      <c r="K527" s="30" t="str">
        <f t="shared" si="3"/>
        <v/>
      </c>
      <c r="L527" s="29">
        <f t="shared" si="4"/>
        <v>1</v>
      </c>
      <c r="M527" s="30">
        <f t="shared" si="5"/>
        <v>0</v>
      </c>
      <c r="N527" s="32">
        <f t="shared" si="6"/>
        <v>0</v>
      </c>
      <c r="O527" s="33" t="str">
        <f t="shared" si="7"/>
        <v>PAGADA</v>
      </c>
      <c r="P527" s="34">
        <f>LET(
  idVenta, I527&amp;"",
  montoTotal, M527,
  pagos, IFERROR(SUMIF(Aux_Datos!$B:$B, idVenta, Aux_Datos!$K:$K), 0),
  retenciones, IFERROR(SUMIF(Aux_Datos!$N:$N, idVenta, Aux_Datos!$R:$R), 0),
  pagos + retenciones
)</f>
        <v>0</v>
      </c>
      <c r="Q527" s="30" t="str">
        <f>IF(P527=0, "Sin Pago", 
  LET(
    idVenta, I527&amp;"",
    montoTotalPagado, P527,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27" s="30">
        <f t="shared" si="23"/>
        <v>0</v>
      </c>
      <c r="S527" s="29" t="str">
        <f>IF(P527=0, "Sin Pago", 
  IFERROR(
    MAXIFS(Aux_Datos!$A:$A, Aux_Datos!$B:$B, I527&amp;""), 
    IFERROR(MAXIFS(Aux_Datos!$A:$A, Aux_Datos!$B:$B, VALUE(I527)), "Revisar ID")
  )
)</f>
        <v>Sin Pago</v>
      </c>
      <c r="T527" s="35" t="str">
        <f t="shared" si="21"/>
        <v>PAGADA</v>
      </c>
      <c r="U527" s="35" t="str">
        <f t="shared" si="10"/>
        <v>SOLVENTE</v>
      </c>
      <c r="V527" s="32">
        <f t="shared" si="11"/>
        <v>0</v>
      </c>
      <c r="W527" s="36" t="str">
        <f>IF(P527=0, "Sin Pago", 
  LET(
    monedaPago, Q527, 
    descuentoAplicado, G527,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27" s="36" t="str">
        <f t="shared" si="12"/>
        <v/>
      </c>
      <c r="Y527" s="36">
        <v>0.0</v>
      </c>
      <c r="Z527" s="33" t="s">
        <v>892</v>
      </c>
      <c r="AA527" s="33"/>
      <c r="AB527" s="33"/>
      <c r="AC527" s="33"/>
      <c r="AD527" s="33"/>
      <c r="AE527" s="33"/>
      <c r="AF527" s="33"/>
    </row>
    <row r="528" ht="22.5" customHeight="1">
      <c r="A528" s="23"/>
      <c r="B528" s="41"/>
      <c r="C528" s="23"/>
      <c r="D528" s="23"/>
      <c r="E528" s="25"/>
      <c r="F528" s="23"/>
      <c r="G528" s="27"/>
      <c r="H528" s="27"/>
      <c r="I528" s="28">
        <f t="shared" si="20"/>
        <v>0</v>
      </c>
      <c r="J528" s="29">
        <f t="shared" si="2"/>
        <v>0</v>
      </c>
      <c r="K528" s="30" t="str">
        <f t="shared" si="3"/>
        <v/>
      </c>
      <c r="L528" s="29">
        <f t="shared" si="4"/>
        <v>1</v>
      </c>
      <c r="M528" s="30">
        <f t="shared" si="5"/>
        <v>0</v>
      </c>
      <c r="N528" s="32">
        <f t="shared" si="6"/>
        <v>0</v>
      </c>
      <c r="O528" s="33" t="str">
        <f t="shared" si="7"/>
        <v>PAGADA</v>
      </c>
      <c r="P528" s="34">
        <f>LET(
  idVenta, I528&amp;"",
  montoTotal, M528,
  pagos, IFERROR(SUMIF(Aux_Datos!$B:$B, idVenta, Aux_Datos!$K:$K), 0),
  retenciones, IFERROR(SUMIF(Aux_Datos!$N:$N, idVenta, Aux_Datos!$R:$R), 0),
  pagos + retenciones
)</f>
        <v>0</v>
      </c>
      <c r="Q528" s="30" t="str">
        <f>IF(P528=0, "Sin Pago", 
  LET(
    idVenta, I528&amp;"",
    montoTotalPagado, P528,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28" s="30">
        <f t="shared" si="23"/>
        <v>0</v>
      </c>
      <c r="S528" s="29" t="str">
        <f>IF(P528=0, "Sin Pago", 
  IFERROR(
    MAXIFS(Aux_Datos!$A:$A, Aux_Datos!$B:$B, I528&amp;""), 
    IFERROR(MAXIFS(Aux_Datos!$A:$A, Aux_Datos!$B:$B, VALUE(I528)), "Revisar ID")
  )
)</f>
        <v>Sin Pago</v>
      </c>
      <c r="T528" s="35" t="str">
        <f t="shared" si="21"/>
        <v>PAGADA</v>
      </c>
      <c r="U528" s="35" t="str">
        <f t="shared" si="10"/>
        <v>SOLVENTE</v>
      </c>
      <c r="V528" s="32">
        <f t="shared" si="11"/>
        <v>0</v>
      </c>
      <c r="W528" s="36" t="str">
        <f>IF(P528=0, "Sin Pago", 
  LET(
    monedaPago, Q528, 
    descuentoAplicado, G528,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28" s="36" t="str">
        <f t="shared" si="12"/>
        <v/>
      </c>
      <c r="Y528" s="36">
        <v>0.0</v>
      </c>
      <c r="Z528" s="33" t="s">
        <v>892</v>
      </c>
      <c r="AA528" s="33"/>
      <c r="AB528" s="33"/>
      <c r="AC528" s="33"/>
      <c r="AD528" s="33"/>
      <c r="AE528" s="33"/>
      <c r="AF528" s="33"/>
    </row>
    <row r="529" ht="22.5" customHeight="1">
      <c r="A529" s="23"/>
      <c r="B529" s="41"/>
      <c r="C529" s="23"/>
      <c r="D529" s="23"/>
      <c r="E529" s="25"/>
      <c r="F529" s="23"/>
      <c r="G529" s="27"/>
      <c r="H529" s="27"/>
      <c r="I529" s="28">
        <f t="shared" si="20"/>
        <v>0</v>
      </c>
      <c r="J529" s="29">
        <f t="shared" si="2"/>
        <v>0</v>
      </c>
      <c r="K529" s="30" t="str">
        <f t="shared" si="3"/>
        <v/>
      </c>
      <c r="L529" s="29">
        <f t="shared" si="4"/>
        <v>1</v>
      </c>
      <c r="M529" s="30">
        <f t="shared" si="5"/>
        <v>0</v>
      </c>
      <c r="N529" s="32">
        <f t="shared" si="6"/>
        <v>0</v>
      </c>
      <c r="O529" s="33" t="str">
        <f t="shared" si="7"/>
        <v>PAGADA</v>
      </c>
      <c r="P529" s="34">
        <f>LET(
  idVenta, I529&amp;"",
  montoTotal, M529,
  pagos, IFERROR(SUMIF(Aux_Datos!$B:$B, idVenta, Aux_Datos!$K:$K), 0),
  retenciones, IFERROR(SUMIF(Aux_Datos!$N:$N, idVenta, Aux_Datos!$R:$R), 0),
  pagos + retenciones
)</f>
        <v>0</v>
      </c>
      <c r="Q529" s="30" t="str">
        <f>IF(P529=0, "Sin Pago", 
  LET(
    idVenta, I529&amp;"",
    montoTotalPagado, P529,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29" s="30">
        <f t="shared" si="23"/>
        <v>0</v>
      </c>
      <c r="S529" s="29" t="str">
        <f>IF(P529=0, "Sin Pago", 
  IFERROR(
    MAXIFS(Aux_Datos!$A:$A, Aux_Datos!$B:$B, I529&amp;""), 
    IFERROR(MAXIFS(Aux_Datos!$A:$A, Aux_Datos!$B:$B, VALUE(I529)), "Revisar ID")
  )
)</f>
        <v>Sin Pago</v>
      </c>
      <c r="T529" s="35" t="str">
        <f t="shared" si="21"/>
        <v>PAGADA</v>
      </c>
      <c r="U529" s="35" t="str">
        <f t="shared" si="10"/>
        <v>SOLVENTE</v>
      </c>
      <c r="V529" s="32">
        <f t="shared" si="11"/>
        <v>0</v>
      </c>
      <c r="W529" s="36" t="str">
        <f>IF(P529=0, "Sin Pago", 
  LET(
    monedaPago, Q529, 
    descuentoAplicado, G529,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29" s="36" t="str">
        <f t="shared" si="12"/>
        <v/>
      </c>
      <c r="Y529" s="36">
        <v>0.0</v>
      </c>
      <c r="Z529" s="33" t="s">
        <v>892</v>
      </c>
      <c r="AA529" s="33"/>
      <c r="AB529" s="33"/>
      <c r="AC529" s="33"/>
      <c r="AD529" s="33"/>
      <c r="AE529" s="33"/>
      <c r="AF529" s="33"/>
    </row>
    <row r="530" ht="22.5" customHeight="1">
      <c r="A530" s="23"/>
      <c r="B530" s="41"/>
      <c r="C530" s="23"/>
      <c r="D530" s="23"/>
      <c r="E530" s="25"/>
      <c r="F530" s="23"/>
      <c r="G530" s="27"/>
      <c r="H530" s="27"/>
      <c r="I530" s="28">
        <f t="shared" si="20"/>
        <v>0</v>
      </c>
      <c r="J530" s="29">
        <f t="shared" si="2"/>
        <v>0</v>
      </c>
      <c r="K530" s="30" t="str">
        <f t="shared" si="3"/>
        <v/>
      </c>
      <c r="L530" s="29">
        <f t="shared" si="4"/>
        <v>1</v>
      </c>
      <c r="M530" s="30">
        <f t="shared" si="5"/>
        <v>0</v>
      </c>
      <c r="N530" s="32">
        <f t="shared" si="6"/>
        <v>0</v>
      </c>
      <c r="O530" s="33" t="str">
        <f t="shared" si="7"/>
        <v>PAGADA</v>
      </c>
      <c r="P530" s="34">
        <f>LET(
  idVenta, I530&amp;"",
  montoTotal, M530,
  pagos, IFERROR(SUMIF(Aux_Datos!$B:$B, idVenta, Aux_Datos!$K:$K), 0),
  retenciones, IFERROR(SUMIF(Aux_Datos!$N:$N, idVenta, Aux_Datos!$R:$R), 0),
  pagos + retenciones
)</f>
        <v>0</v>
      </c>
      <c r="Q530" s="30" t="str">
        <f>IF(P530=0, "Sin Pago", 
  LET(
    idVenta, I530&amp;"",
    montoTotalPagado, P530,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30" s="30">
        <f t="shared" si="23"/>
        <v>0</v>
      </c>
      <c r="S530" s="29" t="str">
        <f>IF(P530=0, "Sin Pago", 
  IFERROR(
    MAXIFS(Aux_Datos!$A:$A, Aux_Datos!$B:$B, I530&amp;""), 
    IFERROR(MAXIFS(Aux_Datos!$A:$A, Aux_Datos!$B:$B, VALUE(I530)), "Revisar ID")
  )
)</f>
        <v>Sin Pago</v>
      </c>
      <c r="T530" s="35" t="str">
        <f t="shared" si="21"/>
        <v>PAGADA</v>
      </c>
      <c r="U530" s="35" t="str">
        <f t="shared" si="10"/>
        <v>SOLVENTE</v>
      </c>
      <c r="V530" s="32">
        <f t="shared" si="11"/>
        <v>0</v>
      </c>
      <c r="W530" s="36" t="str">
        <f>IF(P530=0, "Sin Pago", 
  LET(
    monedaPago, Q530, 
    descuentoAplicado, G530,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30" s="36" t="str">
        <f t="shared" si="12"/>
        <v/>
      </c>
      <c r="Y530" s="36">
        <v>0.0</v>
      </c>
      <c r="Z530" s="33" t="s">
        <v>892</v>
      </c>
      <c r="AA530" s="33"/>
      <c r="AB530" s="33"/>
      <c r="AC530" s="33"/>
      <c r="AD530" s="33"/>
      <c r="AE530" s="33"/>
      <c r="AF530" s="33"/>
    </row>
    <row r="531" ht="22.5" customHeight="1">
      <c r="A531" s="23"/>
      <c r="B531" s="41"/>
      <c r="C531" s="23"/>
      <c r="D531" s="23"/>
      <c r="E531" s="25"/>
      <c r="F531" s="23"/>
      <c r="G531" s="27"/>
      <c r="H531" s="27"/>
      <c r="I531" s="28">
        <f t="shared" si="20"/>
        <v>0</v>
      </c>
      <c r="J531" s="29">
        <f t="shared" si="2"/>
        <v>0</v>
      </c>
      <c r="K531" s="30" t="str">
        <f t="shared" si="3"/>
        <v/>
      </c>
      <c r="L531" s="29">
        <f t="shared" si="4"/>
        <v>1</v>
      </c>
      <c r="M531" s="30">
        <f t="shared" si="5"/>
        <v>0</v>
      </c>
      <c r="N531" s="32">
        <f t="shared" si="6"/>
        <v>0</v>
      </c>
      <c r="O531" s="33" t="str">
        <f t="shared" si="7"/>
        <v>PAGADA</v>
      </c>
      <c r="P531" s="34">
        <f>LET(
  idVenta, I531&amp;"",
  montoTotal, M531,
  pagos, IFERROR(SUMIF(Aux_Datos!$B:$B, idVenta, Aux_Datos!$K:$K), 0),
  retenciones, IFERROR(SUMIF(Aux_Datos!$N:$N, idVenta, Aux_Datos!$R:$R), 0),
  pagos + retenciones
)</f>
        <v>0</v>
      </c>
      <c r="Q531" s="30" t="str">
        <f>IF(P531=0, "Sin Pago", 
  LET(
    idVenta, I531&amp;"",
    montoTotalPagado, P531,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31" s="30">
        <f t="shared" si="23"/>
        <v>0</v>
      </c>
      <c r="S531" s="29" t="str">
        <f>IF(P531=0, "Sin Pago", 
  IFERROR(
    MAXIFS(Aux_Datos!$A:$A, Aux_Datos!$B:$B, I531&amp;""), 
    IFERROR(MAXIFS(Aux_Datos!$A:$A, Aux_Datos!$B:$B, VALUE(I531)), "Revisar ID")
  )
)</f>
        <v>Sin Pago</v>
      </c>
      <c r="T531" s="35" t="str">
        <f t="shared" si="21"/>
        <v>PAGADA</v>
      </c>
      <c r="U531" s="35" t="str">
        <f t="shared" si="10"/>
        <v>SOLVENTE</v>
      </c>
      <c r="V531" s="32">
        <f t="shared" si="11"/>
        <v>0</v>
      </c>
      <c r="W531" s="36" t="str">
        <f>IF(P531=0, "Sin Pago", 
  LET(
    monedaPago, Q531, 
    descuentoAplicado, G531,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31" s="36" t="str">
        <f t="shared" si="12"/>
        <v/>
      </c>
      <c r="Y531" s="36">
        <v>0.0</v>
      </c>
      <c r="Z531" s="33" t="s">
        <v>892</v>
      </c>
      <c r="AA531" s="33"/>
      <c r="AB531" s="33"/>
      <c r="AC531" s="33"/>
      <c r="AD531" s="33"/>
      <c r="AE531" s="33"/>
      <c r="AF531" s="33"/>
    </row>
    <row r="532" ht="22.5" customHeight="1">
      <c r="A532" s="23"/>
      <c r="B532" s="41"/>
      <c r="C532" s="23"/>
      <c r="D532" s="23"/>
      <c r="E532" s="25"/>
      <c r="F532" s="23"/>
      <c r="G532" s="27"/>
      <c r="H532" s="27"/>
      <c r="I532" s="28">
        <f t="shared" si="20"/>
        <v>0</v>
      </c>
      <c r="J532" s="29">
        <f t="shared" si="2"/>
        <v>0</v>
      </c>
      <c r="K532" s="30" t="str">
        <f t="shared" si="3"/>
        <v/>
      </c>
      <c r="L532" s="29">
        <f t="shared" si="4"/>
        <v>1</v>
      </c>
      <c r="M532" s="30">
        <f t="shared" si="5"/>
        <v>0</v>
      </c>
      <c r="N532" s="32">
        <f t="shared" si="6"/>
        <v>0</v>
      </c>
      <c r="O532" s="33" t="str">
        <f t="shared" si="7"/>
        <v>PAGADA</v>
      </c>
      <c r="P532" s="34">
        <f>LET(
  idVenta, I532&amp;"",
  montoTotal, M532,
  pagos, IFERROR(SUMIF(Aux_Datos!$B:$B, idVenta, Aux_Datos!$K:$K), 0),
  retenciones, IFERROR(SUMIF(Aux_Datos!$N:$N, idVenta, Aux_Datos!$R:$R), 0),
  pagos + retenciones
)</f>
        <v>0</v>
      </c>
      <c r="Q532" s="30" t="str">
        <f>IF(P532=0, "Sin Pago", 
  LET(
    idVenta, I532&amp;"",
    montoTotalPagado, P532,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32" s="30">
        <f t="shared" si="23"/>
        <v>0</v>
      </c>
      <c r="S532" s="29" t="str">
        <f>IF(P532=0, "Sin Pago", 
  IFERROR(
    MAXIFS(Aux_Datos!$A:$A, Aux_Datos!$B:$B, I532&amp;""), 
    IFERROR(MAXIFS(Aux_Datos!$A:$A, Aux_Datos!$B:$B, VALUE(I532)), "Revisar ID")
  )
)</f>
        <v>Sin Pago</v>
      </c>
      <c r="T532" s="35" t="str">
        <f t="shared" si="21"/>
        <v>PAGADA</v>
      </c>
      <c r="U532" s="35" t="str">
        <f t="shared" si="10"/>
        <v>SOLVENTE</v>
      </c>
      <c r="V532" s="32">
        <f t="shared" si="11"/>
        <v>0</v>
      </c>
      <c r="W532" s="36" t="str">
        <f>IF(P532=0, "Sin Pago", 
  LET(
    monedaPago, Q532, 
    descuentoAplicado, G532,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32" s="36" t="str">
        <f t="shared" si="12"/>
        <v/>
      </c>
      <c r="Y532" s="36">
        <v>0.0</v>
      </c>
      <c r="Z532" s="33" t="s">
        <v>892</v>
      </c>
      <c r="AA532" s="33"/>
      <c r="AB532" s="33"/>
      <c r="AC532" s="33"/>
      <c r="AD532" s="33"/>
      <c r="AE532" s="33"/>
      <c r="AF532" s="33"/>
    </row>
    <row r="533" ht="22.5" customHeight="1">
      <c r="A533" s="23"/>
      <c r="B533" s="41"/>
      <c r="C533" s="23"/>
      <c r="D533" s="23"/>
      <c r="E533" s="25"/>
      <c r="F533" s="23"/>
      <c r="G533" s="27"/>
      <c r="H533" s="27"/>
      <c r="I533" s="28">
        <f t="shared" si="20"/>
        <v>0</v>
      </c>
      <c r="J533" s="29">
        <f t="shared" si="2"/>
        <v>0</v>
      </c>
      <c r="K533" s="30" t="str">
        <f t="shared" si="3"/>
        <v/>
      </c>
      <c r="L533" s="29">
        <f t="shared" si="4"/>
        <v>1</v>
      </c>
      <c r="M533" s="30">
        <f t="shared" si="5"/>
        <v>0</v>
      </c>
      <c r="N533" s="32">
        <f t="shared" si="6"/>
        <v>0</v>
      </c>
      <c r="O533" s="33" t="str">
        <f t="shared" si="7"/>
        <v>PAGADA</v>
      </c>
      <c r="P533" s="34">
        <f>LET(
  idVenta, I533&amp;"",
  montoTotal, M533,
  pagos, IFERROR(SUMIF(Aux_Datos!$B:$B, idVenta, Aux_Datos!$K:$K), 0),
  retenciones, IFERROR(SUMIF(Aux_Datos!$N:$N, idVenta, Aux_Datos!$R:$R), 0),
  pagos + retenciones
)</f>
        <v>0</v>
      </c>
      <c r="Q533" s="30" t="str">
        <f>IF(P533=0, "Sin Pago", 
  LET(
    idVenta, I533&amp;"",
    montoTotalPagado, P533,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33" s="30">
        <f t="shared" si="23"/>
        <v>0</v>
      </c>
      <c r="S533" s="29" t="str">
        <f>IF(P533=0, "Sin Pago", 
  IFERROR(
    MAXIFS(Aux_Datos!$A:$A, Aux_Datos!$B:$B, I533&amp;""), 
    IFERROR(MAXIFS(Aux_Datos!$A:$A, Aux_Datos!$B:$B, VALUE(I533)), "Revisar ID")
  )
)</f>
        <v>Sin Pago</v>
      </c>
      <c r="T533" s="35" t="str">
        <f t="shared" si="21"/>
        <v>PAGADA</v>
      </c>
      <c r="U533" s="35" t="str">
        <f t="shared" si="10"/>
        <v>SOLVENTE</v>
      </c>
      <c r="V533" s="32">
        <f t="shared" si="11"/>
        <v>0</v>
      </c>
      <c r="W533" s="36" t="str">
        <f>IF(P533=0, "Sin Pago", 
  LET(
    monedaPago, Q533, 
    descuentoAplicado, G533,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33" s="36" t="str">
        <f t="shared" si="12"/>
        <v/>
      </c>
      <c r="Y533" s="36">
        <v>0.0</v>
      </c>
      <c r="Z533" s="33" t="s">
        <v>892</v>
      </c>
      <c r="AA533" s="33"/>
      <c r="AB533" s="33"/>
      <c r="AC533" s="33"/>
      <c r="AD533" s="33"/>
      <c r="AE533" s="33"/>
      <c r="AF533" s="33"/>
    </row>
    <row r="534" ht="22.5" customHeight="1">
      <c r="A534" s="23"/>
      <c r="B534" s="41"/>
      <c r="C534" s="23"/>
      <c r="D534" s="23"/>
      <c r="E534" s="25"/>
      <c r="F534" s="23"/>
      <c r="G534" s="27"/>
      <c r="H534" s="27"/>
      <c r="I534" s="28">
        <f t="shared" si="20"/>
        <v>0</v>
      </c>
      <c r="J534" s="29">
        <f t="shared" si="2"/>
        <v>0</v>
      </c>
      <c r="K534" s="30" t="str">
        <f t="shared" si="3"/>
        <v/>
      </c>
      <c r="L534" s="29">
        <f t="shared" si="4"/>
        <v>1</v>
      </c>
      <c r="M534" s="30">
        <f t="shared" si="5"/>
        <v>0</v>
      </c>
      <c r="N534" s="32">
        <f t="shared" si="6"/>
        <v>0</v>
      </c>
      <c r="O534" s="33" t="str">
        <f t="shared" si="7"/>
        <v>PAGADA</v>
      </c>
      <c r="P534" s="34">
        <f>LET(
  idVenta, I534&amp;"",
  montoTotal, M534,
  pagos, IFERROR(SUMIF(Aux_Datos!$B:$B, idVenta, Aux_Datos!$K:$K), 0),
  retenciones, IFERROR(SUMIF(Aux_Datos!$N:$N, idVenta, Aux_Datos!$R:$R), 0),
  pagos + retenciones
)</f>
        <v>0</v>
      </c>
      <c r="Q534" s="30" t="str">
        <f>IF(P534=0, "Sin Pago", 
  LET(
    idVenta, I534&amp;"",
    montoTotalPagado, P534,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34" s="30">
        <f t="shared" si="23"/>
        <v>0</v>
      </c>
      <c r="S534" s="29" t="str">
        <f>IF(P534=0, "Sin Pago", 
  IFERROR(
    MAXIFS(Aux_Datos!$A:$A, Aux_Datos!$B:$B, I534&amp;""), 
    IFERROR(MAXIFS(Aux_Datos!$A:$A, Aux_Datos!$B:$B, VALUE(I534)), "Revisar ID")
  )
)</f>
        <v>Sin Pago</v>
      </c>
      <c r="T534" s="35" t="str">
        <f t="shared" si="21"/>
        <v>PAGADA</v>
      </c>
      <c r="U534" s="35" t="str">
        <f t="shared" si="10"/>
        <v>SOLVENTE</v>
      </c>
      <c r="V534" s="32">
        <f t="shared" si="11"/>
        <v>0</v>
      </c>
      <c r="W534" s="36" t="str">
        <f>IF(P534=0, "Sin Pago", 
  LET(
    monedaPago, Q534, 
    descuentoAplicado, G534,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34" s="36" t="str">
        <f t="shared" si="12"/>
        <v/>
      </c>
      <c r="Y534" s="36">
        <v>0.0</v>
      </c>
      <c r="Z534" s="33" t="s">
        <v>892</v>
      </c>
      <c r="AA534" s="33"/>
      <c r="AB534" s="33"/>
      <c r="AC534" s="33"/>
      <c r="AD534" s="33"/>
      <c r="AE534" s="33"/>
      <c r="AF534" s="33"/>
    </row>
    <row r="535" ht="22.5" customHeight="1">
      <c r="A535" s="23"/>
      <c r="B535" s="41"/>
      <c r="C535" s="23"/>
      <c r="D535" s="23"/>
      <c r="E535" s="25"/>
      <c r="F535" s="23"/>
      <c r="G535" s="27"/>
      <c r="H535" s="27"/>
      <c r="I535" s="28">
        <f t="shared" si="20"/>
        <v>0</v>
      </c>
      <c r="J535" s="29">
        <f t="shared" si="2"/>
        <v>0</v>
      </c>
      <c r="K535" s="30" t="str">
        <f t="shared" si="3"/>
        <v/>
      </c>
      <c r="L535" s="29">
        <f t="shared" si="4"/>
        <v>1</v>
      </c>
      <c r="M535" s="30">
        <f t="shared" si="5"/>
        <v>0</v>
      </c>
      <c r="N535" s="32">
        <f t="shared" si="6"/>
        <v>0</v>
      </c>
      <c r="O535" s="33" t="str">
        <f t="shared" si="7"/>
        <v>PAGADA</v>
      </c>
      <c r="P535" s="34">
        <f>LET(
  idVenta, I535&amp;"",
  montoTotal, M535,
  pagos, IFERROR(SUMIF(Aux_Datos!$B:$B, idVenta, Aux_Datos!$K:$K), 0),
  retenciones, IFERROR(SUMIF(Aux_Datos!$N:$N, idVenta, Aux_Datos!$R:$R), 0),
  pagos + retenciones
)</f>
        <v>0</v>
      </c>
      <c r="Q535" s="30" t="str">
        <f>IF(P535=0, "Sin Pago", 
  LET(
    idVenta, I535&amp;"",
    montoTotalPagado, P535,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35" s="30">
        <f t="shared" si="23"/>
        <v>0</v>
      </c>
      <c r="S535" s="29" t="str">
        <f>IF(P535=0, "Sin Pago", 
  IFERROR(
    MAXIFS(Aux_Datos!$A:$A, Aux_Datos!$B:$B, I535&amp;""), 
    IFERROR(MAXIFS(Aux_Datos!$A:$A, Aux_Datos!$B:$B, VALUE(I535)), "Revisar ID")
  )
)</f>
        <v>Sin Pago</v>
      </c>
      <c r="T535" s="35" t="str">
        <f t="shared" si="21"/>
        <v>PAGADA</v>
      </c>
      <c r="U535" s="35" t="str">
        <f t="shared" si="10"/>
        <v>SOLVENTE</v>
      </c>
      <c r="V535" s="32">
        <f t="shared" si="11"/>
        <v>0</v>
      </c>
      <c r="W535" s="36" t="str">
        <f>IF(P535=0, "Sin Pago", 
  LET(
    monedaPago, Q535, 
    descuentoAplicado, G535,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35" s="36" t="str">
        <f t="shared" si="12"/>
        <v/>
      </c>
      <c r="Y535" s="36">
        <v>0.0</v>
      </c>
      <c r="Z535" s="33" t="s">
        <v>892</v>
      </c>
      <c r="AA535" s="33"/>
      <c r="AB535" s="33"/>
      <c r="AC535" s="33"/>
      <c r="AD535" s="33"/>
      <c r="AE535" s="33"/>
      <c r="AF535" s="33"/>
    </row>
    <row r="536" ht="22.5" customHeight="1">
      <c r="A536" s="23"/>
      <c r="B536" s="41"/>
      <c r="C536" s="23"/>
      <c r="D536" s="23"/>
      <c r="E536" s="25"/>
      <c r="F536" s="23"/>
      <c r="G536" s="27"/>
      <c r="H536" s="27"/>
      <c r="I536" s="28">
        <f t="shared" si="20"/>
        <v>0</v>
      </c>
      <c r="J536" s="29">
        <f t="shared" si="2"/>
        <v>0</v>
      </c>
      <c r="K536" s="30" t="str">
        <f t="shared" si="3"/>
        <v/>
      </c>
      <c r="L536" s="29">
        <f t="shared" si="4"/>
        <v>1</v>
      </c>
      <c r="M536" s="30">
        <f t="shared" si="5"/>
        <v>0</v>
      </c>
      <c r="N536" s="32">
        <f t="shared" si="6"/>
        <v>0</v>
      </c>
      <c r="O536" s="33" t="str">
        <f t="shared" si="7"/>
        <v>PAGADA</v>
      </c>
      <c r="P536" s="34">
        <f>LET(
  idVenta, I536&amp;"",
  montoTotal, M536,
  pagos, IFERROR(SUMIF(Aux_Datos!$B:$B, idVenta, Aux_Datos!$K:$K), 0),
  retenciones, IFERROR(SUMIF(Aux_Datos!$N:$N, idVenta, Aux_Datos!$R:$R), 0),
  pagos + retenciones
)</f>
        <v>0</v>
      </c>
      <c r="Q536" s="30" t="str">
        <f>IF(P536=0, "Sin Pago", 
  LET(
    idVenta, I536&amp;"",
    montoTotalPagado, P536,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36" s="30">
        <f t="shared" si="23"/>
        <v>0</v>
      </c>
      <c r="S536" s="29" t="str">
        <f>IF(P536=0, "Sin Pago", 
  IFERROR(
    MAXIFS(Aux_Datos!$A:$A, Aux_Datos!$B:$B, I536&amp;""), 
    IFERROR(MAXIFS(Aux_Datos!$A:$A, Aux_Datos!$B:$B, VALUE(I536)), "Revisar ID")
  )
)</f>
        <v>Sin Pago</v>
      </c>
      <c r="T536" s="35" t="str">
        <f t="shared" si="21"/>
        <v>PAGADA</v>
      </c>
      <c r="U536" s="35" t="str">
        <f t="shared" si="10"/>
        <v>SOLVENTE</v>
      </c>
      <c r="V536" s="32">
        <f t="shared" si="11"/>
        <v>0</v>
      </c>
      <c r="W536" s="36" t="str">
        <f>IF(P536=0, "Sin Pago", 
  LET(
    monedaPago, Q536, 
    descuentoAplicado, G536,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36" s="36" t="str">
        <f t="shared" si="12"/>
        <v/>
      </c>
      <c r="Y536" s="36">
        <v>0.0</v>
      </c>
      <c r="Z536" s="33" t="s">
        <v>892</v>
      </c>
      <c r="AA536" s="33"/>
      <c r="AB536" s="33"/>
      <c r="AC536" s="33"/>
      <c r="AD536" s="33"/>
      <c r="AE536" s="33"/>
      <c r="AF536" s="33"/>
    </row>
    <row r="537" ht="22.5" customHeight="1">
      <c r="A537" s="23"/>
      <c r="B537" s="41"/>
      <c r="C537" s="23"/>
      <c r="D537" s="23"/>
      <c r="E537" s="25"/>
      <c r="F537" s="23"/>
      <c r="G537" s="27"/>
      <c r="H537" s="27"/>
      <c r="I537" s="28">
        <f t="shared" si="20"/>
        <v>0</v>
      </c>
      <c r="J537" s="29">
        <f t="shared" si="2"/>
        <v>0</v>
      </c>
      <c r="K537" s="30" t="str">
        <f t="shared" si="3"/>
        <v/>
      </c>
      <c r="L537" s="29">
        <f t="shared" si="4"/>
        <v>1</v>
      </c>
      <c r="M537" s="30">
        <f t="shared" si="5"/>
        <v>0</v>
      </c>
      <c r="N537" s="32">
        <f t="shared" si="6"/>
        <v>0</v>
      </c>
      <c r="O537" s="33" t="str">
        <f t="shared" si="7"/>
        <v>PAGADA</v>
      </c>
      <c r="P537" s="34">
        <f>LET(
  idVenta, I537&amp;"",
  montoTotal, M537,
  pagos, IFERROR(SUMIF(Aux_Datos!$B:$B, idVenta, Aux_Datos!$K:$K), 0),
  retenciones, IFERROR(SUMIF(Aux_Datos!$N:$N, idVenta, Aux_Datos!$R:$R), 0),
  pagos + retenciones
)</f>
        <v>0</v>
      </c>
      <c r="Q537" s="30" t="str">
        <f>IF(P537=0, "Sin Pago", 
  LET(
    idVenta, I537&amp;"",
    montoTotalPagado, P537,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37" s="30">
        <f t="shared" si="23"/>
        <v>0</v>
      </c>
      <c r="S537" s="29" t="str">
        <f>IF(P537=0, "Sin Pago", 
  IFERROR(
    MAXIFS(Aux_Datos!$A:$A, Aux_Datos!$B:$B, I537&amp;""), 
    IFERROR(MAXIFS(Aux_Datos!$A:$A, Aux_Datos!$B:$B, VALUE(I537)), "Revisar ID")
  )
)</f>
        <v>Sin Pago</v>
      </c>
      <c r="T537" s="35" t="str">
        <f t="shared" si="21"/>
        <v>PAGADA</v>
      </c>
      <c r="U537" s="35" t="str">
        <f t="shared" si="10"/>
        <v>SOLVENTE</v>
      </c>
      <c r="V537" s="32">
        <f t="shared" si="11"/>
        <v>0</v>
      </c>
      <c r="W537" s="36" t="str">
        <f>IF(P537=0, "Sin Pago", 
  LET(
    monedaPago, Q537, 
    descuentoAplicado, G537,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37" s="36" t="str">
        <f t="shared" si="12"/>
        <v/>
      </c>
      <c r="Y537" s="36">
        <v>0.0</v>
      </c>
      <c r="Z537" s="33" t="s">
        <v>892</v>
      </c>
      <c r="AA537" s="33"/>
      <c r="AB537" s="33"/>
      <c r="AC537" s="33"/>
      <c r="AD537" s="33"/>
      <c r="AE537" s="33"/>
      <c r="AF537" s="33"/>
    </row>
    <row r="538" ht="22.5" customHeight="1">
      <c r="A538" s="23"/>
      <c r="B538" s="41"/>
      <c r="C538" s="23"/>
      <c r="D538" s="23"/>
      <c r="E538" s="25"/>
      <c r="F538" s="23"/>
      <c r="G538" s="27"/>
      <c r="H538" s="27"/>
      <c r="I538" s="28">
        <f t="shared" si="20"/>
        <v>0</v>
      </c>
      <c r="J538" s="29">
        <f t="shared" si="2"/>
        <v>0</v>
      </c>
      <c r="K538" s="30" t="str">
        <f t="shared" si="3"/>
        <v/>
      </c>
      <c r="L538" s="29">
        <f t="shared" si="4"/>
        <v>1</v>
      </c>
      <c r="M538" s="30">
        <f t="shared" si="5"/>
        <v>0</v>
      </c>
      <c r="N538" s="32">
        <f t="shared" si="6"/>
        <v>0</v>
      </c>
      <c r="O538" s="33" t="str">
        <f t="shared" si="7"/>
        <v>PAGADA</v>
      </c>
      <c r="P538" s="34">
        <f>LET(
  idVenta, I538&amp;"",
  montoTotal, M538,
  pagos, IFERROR(SUMIF(Aux_Datos!$B:$B, idVenta, Aux_Datos!$K:$K), 0),
  retenciones, IFERROR(SUMIF(Aux_Datos!$N:$N, idVenta, Aux_Datos!$R:$R), 0),
  pagos + retenciones
)</f>
        <v>0</v>
      </c>
      <c r="Q538" s="30" t="str">
        <f>IF(P538=0, "Sin Pago", 
  LET(
    idVenta, I538&amp;"",
    montoTotalPagado, P538,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38" s="30">
        <f t="shared" si="23"/>
        <v>0</v>
      </c>
      <c r="S538" s="29" t="str">
        <f>IF(P538=0, "Sin Pago", 
  IFERROR(
    MAXIFS(Aux_Datos!$A:$A, Aux_Datos!$B:$B, I538&amp;""), 
    IFERROR(MAXIFS(Aux_Datos!$A:$A, Aux_Datos!$B:$B, VALUE(I538)), "Revisar ID")
  )
)</f>
        <v>Sin Pago</v>
      </c>
      <c r="T538" s="35" t="str">
        <f t="shared" si="21"/>
        <v>PAGADA</v>
      </c>
      <c r="U538" s="35" t="str">
        <f t="shared" si="10"/>
        <v>SOLVENTE</v>
      </c>
      <c r="V538" s="32">
        <f t="shared" si="11"/>
        <v>0</v>
      </c>
      <c r="W538" s="36" t="str">
        <f>IF(P538=0, "Sin Pago", 
  LET(
    monedaPago, Q538, 
    descuentoAplicado, G538,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38" s="36" t="str">
        <f t="shared" si="12"/>
        <v/>
      </c>
      <c r="Y538" s="36">
        <v>0.0</v>
      </c>
      <c r="Z538" s="33" t="s">
        <v>892</v>
      </c>
      <c r="AA538" s="33"/>
      <c r="AB538" s="33"/>
      <c r="AC538" s="33"/>
      <c r="AD538" s="33"/>
      <c r="AE538" s="33"/>
      <c r="AF538" s="33"/>
    </row>
    <row r="539" ht="22.5" customHeight="1">
      <c r="A539" s="23"/>
      <c r="B539" s="41"/>
      <c r="C539" s="23"/>
      <c r="D539" s="23"/>
      <c r="E539" s="25"/>
      <c r="F539" s="23"/>
      <c r="G539" s="27"/>
      <c r="H539" s="27"/>
      <c r="I539" s="28">
        <f t="shared" si="20"/>
        <v>0</v>
      </c>
      <c r="J539" s="29">
        <f t="shared" si="2"/>
        <v>0</v>
      </c>
      <c r="K539" s="30" t="str">
        <f t="shared" si="3"/>
        <v/>
      </c>
      <c r="L539" s="29">
        <f t="shared" si="4"/>
        <v>1</v>
      </c>
      <c r="M539" s="30">
        <f t="shared" si="5"/>
        <v>0</v>
      </c>
      <c r="N539" s="32">
        <f t="shared" si="6"/>
        <v>0</v>
      </c>
      <c r="O539" s="33" t="str">
        <f t="shared" si="7"/>
        <v>PAGADA</v>
      </c>
      <c r="P539" s="34">
        <f>LET(
  idVenta, I539&amp;"",
  montoTotal, M539,
  pagos, IFERROR(SUMIF(Aux_Datos!$B:$B, idVenta, Aux_Datos!$K:$K), 0),
  retenciones, IFERROR(SUMIF(Aux_Datos!$N:$N, idVenta, Aux_Datos!$R:$R), 0),
  pagos + retenciones
)</f>
        <v>0</v>
      </c>
      <c r="Q539" s="30" t="str">
        <f>IF(P539=0, "Sin Pago", 
  LET(
    idVenta, I539&amp;"",
    montoTotalPagado, P539,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39" s="30">
        <f t="shared" si="23"/>
        <v>0</v>
      </c>
      <c r="S539" s="29" t="str">
        <f>IF(P539=0, "Sin Pago", 
  IFERROR(
    MAXIFS(Aux_Datos!$A:$A, Aux_Datos!$B:$B, I539&amp;""), 
    IFERROR(MAXIFS(Aux_Datos!$A:$A, Aux_Datos!$B:$B, VALUE(I539)), "Revisar ID")
  )
)</f>
        <v>Sin Pago</v>
      </c>
      <c r="T539" s="35" t="str">
        <f t="shared" si="21"/>
        <v>PAGADA</v>
      </c>
      <c r="U539" s="35" t="str">
        <f t="shared" si="10"/>
        <v>SOLVENTE</v>
      </c>
      <c r="V539" s="32">
        <f t="shared" si="11"/>
        <v>0</v>
      </c>
      <c r="W539" s="36" t="str">
        <f>IF(P539=0, "Sin Pago", 
  LET(
    monedaPago, Q539, 
    descuentoAplicado, G539,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39" s="36" t="str">
        <f t="shared" si="12"/>
        <v/>
      </c>
      <c r="Y539" s="36">
        <v>0.0</v>
      </c>
      <c r="Z539" s="33" t="s">
        <v>892</v>
      </c>
      <c r="AA539" s="33"/>
      <c r="AB539" s="33"/>
      <c r="AC539" s="33"/>
      <c r="AD539" s="33"/>
      <c r="AE539" s="33"/>
      <c r="AF539" s="33"/>
    </row>
    <row r="540" ht="22.5" customHeight="1">
      <c r="A540" s="23"/>
      <c r="B540" s="41"/>
      <c r="C540" s="23"/>
      <c r="D540" s="23"/>
      <c r="E540" s="25"/>
      <c r="F540" s="23"/>
      <c r="G540" s="27"/>
      <c r="H540" s="27"/>
      <c r="I540" s="28">
        <f t="shared" si="20"/>
        <v>0</v>
      </c>
      <c r="J540" s="29">
        <f t="shared" si="2"/>
        <v>0</v>
      </c>
      <c r="K540" s="30" t="str">
        <f t="shared" si="3"/>
        <v/>
      </c>
      <c r="L540" s="29">
        <f t="shared" si="4"/>
        <v>1</v>
      </c>
      <c r="M540" s="30">
        <f t="shared" si="5"/>
        <v>0</v>
      </c>
      <c r="N540" s="32">
        <f t="shared" si="6"/>
        <v>0</v>
      </c>
      <c r="O540" s="33" t="str">
        <f t="shared" si="7"/>
        <v>PAGADA</v>
      </c>
      <c r="P540" s="34">
        <f>LET(
  idVenta, I540&amp;"",
  montoTotal, M540,
  pagos, IFERROR(SUMIF(Aux_Datos!$B:$B, idVenta, Aux_Datos!$K:$K), 0),
  retenciones, IFERROR(SUMIF(Aux_Datos!$N:$N, idVenta, Aux_Datos!$R:$R), 0),
  pagos + retenciones
)</f>
        <v>0</v>
      </c>
      <c r="Q540" s="30" t="str">
        <f>IF(P540=0, "Sin Pago", 
  LET(
    idVenta, I540&amp;"",
    montoTotalPagado, P540,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40" s="30">
        <f t="shared" si="23"/>
        <v>0</v>
      </c>
      <c r="S540" s="29" t="str">
        <f>IF(P540=0, "Sin Pago", 
  IFERROR(
    MAXIFS(Aux_Datos!$A:$A, Aux_Datos!$B:$B, I540&amp;""), 
    IFERROR(MAXIFS(Aux_Datos!$A:$A, Aux_Datos!$B:$B, VALUE(I540)), "Revisar ID")
  )
)</f>
        <v>Sin Pago</v>
      </c>
      <c r="T540" s="35" t="str">
        <f t="shared" si="21"/>
        <v>PAGADA</v>
      </c>
      <c r="U540" s="35" t="str">
        <f t="shared" si="10"/>
        <v>SOLVENTE</v>
      </c>
      <c r="V540" s="32">
        <f t="shared" si="11"/>
        <v>0</v>
      </c>
      <c r="W540" s="36" t="str">
        <f>IF(P540=0, "Sin Pago", 
  LET(
    monedaPago, Q540, 
    descuentoAplicado, G540,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40" s="36" t="str">
        <f t="shared" si="12"/>
        <v/>
      </c>
      <c r="Y540" s="36">
        <v>0.0</v>
      </c>
      <c r="Z540" s="33" t="s">
        <v>892</v>
      </c>
      <c r="AA540" s="33"/>
      <c r="AB540" s="33"/>
      <c r="AC540" s="33"/>
      <c r="AD540" s="33"/>
      <c r="AE540" s="33"/>
      <c r="AF540" s="33"/>
    </row>
    <row r="541" ht="22.5" customHeight="1">
      <c r="A541" s="23"/>
      <c r="B541" s="41"/>
      <c r="C541" s="23"/>
      <c r="D541" s="23"/>
      <c r="E541" s="25"/>
      <c r="F541" s="23"/>
      <c r="G541" s="27"/>
      <c r="H541" s="27"/>
      <c r="I541" s="28">
        <f t="shared" si="20"/>
        <v>0</v>
      </c>
      <c r="J541" s="29">
        <f t="shared" si="2"/>
        <v>0</v>
      </c>
      <c r="K541" s="30" t="str">
        <f t="shared" si="3"/>
        <v/>
      </c>
      <c r="L541" s="29">
        <f t="shared" si="4"/>
        <v>1</v>
      </c>
      <c r="M541" s="30">
        <f t="shared" si="5"/>
        <v>0</v>
      </c>
      <c r="N541" s="32">
        <f t="shared" si="6"/>
        <v>0</v>
      </c>
      <c r="O541" s="33" t="str">
        <f t="shared" si="7"/>
        <v>PAGADA</v>
      </c>
      <c r="P541" s="34">
        <f>LET(
  idVenta, I541&amp;"",
  montoTotal, M541,
  pagos, IFERROR(SUMIF(Aux_Datos!$B:$B, idVenta, Aux_Datos!$K:$K), 0),
  retenciones, IFERROR(SUMIF(Aux_Datos!$N:$N, idVenta, Aux_Datos!$R:$R), 0),
  pagos + retenciones
)</f>
        <v>0</v>
      </c>
      <c r="Q541" s="30" t="str">
        <f>IF(P541=0, "Sin Pago", 
  LET(
    idVenta, I541&amp;"",
    montoTotalPagado, P541,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41" s="30">
        <f t="shared" si="23"/>
        <v>0</v>
      </c>
      <c r="S541" s="29" t="str">
        <f>IF(P541=0, "Sin Pago", 
  IFERROR(
    MAXIFS(Aux_Datos!$A:$A, Aux_Datos!$B:$B, I541&amp;""), 
    IFERROR(MAXIFS(Aux_Datos!$A:$A, Aux_Datos!$B:$B, VALUE(I541)), "Revisar ID")
  )
)</f>
        <v>Sin Pago</v>
      </c>
      <c r="T541" s="35" t="str">
        <f t="shared" si="21"/>
        <v>PAGADA</v>
      </c>
      <c r="U541" s="35" t="str">
        <f t="shared" si="10"/>
        <v>SOLVENTE</v>
      </c>
      <c r="V541" s="32">
        <f t="shared" si="11"/>
        <v>0</v>
      </c>
      <c r="W541" s="36" t="str">
        <f>IF(P541=0, "Sin Pago", 
  LET(
    monedaPago, Q541, 
    descuentoAplicado, G541,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41" s="36" t="str">
        <f t="shared" si="12"/>
        <v/>
      </c>
      <c r="Y541" s="36">
        <v>0.0</v>
      </c>
      <c r="Z541" s="33" t="s">
        <v>892</v>
      </c>
      <c r="AA541" s="33"/>
      <c r="AB541" s="33"/>
      <c r="AC541" s="33"/>
      <c r="AD541" s="33"/>
      <c r="AE541" s="33"/>
      <c r="AF541" s="33"/>
    </row>
    <row r="542" ht="22.5" customHeight="1">
      <c r="A542" s="23"/>
      <c r="B542" s="41"/>
      <c r="C542" s="23"/>
      <c r="D542" s="23"/>
      <c r="E542" s="25"/>
      <c r="F542" s="23"/>
      <c r="G542" s="27"/>
      <c r="H542" s="27"/>
      <c r="I542" s="28">
        <f t="shared" si="20"/>
        <v>0</v>
      </c>
      <c r="J542" s="29">
        <f t="shared" si="2"/>
        <v>0</v>
      </c>
      <c r="K542" s="30" t="str">
        <f t="shared" si="3"/>
        <v/>
      </c>
      <c r="L542" s="29">
        <f t="shared" si="4"/>
        <v>1</v>
      </c>
      <c r="M542" s="30">
        <f t="shared" si="5"/>
        <v>0</v>
      </c>
      <c r="N542" s="32">
        <f t="shared" si="6"/>
        <v>0</v>
      </c>
      <c r="O542" s="33" t="str">
        <f t="shared" si="7"/>
        <v>PAGADA</v>
      </c>
      <c r="P542" s="34">
        <f>LET(
  idVenta, I542&amp;"",
  montoTotal, M542,
  pagos, IFERROR(SUMIF(Aux_Datos!$B:$B, idVenta, Aux_Datos!$K:$K), 0),
  retenciones, IFERROR(SUMIF(Aux_Datos!$N:$N, idVenta, Aux_Datos!$R:$R), 0),
  pagos + retenciones
)</f>
        <v>0</v>
      </c>
      <c r="Q542" s="30" t="str">
        <f>IF(P542=0, "Sin Pago", 
  LET(
    idVenta, I542&amp;"",
    montoTotalPagado, P542,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42" s="30">
        <f t="shared" si="23"/>
        <v>0</v>
      </c>
      <c r="S542" s="29" t="str">
        <f>IF(P542=0, "Sin Pago", 
  IFERROR(
    MAXIFS(Aux_Datos!$A:$A, Aux_Datos!$B:$B, I542&amp;""), 
    IFERROR(MAXIFS(Aux_Datos!$A:$A, Aux_Datos!$B:$B, VALUE(I542)), "Revisar ID")
  )
)</f>
        <v>Sin Pago</v>
      </c>
      <c r="T542" s="35" t="str">
        <f t="shared" si="21"/>
        <v>PAGADA</v>
      </c>
      <c r="U542" s="35" t="str">
        <f t="shared" si="10"/>
        <v>SOLVENTE</v>
      </c>
      <c r="V542" s="32">
        <f t="shared" si="11"/>
        <v>0</v>
      </c>
      <c r="W542" s="36" t="str">
        <f>IF(P542=0, "Sin Pago", 
  LET(
    monedaPago, Q542, 
    descuentoAplicado, G542,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42" s="36" t="str">
        <f t="shared" si="12"/>
        <v/>
      </c>
      <c r="Y542" s="36">
        <v>0.0</v>
      </c>
      <c r="Z542" s="33" t="s">
        <v>892</v>
      </c>
      <c r="AA542" s="33"/>
      <c r="AB542" s="33"/>
      <c r="AC542" s="33"/>
      <c r="AD542" s="33"/>
      <c r="AE542" s="33"/>
      <c r="AF542" s="33"/>
    </row>
    <row r="543" ht="22.5" customHeight="1">
      <c r="A543" s="23"/>
      <c r="B543" s="41"/>
      <c r="C543" s="23"/>
      <c r="D543" s="23"/>
      <c r="E543" s="25"/>
      <c r="F543" s="23"/>
      <c r="G543" s="27"/>
      <c r="H543" s="27"/>
      <c r="I543" s="28">
        <f t="shared" si="20"/>
        <v>0</v>
      </c>
      <c r="J543" s="29">
        <f t="shared" si="2"/>
        <v>0</v>
      </c>
      <c r="K543" s="30" t="str">
        <f t="shared" si="3"/>
        <v/>
      </c>
      <c r="L543" s="29">
        <f t="shared" si="4"/>
        <v>1</v>
      </c>
      <c r="M543" s="30">
        <f t="shared" si="5"/>
        <v>0</v>
      </c>
      <c r="N543" s="32">
        <f t="shared" si="6"/>
        <v>0</v>
      </c>
      <c r="O543" s="33" t="str">
        <f t="shared" si="7"/>
        <v>PAGADA</v>
      </c>
      <c r="P543" s="34">
        <f>LET(
  idVenta, I543&amp;"",
  montoTotal, M543,
  pagos, IFERROR(SUMIF(Aux_Datos!$B:$B, idVenta, Aux_Datos!$K:$K), 0),
  retenciones, IFERROR(SUMIF(Aux_Datos!$N:$N, idVenta, Aux_Datos!$R:$R), 0),
  pagos + retenciones
)</f>
        <v>0</v>
      </c>
      <c r="Q543" s="30" t="str">
        <f>IF(P543=0, "Sin Pago", 
  LET(
    idVenta, I543&amp;"",
    montoTotalPagado, P543,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43" s="30">
        <f t="shared" si="23"/>
        <v>0</v>
      </c>
      <c r="S543" s="29" t="str">
        <f>IF(P543=0, "Sin Pago", 
  IFERROR(
    MAXIFS(Aux_Datos!$A:$A, Aux_Datos!$B:$B, I543&amp;""), 
    IFERROR(MAXIFS(Aux_Datos!$A:$A, Aux_Datos!$B:$B, VALUE(I543)), "Revisar ID")
  )
)</f>
        <v>Sin Pago</v>
      </c>
      <c r="T543" s="35" t="str">
        <f t="shared" si="21"/>
        <v>PAGADA</v>
      </c>
      <c r="U543" s="35" t="str">
        <f t="shared" si="10"/>
        <v>SOLVENTE</v>
      </c>
      <c r="V543" s="32">
        <f t="shared" si="11"/>
        <v>0</v>
      </c>
      <c r="W543" s="36" t="str">
        <f>IF(P543=0, "Sin Pago", 
  LET(
    monedaPago, Q543, 
    descuentoAplicado, G543,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43" s="36" t="str">
        <f t="shared" si="12"/>
        <v/>
      </c>
      <c r="Y543" s="36">
        <v>0.0</v>
      </c>
      <c r="Z543" s="33" t="s">
        <v>892</v>
      </c>
      <c r="AA543" s="33"/>
      <c r="AB543" s="33"/>
      <c r="AC543" s="33"/>
      <c r="AD543" s="33"/>
      <c r="AE543" s="33"/>
      <c r="AF543" s="33"/>
    </row>
    <row r="544" ht="22.5" customHeight="1">
      <c r="A544" s="23"/>
      <c r="B544" s="41"/>
      <c r="C544" s="23"/>
      <c r="D544" s="23"/>
      <c r="E544" s="25"/>
      <c r="F544" s="23"/>
      <c r="G544" s="27"/>
      <c r="H544" s="27"/>
      <c r="I544" s="28">
        <f t="shared" si="20"/>
        <v>0</v>
      </c>
      <c r="J544" s="29">
        <f t="shared" si="2"/>
        <v>0</v>
      </c>
      <c r="K544" s="30" t="str">
        <f t="shared" si="3"/>
        <v/>
      </c>
      <c r="L544" s="29">
        <f t="shared" si="4"/>
        <v>1</v>
      </c>
      <c r="M544" s="30">
        <f t="shared" si="5"/>
        <v>0</v>
      </c>
      <c r="N544" s="32">
        <f t="shared" si="6"/>
        <v>0</v>
      </c>
      <c r="O544" s="33" t="str">
        <f t="shared" si="7"/>
        <v>PAGADA</v>
      </c>
      <c r="P544" s="34">
        <f>LET(
  idVenta, I544&amp;"",
  montoTotal, M544,
  pagos, IFERROR(SUMIF(Aux_Datos!$B:$B, idVenta, Aux_Datos!$K:$K), 0),
  retenciones, IFERROR(SUMIF(Aux_Datos!$N:$N, idVenta, Aux_Datos!$R:$R), 0),
  pagos + retenciones
)</f>
        <v>0</v>
      </c>
      <c r="Q544" s="30" t="str">
        <f>IF(P544=0, "Sin Pago", 
  LET(
    idVenta, I544&amp;"",
    montoTotalPagado, P544,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44" s="30">
        <f t="shared" si="23"/>
        <v>0</v>
      </c>
      <c r="S544" s="29" t="str">
        <f>IF(P544=0, "Sin Pago", 
  IFERROR(
    MAXIFS(Aux_Datos!$A:$A, Aux_Datos!$B:$B, I544&amp;""), 
    IFERROR(MAXIFS(Aux_Datos!$A:$A, Aux_Datos!$B:$B, VALUE(I544)), "Revisar ID")
  )
)</f>
        <v>Sin Pago</v>
      </c>
      <c r="T544" s="35" t="str">
        <f t="shared" si="21"/>
        <v>PAGADA</v>
      </c>
      <c r="U544" s="35" t="str">
        <f t="shared" si="10"/>
        <v>SOLVENTE</v>
      </c>
      <c r="V544" s="32">
        <f t="shared" si="11"/>
        <v>0</v>
      </c>
      <c r="W544" s="36" t="str">
        <f>IF(P544=0, "Sin Pago", 
  LET(
    monedaPago, Q544, 
    descuentoAplicado, G544,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44" s="36" t="str">
        <f t="shared" si="12"/>
        <v/>
      </c>
      <c r="Y544" s="36">
        <v>0.0</v>
      </c>
      <c r="Z544" s="33" t="s">
        <v>892</v>
      </c>
      <c r="AA544" s="33"/>
      <c r="AB544" s="33"/>
      <c r="AC544" s="33"/>
      <c r="AD544" s="33"/>
      <c r="AE544" s="33"/>
      <c r="AF544" s="33"/>
    </row>
    <row r="545" ht="22.5" customHeight="1">
      <c r="A545" s="23"/>
      <c r="B545" s="41"/>
      <c r="C545" s="23"/>
      <c r="D545" s="23"/>
      <c r="E545" s="25"/>
      <c r="F545" s="23"/>
      <c r="G545" s="27"/>
      <c r="H545" s="27"/>
      <c r="I545" s="28">
        <f t="shared" si="20"/>
        <v>0</v>
      </c>
      <c r="J545" s="29">
        <f t="shared" si="2"/>
        <v>0</v>
      </c>
      <c r="K545" s="30" t="str">
        <f t="shared" si="3"/>
        <v/>
      </c>
      <c r="L545" s="29">
        <f t="shared" si="4"/>
        <v>1</v>
      </c>
      <c r="M545" s="30">
        <f t="shared" si="5"/>
        <v>0</v>
      </c>
      <c r="N545" s="32">
        <f t="shared" si="6"/>
        <v>0</v>
      </c>
      <c r="O545" s="33" t="str">
        <f t="shared" si="7"/>
        <v>PAGADA</v>
      </c>
      <c r="P545" s="34">
        <f>LET(
  idVenta, I545&amp;"",
  montoTotal, M545,
  pagos, IFERROR(SUMIF(Aux_Datos!$B:$B, idVenta, Aux_Datos!$K:$K), 0),
  retenciones, IFERROR(SUMIF(Aux_Datos!$N:$N, idVenta, Aux_Datos!$R:$R), 0),
  pagos + retenciones
)</f>
        <v>0</v>
      </c>
      <c r="Q545" s="30" t="str">
        <f>IF(P545=0, "Sin Pago", 
  LET(
    idVenta, I545&amp;"",
    montoTotalPagado, P545,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45" s="30">
        <f t="shared" si="23"/>
        <v>0</v>
      </c>
      <c r="S545" s="29" t="str">
        <f>IF(P545=0, "Sin Pago", 
  IFERROR(
    MAXIFS(Aux_Datos!$A:$A, Aux_Datos!$B:$B, I545&amp;""), 
    IFERROR(MAXIFS(Aux_Datos!$A:$A, Aux_Datos!$B:$B, VALUE(I545)), "Revisar ID")
  )
)</f>
        <v>Sin Pago</v>
      </c>
      <c r="T545" s="35" t="str">
        <f t="shared" si="21"/>
        <v>PAGADA</v>
      </c>
      <c r="U545" s="35" t="str">
        <f t="shared" si="10"/>
        <v>SOLVENTE</v>
      </c>
      <c r="V545" s="32">
        <f t="shared" si="11"/>
        <v>0</v>
      </c>
      <c r="W545" s="36" t="str">
        <f>IF(P545=0, "Sin Pago", 
  LET(
    monedaPago, Q545, 
    descuentoAplicado, G545,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45" s="36" t="str">
        <f t="shared" si="12"/>
        <v/>
      </c>
      <c r="Y545" s="36">
        <v>0.0</v>
      </c>
      <c r="Z545" s="33" t="s">
        <v>892</v>
      </c>
      <c r="AA545" s="33"/>
      <c r="AB545" s="33"/>
      <c r="AC545" s="33"/>
      <c r="AD545" s="33"/>
      <c r="AE545" s="33"/>
      <c r="AF545" s="33"/>
    </row>
    <row r="546" ht="22.5" customHeight="1">
      <c r="A546" s="23"/>
      <c r="B546" s="41"/>
      <c r="C546" s="23"/>
      <c r="D546" s="23"/>
      <c r="E546" s="25"/>
      <c r="F546" s="23"/>
      <c r="G546" s="27"/>
      <c r="H546" s="27"/>
      <c r="I546" s="28">
        <f t="shared" si="20"/>
        <v>0</v>
      </c>
      <c r="J546" s="29">
        <f t="shared" si="2"/>
        <v>0</v>
      </c>
      <c r="K546" s="30" t="str">
        <f t="shared" si="3"/>
        <v/>
      </c>
      <c r="L546" s="29">
        <f t="shared" si="4"/>
        <v>1</v>
      </c>
      <c r="M546" s="30">
        <f t="shared" si="5"/>
        <v>0</v>
      </c>
      <c r="N546" s="32">
        <f t="shared" si="6"/>
        <v>0</v>
      </c>
      <c r="O546" s="33" t="str">
        <f t="shared" si="7"/>
        <v>PAGADA</v>
      </c>
      <c r="P546" s="34">
        <f>LET(
  idVenta, I546&amp;"",
  montoTotal, M546,
  pagos, IFERROR(SUMIF(Aux_Datos!$B:$B, idVenta, Aux_Datos!$K:$K), 0),
  retenciones, IFERROR(SUMIF(Aux_Datos!$N:$N, idVenta, Aux_Datos!$R:$R), 0),
  pagos + retenciones
)</f>
        <v>0</v>
      </c>
      <c r="Q546" s="30" t="str">
        <f>IF(P546=0, "Sin Pago", 
  LET(
    idVenta, I546&amp;"",
    montoTotalPagado, P546,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46" s="30">
        <f t="shared" si="23"/>
        <v>0</v>
      </c>
      <c r="S546" s="29" t="str">
        <f>IF(P546=0, "Sin Pago", 
  IFERROR(
    MAXIFS(Aux_Datos!$A:$A, Aux_Datos!$B:$B, I546&amp;""), 
    IFERROR(MAXIFS(Aux_Datos!$A:$A, Aux_Datos!$B:$B, VALUE(I546)), "Revisar ID")
  )
)</f>
        <v>Sin Pago</v>
      </c>
      <c r="T546" s="35" t="str">
        <f t="shared" si="21"/>
        <v>PAGADA</v>
      </c>
      <c r="U546" s="35" t="str">
        <f t="shared" si="10"/>
        <v>SOLVENTE</v>
      </c>
      <c r="V546" s="32">
        <f t="shared" si="11"/>
        <v>0</v>
      </c>
      <c r="W546" s="36" t="str">
        <f>IF(P546=0, "Sin Pago", 
  LET(
    monedaPago, Q546, 
    descuentoAplicado, G546,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46" s="36" t="str">
        <f t="shared" si="12"/>
        <v/>
      </c>
      <c r="Y546" s="36">
        <v>0.0</v>
      </c>
      <c r="Z546" s="33" t="s">
        <v>892</v>
      </c>
      <c r="AA546" s="33"/>
      <c r="AB546" s="33"/>
      <c r="AC546" s="33"/>
      <c r="AD546" s="33"/>
      <c r="AE546" s="33"/>
      <c r="AF546" s="33"/>
    </row>
    <row r="547" ht="22.5" customHeight="1">
      <c r="A547" s="23"/>
      <c r="B547" s="41"/>
      <c r="C547" s="23"/>
      <c r="D547" s="23"/>
      <c r="E547" s="25"/>
      <c r="F547" s="23"/>
      <c r="G547" s="27"/>
      <c r="H547" s="27"/>
      <c r="I547" s="28">
        <f t="shared" si="20"/>
        <v>0</v>
      </c>
      <c r="J547" s="29">
        <f t="shared" si="2"/>
        <v>0</v>
      </c>
      <c r="K547" s="30" t="str">
        <f t="shared" si="3"/>
        <v/>
      </c>
      <c r="L547" s="29">
        <f t="shared" si="4"/>
        <v>1</v>
      </c>
      <c r="M547" s="30">
        <f t="shared" si="5"/>
        <v>0</v>
      </c>
      <c r="N547" s="32">
        <f t="shared" si="6"/>
        <v>0</v>
      </c>
      <c r="O547" s="33" t="str">
        <f t="shared" si="7"/>
        <v>PAGADA</v>
      </c>
      <c r="P547" s="34">
        <f>LET(
  idVenta, I547&amp;"",
  montoTotal, M547,
  pagos, IFERROR(SUMIF(Aux_Datos!$B:$B, idVenta, Aux_Datos!$K:$K), 0),
  retenciones, IFERROR(SUMIF(Aux_Datos!$N:$N, idVenta, Aux_Datos!$R:$R), 0),
  pagos + retenciones
)</f>
        <v>0</v>
      </c>
      <c r="Q547" s="30" t="str">
        <f>IF(P547=0, "Sin Pago", 
  LET(
    idVenta, I547&amp;"",
    montoTotalPagado, P547,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47" s="30">
        <f t="shared" si="23"/>
        <v>0</v>
      </c>
      <c r="S547" s="29" t="str">
        <f>IF(P547=0, "Sin Pago", 
  IFERROR(
    MAXIFS(Aux_Datos!$A:$A, Aux_Datos!$B:$B, I547&amp;""), 
    IFERROR(MAXIFS(Aux_Datos!$A:$A, Aux_Datos!$B:$B, VALUE(I547)), "Revisar ID")
  )
)</f>
        <v>Sin Pago</v>
      </c>
      <c r="T547" s="35" t="str">
        <f t="shared" si="21"/>
        <v>PAGADA</v>
      </c>
      <c r="U547" s="35" t="str">
        <f t="shared" si="10"/>
        <v>SOLVENTE</v>
      </c>
      <c r="V547" s="32">
        <f t="shared" si="11"/>
        <v>0</v>
      </c>
      <c r="W547" s="36" t="str">
        <f>IF(P547=0, "Sin Pago", 
  LET(
    monedaPago, Q547, 
    descuentoAplicado, G547,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47" s="36" t="str">
        <f t="shared" si="12"/>
        <v/>
      </c>
      <c r="Y547" s="36">
        <v>0.0</v>
      </c>
      <c r="Z547" s="33" t="s">
        <v>892</v>
      </c>
      <c r="AA547" s="33"/>
      <c r="AB547" s="33"/>
      <c r="AC547" s="33"/>
      <c r="AD547" s="33"/>
      <c r="AE547" s="33"/>
      <c r="AF547" s="33"/>
    </row>
    <row r="548" ht="22.5" customHeight="1">
      <c r="A548" s="23"/>
      <c r="B548" s="41"/>
      <c r="C548" s="23"/>
      <c r="D548" s="23"/>
      <c r="E548" s="25"/>
      <c r="F548" s="23"/>
      <c r="G548" s="27"/>
      <c r="H548" s="27"/>
      <c r="I548" s="28">
        <f t="shared" si="20"/>
        <v>0</v>
      </c>
      <c r="J548" s="29">
        <f t="shared" si="2"/>
        <v>0</v>
      </c>
      <c r="K548" s="30" t="str">
        <f t="shared" si="3"/>
        <v/>
      </c>
      <c r="L548" s="29">
        <f t="shared" si="4"/>
        <v>1</v>
      </c>
      <c r="M548" s="30">
        <f t="shared" si="5"/>
        <v>0</v>
      </c>
      <c r="N548" s="32">
        <f t="shared" si="6"/>
        <v>0</v>
      </c>
      <c r="O548" s="33" t="str">
        <f t="shared" si="7"/>
        <v>PAGADA</v>
      </c>
      <c r="P548" s="34">
        <f>LET(
  idVenta, I548&amp;"",
  montoTotal, M548,
  pagos, IFERROR(SUMIF(Aux_Datos!$B:$B, idVenta, Aux_Datos!$K:$K), 0),
  retenciones, IFERROR(SUMIF(Aux_Datos!$N:$N, idVenta, Aux_Datos!$R:$R), 0),
  pagos + retenciones
)</f>
        <v>0</v>
      </c>
      <c r="Q548" s="30" t="str">
        <f>IF(P548=0, "Sin Pago", 
  LET(
    idVenta, I548&amp;"",
    montoTotalPagado, P548,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48" s="30">
        <f t="shared" si="23"/>
        <v>0</v>
      </c>
      <c r="S548" s="29" t="str">
        <f>IF(P548=0, "Sin Pago", 
  IFERROR(
    MAXIFS(Aux_Datos!$A:$A, Aux_Datos!$B:$B, I548&amp;""), 
    IFERROR(MAXIFS(Aux_Datos!$A:$A, Aux_Datos!$B:$B, VALUE(I548)), "Revisar ID")
  )
)</f>
        <v>Sin Pago</v>
      </c>
      <c r="T548" s="35" t="str">
        <f t="shared" si="21"/>
        <v>PAGADA</v>
      </c>
      <c r="U548" s="35" t="str">
        <f t="shared" si="10"/>
        <v>SOLVENTE</v>
      </c>
      <c r="V548" s="32">
        <f t="shared" si="11"/>
        <v>0</v>
      </c>
      <c r="W548" s="36" t="str">
        <f>IF(P548=0, "Sin Pago", 
  LET(
    monedaPago, Q548, 
    descuentoAplicado, G548,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48" s="36" t="str">
        <f t="shared" si="12"/>
        <v/>
      </c>
      <c r="Y548" s="36">
        <v>0.0</v>
      </c>
      <c r="Z548" s="33" t="s">
        <v>892</v>
      </c>
      <c r="AA548" s="33"/>
      <c r="AB548" s="33"/>
      <c r="AC548" s="33"/>
      <c r="AD548" s="33"/>
      <c r="AE548" s="33"/>
      <c r="AF548" s="33"/>
    </row>
    <row r="549" ht="22.5" customHeight="1">
      <c r="A549" s="23"/>
      <c r="B549" s="41"/>
      <c r="C549" s="23"/>
      <c r="D549" s="23"/>
      <c r="E549" s="25"/>
      <c r="F549" s="23"/>
      <c r="G549" s="27"/>
      <c r="H549" s="27"/>
      <c r="I549" s="28">
        <f t="shared" si="20"/>
        <v>0</v>
      </c>
      <c r="J549" s="29">
        <f t="shared" si="2"/>
        <v>0</v>
      </c>
      <c r="K549" s="30" t="str">
        <f t="shared" si="3"/>
        <v/>
      </c>
      <c r="L549" s="29">
        <f t="shared" si="4"/>
        <v>1</v>
      </c>
      <c r="M549" s="30">
        <f t="shared" si="5"/>
        <v>0</v>
      </c>
      <c r="N549" s="32">
        <f t="shared" si="6"/>
        <v>0</v>
      </c>
      <c r="O549" s="33" t="str">
        <f t="shared" si="7"/>
        <v>PAGADA</v>
      </c>
      <c r="P549" s="34">
        <f>LET(
  idVenta, I549&amp;"",
  montoTotal, M549,
  pagos, IFERROR(SUMIF(Aux_Datos!$B:$B, idVenta, Aux_Datos!$K:$K), 0),
  retenciones, IFERROR(SUMIF(Aux_Datos!$N:$N, idVenta, Aux_Datos!$R:$R), 0),
  pagos + retenciones
)</f>
        <v>0</v>
      </c>
      <c r="Q549" s="30" t="str">
        <f>IF(P549=0, "Sin Pago", 
  LET(
    idVenta, I549&amp;"",
    montoTotalPagado, P549,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49" s="30">
        <f t="shared" si="23"/>
        <v>0</v>
      </c>
      <c r="S549" s="29" t="str">
        <f>IF(P549=0, "Sin Pago", 
  IFERROR(
    MAXIFS(Aux_Datos!$A:$A, Aux_Datos!$B:$B, I549&amp;""), 
    IFERROR(MAXIFS(Aux_Datos!$A:$A, Aux_Datos!$B:$B, VALUE(I549)), "Revisar ID")
  )
)</f>
        <v>Sin Pago</v>
      </c>
      <c r="T549" s="35" t="str">
        <f t="shared" si="21"/>
        <v>PAGADA</v>
      </c>
      <c r="U549" s="35" t="str">
        <f t="shared" si="10"/>
        <v>SOLVENTE</v>
      </c>
      <c r="V549" s="32">
        <f t="shared" si="11"/>
        <v>0</v>
      </c>
      <c r="W549" s="36" t="str">
        <f>IF(P549=0, "Sin Pago", 
  LET(
    monedaPago, Q549, 
    descuentoAplicado, G549,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49" s="36" t="str">
        <f t="shared" si="12"/>
        <v/>
      </c>
      <c r="Y549" s="36">
        <v>0.0</v>
      </c>
      <c r="Z549" s="33" t="s">
        <v>892</v>
      </c>
      <c r="AA549" s="33"/>
      <c r="AB549" s="33"/>
      <c r="AC549" s="33"/>
      <c r="AD549" s="33"/>
      <c r="AE549" s="33"/>
      <c r="AF549" s="33"/>
    </row>
    <row r="550" ht="22.5" customHeight="1">
      <c r="A550" s="23"/>
      <c r="B550" s="41"/>
      <c r="C550" s="23"/>
      <c r="D550" s="23"/>
      <c r="E550" s="25"/>
      <c r="F550" s="23"/>
      <c r="G550" s="27"/>
      <c r="H550" s="27"/>
      <c r="I550" s="28">
        <f t="shared" si="20"/>
        <v>0</v>
      </c>
      <c r="J550" s="29">
        <f t="shared" si="2"/>
        <v>0</v>
      </c>
      <c r="K550" s="30" t="str">
        <f t="shared" si="3"/>
        <v/>
      </c>
      <c r="L550" s="29">
        <f t="shared" si="4"/>
        <v>1</v>
      </c>
      <c r="M550" s="30">
        <f t="shared" si="5"/>
        <v>0</v>
      </c>
      <c r="N550" s="32">
        <f t="shared" si="6"/>
        <v>0</v>
      </c>
      <c r="O550" s="33" t="str">
        <f t="shared" si="7"/>
        <v>PAGADA</v>
      </c>
      <c r="P550" s="34">
        <f>LET(
  idVenta, I550&amp;"",
  montoTotal, M550,
  pagos, IFERROR(SUMIF(Aux_Datos!$B:$B, idVenta, Aux_Datos!$K:$K), 0),
  retenciones, IFERROR(SUMIF(Aux_Datos!$N:$N, idVenta, Aux_Datos!$R:$R), 0),
  pagos + retenciones
)</f>
        <v>0</v>
      </c>
      <c r="Q550" s="30" t="str">
        <f>IF(P550=0, "Sin Pago", 
  LET(
    idVenta, I550&amp;"",
    montoTotalPagado, P550,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50" s="30">
        <f t="shared" si="23"/>
        <v>0</v>
      </c>
      <c r="S550" s="29" t="str">
        <f>IF(P550=0, "Sin Pago", 
  IFERROR(
    MAXIFS(Aux_Datos!$A:$A, Aux_Datos!$B:$B, I550&amp;""), 
    IFERROR(MAXIFS(Aux_Datos!$A:$A, Aux_Datos!$B:$B, VALUE(I550)), "Revisar ID")
  )
)</f>
        <v>Sin Pago</v>
      </c>
      <c r="T550" s="35" t="str">
        <f t="shared" si="21"/>
        <v>PAGADA</v>
      </c>
      <c r="U550" s="35" t="str">
        <f t="shared" si="10"/>
        <v>SOLVENTE</v>
      </c>
      <c r="V550" s="32">
        <f t="shared" si="11"/>
        <v>0</v>
      </c>
      <c r="W550" s="36" t="str">
        <f>IF(P550=0, "Sin Pago", 
  LET(
    monedaPago, Q550, 
    descuentoAplicado, G550,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50" s="36" t="str">
        <f t="shared" si="12"/>
        <v/>
      </c>
      <c r="Y550" s="36">
        <v>0.0</v>
      </c>
      <c r="Z550" s="33" t="s">
        <v>892</v>
      </c>
      <c r="AA550" s="33"/>
      <c r="AB550" s="33"/>
      <c r="AC550" s="33"/>
      <c r="AD550" s="33"/>
      <c r="AE550" s="33"/>
      <c r="AF550" s="33"/>
    </row>
    <row r="551" ht="22.5" customHeight="1">
      <c r="A551" s="23"/>
      <c r="B551" s="41"/>
      <c r="C551" s="23"/>
      <c r="D551" s="23"/>
      <c r="E551" s="25"/>
      <c r="F551" s="23"/>
      <c r="G551" s="27"/>
      <c r="H551" s="27"/>
      <c r="I551" s="28">
        <f t="shared" si="20"/>
        <v>0</v>
      </c>
      <c r="J551" s="29">
        <f t="shared" si="2"/>
        <v>0</v>
      </c>
      <c r="K551" s="30" t="str">
        <f t="shared" si="3"/>
        <v/>
      </c>
      <c r="L551" s="29">
        <f t="shared" si="4"/>
        <v>1</v>
      </c>
      <c r="M551" s="30">
        <f t="shared" si="5"/>
        <v>0</v>
      </c>
      <c r="N551" s="32">
        <f t="shared" si="6"/>
        <v>0</v>
      </c>
      <c r="O551" s="33" t="str">
        <f t="shared" si="7"/>
        <v>PAGADA</v>
      </c>
      <c r="P551" s="34">
        <f>LET(
  idVenta, I551&amp;"",
  montoTotal, M551,
  pagos, IFERROR(SUMIF(Aux_Datos!$B:$B, idVenta, Aux_Datos!$K:$K), 0),
  retenciones, IFERROR(SUMIF(Aux_Datos!$N:$N, idVenta, Aux_Datos!$R:$R), 0),
  pagos + retenciones
)</f>
        <v>0</v>
      </c>
      <c r="Q551" s="30" t="str">
        <f>IF(P551=0, "Sin Pago", 
  LET(
    idVenta, I551&amp;"",
    montoTotalPagado, P551,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51" s="30">
        <f t="shared" si="23"/>
        <v>0</v>
      </c>
      <c r="S551" s="29" t="str">
        <f>IF(P551=0, "Sin Pago", 
  IFERROR(
    MAXIFS(Aux_Datos!$A:$A, Aux_Datos!$B:$B, I551&amp;""), 
    IFERROR(MAXIFS(Aux_Datos!$A:$A, Aux_Datos!$B:$B, VALUE(I551)), "Revisar ID")
  )
)</f>
        <v>Sin Pago</v>
      </c>
      <c r="T551" s="35" t="str">
        <f t="shared" si="21"/>
        <v>PAGADA</v>
      </c>
      <c r="U551" s="35" t="str">
        <f t="shared" si="10"/>
        <v>SOLVENTE</v>
      </c>
      <c r="V551" s="32">
        <f t="shared" si="11"/>
        <v>0</v>
      </c>
      <c r="W551" s="36" t="str">
        <f>IF(P551=0, "Sin Pago", 
  LET(
    monedaPago, Q551, 
    descuentoAplicado, G551,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51" s="36" t="str">
        <f t="shared" si="12"/>
        <v/>
      </c>
      <c r="Y551" s="36">
        <v>0.0</v>
      </c>
      <c r="Z551" s="33" t="s">
        <v>892</v>
      </c>
      <c r="AA551" s="33"/>
      <c r="AB551" s="33"/>
      <c r="AC551" s="33"/>
      <c r="AD551" s="33"/>
      <c r="AE551" s="33"/>
      <c r="AF551" s="33"/>
    </row>
    <row r="552" ht="22.5" customHeight="1">
      <c r="A552" s="23"/>
      <c r="B552" s="41"/>
      <c r="C552" s="23"/>
      <c r="D552" s="23"/>
      <c r="E552" s="25"/>
      <c r="F552" s="23"/>
      <c r="G552" s="27"/>
      <c r="H552" s="27"/>
      <c r="I552" s="28">
        <f t="shared" si="20"/>
        <v>0</v>
      </c>
      <c r="J552" s="29">
        <f t="shared" si="2"/>
        <v>0</v>
      </c>
      <c r="K552" s="30" t="str">
        <f t="shared" si="3"/>
        <v/>
      </c>
      <c r="L552" s="29">
        <f t="shared" si="4"/>
        <v>1</v>
      </c>
      <c r="M552" s="30">
        <f t="shared" si="5"/>
        <v>0</v>
      </c>
      <c r="N552" s="32">
        <f t="shared" si="6"/>
        <v>0</v>
      </c>
      <c r="O552" s="33" t="str">
        <f t="shared" si="7"/>
        <v>PAGADA</v>
      </c>
      <c r="P552" s="34">
        <f>LET(
  idVenta, I552&amp;"",
  montoTotal, M552,
  pagos, IFERROR(SUMIF(Aux_Datos!$B:$B, idVenta, Aux_Datos!$K:$K), 0),
  retenciones, IFERROR(SUMIF(Aux_Datos!$N:$N, idVenta, Aux_Datos!$R:$R), 0),
  pagos + retenciones
)</f>
        <v>0</v>
      </c>
      <c r="Q552" s="30" t="str">
        <f>IF(P552=0, "Sin Pago", 
  LET(
    idVenta, I552&amp;"",
    montoTotalPagado, P552,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52" s="30">
        <f t="shared" si="23"/>
        <v>0</v>
      </c>
      <c r="S552" s="29" t="str">
        <f>IF(P552=0, "Sin Pago", 
  IFERROR(
    MAXIFS(Aux_Datos!$A:$A, Aux_Datos!$B:$B, I552&amp;""), 
    IFERROR(MAXIFS(Aux_Datos!$A:$A, Aux_Datos!$B:$B, VALUE(I552)), "Revisar ID")
  )
)</f>
        <v>Sin Pago</v>
      </c>
      <c r="T552" s="35" t="str">
        <f t="shared" si="21"/>
        <v>PAGADA</v>
      </c>
      <c r="U552" s="35" t="str">
        <f t="shared" si="10"/>
        <v>SOLVENTE</v>
      </c>
      <c r="V552" s="32">
        <f t="shared" si="11"/>
        <v>0</v>
      </c>
      <c r="W552" s="36" t="str">
        <f>IF(P552=0, "Sin Pago", 
  LET(
    monedaPago, Q552, 
    descuentoAplicado, G552,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52" s="36" t="str">
        <f t="shared" si="12"/>
        <v/>
      </c>
      <c r="Y552" s="36">
        <v>0.0</v>
      </c>
      <c r="Z552" s="33" t="s">
        <v>892</v>
      </c>
      <c r="AA552" s="33"/>
      <c r="AB552" s="33"/>
      <c r="AC552" s="33"/>
      <c r="AD552" s="33"/>
      <c r="AE552" s="33"/>
      <c r="AF552" s="33"/>
    </row>
    <row r="553" ht="22.5" customHeight="1">
      <c r="A553" s="23"/>
      <c r="B553" s="41"/>
      <c r="C553" s="23"/>
      <c r="D553" s="23"/>
      <c r="E553" s="25"/>
      <c r="F553" s="23"/>
      <c r="G553" s="27"/>
      <c r="H553" s="27"/>
      <c r="I553" s="28">
        <f t="shared" si="20"/>
        <v>0</v>
      </c>
      <c r="J553" s="29">
        <f t="shared" si="2"/>
        <v>0</v>
      </c>
      <c r="K553" s="30" t="str">
        <f t="shared" si="3"/>
        <v/>
      </c>
      <c r="L553" s="29">
        <f t="shared" si="4"/>
        <v>1</v>
      </c>
      <c r="M553" s="30">
        <f t="shared" si="5"/>
        <v>0</v>
      </c>
      <c r="N553" s="32">
        <f t="shared" si="6"/>
        <v>0</v>
      </c>
      <c r="O553" s="33" t="str">
        <f t="shared" si="7"/>
        <v>PAGADA</v>
      </c>
      <c r="P553" s="34">
        <f>LET(
  idVenta, I553&amp;"",
  montoTotal, M553,
  pagos, IFERROR(SUMIF(Aux_Datos!$B:$B, idVenta, Aux_Datos!$K:$K), 0),
  retenciones, IFERROR(SUMIF(Aux_Datos!$N:$N, idVenta, Aux_Datos!$R:$R), 0),
  pagos + retenciones
)</f>
        <v>0</v>
      </c>
      <c r="Q553" s="30" t="str">
        <f>IF(P553=0, "Sin Pago", 
  LET(
    idVenta, I553&amp;"",
    montoTotalPagado, P553,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53" s="30">
        <f t="shared" si="23"/>
        <v>0</v>
      </c>
      <c r="S553" s="29" t="str">
        <f>IF(P553=0, "Sin Pago", 
  IFERROR(
    MAXIFS(Aux_Datos!$A:$A, Aux_Datos!$B:$B, I553&amp;""), 
    IFERROR(MAXIFS(Aux_Datos!$A:$A, Aux_Datos!$B:$B, VALUE(I553)), "Revisar ID")
  )
)</f>
        <v>Sin Pago</v>
      </c>
      <c r="T553" s="35" t="str">
        <f t="shared" si="21"/>
        <v>PAGADA</v>
      </c>
      <c r="U553" s="35" t="str">
        <f t="shared" si="10"/>
        <v>SOLVENTE</v>
      </c>
      <c r="V553" s="32">
        <f t="shared" si="11"/>
        <v>0</v>
      </c>
      <c r="W553" s="36" t="str">
        <f>IF(P553=0, "Sin Pago", 
  LET(
    monedaPago, Q553, 
    descuentoAplicado, G553,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53" s="36" t="str">
        <f t="shared" si="12"/>
        <v/>
      </c>
      <c r="Y553" s="36">
        <v>0.0</v>
      </c>
      <c r="Z553" s="33" t="s">
        <v>892</v>
      </c>
      <c r="AA553" s="33"/>
      <c r="AB553" s="33"/>
      <c r="AC553" s="33"/>
      <c r="AD553" s="33"/>
      <c r="AE553" s="33"/>
      <c r="AF553" s="33"/>
    </row>
    <row r="554" ht="22.5" customHeight="1">
      <c r="A554" s="23"/>
      <c r="B554" s="41"/>
      <c r="C554" s="23"/>
      <c r="D554" s="23"/>
      <c r="E554" s="25"/>
      <c r="F554" s="23"/>
      <c r="G554" s="27"/>
      <c r="H554" s="27"/>
      <c r="I554" s="28">
        <f t="shared" si="20"/>
        <v>0</v>
      </c>
      <c r="J554" s="29">
        <f t="shared" si="2"/>
        <v>0</v>
      </c>
      <c r="K554" s="30" t="str">
        <f t="shared" si="3"/>
        <v/>
      </c>
      <c r="L554" s="29">
        <f t="shared" si="4"/>
        <v>1</v>
      </c>
      <c r="M554" s="30">
        <f t="shared" si="5"/>
        <v>0</v>
      </c>
      <c r="N554" s="32">
        <f t="shared" si="6"/>
        <v>0</v>
      </c>
      <c r="O554" s="33" t="str">
        <f t="shared" si="7"/>
        <v>PAGADA</v>
      </c>
      <c r="P554" s="34">
        <f>LET(
  idVenta, I554&amp;"",
  montoTotal, M554,
  pagos, IFERROR(SUMIF(Aux_Datos!$B:$B, idVenta, Aux_Datos!$K:$K), 0),
  retenciones, IFERROR(SUMIF(Aux_Datos!$N:$N, idVenta, Aux_Datos!$R:$R), 0),
  pagos + retenciones
)</f>
        <v>0</v>
      </c>
      <c r="Q554" s="30" t="str">
        <f>IF(P554=0, "Sin Pago", 
  LET(
    idVenta, I554&amp;"",
    montoTotalPagado, P554,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54" s="30">
        <f t="shared" si="23"/>
        <v>0</v>
      </c>
      <c r="S554" s="29" t="str">
        <f>IF(P554=0, "Sin Pago", 
  IFERROR(
    MAXIFS(Aux_Datos!$A:$A, Aux_Datos!$B:$B, I554&amp;""), 
    IFERROR(MAXIFS(Aux_Datos!$A:$A, Aux_Datos!$B:$B, VALUE(I554)), "Revisar ID")
  )
)</f>
        <v>Sin Pago</v>
      </c>
      <c r="T554" s="35" t="str">
        <f t="shared" si="21"/>
        <v>PAGADA</v>
      </c>
      <c r="U554" s="35" t="str">
        <f t="shared" si="10"/>
        <v>SOLVENTE</v>
      </c>
      <c r="V554" s="32">
        <f t="shared" si="11"/>
        <v>0</v>
      </c>
      <c r="W554" s="36" t="str">
        <f>IF(P554=0, "Sin Pago", 
  LET(
    monedaPago, Q554, 
    descuentoAplicado, G554,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54" s="36" t="str">
        <f t="shared" si="12"/>
        <v/>
      </c>
      <c r="Y554" s="36">
        <v>0.0</v>
      </c>
      <c r="Z554" s="33" t="s">
        <v>892</v>
      </c>
      <c r="AA554" s="33"/>
      <c r="AB554" s="33"/>
      <c r="AC554" s="33"/>
      <c r="AD554" s="33"/>
      <c r="AE554" s="33"/>
      <c r="AF554" s="33"/>
    </row>
    <row r="555" ht="22.5" customHeight="1">
      <c r="A555" s="23"/>
      <c r="B555" s="41"/>
      <c r="C555" s="23"/>
      <c r="D555" s="23"/>
      <c r="E555" s="25"/>
      <c r="F555" s="23"/>
      <c r="G555" s="27"/>
      <c r="H555" s="27"/>
      <c r="I555" s="28">
        <f t="shared" si="20"/>
        <v>0</v>
      </c>
      <c r="J555" s="29">
        <f t="shared" si="2"/>
        <v>0</v>
      </c>
      <c r="K555" s="30" t="str">
        <f t="shared" si="3"/>
        <v/>
      </c>
      <c r="L555" s="29">
        <f t="shared" si="4"/>
        <v>1</v>
      </c>
      <c r="M555" s="30">
        <f t="shared" si="5"/>
        <v>0</v>
      </c>
      <c r="N555" s="32">
        <f t="shared" si="6"/>
        <v>0</v>
      </c>
      <c r="O555" s="33" t="str">
        <f t="shared" si="7"/>
        <v>PAGADA</v>
      </c>
      <c r="P555" s="34">
        <f>LET(
  idVenta, I555&amp;"",
  montoTotal, M555,
  pagos, IFERROR(SUMIF(Aux_Datos!$B:$B, idVenta, Aux_Datos!$K:$K), 0),
  retenciones, IFERROR(SUMIF(Aux_Datos!$N:$N, idVenta, Aux_Datos!$R:$R), 0),
  pagos + retenciones
)</f>
        <v>0</v>
      </c>
      <c r="Q555" s="30" t="str">
        <f>IF(P555=0, "Sin Pago", 
  LET(
    idVenta, I555&amp;"",
    montoTotalPagado, P555,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55" s="30">
        <f t="shared" si="23"/>
        <v>0</v>
      </c>
      <c r="S555" s="29" t="str">
        <f>IF(P555=0, "Sin Pago", 
  IFERROR(
    MAXIFS(Aux_Datos!$A:$A, Aux_Datos!$B:$B, I555&amp;""), 
    IFERROR(MAXIFS(Aux_Datos!$A:$A, Aux_Datos!$B:$B, VALUE(I555)), "Revisar ID")
  )
)</f>
        <v>Sin Pago</v>
      </c>
      <c r="T555" s="35" t="str">
        <f t="shared" si="21"/>
        <v>PAGADA</v>
      </c>
      <c r="U555" s="35" t="str">
        <f t="shared" si="10"/>
        <v>SOLVENTE</v>
      </c>
      <c r="V555" s="32">
        <f t="shared" si="11"/>
        <v>0</v>
      </c>
      <c r="W555" s="36" t="str">
        <f>IF(P555=0, "Sin Pago", 
  LET(
    monedaPago, Q555, 
    descuentoAplicado, G555,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55" s="36" t="str">
        <f t="shared" si="12"/>
        <v/>
      </c>
      <c r="Y555" s="36">
        <v>0.0</v>
      </c>
      <c r="Z555" s="33" t="s">
        <v>892</v>
      </c>
      <c r="AA555" s="33"/>
      <c r="AB555" s="33"/>
      <c r="AC555" s="33"/>
      <c r="AD555" s="33"/>
      <c r="AE555" s="33"/>
      <c r="AF555" s="33"/>
    </row>
    <row r="556" ht="22.5" customHeight="1">
      <c r="A556" s="23"/>
      <c r="B556" s="41"/>
      <c r="C556" s="23"/>
      <c r="D556" s="23"/>
      <c r="E556" s="25"/>
      <c r="F556" s="23"/>
      <c r="G556" s="27"/>
      <c r="H556" s="27"/>
      <c r="I556" s="28">
        <f t="shared" si="20"/>
        <v>0</v>
      </c>
      <c r="J556" s="29">
        <f t="shared" si="2"/>
        <v>0</v>
      </c>
      <c r="K556" s="30" t="str">
        <f t="shared" si="3"/>
        <v/>
      </c>
      <c r="L556" s="29">
        <f t="shared" si="4"/>
        <v>1</v>
      </c>
      <c r="M556" s="30">
        <f t="shared" si="5"/>
        <v>0</v>
      </c>
      <c r="N556" s="32">
        <f t="shared" si="6"/>
        <v>0</v>
      </c>
      <c r="O556" s="33" t="str">
        <f t="shared" si="7"/>
        <v>PAGADA</v>
      </c>
      <c r="P556" s="34">
        <f>LET(
  idVenta, I556&amp;"",
  montoTotal, M556,
  pagos, IFERROR(SUMIF(Aux_Datos!$B:$B, idVenta, Aux_Datos!$K:$K), 0),
  retenciones, IFERROR(SUMIF(Aux_Datos!$N:$N, idVenta, Aux_Datos!$R:$R), 0),
  pagos + retenciones
)</f>
        <v>0</v>
      </c>
      <c r="Q556" s="30" t="str">
        <f>IF(P556=0, "Sin Pago", 
  LET(
    idVenta, I556&amp;"",
    montoTotalPagado, P556,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56" s="30">
        <f t="shared" si="23"/>
        <v>0</v>
      </c>
      <c r="S556" s="29" t="str">
        <f>IF(P556=0, "Sin Pago", 
  IFERROR(
    MAXIFS(Aux_Datos!$A:$A, Aux_Datos!$B:$B, I556&amp;""), 
    IFERROR(MAXIFS(Aux_Datos!$A:$A, Aux_Datos!$B:$B, VALUE(I556)), "Revisar ID")
  )
)</f>
        <v>Sin Pago</v>
      </c>
      <c r="T556" s="35" t="str">
        <f t="shared" si="21"/>
        <v>PAGADA</v>
      </c>
      <c r="U556" s="35" t="str">
        <f t="shared" si="10"/>
        <v>SOLVENTE</v>
      </c>
      <c r="V556" s="32">
        <f t="shared" si="11"/>
        <v>0</v>
      </c>
      <c r="W556" s="36" t="str">
        <f>IF(P556=0, "Sin Pago", 
  LET(
    monedaPago, Q556, 
    descuentoAplicado, G556,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56" s="36" t="str">
        <f t="shared" si="12"/>
        <v/>
      </c>
      <c r="Y556" s="36">
        <v>0.0</v>
      </c>
      <c r="Z556" s="33" t="s">
        <v>892</v>
      </c>
      <c r="AA556" s="33"/>
      <c r="AB556" s="33"/>
      <c r="AC556" s="33"/>
      <c r="AD556" s="33"/>
      <c r="AE556" s="33"/>
      <c r="AF556" s="33"/>
    </row>
    <row r="557" ht="22.5" customHeight="1">
      <c r="A557" s="23"/>
      <c r="B557" s="41"/>
      <c r="C557" s="23"/>
      <c r="D557" s="23"/>
      <c r="E557" s="25"/>
      <c r="F557" s="23"/>
      <c r="G557" s="27"/>
      <c r="H557" s="27"/>
      <c r="I557" s="28">
        <f t="shared" si="20"/>
        <v>0</v>
      </c>
      <c r="J557" s="29">
        <f t="shared" si="2"/>
        <v>0</v>
      </c>
      <c r="K557" s="30" t="str">
        <f t="shared" si="3"/>
        <v/>
      </c>
      <c r="L557" s="29">
        <f t="shared" si="4"/>
        <v>1</v>
      </c>
      <c r="M557" s="30">
        <f t="shared" si="5"/>
        <v>0</v>
      </c>
      <c r="N557" s="32">
        <f t="shared" si="6"/>
        <v>0</v>
      </c>
      <c r="O557" s="33" t="str">
        <f t="shared" si="7"/>
        <v>PAGADA</v>
      </c>
      <c r="P557" s="34">
        <f>LET(
  idVenta, I557&amp;"",
  montoTotal, M557,
  pagos, IFERROR(SUMIF(Aux_Datos!$B:$B, idVenta, Aux_Datos!$K:$K), 0),
  retenciones, IFERROR(SUMIF(Aux_Datos!$N:$N, idVenta, Aux_Datos!$R:$R), 0),
  pagos + retenciones
)</f>
        <v>0</v>
      </c>
      <c r="Q557" s="30" t="str">
        <f>IF(P557=0, "Sin Pago", 
  LET(
    idVenta, I557&amp;"",
    montoTotalPagado, P557,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57" s="30">
        <f t="shared" si="23"/>
        <v>0</v>
      </c>
      <c r="S557" s="29" t="str">
        <f>IF(P557=0, "Sin Pago", 
  IFERROR(
    MAXIFS(Aux_Datos!$A:$A, Aux_Datos!$B:$B, I557&amp;""), 
    IFERROR(MAXIFS(Aux_Datos!$A:$A, Aux_Datos!$B:$B, VALUE(I557)), "Revisar ID")
  )
)</f>
        <v>Sin Pago</v>
      </c>
      <c r="T557" s="35" t="str">
        <f t="shared" si="21"/>
        <v>PAGADA</v>
      </c>
      <c r="U557" s="35" t="str">
        <f t="shared" si="10"/>
        <v>SOLVENTE</v>
      </c>
      <c r="V557" s="32">
        <f t="shared" si="11"/>
        <v>0</v>
      </c>
      <c r="W557" s="36" t="str">
        <f>IF(P557=0, "Sin Pago", 
  LET(
    monedaPago, Q557, 
    descuentoAplicado, G557,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57" s="36" t="str">
        <f t="shared" si="12"/>
        <v/>
      </c>
      <c r="Y557" s="36">
        <v>0.0</v>
      </c>
      <c r="Z557" s="33" t="s">
        <v>892</v>
      </c>
      <c r="AA557" s="33"/>
      <c r="AB557" s="33"/>
      <c r="AC557" s="33"/>
      <c r="AD557" s="33"/>
      <c r="AE557" s="33"/>
      <c r="AF557" s="33"/>
    </row>
    <row r="558" ht="22.5" customHeight="1">
      <c r="A558" s="23"/>
      <c r="B558" s="41"/>
      <c r="C558" s="23"/>
      <c r="D558" s="23"/>
      <c r="E558" s="25"/>
      <c r="F558" s="23"/>
      <c r="G558" s="27"/>
      <c r="H558" s="27"/>
      <c r="I558" s="28">
        <f t="shared" si="20"/>
        <v>0</v>
      </c>
      <c r="J558" s="29">
        <f t="shared" si="2"/>
        <v>0</v>
      </c>
      <c r="K558" s="30" t="str">
        <f t="shared" si="3"/>
        <v/>
      </c>
      <c r="L558" s="29">
        <f t="shared" si="4"/>
        <v>1</v>
      </c>
      <c r="M558" s="30">
        <f t="shared" si="5"/>
        <v>0</v>
      </c>
      <c r="N558" s="32">
        <f t="shared" si="6"/>
        <v>0</v>
      </c>
      <c r="O558" s="33" t="str">
        <f t="shared" si="7"/>
        <v>PAGADA</v>
      </c>
      <c r="P558" s="34">
        <f>LET(
  idVenta, I558&amp;"",
  montoTotal, M558,
  pagos, IFERROR(SUMIF(Aux_Datos!$B:$B, idVenta, Aux_Datos!$K:$K), 0),
  retenciones, IFERROR(SUMIF(Aux_Datos!$N:$N, idVenta, Aux_Datos!$R:$R), 0),
  pagos + retenciones
)</f>
        <v>0</v>
      </c>
      <c r="Q558" s="30" t="str">
        <f>IF(P558=0, "Sin Pago", 
  LET(
    idVenta, I558&amp;"",
    montoTotalPagado, P558,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58" s="30">
        <f t="shared" si="23"/>
        <v>0</v>
      </c>
      <c r="S558" s="29" t="str">
        <f>IF(P558=0, "Sin Pago", 
  IFERROR(
    MAXIFS(Aux_Datos!$A:$A, Aux_Datos!$B:$B, I558&amp;""), 
    IFERROR(MAXIFS(Aux_Datos!$A:$A, Aux_Datos!$B:$B, VALUE(I558)), "Revisar ID")
  )
)</f>
        <v>Sin Pago</v>
      </c>
      <c r="T558" s="35" t="str">
        <f t="shared" si="21"/>
        <v>PAGADA</v>
      </c>
      <c r="U558" s="35" t="str">
        <f t="shared" si="10"/>
        <v>SOLVENTE</v>
      </c>
      <c r="V558" s="32">
        <f t="shared" si="11"/>
        <v>0</v>
      </c>
      <c r="W558" s="36" t="str">
        <f>IF(P558=0, "Sin Pago", 
  LET(
    monedaPago, Q558, 
    descuentoAplicado, G558,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58" s="36" t="str">
        <f t="shared" si="12"/>
        <v/>
      </c>
      <c r="Y558" s="36">
        <v>0.0</v>
      </c>
      <c r="Z558" s="33" t="s">
        <v>892</v>
      </c>
      <c r="AA558" s="33"/>
      <c r="AB558" s="33"/>
      <c r="AC558" s="33"/>
      <c r="AD558" s="33"/>
      <c r="AE558" s="33"/>
      <c r="AF558" s="33"/>
    </row>
    <row r="559" ht="22.5" customHeight="1">
      <c r="A559" s="23"/>
      <c r="B559" s="41"/>
      <c r="C559" s="23"/>
      <c r="D559" s="23"/>
      <c r="E559" s="25"/>
      <c r="F559" s="23"/>
      <c r="G559" s="27"/>
      <c r="H559" s="27"/>
      <c r="I559" s="28">
        <f t="shared" si="20"/>
        <v>0</v>
      </c>
      <c r="J559" s="29">
        <f t="shared" si="2"/>
        <v>0</v>
      </c>
      <c r="K559" s="30" t="str">
        <f t="shared" si="3"/>
        <v/>
      </c>
      <c r="L559" s="29">
        <f t="shared" si="4"/>
        <v>1</v>
      </c>
      <c r="M559" s="30">
        <f t="shared" si="5"/>
        <v>0</v>
      </c>
      <c r="N559" s="32">
        <f t="shared" si="6"/>
        <v>0</v>
      </c>
      <c r="O559" s="33" t="str">
        <f t="shared" si="7"/>
        <v>PAGADA</v>
      </c>
      <c r="P559" s="34">
        <f>LET(
  idVenta, I559&amp;"",
  montoTotal, M559,
  pagos, IFERROR(SUMIF(Aux_Datos!$B:$B, idVenta, Aux_Datos!$K:$K), 0),
  retenciones, IFERROR(SUMIF(Aux_Datos!$N:$N, idVenta, Aux_Datos!$R:$R), 0),
  pagos + retenciones
)</f>
        <v>0</v>
      </c>
      <c r="Q559" s="30" t="str">
        <f>IF(P559=0, "Sin Pago", 
  LET(
    idVenta, I559&amp;"",
    montoTotalPagado, P559,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59" s="30">
        <f t="shared" si="23"/>
        <v>0</v>
      </c>
      <c r="S559" s="29" t="str">
        <f>IF(P559=0, "Sin Pago", 
  IFERROR(
    MAXIFS(Aux_Datos!$A:$A, Aux_Datos!$B:$B, I559&amp;""), 
    IFERROR(MAXIFS(Aux_Datos!$A:$A, Aux_Datos!$B:$B, VALUE(I559)), "Revisar ID")
  )
)</f>
        <v>Sin Pago</v>
      </c>
      <c r="T559" s="35" t="str">
        <f t="shared" si="21"/>
        <v>PAGADA</v>
      </c>
      <c r="U559" s="35" t="str">
        <f t="shared" si="10"/>
        <v>SOLVENTE</v>
      </c>
      <c r="V559" s="32">
        <f t="shared" si="11"/>
        <v>0</v>
      </c>
      <c r="W559" s="36" t="str">
        <f>IF(P559=0, "Sin Pago", 
  LET(
    monedaPago, Q559, 
    descuentoAplicado, G559,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59" s="36" t="str">
        <f t="shared" si="12"/>
        <v/>
      </c>
      <c r="Y559" s="36">
        <v>0.0</v>
      </c>
      <c r="Z559" s="33" t="s">
        <v>892</v>
      </c>
      <c r="AA559" s="33"/>
      <c r="AB559" s="33"/>
      <c r="AC559" s="33"/>
      <c r="AD559" s="33"/>
      <c r="AE559" s="33"/>
      <c r="AF559" s="33"/>
    </row>
    <row r="560" ht="22.5" customHeight="1">
      <c r="A560" s="23"/>
      <c r="B560" s="41"/>
      <c r="C560" s="23"/>
      <c r="D560" s="23"/>
      <c r="E560" s="25"/>
      <c r="F560" s="23"/>
      <c r="G560" s="27"/>
      <c r="H560" s="27"/>
      <c r="I560" s="28">
        <f t="shared" si="20"/>
        <v>0</v>
      </c>
      <c r="J560" s="29">
        <f t="shared" si="2"/>
        <v>0</v>
      </c>
      <c r="K560" s="30" t="str">
        <f t="shared" si="3"/>
        <v/>
      </c>
      <c r="L560" s="29">
        <f t="shared" si="4"/>
        <v>1</v>
      </c>
      <c r="M560" s="30">
        <f t="shared" si="5"/>
        <v>0</v>
      </c>
      <c r="N560" s="32">
        <f t="shared" si="6"/>
        <v>0</v>
      </c>
      <c r="O560" s="33" t="str">
        <f t="shared" si="7"/>
        <v>PAGADA</v>
      </c>
      <c r="P560" s="34">
        <f>LET(
  idVenta, I560&amp;"",
  montoTotal, M560,
  pagos, IFERROR(SUMIF(Aux_Datos!$B:$B, idVenta, Aux_Datos!$K:$K), 0),
  retenciones, IFERROR(SUMIF(Aux_Datos!$N:$N, idVenta, Aux_Datos!$R:$R), 0),
  pagos + retenciones
)</f>
        <v>0</v>
      </c>
      <c r="Q560" s="30" t="str">
        <f>IF(P560=0, "Sin Pago", 
  LET(
    idVenta, I560&amp;"",
    montoTotalPagado, P560,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60" s="30">
        <f t="shared" si="23"/>
        <v>0</v>
      </c>
      <c r="S560" s="29" t="str">
        <f>IF(P560=0, "Sin Pago", 
  IFERROR(
    MAXIFS(Aux_Datos!$A:$A, Aux_Datos!$B:$B, I560&amp;""), 
    IFERROR(MAXIFS(Aux_Datos!$A:$A, Aux_Datos!$B:$B, VALUE(I560)), "Revisar ID")
  )
)</f>
        <v>Sin Pago</v>
      </c>
      <c r="T560" s="35" t="str">
        <f t="shared" si="21"/>
        <v>PAGADA</v>
      </c>
      <c r="U560" s="35" t="str">
        <f t="shared" si="10"/>
        <v>SOLVENTE</v>
      </c>
      <c r="V560" s="32">
        <f t="shared" si="11"/>
        <v>0</v>
      </c>
      <c r="W560" s="36" t="str">
        <f>IF(P560=0, "Sin Pago", 
  LET(
    monedaPago, Q560, 
    descuentoAplicado, G560,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60" s="36" t="str">
        <f t="shared" si="12"/>
        <v/>
      </c>
      <c r="Y560" s="36">
        <v>0.0</v>
      </c>
      <c r="Z560" s="33" t="s">
        <v>892</v>
      </c>
      <c r="AA560" s="33"/>
      <c r="AB560" s="33"/>
      <c r="AC560" s="33"/>
      <c r="AD560" s="33"/>
      <c r="AE560" s="33"/>
      <c r="AF560" s="33"/>
    </row>
    <row r="561" ht="22.5" customHeight="1">
      <c r="A561" s="23"/>
      <c r="B561" s="41"/>
      <c r="C561" s="23"/>
      <c r="D561" s="23"/>
      <c r="E561" s="25"/>
      <c r="F561" s="23"/>
      <c r="G561" s="27"/>
      <c r="H561" s="27"/>
      <c r="I561" s="28">
        <f t="shared" si="20"/>
        <v>0</v>
      </c>
      <c r="J561" s="29">
        <f t="shared" si="2"/>
        <v>0</v>
      </c>
      <c r="K561" s="30" t="str">
        <f t="shared" si="3"/>
        <v/>
      </c>
      <c r="L561" s="29">
        <f t="shared" si="4"/>
        <v>1</v>
      </c>
      <c r="M561" s="30">
        <f t="shared" si="5"/>
        <v>0</v>
      </c>
      <c r="N561" s="32">
        <f t="shared" si="6"/>
        <v>0</v>
      </c>
      <c r="O561" s="33" t="str">
        <f t="shared" si="7"/>
        <v>PAGADA</v>
      </c>
      <c r="P561" s="34">
        <f>LET(
  idVenta, I561&amp;"",
  montoTotal, M561,
  pagos, IFERROR(SUMIF(Aux_Datos!$B:$B, idVenta, Aux_Datos!$K:$K), 0),
  retenciones, IFERROR(SUMIF(Aux_Datos!$N:$N, idVenta, Aux_Datos!$R:$R), 0),
  pagos + retenciones
)</f>
        <v>0</v>
      </c>
      <c r="Q561" s="30" t="str">
        <f>IF(P561=0, "Sin Pago", 
  LET(
    idVenta, I561&amp;"",
    montoTotalPagado, P561,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61" s="30">
        <f t="shared" si="23"/>
        <v>0</v>
      </c>
      <c r="S561" s="29" t="str">
        <f>IF(P561=0, "Sin Pago", 
  IFERROR(
    MAXIFS(Aux_Datos!$A:$A, Aux_Datos!$B:$B, I561&amp;""), 
    IFERROR(MAXIFS(Aux_Datos!$A:$A, Aux_Datos!$B:$B, VALUE(I561)), "Revisar ID")
  )
)</f>
        <v>Sin Pago</v>
      </c>
      <c r="T561" s="35" t="str">
        <f t="shared" si="21"/>
        <v>PAGADA</v>
      </c>
      <c r="U561" s="35" t="str">
        <f t="shared" si="10"/>
        <v>SOLVENTE</v>
      </c>
      <c r="V561" s="32">
        <f t="shared" si="11"/>
        <v>0</v>
      </c>
      <c r="W561" s="36" t="str">
        <f>IF(P561=0, "Sin Pago", 
  LET(
    monedaPago, Q561, 
    descuentoAplicado, G561,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61" s="36" t="str">
        <f t="shared" si="12"/>
        <v/>
      </c>
      <c r="Y561" s="36">
        <v>0.0</v>
      </c>
      <c r="Z561" s="33" t="s">
        <v>892</v>
      </c>
      <c r="AA561" s="33"/>
      <c r="AB561" s="33"/>
      <c r="AC561" s="33"/>
      <c r="AD561" s="33"/>
      <c r="AE561" s="33"/>
      <c r="AF561" s="33"/>
    </row>
    <row r="562" ht="22.5" customHeight="1">
      <c r="A562" s="23"/>
      <c r="B562" s="41"/>
      <c r="C562" s="23"/>
      <c r="D562" s="23"/>
      <c r="E562" s="25"/>
      <c r="F562" s="23"/>
      <c r="G562" s="27"/>
      <c r="H562" s="27"/>
      <c r="I562" s="28">
        <f t="shared" si="20"/>
        <v>0</v>
      </c>
      <c r="J562" s="29">
        <f t="shared" si="2"/>
        <v>0</v>
      </c>
      <c r="K562" s="30" t="str">
        <f t="shared" si="3"/>
        <v/>
      </c>
      <c r="L562" s="29">
        <f t="shared" si="4"/>
        <v>1</v>
      </c>
      <c r="M562" s="30">
        <f t="shared" si="5"/>
        <v>0</v>
      </c>
      <c r="N562" s="32">
        <f t="shared" si="6"/>
        <v>0</v>
      </c>
      <c r="O562" s="33" t="str">
        <f t="shared" si="7"/>
        <v>PAGADA</v>
      </c>
      <c r="P562" s="34">
        <f>LET(
  idVenta, I562&amp;"",
  montoTotal, M562,
  pagos, IFERROR(SUMIF(Aux_Datos!$B:$B, idVenta, Aux_Datos!$K:$K), 0),
  retenciones, IFERROR(SUMIF(Aux_Datos!$N:$N, idVenta, Aux_Datos!$R:$R), 0),
  pagos + retenciones
)</f>
        <v>0</v>
      </c>
      <c r="Q562" s="30" t="str">
        <f>IF(P562=0, "Sin Pago", 
  LET(
    idVenta, I562&amp;"",
    montoTotalPagado, P562,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62" s="30">
        <f t="shared" si="23"/>
        <v>0</v>
      </c>
      <c r="S562" s="29" t="str">
        <f>IF(P562=0, "Sin Pago", 
  IFERROR(
    MAXIFS(Aux_Datos!$A:$A, Aux_Datos!$B:$B, I562&amp;""), 
    IFERROR(MAXIFS(Aux_Datos!$A:$A, Aux_Datos!$B:$B, VALUE(I562)), "Revisar ID")
  )
)</f>
        <v>Sin Pago</v>
      </c>
      <c r="T562" s="35" t="str">
        <f t="shared" si="21"/>
        <v>PAGADA</v>
      </c>
      <c r="U562" s="35" t="str">
        <f t="shared" si="10"/>
        <v>SOLVENTE</v>
      </c>
      <c r="V562" s="32">
        <f t="shared" si="11"/>
        <v>0</v>
      </c>
      <c r="W562" s="36" t="str">
        <f>IF(P562=0, "Sin Pago", 
  LET(
    monedaPago, Q562, 
    descuentoAplicado, G562,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62" s="36" t="str">
        <f t="shared" si="12"/>
        <v/>
      </c>
      <c r="Y562" s="36">
        <v>0.0</v>
      </c>
      <c r="Z562" s="33" t="s">
        <v>892</v>
      </c>
      <c r="AA562" s="33"/>
      <c r="AB562" s="33"/>
      <c r="AC562" s="33"/>
      <c r="AD562" s="33"/>
      <c r="AE562" s="33"/>
      <c r="AF562" s="33"/>
    </row>
    <row r="563" ht="22.5" customHeight="1">
      <c r="A563" s="23"/>
      <c r="B563" s="41"/>
      <c r="C563" s="23"/>
      <c r="D563" s="23"/>
      <c r="E563" s="25"/>
      <c r="F563" s="23"/>
      <c r="G563" s="27"/>
      <c r="H563" s="27"/>
      <c r="I563" s="28">
        <f t="shared" si="20"/>
        <v>0</v>
      </c>
      <c r="J563" s="29">
        <f t="shared" si="2"/>
        <v>0</v>
      </c>
      <c r="K563" s="30" t="str">
        <f t="shared" si="3"/>
        <v/>
      </c>
      <c r="L563" s="29">
        <f t="shared" si="4"/>
        <v>1</v>
      </c>
      <c r="M563" s="30">
        <f t="shared" si="5"/>
        <v>0</v>
      </c>
      <c r="N563" s="32">
        <f t="shared" si="6"/>
        <v>0</v>
      </c>
      <c r="O563" s="33" t="str">
        <f t="shared" si="7"/>
        <v>PAGADA</v>
      </c>
      <c r="P563" s="34">
        <f>LET(
  idVenta, I563&amp;"",
  montoTotal, M563,
  pagos, IFERROR(SUMIF(Aux_Datos!$B:$B, idVenta, Aux_Datos!$K:$K), 0),
  retenciones, IFERROR(SUMIF(Aux_Datos!$N:$N, idVenta, Aux_Datos!$R:$R), 0),
  pagos + retenciones
)</f>
        <v>0</v>
      </c>
      <c r="Q563" s="30" t="str">
        <f>IF(P563=0, "Sin Pago", 
  LET(
    idVenta, I563&amp;"",
    montoTotalPagado, P563,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63" s="30">
        <f t="shared" si="23"/>
        <v>0</v>
      </c>
      <c r="S563" s="29" t="str">
        <f>IF(P563=0, "Sin Pago", 
  IFERROR(
    MAXIFS(Aux_Datos!$A:$A, Aux_Datos!$B:$B, I563&amp;""), 
    IFERROR(MAXIFS(Aux_Datos!$A:$A, Aux_Datos!$B:$B, VALUE(I563)), "Revisar ID")
  )
)</f>
        <v>Sin Pago</v>
      </c>
      <c r="T563" s="35" t="str">
        <f t="shared" si="21"/>
        <v>PAGADA</v>
      </c>
      <c r="U563" s="35" t="str">
        <f t="shared" si="10"/>
        <v>SOLVENTE</v>
      </c>
      <c r="V563" s="32">
        <f t="shared" si="11"/>
        <v>0</v>
      </c>
      <c r="W563" s="36" t="str">
        <f>IF(P563=0, "Sin Pago", 
  LET(
    monedaPago, Q563, 
    descuentoAplicado, G563,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63" s="36" t="str">
        <f t="shared" si="12"/>
        <v/>
      </c>
      <c r="Y563" s="36">
        <v>0.0</v>
      </c>
      <c r="Z563" s="33" t="s">
        <v>892</v>
      </c>
      <c r="AA563" s="33"/>
      <c r="AB563" s="33"/>
      <c r="AC563" s="33"/>
      <c r="AD563" s="33"/>
      <c r="AE563" s="33"/>
      <c r="AF563" s="33"/>
    </row>
    <row r="564" ht="22.5" customHeight="1">
      <c r="A564" s="23"/>
      <c r="B564" s="41"/>
      <c r="C564" s="23"/>
      <c r="D564" s="23"/>
      <c r="E564" s="25"/>
      <c r="F564" s="23"/>
      <c r="G564" s="27"/>
      <c r="H564" s="27"/>
      <c r="I564" s="28">
        <f t="shared" si="20"/>
        <v>0</v>
      </c>
      <c r="J564" s="29">
        <f t="shared" si="2"/>
        <v>0</v>
      </c>
      <c r="K564" s="30" t="str">
        <f t="shared" si="3"/>
        <v/>
      </c>
      <c r="L564" s="29">
        <f t="shared" si="4"/>
        <v>1</v>
      </c>
      <c r="M564" s="30">
        <f t="shared" si="5"/>
        <v>0</v>
      </c>
      <c r="N564" s="32">
        <f t="shared" si="6"/>
        <v>0</v>
      </c>
      <c r="O564" s="33" t="str">
        <f t="shared" si="7"/>
        <v>PAGADA</v>
      </c>
      <c r="P564" s="34">
        <f>LET(
  idVenta, I564&amp;"",
  montoTotal, M564,
  pagos, IFERROR(SUMIF(Aux_Datos!$B:$B, idVenta, Aux_Datos!$K:$K), 0),
  retenciones, IFERROR(SUMIF(Aux_Datos!$N:$N, idVenta, Aux_Datos!$R:$R), 0),
  pagos + retenciones
)</f>
        <v>0</v>
      </c>
      <c r="Q564" s="30" t="str">
        <f>IF(P564=0, "Sin Pago", 
  LET(
    idVenta, I564&amp;"",
    montoTotalPagado, P564,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64" s="30">
        <f t="shared" si="23"/>
        <v>0</v>
      </c>
      <c r="S564" s="29" t="str">
        <f>IF(P564=0, "Sin Pago", 
  IFERROR(
    MAXIFS(Aux_Datos!$A:$A, Aux_Datos!$B:$B, I564&amp;""), 
    IFERROR(MAXIFS(Aux_Datos!$A:$A, Aux_Datos!$B:$B, VALUE(I564)), "Revisar ID")
  )
)</f>
        <v>Sin Pago</v>
      </c>
      <c r="T564" s="35" t="str">
        <f t="shared" si="21"/>
        <v>PAGADA</v>
      </c>
      <c r="U564" s="35" t="str">
        <f t="shared" si="10"/>
        <v>SOLVENTE</v>
      </c>
      <c r="V564" s="32">
        <f t="shared" si="11"/>
        <v>0</v>
      </c>
      <c r="W564" s="36" t="str">
        <f>IF(P564=0, "Sin Pago", 
  LET(
    monedaPago, Q564, 
    descuentoAplicado, G564,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64" s="36" t="str">
        <f t="shared" si="12"/>
        <v/>
      </c>
      <c r="Y564" s="36">
        <v>0.0</v>
      </c>
      <c r="Z564" s="33" t="s">
        <v>892</v>
      </c>
      <c r="AA564" s="33"/>
      <c r="AB564" s="33"/>
      <c r="AC564" s="33"/>
      <c r="AD564" s="33"/>
      <c r="AE564" s="33"/>
      <c r="AF564" s="33"/>
    </row>
    <row r="565" ht="22.5" customHeight="1">
      <c r="A565" s="23"/>
      <c r="B565" s="41"/>
      <c r="C565" s="23"/>
      <c r="D565" s="23"/>
      <c r="E565" s="25"/>
      <c r="F565" s="23"/>
      <c r="G565" s="27"/>
      <c r="H565" s="27"/>
      <c r="I565" s="28">
        <f t="shared" si="20"/>
        <v>0</v>
      </c>
      <c r="J565" s="29">
        <f t="shared" si="2"/>
        <v>0</v>
      </c>
      <c r="K565" s="30" t="str">
        <f t="shared" si="3"/>
        <v/>
      </c>
      <c r="L565" s="29">
        <f t="shared" si="4"/>
        <v>1</v>
      </c>
      <c r="M565" s="30">
        <f t="shared" si="5"/>
        <v>0</v>
      </c>
      <c r="N565" s="32">
        <f t="shared" si="6"/>
        <v>0</v>
      </c>
      <c r="O565" s="33" t="str">
        <f t="shared" si="7"/>
        <v>PAGADA</v>
      </c>
      <c r="P565" s="34">
        <f>LET(
  idVenta, I565&amp;"",
  montoTotal, M565,
  pagos, IFERROR(SUMIF(Aux_Datos!$B:$B, idVenta, Aux_Datos!$K:$K), 0),
  retenciones, IFERROR(SUMIF(Aux_Datos!$N:$N, idVenta, Aux_Datos!$R:$R), 0),
  pagos + retenciones
)</f>
        <v>0</v>
      </c>
      <c r="Q565" s="30" t="str">
        <f>IF(P565=0, "Sin Pago", 
  LET(
    idVenta, I565&amp;"",
    montoTotalPagado, P565,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65" s="30">
        <f t="shared" si="23"/>
        <v>0</v>
      </c>
      <c r="S565" s="29" t="str">
        <f>IF(P565=0, "Sin Pago", 
  IFERROR(
    MAXIFS(Aux_Datos!$A:$A, Aux_Datos!$B:$B, I565&amp;""), 
    IFERROR(MAXIFS(Aux_Datos!$A:$A, Aux_Datos!$B:$B, VALUE(I565)), "Revisar ID")
  )
)</f>
        <v>Sin Pago</v>
      </c>
      <c r="T565" s="35" t="str">
        <f t="shared" si="21"/>
        <v>PAGADA</v>
      </c>
      <c r="U565" s="35" t="str">
        <f t="shared" si="10"/>
        <v>SOLVENTE</v>
      </c>
      <c r="V565" s="32">
        <f t="shared" si="11"/>
        <v>0</v>
      </c>
      <c r="W565" s="36" t="str">
        <f>IF(P565=0, "Sin Pago", 
  LET(
    monedaPago, Q565, 
    descuentoAplicado, G565,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65" s="36" t="str">
        <f t="shared" si="12"/>
        <v/>
      </c>
      <c r="Y565" s="36">
        <v>0.0</v>
      </c>
      <c r="Z565" s="33" t="s">
        <v>892</v>
      </c>
      <c r="AA565" s="33"/>
      <c r="AB565" s="33"/>
      <c r="AC565" s="33"/>
      <c r="AD565" s="33"/>
      <c r="AE565" s="33"/>
      <c r="AF565" s="33"/>
    </row>
    <row r="566" ht="22.5" customHeight="1">
      <c r="A566" s="23"/>
      <c r="B566" s="41"/>
      <c r="C566" s="23"/>
      <c r="D566" s="23"/>
      <c r="E566" s="25"/>
      <c r="F566" s="23"/>
      <c r="G566" s="27"/>
      <c r="H566" s="27"/>
      <c r="I566" s="28">
        <f t="shared" si="20"/>
        <v>0</v>
      </c>
      <c r="J566" s="29">
        <f t="shared" si="2"/>
        <v>0</v>
      </c>
      <c r="K566" s="30" t="str">
        <f t="shared" si="3"/>
        <v/>
      </c>
      <c r="L566" s="29">
        <f t="shared" si="4"/>
        <v>1</v>
      </c>
      <c r="M566" s="30">
        <f t="shared" si="5"/>
        <v>0</v>
      </c>
      <c r="N566" s="32">
        <f t="shared" si="6"/>
        <v>0</v>
      </c>
      <c r="O566" s="33" t="str">
        <f t="shared" si="7"/>
        <v>PAGADA</v>
      </c>
      <c r="P566" s="34">
        <f>LET(
  idVenta, I566&amp;"",
  montoTotal, M566,
  pagos, IFERROR(SUMIF(Aux_Datos!$B:$B, idVenta, Aux_Datos!$K:$K), 0),
  retenciones, IFERROR(SUMIF(Aux_Datos!$N:$N, idVenta, Aux_Datos!$R:$R), 0),
  pagos + retenciones
)</f>
        <v>0</v>
      </c>
      <c r="Q566" s="30" t="str">
        <f>IF(P566=0, "Sin Pago", 
  LET(
    idVenta, I566&amp;"",
    montoTotalPagado, P566,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66" s="30">
        <f t="shared" si="23"/>
        <v>0</v>
      </c>
      <c r="S566" s="29" t="str">
        <f>IF(P566=0, "Sin Pago", 
  IFERROR(
    MAXIFS(Aux_Datos!$A:$A, Aux_Datos!$B:$B, I566&amp;""), 
    IFERROR(MAXIFS(Aux_Datos!$A:$A, Aux_Datos!$B:$B, VALUE(I566)), "Revisar ID")
  )
)</f>
        <v>Sin Pago</v>
      </c>
      <c r="T566" s="35" t="str">
        <f t="shared" si="21"/>
        <v>PAGADA</v>
      </c>
      <c r="U566" s="35" t="str">
        <f t="shared" si="10"/>
        <v>SOLVENTE</v>
      </c>
      <c r="V566" s="32">
        <f t="shared" si="11"/>
        <v>0</v>
      </c>
      <c r="W566" s="36" t="str">
        <f>IF(P566=0, "Sin Pago", 
  LET(
    monedaPago, Q566, 
    descuentoAplicado, G566,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66" s="36" t="str">
        <f t="shared" si="12"/>
        <v/>
      </c>
      <c r="Y566" s="36">
        <v>0.0</v>
      </c>
      <c r="Z566" s="33" t="s">
        <v>892</v>
      </c>
      <c r="AA566" s="33"/>
      <c r="AB566" s="33"/>
      <c r="AC566" s="33"/>
      <c r="AD566" s="33"/>
      <c r="AE566" s="33"/>
      <c r="AF566" s="33"/>
    </row>
    <row r="567" ht="22.5" customHeight="1">
      <c r="A567" s="23"/>
      <c r="B567" s="41"/>
      <c r="C567" s="23"/>
      <c r="D567" s="23"/>
      <c r="E567" s="25"/>
      <c r="F567" s="23"/>
      <c r="G567" s="27"/>
      <c r="H567" s="27"/>
      <c r="I567" s="28">
        <f t="shared" si="20"/>
        <v>0</v>
      </c>
      <c r="J567" s="29">
        <f t="shared" si="2"/>
        <v>0</v>
      </c>
      <c r="K567" s="30" t="str">
        <f t="shared" si="3"/>
        <v/>
      </c>
      <c r="L567" s="29">
        <f t="shared" si="4"/>
        <v>1</v>
      </c>
      <c r="M567" s="30">
        <f t="shared" si="5"/>
        <v>0</v>
      </c>
      <c r="N567" s="32">
        <f t="shared" si="6"/>
        <v>0</v>
      </c>
      <c r="O567" s="33" t="str">
        <f t="shared" si="7"/>
        <v>PAGADA</v>
      </c>
      <c r="P567" s="34">
        <f>LET(
  idVenta, I567&amp;"",
  montoTotal, M567,
  pagos, IFERROR(SUMIF(Aux_Datos!$B:$B, idVenta, Aux_Datos!$K:$K), 0),
  retenciones, IFERROR(SUMIF(Aux_Datos!$N:$N, idVenta, Aux_Datos!$R:$R), 0),
  pagos + retenciones
)</f>
        <v>0</v>
      </c>
      <c r="Q567" s="30" t="str">
        <f>IF(P567=0, "Sin Pago", 
  LET(
    idVenta, I567&amp;"",
    montoTotalPagado, P567,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67" s="30">
        <f t="shared" si="23"/>
        <v>0</v>
      </c>
      <c r="S567" s="29" t="str">
        <f>IF(P567=0, "Sin Pago", 
  IFERROR(
    MAXIFS(Aux_Datos!$A:$A, Aux_Datos!$B:$B, I567&amp;""), 
    IFERROR(MAXIFS(Aux_Datos!$A:$A, Aux_Datos!$B:$B, VALUE(I567)), "Revisar ID")
  )
)</f>
        <v>Sin Pago</v>
      </c>
      <c r="T567" s="35" t="str">
        <f t="shared" si="21"/>
        <v>PAGADA</v>
      </c>
      <c r="U567" s="35" t="str">
        <f t="shared" si="10"/>
        <v>SOLVENTE</v>
      </c>
      <c r="V567" s="32">
        <f t="shared" si="11"/>
        <v>0</v>
      </c>
      <c r="W567" s="36" t="str">
        <f>IF(P567=0, "Sin Pago", 
  LET(
    monedaPago, Q567, 
    descuentoAplicado, G567,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67" s="36" t="str">
        <f t="shared" si="12"/>
        <v/>
      </c>
      <c r="Y567" s="36">
        <v>0.0</v>
      </c>
      <c r="Z567" s="33" t="s">
        <v>892</v>
      </c>
      <c r="AA567" s="33"/>
      <c r="AB567" s="33"/>
      <c r="AC567" s="33"/>
      <c r="AD567" s="33"/>
      <c r="AE567" s="33"/>
      <c r="AF567" s="33"/>
    </row>
    <row r="568" ht="22.5" customHeight="1">
      <c r="A568" s="23"/>
      <c r="B568" s="41"/>
      <c r="C568" s="23"/>
      <c r="D568" s="23"/>
      <c r="E568" s="25"/>
      <c r="F568" s="23"/>
      <c r="G568" s="27"/>
      <c r="H568" s="27"/>
      <c r="I568" s="28">
        <f t="shared" si="20"/>
        <v>0</v>
      </c>
      <c r="J568" s="29">
        <f t="shared" si="2"/>
        <v>0</v>
      </c>
      <c r="K568" s="30" t="str">
        <f t="shared" si="3"/>
        <v/>
      </c>
      <c r="L568" s="29">
        <f t="shared" si="4"/>
        <v>1</v>
      </c>
      <c r="M568" s="30">
        <f t="shared" si="5"/>
        <v>0</v>
      </c>
      <c r="N568" s="32">
        <f t="shared" si="6"/>
        <v>0</v>
      </c>
      <c r="O568" s="33" t="str">
        <f t="shared" si="7"/>
        <v>PAGADA</v>
      </c>
      <c r="P568" s="34">
        <f>LET(
  idVenta, I568&amp;"",
  montoTotal, M568,
  pagos, IFERROR(SUMIF(Aux_Datos!$B:$B, idVenta, Aux_Datos!$K:$K), 0),
  retenciones, IFERROR(SUMIF(Aux_Datos!$N:$N, idVenta, Aux_Datos!$R:$R), 0),
  pagos + retenciones
)</f>
        <v>0</v>
      </c>
      <c r="Q568" s="30" t="str">
        <f>IF(P568=0, "Sin Pago", 
  LET(
    idVenta, I568&amp;"",
    montoTotalPagado, P568,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68" s="30">
        <f t="shared" si="23"/>
        <v>0</v>
      </c>
      <c r="S568" s="29" t="str">
        <f>IF(P568=0, "Sin Pago", 
  IFERROR(
    MAXIFS(Aux_Datos!$A:$A, Aux_Datos!$B:$B, I568&amp;""), 
    IFERROR(MAXIFS(Aux_Datos!$A:$A, Aux_Datos!$B:$B, VALUE(I568)), "Revisar ID")
  )
)</f>
        <v>Sin Pago</v>
      </c>
      <c r="T568" s="35" t="str">
        <f t="shared" si="21"/>
        <v>PAGADA</v>
      </c>
      <c r="U568" s="35" t="str">
        <f t="shared" si="10"/>
        <v>SOLVENTE</v>
      </c>
      <c r="V568" s="32">
        <f t="shared" si="11"/>
        <v>0</v>
      </c>
      <c r="W568" s="36" t="str">
        <f>IF(P568=0, "Sin Pago", 
  LET(
    monedaPago, Q568, 
    descuentoAplicado, G568,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68" s="36" t="str">
        <f t="shared" si="12"/>
        <v/>
      </c>
      <c r="Y568" s="36">
        <v>0.0</v>
      </c>
      <c r="Z568" s="33" t="s">
        <v>892</v>
      </c>
      <c r="AA568" s="33"/>
      <c r="AB568" s="33"/>
      <c r="AC568" s="33"/>
      <c r="AD568" s="33"/>
      <c r="AE568" s="33"/>
      <c r="AF568" s="33"/>
    </row>
    <row r="569" ht="22.5" customHeight="1">
      <c r="A569" s="23"/>
      <c r="B569" s="41"/>
      <c r="C569" s="23"/>
      <c r="D569" s="23"/>
      <c r="E569" s="25"/>
      <c r="F569" s="23"/>
      <c r="G569" s="27"/>
      <c r="H569" s="27"/>
      <c r="I569" s="28">
        <f t="shared" si="20"/>
        <v>0</v>
      </c>
      <c r="J569" s="29">
        <f t="shared" si="2"/>
        <v>0</v>
      </c>
      <c r="K569" s="30" t="str">
        <f t="shared" si="3"/>
        <v/>
      </c>
      <c r="L569" s="29">
        <f t="shared" si="4"/>
        <v>1</v>
      </c>
      <c r="M569" s="30">
        <f t="shared" si="5"/>
        <v>0</v>
      </c>
      <c r="N569" s="32">
        <f t="shared" si="6"/>
        <v>0</v>
      </c>
      <c r="O569" s="33" t="str">
        <f t="shared" si="7"/>
        <v>PAGADA</v>
      </c>
      <c r="P569" s="34">
        <f>LET(
  idVenta, I569&amp;"",
  montoTotal, M569,
  pagos, IFERROR(SUMIF(Aux_Datos!$B:$B, idVenta, Aux_Datos!$K:$K), 0),
  retenciones, IFERROR(SUMIF(Aux_Datos!$N:$N, idVenta, Aux_Datos!$R:$R), 0),
  pagos + retenciones
)</f>
        <v>0</v>
      </c>
      <c r="Q569" s="30" t="str">
        <f>IF(P569=0, "Sin Pago", 
  LET(
    idVenta, I569&amp;"",
    montoTotalPagado, P569,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69" s="30">
        <f t="shared" si="23"/>
        <v>0</v>
      </c>
      <c r="S569" s="29" t="str">
        <f>IF(P569=0, "Sin Pago", 
  IFERROR(
    MAXIFS(Aux_Datos!$A:$A, Aux_Datos!$B:$B, I569&amp;""), 
    IFERROR(MAXIFS(Aux_Datos!$A:$A, Aux_Datos!$B:$B, VALUE(I569)), "Revisar ID")
  )
)</f>
        <v>Sin Pago</v>
      </c>
      <c r="T569" s="35" t="str">
        <f t="shared" si="21"/>
        <v>PAGADA</v>
      </c>
      <c r="U569" s="35" t="str">
        <f t="shared" si="10"/>
        <v>SOLVENTE</v>
      </c>
      <c r="V569" s="32">
        <f t="shared" si="11"/>
        <v>0</v>
      </c>
      <c r="W569" s="36" t="str">
        <f>IF(P569=0, "Sin Pago", 
  LET(
    monedaPago, Q569, 
    descuentoAplicado, G569,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69" s="36" t="str">
        <f t="shared" si="12"/>
        <v/>
      </c>
      <c r="Y569" s="36">
        <v>0.0</v>
      </c>
      <c r="Z569" s="33" t="s">
        <v>892</v>
      </c>
      <c r="AA569" s="33"/>
      <c r="AB569" s="33"/>
      <c r="AC569" s="33"/>
      <c r="AD569" s="33"/>
      <c r="AE569" s="33"/>
      <c r="AF569" s="33"/>
    </row>
    <row r="570" ht="22.5" customHeight="1">
      <c r="A570" s="23"/>
      <c r="B570" s="41"/>
      <c r="C570" s="23"/>
      <c r="D570" s="23"/>
      <c r="E570" s="25"/>
      <c r="F570" s="23"/>
      <c r="G570" s="27"/>
      <c r="H570" s="27"/>
      <c r="I570" s="28">
        <f t="shared" si="20"/>
        <v>0</v>
      </c>
      <c r="J570" s="29">
        <f t="shared" si="2"/>
        <v>0</v>
      </c>
      <c r="K570" s="30" t="str">
        <f t="shared" si="3"/>
        <v/>
      </c>
      <c r="L570" s="29">
        <f t="shared" si="4"/>
        <v>1</v>
      </c>
      <c r="M570" s="30">
        <f t="shared" si="5"/>
        <v>0</v>
      </c>
      <c r="N570" s="32">
        <f t="shared" si="6"/>
        <v>0</v>
      </c>
      <c r="O570" s="33" t="str">
        <f t="shared" si="7"/>
        <v>PAGADA</v>
      </c>
      <c r="P570" s="34">
        <f>LET(
  idVenta, I570&amp;"",
  montoTotal, M570,
  pagos, IFERROR(SUMIF(Aux_Datos!$B:$B, idVenta, Aux_Datos!$K:$K), 0),
  retenciones, IFERROR(SUMIF(Aux_Datos!$N:$N, idVenta, Aux_Datos!$R:$R), 0),
  pagos + retenciones
)</f>
        <v>0</v>
      </c>
      <c r="Q570" s="30" t="str">
        <f>IF(P570=0, "Sin Pago", 
  LET(
    idVenta, I570&amp;"",
    montoTotalPagado, P570,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70" s="30">
        <f t="shared" si="23"/>
        <v>0</v>
      </c>
      <c r="S570" s="29" t="str">
        <f>IF(P570=0, "Sin Pago", 
  IFERROR(
    MAXIFS(Aux_Datos!$A:$A, Aux_Datos!$B:$B, I570&amp;""), 
    IFERROR(MAXIFS(Aux_Datos!$A:$A, Aux_Datos!$B:$B, VALUE(I570)), "Revisar ID")
  )
)</f>
        <v>Sin Pago</v>
      </c>
      <c r="T570" s="35" t="str">
        <f t="shared" si="21"/>
        <v>PAGADA</v>
      </c>
      <c r="U570" s="35" t="str">
        <f t="shared" si="10"/>
        <v>SOLVENTE</v>
      </c>
      <c r="V570" s="32">
        <f t="shared" si="11"/>
        <v>0</v>
      </c>
      <c r="W570" s="36" t="str">
        <f>IF(P570=0, "Sin Pago", 
  LET(
    monedaPago, Q570, 
    descuentoAplicado, G570,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70" s="36" t="str">
        <f t="shared" si="12"/>
        <v/>
      </c>
      <c r="Y570" s="36">
        <v>0.0</v>
      </c>
      <c r="Z570" s="33" t="s">
        <v>892</v>
      </c>
      <c r="AA570" s="33"/>
      <c r="AB570" s="33"/>
      <c r="AC570" s="33"/>
      <c r="AD570" s="33"/>
      <c r="AE570" s="33"/>
      <c r="AF570" s="33"/>
    </row>
    <row r="571" ht="22.5" customHeight="1">
      <c r="A571" s="23"/>
      <c r="B571" s="41"/>
      <c r="C571" s="23"/>
      <c r="D571" s="23"/>
      <c r="E571" s="25"/>
      <c r="F571" s="23"/>
      <c r="G571" s="27"/>
      <c r="H571" s="27"/>
      <c r="I571" s="28">
        <f t="shared" si="20"/>
        <v>0</v>
      </c>
      <c r="J571" s="29">
        <f t="shared" si="2"/>
        <v>0</v>
      </c>
      <c r="K571" s="30" t="str">
        <f t="shared" si="3"/>
        <v/>
      </c>
      <c r="L571" s="29">
        <f t="shared" si="4"/>
        <v>1</v>
      </c>
      <c r="M571" s="30">
        <f t="shared" si="5"/>
        <v>0</v>
      </c>
      <c r="N571" s="32">
        <f t="shared" si="6"/>
        <v>0</v>
      </c>
      <c r="O571" s="33" t="str">
        <f t="shared" si="7"/>
        <v>PAGADA</v>
      </c>
      <c r="P571" s="34">
        <f>LET(
  idVenta, I571&amp;"",
  montoTotal, M571,
  pagos, IFERROR(SUMIF(Aux_Datos!$B:$B, idVenta, Aux_Datos!$K:$K), 0),
  retenciones, IFERROR(SUMIF(Aux_Datos!$N:$N, idVenta, Aux_Datos!$R:$R), 0),
  pagos + retenciones
)</f>
        <v>0</v>
      </c>
      <c r="Q571" s="30" t="str">
        <f>IF(P571=0, "Sin Pago", 
  LET(
    idVenta, I571&amp;"",
    montoTotalPagado, P571,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71" s="30">
        <f t="shared" si="23"/>
        <v>0</v>
      </c>
      <c r="S571" s="29" t="str">
        <f>IF(P571=0, "Sin Pago", 
  IFERROR(
    MAXIFS(Aux_Datos!$A:$A, Aux_Datos!$B:$B, I571&amp;""), 
    IFERROR(MAXIFS(Aux_Datos!$A:$A, Aux_Datos!$B:$B, VALUE(I571)), "Revisar ID")
  )
)</f>
        <v>Sin Pago</v>
      </c>
      <c r="T571" s="35" t="str">
        <f t="shared" si="21"/>
        <v>PAGADA</v>
      </c>
      <c r="U571" s="35" t="str">
        <f t="shared" si="10"/>
        <v>SOLVENTE</v>
      </c>
      <c r="V571" s="32">
        <f t="shared" si="11"/>
        <v>0</v>
      </c>
      <c r="W571" s="36" t="str">
        <f>IF(P571=0, "Sin Pago", 
  LET(
    monedaPago, Q571, 
    descuentoAplicado, G571,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71" s="36" t="str">
        <f t="shared" si="12"/>
        <v/>
      </c>
      <c r="Y571" s="36">
        <v>0.0</v>
      </c>
      <c r="Z571" s="33" t="s">
        <v>892</v>
      </c>
      <c r="AA571" s="33"/>
      <c r="AB571" s="33"/>
      <c r="AC571" s="33"/>
      <c r="AD571" s="33"/>
      <c r="AE571" s="33"/>
      <c r="AF571" s="33"/>
    </row>
    <row r="572" ht="22.5" customHeight="1">
      <c r="A572" s="23"/>
      <c r="B572" s="41"/>
      <c r="C572" s="23"/>
      <c r="D572" s="23"/>
      <c r="E572" s="25"/>
      <c r="F572" s="23"/>
      <c r="G572" s="27"/>
      <c r="H572" s="27"/>
      <c r="I572" s="28">
        <f t="shared" si="20"/>
        <v>0</v>
      </c>
      <c r="J572" s="29">
        <f t="shared" si="2"/>
        <v>0</v>
      </c>
      <c r="K572" s="30" t="str">
        <f t="shared" si="3"/>
        <v/>
      </c>
      <c r="L572" s="29">
        <f t="shared" si="4"/>
        <v>1</v>
      </c>
      <c r="M572" s="30">
        <f t="shared" si="5"/>
        <v>0</v>
      </c>
      <c r="N572" s="32">
        <f t="shared" si="6"/>
        <v>0</v>
      </c>
      <c r="O572" s="33" t="str">
        <f t="shared" si="7"/>
        <v>PAGADA</v>
      </c>
      <c r="P572" s="34">
        <f>LET(
  idVenta, I572&amp;"",
  montoTotal, M572,
  pagos, IFERROR(SUMIF(Aux_Datos!$B:$B, idVenta, Aux_Datos!$K:$K), 0),
  retenciones, IFERROR(SUMIF(Aux_Datos!$N:$N, idVenta, Aux_Datos!$R:$R), 0),
  pagos + retenciones
)</f>
        <v>0</v>
      </c>
      <c r="Q572" s="30" t="str">
        <f>IF(P572=0, "Sin Pago", 
  LET(
    idVenta, I572&amp;"",
    montoTotalPagado, P572,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72" s="30">
        <f t="shared" si="23"/>
        <v>0</v>
      </c>
      <c r="S572" s="29" t="str">
        <f>IF(P572=0, "Sin Pago", 
  IFERROR(
    MAXIFS(Aux_Datos!$A:$A, Aux_Datos!$B:$B, I572&amp;""), 
    IFERROR(MAXIFS(Aux_Datos!$A:$A, Aux_Datos!$B:$B, VALUE(I572)), "Revisar ID")
  )
)</f>
        <v>Sin Pago</v>
      </c>
      <c r="T572" s="35" t="str">
        <f t="shared" si="21"/>
        <v>PAGADA</v>
      </c>
      <c r="U572" s="35" t="str">
        <f t="shared" si="10"/>
        <v>SOLVENTE</v>
      </c>
      <c r="V572" s="32">
        <f t="shared" si="11"/>
        <v>0</v>
      </c>
      <c r="W572" s="36" t="str">
        <f>IF(P572=0, "Sin Pago", 
  LET(
    monedaPago, Q572, 
    descuentoAplicado, G572,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72" s="36" t="str">
        <f t="shared" si="12"/>
        <v/>
      </c>
      <c r="Y572" s="36">
        <v>0.0</v>
      </c>
      <c r="Z572" s="33" t="s">
        <v>892</v>
      </c>
      <c r="AA572" s="33"/>
      <c r="AB572" s="33"/>
      <c r="AC572" s="33"/>
      <c r="AD572" s="33"/>
      <c r="AE572" s="33"/>
      <c r="AF572" s="33"/>
    </row>
    <row r="573" ht="22.5" customHeight="1">
      <c r="A573" s="23"/>
      <c r="B573" s="41"/>
      <c r="C573" s="23"/>
      <c r="D573" s="23"/>
      <c r="E573" s="25"/>
      <c r="F573" s="23"/>
      <c r="G573" s="27"/>
      <c r="H573" s="27"/>
      <c r="I573" s="28">
        <f t="shared" si="20"/>
        <v>0</v>
      </c>
      <c r="J573" s="29">
        <f t="shared" si="2"/>
        <v>0</v>
      </c>
      <c r="K573" s="30" t="str">
        <f t="shared" si="3"/>
        <v/>
      </c>
      <c r="L573" s="29">
        <f t="shared" si="4"/>
        <v>1</v>
      </c>
      <c r="M573" s="30">
        <f t="shared" si="5"/>
        <v>0</v>
      </c>
      <c r="N573" s="32">
        <f t="shared" si="6"/>
        <v>0</v>
      </c>
      <c r="O573" s="33" t="str">
        <f t="shared" si="7"/>
        <v>PAGADA</v>
      </c>
      <c r="P573" s="34">
        <f>LET(
  idVenta, I573&amp;"",
  montoTotal, M573,
  pagos, IFERROR(SUMIF(Aux_Datos!$B:$B, idVenta, Aux_Datos!$K:$K), 0),
  retenciones, IFERROR(SUMIF(Aux_Datos!$N:$N, idVenta, Aux_Datos!$R:$R), 0),
  pagos + retenciones
)</f>
        <v>0</v>
      </c>
      <c r="Q573" s="30" t="str">
        <f>IF(P573=0, "Sin Pago", 
  LET(
    idVenta, I573&amp;"",
    montoTotalPagado, P573,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73" s="30">
        <f t="shared" si="23"/>
        <v>0</v>
      </c>
      <c r="S573" s="29" t="str">
        <f>IF(P573=0, "Sin Pago", 
  IFERROR(
    MAXIFS(Aux_Datos!$A:$A, Aux_Datos!$B:$B, I573&amp;""), 
    IFERROR(MAXIFS(Aux_Datos!$A:$A, Aux_Datos!$B:$B, VALUE(I573)), "Revisar ID")
  )
)</f>
        <v>Sin Pago</v>
      </c>
      <c r="T573" s="35" t="str">
        <f t="shared" si="21"/>
        <v>PAGADA</v>
      </c>
      <c r="U573" s="35" t="str">
        <f t="shared" si="10"/>
        <v>SOLVENTE</v>
      </c>
      <c r="V573" s="32">
        <f t="shared" si="11"/>
        <v>0</v>
      </c>
      <c r="W573" s="36" t="str">
        <f>IF(P573=0, "Sin Pago", 
  LET(
    monedaPago, Q573, 
    descuentoAplicado, G573,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73" s="36" t="str">
        <f t="shared" si="12"/>
        <v/>
      </c>
      <c r="Y573" s="36">
        <v>0.0</v>
      </c>
      <c r="Z573" s="33" t="s">
        <v>892</v>
      </c>
      <c r="AA573" s="33"/>
      <c r="AB573" s="33"/>
      <c r="AC573" s="33"/>
      <c r="AD573" s="33"/>
      <c r="AE573" s="33"/>
      <c r="AF573" s="33"/>
    </row>
    <row r="574" ht="22.5" customHeight="1">
      <c r="A574" s="23"/>
      <c r="B574" s="41"/>
      <c r="C574" s="23"/>
      <c r="D574" s="23"/>
      <c r="E574" s="25"/>
      <c r="F574" s="23"/>
      <c r="G574" s="27"/>
      <c r="H574" s="27"/>
      <c r="I574" s="28">
        <f t="shared" si="20"/>
        <v>0</v>
      </c>
      <c r="J574" s="29">
        <f t="shared" si="2"/>
        <v>0</v>
      </c>
      <c r="K574" s="30" t="str">
        <f t="shared" si="3"/>
        <v/>
      </c>
      <c r="L574" s="29">
        <f t="shared" si="4"/>
        <v>1</v>
      </c>
      <c r="M574" s="30">
        <f t="shared" si="5"/>
        <v>0</v>
      </c>
      <c r="N574" s="32">
        <f t="shared" si="6"/>
        <v>0</v>
      </c>
      <c r="O574" s="33" t="str">
        <f t="shared" si="7"/>
        <v>PAGADA</v>
      </c>
      <c r="P574" s="34">
        <f>LET(
  idVenta, I574&amp;"",
  montoTotal, M574,
  pagos, IFERROR(SUMIF(Aux_Datos!$B:$B, idVenta, Aux_Datos!$K:$K), 0),
  retenciones, IFERROR(SUMIF(Aux_Datos!$N:$N, idVenta, Aux_Datos!$R:$R), 0),
  pagos + retenciones
)</f>
        <v>0</v>
      </c>
      <c r="Q574" s="30" t="str">
        <f>IF(P574=0, "Sin Pago", 
  LET(
    idVenta, I574&amp;"",
    montoTotalPagado, P574,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74" s="30">
        <f t="shared" si="23"/>
        <v>0</v>
      </c>
      <c r="S574" s="29" t="str">
        <f>IF(P574=0, "Sin Pago", 
  IFERROR(
    MAXIFS(Aux_Datos!$A:$A, Aux_Datos!$B:$B, I574&amp;""), 
    IFERROR(MAXIFS(Aux_Datos!$A:$A, Aux_Datos!$B:$B, VALUE(I574)), "Revisar ID")
  )
)</f>
        <v>Sin Pago</v>
      </c>
      <c r="T574" s="35" t="str">
        <f t="shared" si="21"/>
        <v>PAGADA</v>
      </c>
      <c r="U574" s="35" t="str">
        <f t="shared" si="10"/>
        <v>SOLVENTE</v>
      </c>
      <c r="V574" s="32">
        <f t="shared" si="11"/>
        <v>0</v>
      </c>
      <c r="W574" s="36" t="str">
        <f>IF(P574=0, "Sin Pago", 
  LET(
    monedaPago, Q574, 
    descuentoAplicado, G574,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74" s="36" t="str">
        <f t="shared" si="12"/>
        <v/>
      </c>
      <c r="Y574" s="36">
        <v>0.0</v>
      </c>
      <c r="Z574" s="33" t="s">
        <v>892</v>
      </c>
      <c r="AA574" s="33"/>
      <c r="AB574" s="33"/>
      <c r="AC574" s="33"/>
      <c r="AD574" s="33"/>
      <c r="AE574" s="33"/>
      <c r="AF574" s="33"/>
    </row>
    <row r="575" ht="22.5" customHeight="1">
      <c r="A575" s="23"/>
      <c r="B575" s="41"/>
      <c r="C575" s="23"/>
      <c r="D575" s="23"/>
      <c r="E575" s="25"/>
      <c r="F575" s="23"/>
      <c r="G575" s="27"/>
      <c r="H575" s="27"/>
      <c r="I575" s="28">
        <f t="shared" si="20"/>
        <v>0</v>
      </c>
      <c r="J575" s="29">
        <f t="shared" si="2"/>
        <v>0</v>
      </c>
      <c r="K575" s="30" t="str">
        <f t="shared" si="3"/>
        <v/>
      </c>
      <c r="L575" s="29">
        <f t="shared" si="4"/>
        <v>1</v>
      </c>
      <c r="M575" s="30">
        <f t="shared" si="5"/>
        <v>0</v>
      </c>
      <c r="N575" s="32">
        <f t="shared" si="6"/>
        <v>0</v>
      </c>
      <c r="O575" s="33" t="str">
        <f t="shared" si="7"/>
        <v>PAGADA</v>
      </c>
      <c r="P575" s="34">
        <f>LET(
  idVenta, I575&amp;"",
  montoTotal, M575,
  pagos, IFERROR(SUMIF(Aux_Datos!$B:$B, idVenta, Aux_Datos!$K:$K), 0),
  retenciones, IFERROR(SUMIF(Aux_Datos!$N:$N, idVenta, Aux_Datos!$R:$R), 0),
  pagos + retenciones
)</f>
        <v>0</v>
      </c>
      <c r="Q575" s="30" t="str">
        <f>IF(P575=0, "Sin Pago", 
  LET(
    idVenta, I575&amp;"",
    montoTotalPagado, P575,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75" s="30">
        <f t="shared" si="23"/>
        <v>0</v>
      </c>
      <c r="S575" s="29" t="str">
        <f>IF(P575=0, "Sin Pago", 
  IFERROR(
    MAXIFS(Aux_Datos!$A:$A, Aux_Datos!$B:$B, I575&amp;""), 
    IFERROR(MAXIFS(Aux_Datos!$A:$A, Aux_Datos!$B:$B, VALUE(I575)), "Revisar ID")
  )
)</f>
        <v>Sin Pago</v>
      </c>
      <c r="T575" s="35" t="str">
        <f t="shared" si="21"/>
        <v>PAGADA</v>
      </c>
      <c r="U575" s="35" t="str">
        <f t="shared" si="10"/>
        <v>SOLVENTE</v>
      </c>
      <c r="V575" s="32">
        <f t="shared" si="11"/>
        <v>0</v>
      </c>
      <c r="W575" s="36" t="str">
        <f>IF(P575=0, "Sin Pago", 
  LET(
    monedaPago, Q575, 
    descuentoAplicado, G575,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75" s="36" t="str">
        <f t="shared" si="12"/>
        <v/>
      </c>
      <c r="Y575" s="36">
        <v>0.0</v>
      </c>
      <c r="Z575" s="33" t="s">
        <v>892</v>
      </c>
      <c r="AA575" s="33"/>
      <c r="AB575" s="33"/>
      <c r="AC575" s="33"/>
      <c r="AD575" s="33"/>
      <c r="AE575" s="33"/>
      <c r="AF575" s="33"/>
    </row>
    <row r="576" ht="22.5" customHeight="1">
      <c r="A576" s="23"/>
      <c r="B576" s="41"/>
      <c r="C576" s="23"/>
      <c r="D576" s="23"/>
      <c r="E576" s="25"/>
      <c r="F576" s="23"/>
      <c r="G576" s="27"/>
      <c r="H576" s="27"/>
      <c r="I576" s="28">
        <f t="shared" si="20"/>
        <v>0</v>
      </c>
      <c r="J576" s="29">
        <f t="shared" si="2"/>
        <v>0</v>
      </c>
      <c r="K576" s="30" t="str">
        <f t="shared" si="3"/>
        <v/>
      </c>
      <c r="L576" s="29">
        <f t="shared" si="4"/>
        <v>1</v>
      </c>
      <c r="M576" s="30">
        <f t="shared" si="5"/>
        <v>0</v>
      </c>
      <c r="N576" s="32">
        <f t="shared" si="6"/>
        <v>0</v>
      </c>
      <c r="O576" s="33" t="str">
        <f t="shared" si="7"/>
        <v>PAGADA</v>
      </c>
      <c r="P576" s="34">
        <f>LET(
  idVenta, I576&amp;"",
  montoTotal, M576,
  pagos, IFERROR(SUMIF(Aux_Datos!$B:$B, idVenta, Aux_Datos!$K:$K), 0),
  retenciones, IFERROR(SUMIF(Aux_Datos!$N:$N, idVenta, Aux_Datos!$R:$R), 0),
  pagos + retenciones
)</f>
        <v>0</v>
      </c>
      <c r="Q576" s="30" t="str">
        <f>IF(P576=0, "Sin Pago", 
  LET(
    idVenta, I576&amp;"",
    montoTotalPagado, P576,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76" s="30">
        <f t="shared" si="23"/>
        <v>0</v>
      </c>
      <c r="S576" s="29" t="str">
        <f>IF(P576=0, "Sin Pago", 
  IFERROR(
    MAXIFS(Aux_Datos!$A:$A, Aux_Datos!$B:$B, I576&amp;""), 
    IFERROR(MAXIFS(Aux_Datos!$A:$A, Aux_Datos!$B:$B, VALUE(I576)), "Revisar ID")
  )
)</f>
        <v>Sin Pago</v>
      </c>
      <c r="T576" s="35" t="str">
        <f t="shared" si="21"/>
        <v>PAGADA</v>
      </c>
      <c r="U576" s="35" t="str">
        <f t="shared" si="10"/>
        <v>SOLVENTE</v>
      </c>
      <c r="V576" s="32">
        <f t="shared" si="11"/>
        <v>0</v>
      </c>
      <c r="W576" s="36" t="str">
        <f>IF(P576=0, "Sin Pago", 
  LET(
    monedaPago, Q576, 
    descuentoAplicado, G576,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76" s="36" t="str">
        <f t="shared" si="12"/>
        <v/>
      </c>
      <c r="Y576" s="36">
        <v>0.0</v>
      </c>
      <c r="Z576" s="33" t="s">
        <v>892</v>
      </c>
      <c r="AA576" s="33"/>
      <c r="AB576" s="33"/>
      <c r="AC576" s="33"/>
      <c r="AD576" s="33"/>
      <c r="AE576" s="33"/>
      <c r="AF576" s="33"/>
    </row>
    <row r="577" ht="22.5" customHeight="1">
      <c r="A577" s="23"/>
      <c r="B577" s="41"/>
      <c r="C577" s="23"/>
      <c r="D577" s="23"/>
      <c r="E577" s="25"/>
      <c r="F577" s="23"/>
      <c r="G577" s="27"/>
      <c r="H577" s="27"/>
      <c r="I577" s="28">
        <f t="shared" si="20"/>
        <v>0</v>
      </c>
      <c r="J577" s="29">
        <f t="shared" si="2"/>
        <v>0</v>
      </c>
      <c r="K577" s="30" t="str">
        <f t="shared" si="3"/>
        <v/>
      </c>
      <c r="L577" s="29">
        <f t="shared" si="4"/>
        <v>1</v>
      </c>
      <c r="M577" s="30">
        <f t="shared" si="5"/>
        <v>0</v>
      </c>
      <c r="N577" s="32">
        <f t="shared" si="6"/>
        <v>0</v>
      </c>
      <c r="O577" s="33" t="str">
        <f t="shared" si="7"/>
        <v>PAGADA</v>
      </c>
      <c r="P577" s="34">
        <f>LET(
  idVenta, I577&amp;"",
  montoTotal, M577,
  pagos, IFERROR(SUMIF(Aux_Datos!$B:$B, idVenta, Aux_Datos!$K:$K), 0),
  retenciones, IFERROR(SUMIF(Aux_Datos!$N:$N, idVenta, Aux_Datos!$R:$R), 0),
  pagos + retenciones
)</f>
        <v>0</v>
      </c>
      <c r="Q577" s="30" t="str">
        <f>IF(P577=0, "Sin Pago", 
  LET(
    idVenta, I577&amp;"",
    montoTotalPagado, P577,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77" s="30">
        <f t="shared" si="23"/>
        <v>0</v>
      </c>
      <c r="S577" s="29" t="str">
        <f>IF(P577=0, "Sin Pago", 
  IFERROR(
    MAXIFS(Aux_Datos!$A:$A, Aux_Datos!$B:$B, I577&amp;""), 
    IFERROR(MAXIFS(Aux_Datos!$A:$A, Aux_Datos!$B:$B, VALUE(I577)), "Revisar ID")
  )
)</f>
        <v>Sin Pago</v>
      </c>
      <c r="T577" s="35" t="str">
        <f t="shared" si="21"/>
        <v>PAGADA</v>
      </c>
      <c r="U577" s="35" t="str">
        <f t="shared" si="10"/>
        <v>SOLVENTE</v>
      </c>
      <c r="V577" s="32">
        <f t="shared" si="11"/>
        <v>0</v>
      </c>
      <c r="W577" s="36" t="str">
        <f>IF(P577=0, "Sin Pago", 
  LET(
    monedaPago, Q577, 
    descuentoAplicado, G577,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77" s="36" t="str">
        <f t="shared" si="12"/>
        <v/>
      </c>
      <c r="Y577" s="36">
        <v>0.0</v>
      </c>
      <c r="Z577" s="33" t="s">
        <v>892</v>
      </c>
      <c r="AA577" s="33"/>
      <c r="AB577" s="33"/>
      <c r="AC577" s="33"/>
      <c r="AD577" s="33"/>
      <c r="AE577" s="33"/>
      <c r="AF577" s="33"/>
    </row>
    <row r="578" ht="22.5" customHeight="1">
      <c r="A578" s="23"/>
      <c r="B578" s="41"/>
      <c r="C578" s="23"/>
      <c r="D578" s="23"/>
      <c r="E578" s="25"/>
      <c r="F578" s="23"/>
      <c r="G578" s="27"/>
      <c r="H578" s="27"/>
      <c r="I578" s="28">
        <f t="shared" si="20"/>
        <v>0</v>
      </c>
      <c r="J578" s="29">
        <f t="shared" si="2"/>
        <v>0</v>
      </c>
      <c r="K578" s="30" t="str">
        <f t="shared" si="3"/>
        <v/>
      </c>
      <c r="L578" s="29">
        <f t="shared" si="4"/>
        <v>1</v>
      </c>
      <c r="M578" s="30">
        <f t="shared" si="5"/>
        <v>0</v>
      </c>
      <c r="N578" s="32">
        <f t="shared" si="6"/>
        <v>0</v>
      </c>
      <c r="O578" s="33" t="str">
        <f t="shared" si="7"/>
        <v>PAGADA</v>
      </c>
      <c r="P578" s="34">
        <f>LET(
  idVenta, I578&amp;"",
  montoTotal, M578,
  pagos, IFERROR(SUMIF(Aux_Datos!$B:$B, idVenta, Aux_Datos!$K:$K), 0),
  retenciones, IFERROR(SUMIF(Aux_Datos!$N:$N, idVenta, Aux_Datos!$R:$R), 0),
  pagos + retenciones
)</f>
        <v>0</v>
      </c>
      <c r="Q578" s="30" t="str">
        <f>IF(P578=0, "Sin Pago", 
  LET(
    idVenta, I578&amp;"",
    montoTotalPagado, P578,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78" s="30">
        <f t="shared" si="23"/>
        <v>0</v>
      </c>
      <c r="S578" s="29" t="str">
        <f>IF(P578=0, "Sin Pago", 
  IFERROR(
    MAXIFS(Aux_Datos!$A:$A, Aux_Datos!$B:$B, I578&amp;""), 
    IFERROR(MAXIFS(Aux_Datos!$A:$A, Aux_Datos!$B:$B, VALUE(I578)), "Revisar ID")
  )
)</f>
        <v>Sin Pago</v>
      </c>
      <c r="T578" s="35" t="str">
        <f t="shared" si="21"/>
        <v>PAGADA</v>
      </c>
      <c r="U578" s="35" t="str">
        <f t="shared" si="10"/>
        <v>SOLVENTE</v>
      </c>
      <c r="V578" s="32">
        <f t="shared" si="11"/>
        <v>0</v>
      </c>
      <c r="W578" s="36" t="str">
        <f>IF(P578=0, "Sin Pago", 
  LET(
    monedaPago, Q578, 
    descuentoAplicado, G578,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78" s="36" t="str">
        <f t="shared" si="12"/>
        <v/>
      </c>
      <c r="Y578" s="36">
        <v>0.0</v>
      </c>
      <c r="Z578" s="33" t="s">
        <v>892</v>
      </c>
      <c r="AA578" s="33"/>
      <c r="AB578" s="33"/>
      <c r="AC578" s="33"/>
      <c r="AD578" s="33"/>
      <c r="AE578" s="33"/>
      <c r="AF578" s="33"/>
    </row>
    <row r="579" ht="22.5" customHeight="1">
      <c r="A579" s="23"/>
      <c r="B579" s="41"/>
      <c r="C579" s="23"/>
      <c r="D579" s="23"/>
      <c r="E579" s="25"/>
      <c r="F579" s="23"/>
      <c r="G579" s="27"/>
      <c r="H579" s="27"/>
      <c r="I579" s="28">
        <f t="shared" si="20"/>
        <v>0</v>
      </c>
      <c r="J579" s="29">
        <f t="shared" si="2"/>
        <v>0</v>
      </c>
      <c r="K579" s="30" t="str">
        <f t="shared" si="3"/>
        <v/>
      </c>
      <c r="L579" s="29">
        <f t="shared" si="4"/>
        <v>1</v>
      </c>
      <c r="M579" s="30">
        <f t="shared" si="5"/>
        <v>0</v>
      </c>
      <c r="N579" s="32">
        <f t="shared" si="6"/>
        <v>0</v>
      </c>
      <c r="O579" s="33" t="str">
        <f t="shared" si="7"/>
        <v>PAGADA</v>
      </c>
      <c r="P579" s="34">
        <f>LET(
  idVenta, I579&amp;"",
  montoTotal, M579,
  pagos, IFERROR(SUMIF(Aux_Datos!$B:$B, idVenta, Aux_Datos!$K:$K), 0),
  retenciones, IFERROR(SUMIF(Aux_Datos!$N:$N, idVenta, Aux_Datos!$R:$R), 0),
  pagos + retenciones
)</f>
        <v>0</v>
      </c>
      <c r="Q579" s="30" t="str">
        <f>IF(P579=0, "Sin Pago", 
  LET(
    idVenta, I579&amp;"",
    montoTotalPagado, P579,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79" s="30">
        <f t="shared" si="23"/>
        <v>0</v>
      </c>
      <c r="S579" s="29" t="str">
        <f>IF(P579=0, "Sin Pago", 
  IFERROR(
    MAXIFS(Aux_Datos!$A:$A, Aux_Datos!$B:$B, I579&amp;""), 
    IFERROR(MAXIFS(Aux_Datos!$A:$A, Aux_Datos!$B:$B, VALUE(I579)), "Revisar ID")
  )
)</f>
        <v>Sin Pago</v>
      </c>
      <c r="T579" s="35" t="str">
        <f t="shared" si="21"/>
        <v>PAGADA</v>
      </c>
      <c r="U579" s="35" t="str">
        <f t="shared" si="10"/>
        <v>SOLVENTE</v>
      </c>
      <c r="V579" s="32">
        <f t="shared" si="11"/>
        <v>0</v>
      </c>
      <c r="W579" s="36" t="str">
        <f>IF(P579=0, "Sin Pago", 
  LET(
    monedaPago, Q579, 
    descuentoAplicado, G579,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79" s="36" t="str">
        <f t="shared" si="12"/>
        <v/>
      </c>
      <c r="Y579" s="36">
        <v>0.0</v>
      </c>
      <c r="Z579" s="33" t="s">
        <v>892</v>
      </c>
      <c r="AA579" s="33"/>
      <c r="AB579" s="33"/>
      <c r="AC579" s="33"/>
      <c r="AD579" s="33"/>
      <c r="AE579" s="33"/>
      <c r="AF579" s="33"/>
    </row>
    <row r="580" ht="22.5" customHeight="1">
      <c r="A580" s="23"/>
      <c r="B580" s="41"/>
      <c r="C580" s="23"/>
      <c r="D580" s="23"/>
      <c r="E580" s="25"/>
      <c r="F580" s="23"/>
      <c r="G580" s="27"/>
      <c r="H580" s="27"/>
      <c r="I580" s="28">
        <f t="shared" si="20"/>
        <v>0</v>
      </c>
      <c r="J580" s="29">
        <f t="shared" si="2"/>
        <v>0</v>
      </c>
      <c r="K580" s="30" t="str">
        <f t="shared" si="3"/>
        <v/>
      </c>
      <c r="L580" s="29">
        <f t="shared" si="4"/>
        <v>1</v>
      </c>
      <c r="M580" s="30">
        <f t="shared" si="5"/>
        <v>0</v>
      </c>
      <c r="N580" s="32">
        <f t="shared" si="6"/>
        <v>0</v>
      </c>
      <c r="O580" s="33" t="str">
        <f t="shared" si="7"/>
        <v>PAGADA</v>
      </c>
      <c r="P580" s="34">
        <f>LET(
  idVenta, I580&amp;"",
  montoTotal, M580,
  pagos, IFERROR(SUMIF(Aux_Datos!$B:$B, idVenta, Aux_Datos!$K:$K), 0),
  retenciones, IFERROR(SUMIF(Aux_Datos!$N:$N, idVenta, Aux_Datos!$R:$R), 0),
  pagos + retenciones
)</f>
        <v>0</v>
      </c>
      <c r="Q580" s="30" t="str">
        <f>IF(P580=0, "Sin Pago", 
  LET(
    idVenta, I580&amp;"",
    montoTotalPagado, P580,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80" s="30">
        <f t="shared" si="23"/>
        <v>0</v>
      </c>
      <c r="S580" s="29" t="str">
        <f>IF(P580=0, "Sin Pago", 
  IFERROR(
    MAXIFS(Aux_Datos!$A:$A, Aux_Datos!$B:$B, I580&amp;""), 
    IFERROR(MAXIFS(Aux_Datos!$A:$A, Aux_Datos!$B:$B, VALUE(I580)), "Revisar ID")
  )
)</f>
        <v>Sin Pago</v>
      </c>
      <c r="T580" s="35" t="str">
        <f t="shared" si="21"/>
        <v>PAGADA</v>
      </c>
      <c r="U580" s="35" t="str">
        <f t="shared" si="10"/>
        <v>SOLVENTE</v>
      </c>
      <c r="V580" s="32">
        <f t="shared" si="11"/>
        <v>0</v>
      </c>
      <c r="W580" s="36" t="str">
        <f>IF(P580=0, "Sin Pago", 
  LET(
    monedaPago, Q580, 
    descuentoAplicado, G580,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80" s="36" t="str">
        <f t="shared" si="12"/>
        <v/>
      </c>
      <c r="Y580" s="36">
        <v>0.0</v>
      </c>
      <c r="Z580" s="33" t="s">
        <v>892</v>
      </c>
      <c r="AA580" s="33"/>
      <c r="AB580" s="33"/>
      <c r="AC580" s="33"/>
      <c r="AD580" s="33"/>
      <c r="AE580" s="33"/>
      <c r="AF580" s="33"/>
    </row>
    <row r="581" ht="22.5" customHeight="1">
      <c r="A581" s="23"/>
      <c r="B581" s="41"/>
      <c r="C581" s="23"/>
      <c r="D581" s="23"/>
      <c r="E581" s="25"/>
      <c r="F581" s="23"/>
      <c r="G581" s="27"/>
      <c r="H581" s="27"/>
      <c r="I581" s="28">
        <f t="shared" si="20"/>
        <v>0</v>
      </c>
      <c r="J581" s="29">
        <f t="shared" si="2"/>
        <v>0</v>
      </c>
      <c r="K581" s="30" t="str">
        <f t="shared" si="3"/>
        <v/>
      </c>
      <c r="L581" s="29">
        <f t="shared" si="4"/>
        <v>1</v>
      </c>
      <c r="M581" s="30">
        <f t="shared" si="5"/>
        <v>0</v>
      </c>
      <c r="N581" s="32">
        <f t="shared" si="6"/>
        <v>0</v>
      </c>
      <c r="O581" s="33" t="str">
        <f t="shared" si="7"/>
        <v>PAGADA</v>
      </c>
      <c r="P581" s="34">
        <f>LET(
  idVenta, I581&amp;"",
  montoTotal, M581,
  pagos, IFERROR(SUMIF(Aux_Datos!$B:$B, idVenta, Aux_Datos!$K:$K), 0),
  retenciones, IFERROR(SUMIF(Aux_Datos!$N:$N, idVenta, Aux_Datos!$R:$R), 0),
  pagos + retenciones
)</f>
        <v>0</v>
      </c>
      <c r="Q581" s="30" t="str">
        <f>IF(P581=0, "Sin Pago", 
  LET(
    idVenta, I581&amp;"",
    montoTotalPagado, P581,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81" s="30">
        <f t="shared" si="23"/>
        <v>0</v>
      </c>
      <c r="S581" s="29" t="str">
        <f>IF(P581=0, "Sin Pago", 
  IFERROR(
    MAXIFS(Aux_Datos!$A:$A, Aux_Datos!$B:$B, I581&amp;""), 
    IFERROR(MAXIFS(Aux_Datos!$A:$A, Aux_Datos!$B:$B, VALUE(I581)), "Revisar ID")
  )
)</f>
        <v>Sin Pago</v>
      </c>
      <c r="T581" s="35" t="str">
        <f t="shared" si="21"/>
        <v>PAGADA</v>
      </c>
      <c r="U581" s="35" t="str">
        <f t="shared" si="10"/>
        <v>SOLVENTE</v>
      </c>
      <c r="V581" s="32">
        <f t="shared" si="11"/>
        <v>0</v>
      </c>
      <c r="W581" s="36" t="str">
        <f>IF(P581=0, "Sin Pago", 
  LET(
    monedaPago, Q581, 
    descuentoAplicado, G581,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81" s="36" t="str">
        <f t="shared" si="12"/>
        <v/>
      </c>
      <c r="Y581" s="36">
        <v>0.0</v>
      </c>
      <c r="Z581" s="33" t="s">
        <v>892</v>
      </c>
      <c r="AA581" s="33"/>
      <c r="AB581" s="33"/>
      <c r="AC581" s="33"/>
      <c r="AD581" s="33"/>
      <c r="AE581" s="33"/>
      <c r="AF581" s="33"/>
    </row>
    <row r="582" ht="22.5" customHeight="1">
      <c r="A582" s="23"/>
      <c r="B582" s="41"/>
      <c r="C582" s="23"/>
      <c r="D582" s="23"/>
      <c r="E582" s="25"/>
      <c r="F582" s="23"/>
      <c r="G582" s="27"/>
      <c r="H582" s="27"/>
      <c r="I582" s="28">
        <f t="shared" si="20"/>
        <v>0</v>
      </c>
      <c r="J582" s="29">
        <f t="shared" si="2"/>
        <v>0</v>
      </c>
      <c r="K582" s="30" t="str">
        <f t="shared" si="3"/>
        <v/>
      </c>
      <c r="L582" s="29">
        <f t="shared" si="4"/>
        <v>1</v>
      </c>
      <c r="M582" s="30">
        <f t="shared" si="5"/>
        <v>0</v>
      </c>
      <c r="N582" s="32">
        <f t="shared" si="6"/>
        <v>0</v>
      </c>
      <c r="O582" s="33" t="str">
        <f t="shared" si="7"/>
        <v>PAGADA</v>
      </c>
      <c r="P582" s="34">
        <f>LET(
  idVenta, I582&amp;"",
  montoTotal, M582,
  pagos, IFERROR(SUMIF(Aux_Datos!$B:$B, idVenta, Aux_Datos!$K:$K), 0),
  retenciones, IFERROR(SUMIF(Aux_Datos!$N:$N, idVenta, Aux_Datos!$R:$R), 0),
  pagos + retenciones
)</f>
        <v>0</v>
      </c>
      <c r="Q582" s="30" t="str">
        <f>IF(P582=0, "Sin Pago", 
  LET(
    idVenta, I582&amp;"",
    montoTotalPagado, P582,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82" s="30">
        <f t="shared" si="23"/>
        <v>0</v>
      </c>
      <c r="S582" s="29" t="str">
        <f>IF(P582=0, "Sin Pago", 
  IFERROR(
    MAXIFS(Aux_Datos!$A:$A, Aux_Datos!$B:$B, I582&amp;""), 
    IFERROR(MAXIFS(Aux_Datos!$A:$A, Aux_Datos!$B:$B, VALUE(I582)), "Revisar ID")
  )
)</f>
        <v>Sin Pago</v>
      </c>
      <c r="T582" s="35" t="str">
        <f t="shared" si="21"/>
        <v>PAGADA</v>
      </c>
      <c r="U582" s="35" t="str">
        <f t="shared" si="10"/>
        <v>SOLVENTE</v>
      </c>
      <c r="V582" s="32">
        <f t="shared" si="11"/>
        <v>0</v>
      </c>
      <c r="W582" s="36" t="str">
        <f>IF(P582=0, "Sin Pago", 
  LET(
    monedaPago, Q582, 
    descuentoAplicado, G582,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82" s="36" t="str">
        <f t="shared" si="12"/>
        <v/>
      </c>
      <c r="Y582" s="36">
        <v>0.0</v>
      </c>
      <c r="Z582" s="33" t="s">
        <v>892</v>
      </c>
      <c r="AA582" s="33"/>
      <c r="AB582" s="33"/>
      <c r="AC582" s="33"/>
      <c r="AD582" s="33"/>
      <c r="AE582" s="33"/>
      <c r="AF582" s="33"/>
    </row>
    <row r="583" ht="22.5" customHeight="1">
      <c r="A583" s="23"/>
      <c r="B583" s="41"/>
      <c r="C583" s="23"/>
      <c r="D583" s="23"/>
      <c r="E583" s="25"/>
      <c r="F583" s="23"/>
      <c r="G583" s="27"/>
      <c r="H583" s="27"/>
      <c r="I583" s="28">
        <f t="shared" si="20"/>
        <v>0</v>
      </c>
      <c r="J583" s="29">
        <f t="shared" si="2"/>
        <v>0</v>
      </c>
      <c r="K583" s="30" t="str">
        <f t="shared" si="3"/>
        <v/>
      </c>
      <c r="L583" s="29">
        <f t="shared" si="4"/>
        <v>1</v>
      </c>
      <c r="M583" s="30">
        <f t="shared" si="5"/>
        <v>0</v>
      </c>
      <c r="N583" s="32">
        <f t="shared" si="6"/>
        <v>0</v>
      </c>
      <c r="O583" s="33" t="str">
        <f t="shared" si="7"/>
        <v>PAGADA</v>
      </c>
      <c r="P583" s="34">
        <f>LET(
  idVenta, I583&amp;"",
  montoTotal, M583,
  pagos, IFERROR(SUMIF(Aux_Datos!$B:$B, idVenta, Aux_Datos!$K:$K), 0),
  retenciones, IFERROR(SUMIF(Aux_Datos!$N:$N, idVenta, Aux_Datos!$R:$R), 0),
  pagos + retenciones
)</f>
        <v>0</v>
      </c>
      <c r="Q583" s="30" t="str">
        <f>IF(P583=0, "Sin Pago", 
  LET(
    idVenta, I583&amp;"",
    montoTotalPagado, P583,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83" s="30">
        <f t="shared" si="23"/>
        <v>0</v>
      </c>
      <c r="S583" s="29" t="str">
        <f>IF(P583=0, "Sin Pago", 
  IFERROR(
    MAXIFS(Aux_Datos!$A:$A, Aux_Datos!$B:$B, I583&amp;""), 
    IFERROR(MAXIFS(Aux_Datos!$A:$A, Aux_Datos!$B:$B, VALUE(I583)), "Revisar ID")
  )
)</f>
        <v>Sin Pago</v>
      </c>
      <c r="T583" s="35" t="str">
        <f t="shared" si="21"/>
        <v>PAGADA</v>
      </c>
      <c r="U583" s="35" t="str">
        <f t="shared" si="10"/>
        <v>SOLVENTE</v>
      </c>
      <c r="V583" s="32">
        <f t="shared" si="11"/>
        <v>0</v>
      </c>
      <c r="W583" s="36" t="str">
        <f>IF(P583=0, "Sin Pago", 
  LET(
    monedaPago, Q583, 
    descuentoAplicado, G583,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83" s="36" t="str">
        <f t="shared" si="12"/>
        <v/>
      </c>
      <c r="Y583" s="36">
        <v>0.0</v>
      </c>
      <c r="Z583" s="33" t="s">
        <v>892</v>
      </c>
      <c r="AA583" s="33"/>
      <c r="AB583" s="33"/>
      <c r="AC583" s="33"/>
      <c r="AD583" s="33"/>
      <c r="AE583" s="33"/>
      <c r="AF583" s="33"/>
    </row>
    <row r="584" ht="22.5" customHeight="1">
      <c r="A584" s="23"/>
      <c r="B584" s="41"/>
      <c r="C584" s="23"/>
      <c r="D584" s="23"/>
      <c r="E584" s="25"/>
      <c r="F584" s="23"/>
      <c r="G584" s="27"/>
      <c r="H584" s="27"/>
      <c r="I584" s="28">
        <f t="shared" si="20"/>
        <v>0</v>
      </c>
      <c r="J584" s="29">
        <f t="shared" si="2"/>
        <v>0</v>
      </c>
      <c r="K584" s="30" t="str">
        <f t="shared" si="3"/>
        <v/>
      </c>
      <c r="L584" s="29">
        <f t="shared" si="4"/>
        <v>1</v>
      </c>
      <c r="M584" s="30">
        <f t="shared" si="5"/>
        <v>0</v>
      </c>
      <c r="N584" s="32">
        <f t="shared" si="6"/>
        <v>0</v>
      </c>
      <c r="O584" s="33" t="str">
        <f t="shared" si="7"/>
        <v>PAGADA</v>
      </c>
      <c r="P584" s="34">
        <f>LET(
  idVenta, I584&amp;"",
  montoTotal, M584,
  pagos, IFERROR(SUMIF(Aux_Datos!$B:$B, idVenta, Aux_Datos!$K:$K), 0),
  retenciones, IFERROR(SUMIF(Aux_Datos!$N:$N, idVenta, Aux_Datos!$R:$R), 0),
  pagos + retenciones
)</f>
        <v>0</v>
      </c>
      <c r="Q584" s="30" t="str">
        <f>IF(P584=0, "Sin Pago", 
  LET(
    idVenta, I584&amp;"",
    montoTotalPagado, P584,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84" s="30">
        <f t="shared" si="23"/>
        <v>0</v>
      </c>
      <c r="S584" s="29" t="str">
        <f>IF(P584=0, "Sin Pago", 
  IFERROR(
    MAXIFS(Aux_Datos!$A:$A, Aux_Datos!$B:$B, I584&amp;""), 
    IFERROR(MAXIFS(Aux_Datos!$A:$A, Aux_Datos!$B:$B, VALUE(I584)), "Revisar ID")
  )
)</f>
        <v>Sin Pago</v>
      </c>
      <c r="T584" s="35" t="str">
        <f t="shared" si="21"/>
        <v>PAGADA</v>
      </c>
      <c r="U584" s="35" t="str">
        <f t="shared" si="10"/>
        <v>SOLVENTE</v>
      </c>
      <c r="V584" s="32">
        <f t="shared" si="11"/>
        <v>0</v>
      </c>
      <c r="W584" s="36" t="str">
        <f>IF(P584=0, "Sin Pago", 
  LET(
    monedaPago, Q584, 
    descuentoAplicado, G584,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84" s="36" t="str">
        <f t="shared" si="12"/>
        <v/>
      </c>
      <c r="Y584" s="36">
        <v>0.0</v>
      </c>
      <c r="Z584" s="33" t="s">
        <v>892</v>
      </c>
      <c r="AA584" s="33"/>
      <c r="AB584" s="33"/>
      <c r="AC584" s="33"/>
      <c r="AD584" s="33"/>
      <c r="AE584" s="33"/>
      <c r="AF584" s="33"/>
    </row>
    <row r="585" ht="22.5" customHeight="1">
      <c r="A585" s="23"/>
      <c r="B585" s="41"/>
      <c r="C585" s="23"/>
      <c r="D585" s="23"/>
      <c r="E585" s="25"/>
      <c r="F585" s="23"/>
      <c r="G585" s="27"/>
      <c r="H585" s="27"/>
      <c r="I585" s="28">
        <f t="shared" si="20"/>
        <v>0</v>
      </c>
      <c r="J585" s="29">
        <f t="shared" si="2"/>
        <v>0</v>
      </c>
      <c r="K585" s="30" t="str">
        <f t="shared" si="3"/>
        <v/>
      </c>
      <c r="L585" s="29">
        <f t="shared" si="4"/>
        <v>1</v>
      </c>
      <c r="M585" s="30">
        <f t="shared" si="5"/>
        <v>0</v>
      </c>
      <c r="N585" s="32">
        <f t="shared" si="6"/>
        <v>0</v>
      </c>
      <c r="O585" s="33" t="str">
        <f t="shared" si="7"/>
        <v>PAGADA</v>
      </c>
      <c r="P585" s="34">
        <f>LET(
  idVenta, I585&amp;"",
  montoTotal, M585,
  pagos, IFERROR(SUMIF(Aux_Datos!$B:$B, idVenta, Aux_Datos!$K:$K), 0),
  retenciones, IFERROR(SUMIF(Aux_Datos!$N:$N, idVenta, Aux_Datos!$R:$R), 0),
  pagos + retenciones
)</f>
        <v>0</v>
      </c>
      <c r="Q585" s="30" t="str">
        <f>IF(P585=0, "Sin Pago", 
  LET(
    idVenta, I585&amp;"",
    montoTotalPagado, P585,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85" s="30">
        <f t="shared" si="23"/>
        <v>0</v>
      </c>
      <c r="S585" s="29" t="str">
        <f>IF(P585=0, "Sin Pago", 
  IFERROR(
    MAXIFS(Aux_Datos!$A:$A, Aux_Datos!$B:$B, I585&amp;""), 
    IFERROR(MAXIFS(Aux_Datos!$A:$A, Aux_Datos!$B:$B, VALUE(I585)), "Revisar ID")
  )
)</f>
        <v>Sin Pago</v>
      </c>
      <c r="T585" s="35" t="str">
        <f t="shared" si="21"/>
        <v>PAGADA</v>
      </c>
      <c r="U585" s="35" t="str">
        <f t="shared" si="10"/>
        <v>SOLVENTE</v>
      </c>
      <c r="V585" s="32">
        <f t="shared" si="11"/>
        <v>0</v>
      </c>
      <c r="W585" s="36" t="str">
        <f>IF(P585=0, "Sin Pago", 
  LET(
    monedaPago, Q585, 
    descuentoAplicado, G585,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85" s="36" t="str">
        <f t="shared" si="12"/>
        <v/>
      </c>
      <c r="Y585" s="36">
        <v>0.0</v>
      </c>
      <c r="Z585" s="33" t="s">
        <v>892</v>
      </c>
      <c r="AA585" s="33"/>
      <c r="AB585" s="33"/>
      <c r="AC585" s="33"/>
      <c r="AD585" s="33"/>
      <c r="AE585" s="33"/>
      <c r="AF585" s="33"/>
    </row>
    <row r="586" ht="22.5" customHeight="1">
      <c r="A586" s="23"/>
      <c r="B586" s="41"/>
      <c r="C586" s="23"/>
      <c r="D586" s="23"/>
      <c r="E586" s="25"/>
      <c r="F586" s="23"/>
      <c r="G586" s="27"/>
      <c r="H586" s="27"/>
      <c r="I586" s="28">
        <f t="shared" si="20"/>
        <v>0</v>
      </c>
      <c r="J586" s="29">
        <f t="shared" si="2"/>
        <v>0</v>
      </c>
      <c r="K586" s="30" t="str">
        <f t="shared" si="3"/>
        <v/>
      </c>
      <c r="L586" s="29">
        <f t="shared" si="4"/>
        <v>1</v>
      </c>
      <c r="M586" s="30">
        <f t="shared" si="5"/>
        <v>0</v>
      </c>
      <c r="N586" s="32">
        <f t="shared" si="6"/>
        <v>0</v>
      </c>
      <c r="O586" s="33" t="str">
        <f t="shared" si="7"/>
        <v>PAGADA</v>
      </c>
      <c r="P586" s="34">
        <f>LET(
  idVenta, I586&amp;"",
  montoTotal, M586,
  pagos, IFERROR(SUMIF(Aux_Datos!$B:$B, idVenta, Aux_Datos!$K:$K), 0),
  retenciones, IFERROR(SUMIF(Aux_Datos!$N:$N, idVenta, Aux_Datos!$R:$R), 0),
  pagos + retenciones
)</f>
        <v>0</v>
      </c>
      <c r="Q586" s="30" t="str">
        <f>IF(P586=0, "Sin Pago", 
  LET(
    idVenta, I586&amp;"",
    montoTotalPagado, P586,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86" s="30">
        <f t="shared" si="23"/>
        <v>0</v>
      </c>
      <c r="S586" s="29" t="str">
        <f>IF(P586=0, "Sin Pago", 
  IFERROR(
    MAXIFS(Aux_Datos!$A:$A, Aux_Datos!$B:$B, I586&amp;""), 
    IFERROR(MAXIFS(Aux_Datos!$A:$A, Aux_Datos!$B:$B, VALUE(I586)), "Revisar ID")
  )
)</f>
        <v>Sin Pago</v>
      </c>
      <c r="T586" s="35" t="str">
        <f t="shared" si="21"/>
        <v>PAGADA</v>
      </c>
      <c r="U586" s="35" t="str">
        <f t="shared" si="10"/>
        <v>SOLVENTE</v>
      </c>
      <c r="V586" s="32">
        <f t="shared" si="11"/>
        <v>0</v>
      </c>
      <c r="W586" s="36" t="str">
        <f>IF(P586=0, "Sin Pago", 
  LET(
    monedaPago, Q586, 
    descuentoAplicado, G586,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86" s="36" t="str">
        <f t="shared" si="12"/>
        <v/>
      </c>
      <c r="Y586" s="36">
        <v>0.0</v>
      </c>
      <c r="Z586" s="33" t="s">
        <v>892</v>
      </c>
      <c r="AA586" s="33"/>
      <c r="AB586" s="33"/>
      <c r="AC586" s="33"/>
      <c r="AD586" s="33"/>
      <c r="AE586" s="33"/>
      <c r="AF586" s="33"/>
    </row>
    <row r="587" ht="22.5" customHeight="1">
      <c r="A587" s="23"/>
      <c r="B587" s="41"/>
      <c r="C587" s="23"/>
      <c r="D587" s="23"/>
      <c r="E587" s="25"/>
      <c r="F587" s="23"/>
      <c r="G587" s="27"/>
      <c r="H587" s="27"/>
      <c r="I587" s="28">
        <f t="shared" si="20"/>
        <v>0</v>
      </c>
      <c r="J587" s="29">
        <f t="shared" si="2"/>
        <v>0</v>
      </c>
      <c r="K587" s="30" t="str">
        <f t="shared" si="3"/>
        <v/>
      </c>
      <c r="L587" s="29">
        <f t="shared" si="4"/>
        <v>1</v>
      </c>
      <c r="M587" s="30">
        <f t="shared" si="5"/>
        <v>0</v>
      </c>
      <c r="N587" s="32">
        <f t="shared" si="6"/>
        <v>0</v>
      </c>
      <c r="O587" s="33" t="str">
        <f t="shared" si="7"/>
        <v>PAGADA</v>
      </c>
      <c r="P587" s="34">
        <f>LET(
  idVenta, I587&amp;"",
  montoTotal, M587,
  pagos, IFERROR(SUMIF(Aux_Datos!$B:$B, idVenta, Aux_Datos!$K:$K), 0),
  retenciones, IFERROR(SUMIF(Aux_Datos!$N:$N, idVenta, Aux_Datos!$R:$R), 0),
  pagos + retenciones
)</f>
        <v>0</v>
      </c>
      <c r="Q587" s="30" t="str">
        <f>IF(P587=0, "Sin Pago", 
  LET(
    idVenta, I587&amp;"",
    montoTotalPagado, P587,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87" s="30">
        <f t="shared" si="23"/>
        <v>0</v>
      </c>
      <c r="S587" s="29" t="str">
        <f>IF(P587=0, "Sin Pago", 
  IFERROR(
    MAXIFS(Aux_Datos!$A:$A, Aux_Datos!$B:$B, I587&amp;""), 
    IFERROR(MAXIFS(Aux_Datos!$A:$A, Aux_Datos!$B:$B, VALUE(I587)), "Revisar ID")
  )
)</f>
        <v>Sin Pago</v>
      </c>
      <c r="T587" s="35" t="str">
        <f t="shared" si="21"/>
        <v>PAGADA</v>
      </c>
      <c r="U587" s="35" t="str">
        <f t="shared" si="10"/>
        <v>SOLVENTE</v>
      </c>
      <c r="V587" s="32">
        <f t="shared" si="11"/>
        <v>0</v>
      </c>
      <c r="W587" s="36" t="str">
        <f>IF(P587=0, "Sin Pago", 
  LET(
    monedaPago, Q587, 
    descuentoAplicado, G587,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87" s="36" t="str">
        <f t="shared" si="12"/>
        <v/>
      </c>
      <c r="Y587" s="36">
        <v>0.0</v>
      </c>
      <c r="Z587" s="33" t="s">
        <v>892</v>
      </c>
      <c r="AA587" s="33"/>
      <c r="AB587" s="33"/>
      <c r="AC587" s="33"/>
      <c r="AD587" s="33"/>
      <c r="AE587" s="33"/>
      <c r="AF587" s="33"/>
    </row>
    <row r="588" ht="22.5" customHeight="1">
      <c r="A588" s="23"/>
      <c r="B588" s="41"/>
      <c r="C588" s="23"/>
      <c r="D588" s="23"/>
      <c r="E588" s="25"/>
      <c r="F588" s="23"/>
      <c r="G588" s="27"/>
      <c r="H588" s="27"/>
      <c r="I588" s="28">
        <f t="shared" si="20"/>
        <v>0</v>
      </c>
      <c r="J588" s="29">
        <f t="shared" si="2"/>
        <v>0</v>
      </c>
      <c r="K588" s="30" t="str">
        <f t="shared" si="3"/>
        <v/>
      </c>
      <c r="L588" s="29">
        <f t="shared" si="4"/>
        <v>1</v>
      </c>
      <c r="M588" s="30">
        <f t="shared" si="5"/>
        <v>0</v>
      </c>
      <c r="N588" s="32">
        <f t="shared" si="6"/>
        <v>0</v>
      </c>
      <c r="O588" s="33" t="str">
        <f t="shared" si="7"/>
        <v>PAGADA</v>
      </c>
      <c r="P588" s="34">
        <f>LET(
  idVenta, I588&amp;"",
  montoTotal, M588,
  pagos, IFERROR(SUMIF(Aux_Datos!$B:$B, idVenta, Aux_Datos!$K:$K), 0),
  retenciones, IFERROR(SUMIF(Aux_Datos!$N:$N, idVenta, Aux_Datos!$R:$R), 0),
  pagos + retenciones
)</f>
        <v>0</v>
      </c>
      <c r="Q588" s="30" t="str">
        <f>IF(P588=0, "Sin Pago", 
  LET(
    idVenta, I588&amp;"",
    montoTotalPagado, P588,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88" s="30">
        <f t="shared" si="23"/>
        <v>0</v>
      </c>
      <c r="S588" s="29" t="str">
        <f>IF(P588=0, "Sin Pago", 
  IFERROR(
    MAXIFS(Aux_Datos!$A:$A, Aux_Datos!$B:$B, I588&amp;""), 
    IFERROR(MAXIFS(Aux_Datos!$A:$A, Aux_Datos!$B:$B, VALUE(I588)), "Revisar ID")
  )
)</f>
        <v>Sin Pago</v>
      </c>
      <c r="T588" s="35" t="str">
        <f t="shared" si="21"/>
        <v>PAGADA</v>
      </c>
      <c r="U588" s="35" t="str">
        <f t="shared" si="10"/>
        <v>SOLVENTE</v>
      </c>
      <c r="V588" s="32">
        <f t="shared" si="11"/>
        <v>0</v>
      </c>
      <c r="W588" s="36" t="str">
        <f>IF(P588=0, "Sin Pago", 
  LET(
    monedaPago, Q588, 
    descuentoAplicado, G588,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88" s="36" t="str">
        <f t="shared" si="12"/>
        <v/>
      </c>
      <c r="Y588" s="36">
        <v>0.0</v>
      </c>
      <c r="Z588" s="33" t="s">
        <v>892</v>
      </c>
      <c r="AA588" s="33"/>
      <c r="AB588" s="33"/>
      <c r="AC588" s="33"/>
      <c r="AD588" s="33"/>
      <c r="AE588" s="33"/>
      <c r="AF588" s="33"/>
    </row>
    <row r="589" ht="22.5" customHeight="1">
      <c r="A589" s="23"/>
      <c r="B589" s="41"/>
      <c r="C589" s="23"/>
      <c r="D589" s="23"/>
      <c r="E589" s="25"/>
      <c r="F589" s="23"/>
      <c r="G589" s="27"/>
      <c r="H589" s="27"/>
      <c r="I589" s="28">
        <f t="shared" si="20"/>
        <v>0</v>
      </c>
      <c r="J589" s="29">
        <f t="shared" si="2"/>
        <v>0</v>
      </c>
      <c r="K589" s="30" t="str">
        <f t="shared" si="3"/>
        <v/>
      </c>
      <c r="L589" s="29">
        <f t="shared" si="4"/>
        <v>1</v>
      </c>
      <c r="M589" s="30">
        <f t="shared" si="5"/>
        <v>0</v>
      </c>
      <c r="N589" s="32">
        <f t="shared" si="6"/>
        <v>0</v>
      </c>
      <c r="O589" s="33" t="str">
        <f t="shared" si="7"/>
        <v>PAGADA</v>
      </c>
      <c r="P589" s="34">
        <f>LET(
  idVenta, I589&amp;"",
  montoTotal, M589,
  pagos, IFERROR(SUMIF(Aux_Datos!$B:$B, idVenta, Aux_Datos!$K:$K), 0),
  retenciones, IFERROR(SUMIF(Aux_Datos!$N:$N, idVenta, Aux_Datos!$R:$R), 0),
  pagos + retenciones
)</f>
        <v>0</v>
      </c>
      <c r="Q589" s="30" t="str">
        <f>IF(P589=0, "Sin Pago", 
  LET(
    idVenta, I589&amp;"",
    montoTotalPagado, P589,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89" s="30">
        <f t="shared" si="23"/>
        <v>0</v>
      </c>
      <c r="S589" s="29" t="str">
        <f>IF(P589=0, "Sin Pago", 
  IFERROR(
    MAXIFS(Aux_Datos!$A:$A, Aux_Datos!$B:$B, I589&amp;""), 
    IFERROR(MAXIFS(Aux_Datos!$A:$A, Aux_Datos!$B:$B, VALUE(I589)), "Revisar ID")
  )
)</f>
        <v>Sin Pago</v>
      </c>
      <c r="T589" s="35" t="str">
        <f t="shared" si="21"/>
        <v>PAGADA</v>
      </c>
      <c r="U589" s="35" t="str">
        <f t="shared" si="10"/>
        <v>SOLVENTE</v>
      </c>
      <c r="V589" s="32">
        <f t="shared" si="11"/>
        <v>0</v>
      </c>
      <c r="W589" s="36" t="str">
        <f>IF(P589=0, "Sin Pago", 
  LET(
    monedaPago, Q589, 
    descuentoAplicado, G589,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89" s="36" t="str">
        <f t="shared" si="12"/>
        <v/>
      </c>
      <c r="Y589" s="36">
        <v>0.0</v>
      </c>
      <c r="Z589" s="33" t="s">
        <v>892</v>
      </c>
      <c r="AA589" s="33"/>
      <c r="AB589" s="33"/>
      <c r="AC589" s="33"/>
      <c r="AD589" s="33"/>
      <c r="AE589" s="33"/>
      <c r="AF589" s="33"/>
    </row>
    <row r="590" ht="22.5" customHeight="1">
      <c r="A590" s="23"/>
      <c r="B590" s="41"/>
      <c r="C590" s="23"/>
      <c r="D590" s="23"/>
      <c r="E590" s="25"/>
      <c r="F590" s="23"/>
      <c r="G590" s="27"/>
      <c r="H590" s="27"/>
      <c r="I590" s="28">
        <f t="shared" si="20"/>
        <v>0</v>
      </c>
      <c r="J590" s="29">
        <f t="shared" si="2"/>
        <v>0</v>
      </c>
      <c r="K590" s="30" t="str">
        <f t="shared" si="3"/>
        <v/>
      </c>
      <c r="L590" s="29">
        <f t="shared" si="4"/>
        <v>1</v>
      </c>
      <c r="M590" s="30">
        <f t="shared" si="5"/>
        <v>0</v>
      </c>
      <c r="N590" s="32">
        <f t="shared" si="6"/>
        <v>0</v>
      </c>
      <c r="O590" s="33" t="str">
        <f t="shared" si="7"/>
        <v>PAGADA</v>
      </c>
      <c r="P590" s="34">
        <f>LET(
  idVenta, I590&amp;"",
  montoTotal, M590,
  pagos, IFERROR(SUMIF(Aux_Datos!$B:$B, idVenta, Aux_Datos!$K:$K), 0),
  retenciones, IFERROR(SUMIF(Aux_Datos!$N:$N, idVenta, Aux_Datos!$R:$R), 0),
  pagos + retenciones
)</f>
        <v>0</v>
      </c>
      <c r="Q590" s="30" t="str">
        <f>IF(P590=0, "Sin Pago", 
  LET(
    idVenta, I590&amp;"",
    montoTotalPagado, P590,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90" s="30">
        <f t="shared" si="23"/>
        <v>0</v>
      </c>
      <c r="S590" s="29" t="str">
        <f>IF(P590=0, "Sin Pago", 
  IFERROR(
    MAXIFS(Aux_Datos!$A:$A, Aux_Datos!$B:$B, I590&amp;""), 
    IFERROR(MAXIFS(Aux_Datos!$A:$A, Aux_Datos!$B:$B, VALUE(I590)), "Revisar ID")
  )
)</f>
        <v>Sin Pago</v>
      </c>
      <c r="T590" s="35" t="str">
        <f t="shared" si="21"/>
        <v>PAGADA</v>
      </c>
      <c r="U590" s="35" t="str">
        <f t="shared" si="10"/>
        <v>SOLVENTE</v>
      </c>
      <c r="V590" s="32">
        <f t="shared" si="11"/>
        <v>0</v>
      </c>
      <c r="W590" s="36" t="str">
        <f>IF(P590=0, "Sin Pago", 
  LET(
    monedaPago, Q590, 
    descuentoAplicado, G590,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90" s="36" t="str">
        <f t="shared" si="12"/>
        <v/>
      </c>
      <c r="Y590" s="36">
        <v>0.0</v>
      </c>
      <c r="Z590" s="33" t="s">
        <v>892</v>
      </c>
      <c r="AA590" s="33"/>
      <c r="AB590" s="33"/>
      <c r="AC590" s="33"/>
      <c r="AD590" s="33"/>
      <c r="AE590" s="33"/>
      <c r="AF590" s="33"/>
    </row>
    <row r="591" ht="22.5" customHeight="1">
      <c r="A591" s="23"/>
      <c r="B591" s="41"/>
      <c r="C591" s="23"/>
      <c r="D591" s="23"/>
      <c r="E591" s="25"/>
      <c r="F591" s="23"/>
      <c r="G591" s="27"/>
      <c r="H591" s="27"/>
      <c r="I591" s="28">
        <f t="shared" si="20"/>
        <v>0</v>
      </c>
      <c r="J591" s="29">
        <f t="shared" si="2"/>
        <v>0</v>
      </c>
      <c r="K591" s="30" t="str">
        <f t="shared" si="3"/>
        <v/>
      </c>
      <c r="L591" s="29">
        <f t="shared" si="4"/>
        <v>1</v>
      </c>
      <c r="M591" s="30">
        <f t="shared" si="5"/>
        <v>0</v>
      </c>
      <c r="N591" s="32">
        <f t="shared" si="6"/>
        <v>0</v>
      </c>
      <c r="O591" s="33" t="str">
        <f t="shared" si="7"/>
        <v>PAGADA</v>
      </c>
      <c r="P591" s="34">
        <f>LET(
  idVenta, I591&amp;"",
  montoTotal, M591,
  pagos, IFERROR(SUMIF(Aux_Datos!$B:$B, idVenta, Aux_Datos!$K:$K), 0),
  retenciones, IFERROR(SUMIF(Aux_Datos!$N:$N, idVenta, Aux_Datos!$R:$R), 0),
  pagos + retenciones
)</f>
        <v>0</v>
      </c>
      <c r="Q591" s="30" t="str">
        <f>IF(P591=0, "Sin Pago", 
  LET(
    idVenta, I591&amp;"",
    montoTotalPagado, P591,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91" s="30">
        <f t="shared" si="23"/>
        <v>0</v>
      </c>
      <c r="S591" s="29" t="str">
        <f>IF(P591=0, "Sin Pago", 
  IFERROR(
    MAXIFS(Aux_Datos!$A:$A, Aux_Datos!$B:$B, I591&amp;""), 
    IFERROR(MAXIFS(Aux_Datos!$A:$A, Aux_Datos!$B:$B, VALUE(I591)), "Revisar ID")
  )
)</f>
        <v>Sin Pago</v>
      </c>
      <c r="T591" s="35" t="str">
        <f t="shared" si="21"/>
        <v>PAGADA</v>
      </c>
      <c r="U591" s="35" t="str">
        <f t="shared" si="10"/>
        <v>SOLVENTE</v>
      </c>
      <c r="V591" s="32">
        <f t="shared" si="11"/>
        <v>0</v>
      </c>
      <c r="W591" s="36" t="str">
        <f>IF(P591=0, "Sin Pago", 
  LET(
    monedaPago, Q591, 
    descuentoAplicado, G591,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91" s="36" t="str">
        <f t="shared" si="12"/>
        <v/>
      </c>
      <c r="Y591" s="36">
        <v>0.0</v>
      </c>
      <c r="Z591" s="33" t="s">
        <v>892</v>
      </c>
      <c r="AA591" s="33"/>
      <c r="AB591" s="33"/>
      <c r="AC591" s="33"/>
      <c r="AD591" s="33"/>
      <c r="AE591" s="33"/>
      <c r="AF591" s="33"/>
    </row>
    <row r="592" ht="22.5" customHeight="1">
      <c r="A592" s="23"/>
      <c r="B592" s="41"/>
      <c r="C592" s="23"/>
      <c r="D592" s="23"/>
      <c r="E592" s="25"/>
      <c r="F592" s="23"/>
      <c r="G592" s="27"/>
      <c r="H592" s="27"/>
      <c r="I592" s="28">
        <f t="shared" si="20"/>
        <v>0</v>
      </c>
      <c r="J592" s="29">
        <f t="shared" si="2"/>
        <v>0</v>
      </c>
      <c r="K592" s="30" t="str">
        <f t="shared" si="3"/>
        <v/>
      </c>
      <c r="L592" s="29">
        <f t="shared" si="4"/>
        <v>1</v>
      </c>
      <c r="M592" s="30">
        <f t="shared" si="5"/>
        <v>0</v>
      </c>
      <c r="N592" s="32">
        <f t="shared" si="6"/>
        <v>0</v>
      </c>
      <c r="O592" s="33" t="str">
        <f t="shared" si="7"/>
        <v>PAGADA</v>
      </c>
      <c r="P592" s="34">
        <f>LET(
  idVenta, I592&amp;"",
  montoTotal, M592,
  pagos, IFERROR(SUMIF(Aux_Datos!$B:$B, idVenta, Aux_Datos!$K:$K), 0),
  retenciones, IFERROR(SUMIF(Aux_Datos!$N:$N, idVenta, Aux_Datos!$R:$R), 0),
  pagos + retenciones
)</f>
        <v>0</v>
      </c>
      <c r="Q592" s="30" t="str">
        <f>IF(P592=0, "Sin Pago", 
  LET(
    idVenta, I592&amp;"",
    montoTotalPagado, P592,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92" s="30">
        <f t="shared" si="23"/>
        <v>0</v>
      </c>
      <c r="S592" s="29" t="str">
        <f>IF(P592=0, "Sin Pago", 
  IFERROR(
    MAXIFS(Aux_Datos!$A:$A, Aux_Datos!$B:$B, I592&amp;""), 
    IFERROR(MAXIFS(Aux_Datos!$A:$A, Aux_Datos!$B:$B, VALUE(I592)), "Revisar ID")
  )
)</f>
        <v>Sin Pago</v>
      </c>
      <c r="T592" s="35" t="str">
        <f t="shared" si="21"/>
        <v>PAGADA</v>
      </c>
      <c r="U592" s="35" t="str">
        <f t="shared" si="10"/>
        <v>SOLVENTE</v>
      </c>
      <c r="V592" s="32">
        <f t="shared" si="11"/>
        <v>0</v>
      </c>
      <c r="W592" s="36" t="str">
        <f>IF(P592=0, "Sin Pago", 
  LET(
    monedaPago, Q592, 
    descuentoAplicado, G592,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92" s="36" t="str">
        <f t="shared" si="12"/>
        <v/>
      </c>
      <c r="Y592" s="36">
        <v>0.0</v>
      </c>
      <c r="Z592" s="33" t="s">
        <v>892</v>
      </c>
      <c r="AA592" s="33"/>
      <c r="AB592" s="33"/>
      <c r="AC592" s="33"/>
      <c r="AD592" s="33"/>
      <c r="AE592" s="33"/>
      <c r="AF592" s="33"/>
    </row>
    <row r="593" ht="22.5" customHeight="1">
      <c r="A593" s="23"/>
      <c r="B593" s="41"/>
      <c r="C593" s="23"/>
      <c r="D593" s="23"/>
      <c r="E593" s="25"/>
      <c r="F593" s="23"/>
      <c r="G593" s="27"/>
      <c r="H593" s="27"/>
      <c r="I593" s="28">
        <f t="shared" si="20"/>
        <v>0</v>
      </c>
      <c r="J593" s="29">
        <f t="shared" si="2"/>
        <v>0</v>
      </c>
      <c r="K593" s="30" t="str">
        <f t="shared" si="3"/>
        <v/>
      </c>
      <c r="L593" s="29">
        <f t="shared" si="4"/>
        <v>1</v>
      </c>
      <c r="M593" s="30">
        <f t="shared" si="5"/>
        <v>0</v>
      </c>
      <c r="N593" s="32">
        <f t="shared" si="6"/>
        <v>0</v>
      </c>
      <c r="O593" s="33" t="str">
        <f t="shared" si="7"/>
        <v>PAGADA</v>
      </c>
      <c r="P593" s="34">
        <f>LET(
  idVenta, I593&amp;"",
  montoTotal, M593,
  pagos, IFERROR(SUMIF(Aux_Datos!$B:$B, idVenta, Aux_Datos!$K:$K), 0),
  retenciones, IFERROR(SUMIF(Aux_Datos!$N:$N, idVenta, Aux_Datos!$R:$R), 0),
  pagos + retenciones
)</f>
        <v>0</v>
      </c>
      <c r="Q593" s="30" t="str">
        <f>IF(P593=0, "Sin Pago", 
  LET(
    idVenta, I593&amp;"",
    montoTotalPagado, P593,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93" s="30">
        <f t="shared" si="23"/>
        <v>0</v>
      </c>
      <c r="S593" s="29" t="str">
        <f>IF(P593=0, "Sin Pago", 
  IFERROR(
    MAXIFS(Aux_Datos!$A:$A, Aux_Datos!$B:$B, I593&amp;""), 
    IFERROR(MAXIFS(Aux_Datos!$A:$A, Aux_Datos!$B:$B, VALUE(I593)), "Revisar ID")
  )
)</f>
        <v>Sin Pago</v>
      </c>
      <c r="T593" s="35" t="str">
        <f t="shared" si="21"/>
        <v>PAGADA</v>
      </c>
      <c r="U593" s="35" t="str">
        <f t="shared" si="10"/>
        <v>SOLVENTE</v>
      </c>
      <c r="V593" s="32">
        <f t="shared" si="11"/>
        <v>0</v>
      </c>
      <c r="W593" s="36" t="str">
        <f>IF(P593=0, "Sin Pago", 
  LET(
    monedaPago, Q593, 
    descuentoAplicado, G593,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93" s="36" t="str">
        <f t="shared" si="12"/>
        <v/>
      </c>
      <c r="Y593" s="36">
        <v>0.0</v>
      </c>
      <c r="Z593" s="33" t="s">
        <v>892</v>
      </c>
      <c r="AA593" s="33"/>
      <c r="AB593" s="33"/>
      <c r="AC593" s="33"/>
      <c r="AD593" s="33"/>
      <c r="AE593" s="33"/>
      <c r="AF593" s="33"/>
    </row>
    <row r="594" ht="22.5" customHeight="1">
      <c r="A594" s="23"/>
      <c r="B594" s="41"/>
      <c r="C594" s="23"/>
      <c r="D594" s="23"/>
      <c r="E594" s="25"/>
      <c r="F594" s="23"/>
      <c r="G594" s="27"/>
      <c r="H594" s="27"/>
      <c r="I594" s="28">
        <f t="shared" si="20"/>
        <v>0</v>
      </c>
      <c r="J594" s="29">
        <f t="shared" si="2"/>
        <v>0</v>
      </c>
      <c r="K594" s="30" t="str">
        <f t="shared" si="3"/>
        <v/>
      </c>
      <c r="L594" s="29">
        <f t="shared" si="4"/>
        <v>1</v>
      </c>
      <c r="M594" s="30">
        <f t="shared" si="5"/>
        <v>0</v>
      </c>
      <c r="N594" s="32">
        <f t="shared" si="6"/>
        <v>0</v>
      </c>
      <c r="O594" s="33" t="str">
        <f t="shared" si="7"/>
        <v>PAGADA</v>
      </c>
      <c r="P594" s="34">
        <f>LET(
  idVenta, I594&amp;"",
  montoTotal, M594,
  pagos, IFERROR(SUMIF(Aux_Datos!$B:$B, idVenta, Aux_Datos!$K:$K), 0),
  retenciones, IFERROR(SUMIF(Aux_Datos!$N:$N, idVenta, Aux_Datos!$R:$R), 0),
  pagos + retenciones
)</f>
        <v>0</v>
      </c>
      <c r="Q594" s="30" t="str">
        <f>IF(P594=0, "Sin Pago", 
  LET(
    idVenta, I594&amp;"",
    montoTotalPagado, P594,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94" s="30">
        <f t="shared" si="23"/>
        <v>0</v>
      </c>
      <c r="S594" s="29" t="str">
        <f>IF(P594=0, "Sin Pago", 
  IFERROR(
    MAXIFS(Aux_Datos!$A:$A, Aux_Datos!$B:$B, I594&amp;""), 
    IFERROR(MAXIFS(Aux_Datos!$A:$A, Aux_Datos!$B:$B, VALUE(I594)), "Revisar ID")
  )
)</f>
        <v>Sin Pago</v>
      </c>
      <c r="T594" s="35" t="str">
        <f t="shared" si="21"/>
        <v>PAGADA</v>
      </c>
      <c r="U594" s="35" t="str">
        <f t="shared" si="10"/>
        <v>SOLVENTE</v>
      </c>
      <c r="V594" s="32">
        <f t="shared" si="11"/>
        <v>0</v>
      </c>
      <c r="W594" s="36" t="str">
        <f>IF(P594=0, "Sin Pago", 
  LET(
    monedaPago, Q594, 
    descuentoAplicado, G594,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94" s="36" t="str">
        <f t="shared" si="12"/>
        <v/>
      </c>
      <c r="Y594" s="36">
        <v>0.0</v>
      </c>
      <c r="Z594" s="33" t="s">
        <v>892</v>
      </c>
      <c r="AA594" s="33"/>
      <c r="AB594" s="33"/>
      <c r="AC594" s="33"/>
      <c r="AD594" s="33"/>
      <c r="AE594" s="33"/>
      <c r="AF594" s="33"/>
    </row>
    <row r="595" ht="22.5" customHeight="1">
      <c r="A595" s="23"/>
      <c r="B595" s="41"/>
      <c r="C595" s="23"/>
      <c r="D595" s="23"/>
      <c r="E595" s="25"/>
      <c r="F595" s="23"/>
      <c r="G595" s="27"/>
      <c r="H595" s="27"/>
      <c r="I595" s="28">
        <f t="shared" si="20"/>
        <v>0</v>
      </c>
      <c r="J595" s="29">
        <f t="shared" si="2"/>
        <v>0</v>
      </c>
      <c r="K595" s="30" t="str">
        <f t="shared" si="3"/>
        <v/>
      </c>
      <c r="L595" s="29">
        <f t="shared" si="4"/>
        <v>1</v>
      </c>
      <c r="M595" s="30">
        <f t="shared" si="5"/>
        <v>0</v>
      </c>
      <c r="N595" s="32">
        <f t="shared" si="6"/>
        <v>0</v>
      </c>
      <c r="O595" s="33" t="str">
        <f t="shared" si="7"/>
        <v>PAGADA</v>
      </c>
      <c r="P595" s="34">
        <f>LET(
  idVenta, I595&amp;"",
  montoTotal, M595,
  pagos, IFERROR(SUMIF(Aux_Datos!$B:$B, idVenta, Aux_Datos!$K:$K), 0),
  retenciones, IFERROR(SUMIF(Aux_Datos!$N:$N, idVenta, Aux_Datos!$R:$R), 0),
  pagos + retenciones
)</f>
        <v>0</v>
      </c>
      <c r="Q595" s="30" t="str">
        <f>IF(P595=0, "Sin Pago", 
  LET(
    idVenta, I595&amp;"",
    montoTotalPagado, P595,
    pagoUSD, IFERROR(SUMIFS(Aux_Datos!$C:$C, Aux_Datos!$B:$B, idVenta, Aux_Datos!$D:$D, "USD"), 0),
    pagoVES, IFERROR(SUMIFS(Aux_Datos!$C:$C, Aux_Datos!$B:$B, idVenta, Aux_Datos!$D:$D, "VES"), 0),
    IF(pagoUSD &gt;= (montoTotalPagado * 0.84), "USD",
    IF(pagoVES &gt;= (montoTotalPagado * 0.84), "VES", 
    "MIXTO"))
  )
)</f>
        <v>Sin Pago</v>
      </c>
      <c r="R595" s="30">
        <f t="shared" si="23"/>
        <v>0</v>
      </c>
      <c r="S595" s="29" t="str">
        <f>IF(P595=0, "Sin Pago", 
  IFERROR(
    MAXIFS(Aux_Datos!$A:$A, Aux_Datos!$B:$B, I595&amp;""), 
    IFERROR(MAXIFS(Aux_Datos!$A:$A, Aux_Datos!$B:$B, VALUE(I595)), "Revisar ID")
  )
)</f>
        <v>Sin Pago</v>
      </c>
      <c r="T595" s="35" t="str">
        <f t="shared" si="21"/>
        <v>PAGADA</v>
      </c>
      <c r="U595" s="35" t="str">
        <f t="shared" si="10"/>
        <v>SOLVENTE</v>
      </c>
      <c r="V595" s="32">
        <f t="shared" si="11"/>
        <v>0</v>
      </c>
      <c r="W595" s="36" t="str">
        <f>IF(P595=0, "Sin Pago", 
  LET(
    monedaPago, Q595, 
    descuentoAplicado, G595, 
    limitePermitido, IFERROR(VLOOKUP(monedaPago, 'Limites de Descuento'!$A$2:$B595, 2, FALSE), 0),
    IF(descuentoAplicado &gt; limitePermitido, 
      "ALERTA: EXCESO (" &amp; TEXT(limitePermitido, "0%") &amp; " máx)", 
      "OK")
  )
)</f>
        <v>Sin Pago</v>
      </c>
      <c r="X595" s="36" t="str">
        <f t="shared" si="12"/>
        <v/>
      </c>
      <c r="Y595" s="36">
        <v>0.0</v>
      </c>
      <c r="Z595" s="33" t="s">
        <v>892</v>
      </c>
      <c r="AA595" s="33"/>
      <c r="AB595" s="33"/>
      <c r="AC595" s="33"/>
      <c r="AD595" s="33"/>
      <c r="AE595" s="33"/>
      <c r="AF595" s="33"/>
    </row>
  </sheetData>
  <dataValidations>
    <dataValidation type="custom" allowBlank="1" showDropDown="1" sqref="J2:J595 L2:L595 S2:S595">
      <formula1>OR(NOT(ISERROR(DATEVALUE(J2))), AND(ISNUMBER(J2), LEFT(CELL("format", J2))="D"))</formula1>
    </dataValidation>
    <dataValidation type="custom" allowBlank="1" showDropDown="1" sqref="G2:I595 K2:K595 M2:M595 P2:P595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8.43"/>
  </cols>
  <sheetData>
    <row r="1">
      <c r="A1" s="61" t="s">
        <v>893</v>
      </c>
      <c r="B1" s="62" t="s">
        <v>894</v>
      </c>
      <c r="D1" s="62" t="s">
        <v>895</v>
      </c>
    </row>
    <row r="2">
      <c r="A2" s="61" t="s">
        <v>896</v>
      </c>
      <c r="B2" s="63">
        <v>0.15</v>
      </c>
      <c r="D2" s="64">
        <f t="shared" ref="D2:D4" si="1">1-B2</f>
        <v>0.85</v>
      </c>
    </row>
    <row r="3">
      <c r="A3" s="61" t="s">
        <v>897</v>
      </c>
      <c r="B3" s="63">
        <v>0.15</v>
      </c>
      <c r="D3" s="64">
        <f t="shared" si="1"/>
        <v>0.85</v>
      </c>
    </row>
    <row r="4">
      <c r="A4" s="61" t="s">
        <v>701</v>
      </c>
      <c r="B4" s="63">
        <v>0.35</v>
      </c>
      <c r="D4" s="64">
        <f t="shared" si="1"/>
        <v>0.65</v>
      </c>
    </row>
    <row r="5">
      <c r="B5" s="64"/>
    </row>
    <row r="6">
      <c r="B6" s="64"/>
    </row>
    <row r="7">
      <c r="B7" s="64"/>
    </row>
    <row r="8">
      <c r="B8" s="64"/>
    </row>
    <row r="9">
      <c r="B9" s="64"/>
    </row>
    <row r="10">
      <c r="B10" s="64"/>
    </row>
    <row r="11">
      <c r="B11" s="64"/>
    </row>
    <row r="12">
      <c r="B12" s="64"/>
    </row>
    <row r="13">
      <c r="B13" s="64"/>
    </row>
    <row r="14">
      <c r="B14" s="64"/>
    </row>
    <row r="15">
      <c r="B15" s="64"/>
    </row>
    <row r="16">
      <c r="B16" s="64"/>
    </row>
    <row r="17">
      <c r="B17" s="64"/>
    </row>
    <row r="18">
      <c r="B18" s="64"/>
    </row>
    <row r="19">
      <c r="B19" s="64"/>
    </row>
    <row r="20">
      <c r="B20" s="64"/>
    </row>
    <row r="21">
      <c r="B21" s="64"/>
    </row>
    <row r="22">
      <c r="B22" s="64"/>
    </row>
    <row r="23">
      <c r="B23" s="64"/>
    </row>
    <row r="24">
      <c r="B24" s="64"/>
    </row>
    <row r="25">
      <c r="B25" s="64"/>
    </row>
    <row r="26">
      <c r="B26" s="64"/>
    </row>
    <row r="27">
      <c r="B27" s="64"/>
    </row>
    <row r="28">
      <c r="B28" s="64"/>
    </row>
    <row r="29">
      <c r="B29" s="64"/>
    </row>
    <row r="30">
      <c r="B30" s="64"/>
    </row>
    <row r="31">
      <c r="B31" s="64"/>
    </row>
    <row r="32">
      <c r="B32" s="64"/>
    </row>
    <row r="33">
      <c r="B33" s="64"/>
    </row>
    <row r="34">
      <c r="B34" s="64"/>
    </row>
    <row r="35">
      <c r="B35" s="64"/>
    </row>
    <row r="36">
      <c r="B36" s="64"/>
    </row>
    <row r="37">
      <c r="B37" s="64"/>
    </row>
    <row r="38">
      <c r="B38" s="64"/>
    </row>
    <row r="39">
      <c r="B39" s="64"/>
    </row>
    <row r="40">
      <c r="B40" s="64"/>
    </row>
    <row r="41">
      <c r="B41" s="64"/>
    </row>
    <row r="42">
      <c r="B42" s="64"/>
    </row>
    <row r="43">
      <c r="B43" s="64"/>
    </row>
    <row r="44">
      <c r="B44" s="64"/>
    </row>
    <row r="45">
      <c r="B45" s="64"/>
    </row>
    <row r="46">
      <c r="B46" s="64"/>
    </row>
    <row r="47">
      <c r="B47" s="64"/>
    </row>
    <row r="48">
      <c r="B48" s="64"/>
    </row>
    <row r="49">
      <c r="B49" s="64"/>
    </row>
    <row r="50">
      <c r="B50" s="64"/>
    </row>
    <row r="51">
      <c r="B51" s="64"/>
    </row>
    <row r="52">
      <c r="B52" s="64"/>
    </row>
    <row r="53">
      <c r="B53" s="64"/>
    </row>
    <row r="54">
      <c r="B54" s="64"/>
    </row>
    <row r="55">
      <c r="B55" s="64"/>
    </row>
    <row r="56">
      <c r="B56" s="64"/>
    </row>
    <row r="57">
      <c r="B57" s="64"/>
    </row>
    <row r="58">
      <c r="B58" s="64"/>
    </row>
    <row r="59">
      <c r="B59" s="64"/>
    </row>
    <row r="60">
      <c r="B60" s="64"/>
    </row>
    <row r="61">
      <c r="B61" s="64"/>
    </row>
    <row r="62">
      <c r="B62" s="64"/>
    </row>
    <row r="63">
      <c r="B63" s="64"/>
    </row>
    <row r="64">
      <c r="B64" s="64"/>
    </row>
    <row r="65">
      <c r="B65" s="64"/>
    </row>
    <row r="66">
      <c r="B66" s="64"/>
    </row>
    <row r="67">
      <c r="B67" s="64"/>
    </row>
    <row r="68">
      <c r="B68" s="64"/>
    </row>
    <row r="69">
      <c r="B69" s="64"/>
    </row>
    <row r="70">
      <c r="B70" s="64"/>
    </row>
    <row r="71">
      <c r="B71" s="64"/>
    </row>
    <row r="72">
      <c r="B72" s="64"/>
    </row>
    <row r="73">
      <c r="B73" s="64"/>
    </row>
    <row r="74">
      <c r="B74" s="64"/>
    </row>
    <row r="75">
      <c r="B75" s="64"/>
    </row>
    <row r="76">
      <c r="B76" s="64"/>
    </row>
    <row r="77">
      <c r="B77" s="64"/>
    </row>
    <row r="78">
      <c r="B78" s="64"/>
    </row>
    <row r="79">
      <c r="B79" s="64"/>
    </row>
    <row r="80">
      <c r="B80" s="64"/>
    </row>
    <row r="81">
      <c r="B81" s="64"/>
    </row>
    <row r="82">
      <c r="B82" s="64"/>
    </row>
    <row r="83">
      <c r="B83" s="64"/>
    </row>
    <row r="84">
      <c r="B84" s="64"/>
    </row>
    <row r="85">
      <c r="B85" s="64"/>
    </row>
    <row r="86">
      <c r="B86" s="64"/>
    </row>
    <row r="87">
      <c r="B87" s="64"/>
    </row>
    <row r="88">
      <c r="B88" s="64"/>
    </row>
    <row r="89">
      <c r="B89" s="64"/>
    </row>
    <row r="90">
      <c r="B90" s="64"/>
    </row>
    <row r="91">
      <c r="B91" s="64"/>
    </row>
    <row r="92">
      <c r="B92" s="64"/>
    </row>
    <row r="93">
      <c r="B93" s="64"/>
    </row>
    <row r="94">
      <c r="B94" s="64"/>
    </row>
    <row r="95">
      <c r="B95" s="64"/>
    </row>
    <row r="96">
      <c r="B96" s="64"/>
    </row>
    <row r="97">
      <c r="B97" s="64"/>
    </row>
    <row r="98">
      <c r="B98" s="64"/>
    </row>
    <row r="99">
      <c r="B99" s="64"/>
    </row>
    <row r="100">
      <c r="B100" s="64"/>
    </row>
    <row r="101">
      <c r="B101" s="64"/>
    </row>
    <row r="102">
      <c r="B102" s="64"/>
    </row>
    <row r="103">
      <c r="B103" s="64"/>
    </row>
    <row r="104">
      <c r="B104" s="64"/>
    </row>
    <row r="105">
      <c r="B105" s="64"/>
    </row>
    <row r="106">
      <c r="B106" s="64"/>
    </row>
    <row r="107">
      <c r="B107" s="64"/>
    </row>
    <row r="108">
      <c r="B108" s="64"/>
    </row>
    <row r="109">
      <c r="B109" s="64"/>
    </row>
    <row r="110">
      <c r="B110" s="64"/>
    </row>
    <row r="111">
      <c r="B111" s="64"/>
    </row>
    <row r="112">
      <c r="B112" s="64"/>
    </row>
    <row r="113">
      <c r="B113" s="64"/>
    </row>
    <row r="114">
      <c r="B114" s="64"/>
    </row>
    <row r="115">
      <c r="B115" s="64"/>
    </row>
    <row r="116">
      <c r="B116" s="64"/>
    </row>
    <row r="117">
      <c r="B117" s="64"/>
    </row>
    <row r="118">
      <c r="B118" s="64"/>
    </row>
    <row r="119">
      <c r="B119" s="64"/>
    </row>
    <row r="120">
      <c r="B120" s="64"/>
    </row>
    <row r="121">
      <c r="B121" s="64"/>
    </row>
    <row r="122">
      <c r="B122" s="64"/>
    </row>
    <row r="123">
      <c r="B123" s="64"/>
    </row>
    <row r="124">
      <c r="B124" s="64"/>
    </row>
    <row r="125">
      <c r="B125" s="64"/>
    </row>
    <row r="126">
      <c r="B126" s="64"/>
    </row>
    <row r="127">
      <c r="B127" s="64"/>
    </row>
    <row r="128">
      <c r="B128" s="64"/>
    </row>
    <row r="129">
      <c r="B129" s="64"/>
    </row>
    <row r="130">
      <c r="B130" s="64"/>
    </row>
    <row r="131">
      <c r="B131" s="64"/>
    </row>
    <row r="132">
      <c r="B132" s="64"/>
    </row>
    <row r="133">
      <c r="B133" s="64"/>
    </row>
    <row r="134">
      <c r="B134" s="64"/>
    </row>
    <row r="135">
      <c r="B135" s="64"/>
    </row>
    <row r="136">
      <c r="B136" s="64"/>
    </row>
    <row r="137">
      <c r="B137" s="64"/>
    </row>
    <row r="138">
      <c r="B138" s="64"/>
    </row>
    <row r="139">
      <c r="B139" s="64"/>
    </row>
    <row r="140">
      <c r="B140" s="64"/>
    </row>
    <row r="141">
      <c r="B141" s="64"/>
    </row>
    <row r="142">
      <c r="B142" s="64"/>
    </row>
    <row r="143">
      <c r="B143" s="64"/>
    </row>
    <row r="144">
      <c r="B144" s="64"/>
    </row>
    <row r="145">
      <c r="B145" s="64"/>
    </row>
    <row r="146">
      <c r="B146" s="64"/>
    </row>
    <row r="147">
      <c r="B147" s="64"/>
    </row>
    <row r="148">
      <c r="B148" s="64"/>
    </row>
    <row r="149">
      <c r="B149" s="64"/>
    </row>
    <row r="150">
      <c r="B150" s="64"/>
    </row>
    <row r="151">
      <c r="B151" s="64"/>
    </row>
    <row r="152">
      <c r="B152" s="64"/>
    </row>
    <row r="153">
      <c r="B153" s="64"/>
    </row>
    <row r="154">
      <c r="B154" s="64"/>
    </row>
    <row r="155">
      <c r="B155" s="64"/>
    </row>
    <row r="156">
      <c r="B156" s="64"/>
    </row>
    <row r="157">
      <c r="B157" s="64"/>
    </row>
    <row r="158">
      <c r="B158" s="64"/>
    </row>
    <row r="159">
      <c r="B159" s="64"/>
    </row>
    <row r="160">
      <c r="B160" s="64"/>
    </row>
    <row r="161">
      <c r="B161" s="64"/>
    </row>
    <row r="162">
      <c r="B162" s="64"/>
    </row>
    <row r="163">
      <c r="B163" s="64"/>
    </row>
    <row r="164">
      <c r="B164" s="64"/>
    </row>
    <row r="165">
      <c r="B165" s="64"/>
    </row>
    <row r="166">
      <c r="B166" s="64"/>
    </row>
    <row r="167">
      <c r="B167" s="64"/>
    </row>
    <row r="168">
      <c r="B168" s="64"/>
    </row>
    <row r="169">
      <c r="B169" s="64"/>
    </row>
    <row r="170">
      <c r="B170" s="64"/>
    </row>
    <row r="171">
      <c r="B171" s="64"/>
    </row>
    <row r="172">
      <c r="B172" s="64"/>
    </row>
    <row r="173">
      <c r="B173" s="64"/>
    </row>
    <row r="174">
      <c r="B174" s="64"/>
    </row>
    <row r="175">
      <c r="B175" s="64"/>
    </row>
    <row r="176">
      <c r="B176" s="64"/>
    </row>
    <row r="177">
      <c r="B177" s="64"/>
    </row>
    <row r="178">
      <c r="B178" s="64"/>
    </row>
    <row r="179">
      <c r="B179" s="64"/>
    </row>
    <row r="180">
      <c r="B180" s="64"/>
    </row>
    <row r="181">
      <c r="B181" s="64"/>
    </row>
    <row r="182">
      <c r="B182" s="64"/>
    </row>
    <row r="183">
      <c r="B183" s="64"/>
    </row>
    <row r="184">
      <c r="B184" s="64"/>
    </row>
    <row r="185">
      <c r="B185" s="64"/>
    </row>
    <row r="186">
      <c r="B186" s="64"/>
    </row>
    <row r="187">
      <c r="B187" s="64"/>
    </row>
    <row r="188">
      <c r="B188" s="64"/>
    </row>
    <row r="189">
      <c r="B189" s="64"/>
    </row>
    <row r="190">
      <c r="B190" s="64"/>
    </row>
    <row r="191">
      <c r="B191" s="64"/>
    </row>
    <row r="192">
      <c r="B192" s="64"/>
    </row>
    <row r="193">
      <c r="B193" s="64"/>
    </row>
    <row r="194">
      <c r="B194" s="64"/>
    </row>
    <row r="195">
      <c r="B195" s="64"/>
    </row>
    <row r="196">
      <c r="B196" s="64"/>
    </row>
    <row r="197">
      <c r="B197" s="64"/>
    </row>
    <row r="198">
      <c r="B198" s="64"/>
    </row>
    <row r="199">
      <c r="B199" s="64"/>
    </row>
    <row r="200">
      <c r="B200" s="64"/>
    </row>
    <row r="201">
      <c r="B201" s="64"/>
    </row>
    <row r="202">
      <c r="B202" s="64"/>
    </row>
    <row r="203">
      <c r="B203" s="64"/>
    </row>
    <row r="204">
      <c r="B204" s="64"/>
    </row>
    <row r="205">
      <c r="B205" s="64"/>
    </row>
    <row r="206">
      <c r="B206" s="64"/>
    </row>
    <row r="207">
      <c r="B207" s="64"/>
    </row>
    <row r="208">
      <c r="B208" s="64"/>
    </row>
    <row r="209">
      <c r="B209" s="64"/>
    </row>
    <row r="210">
      <c r="B210" s="64"/>
    </row>
    <row r="211">
      <c r="B211" s="64"/>
    </row>
    <row r="212">
      <c r="B212" s="64"/>
    </row>
    <row r="213">
      <c r="B213" s="64"/>
    </row>
    <row r="214">
      <c r="B214" s="64"/>
    </row>
    <row r="215">
      <c r="B215" s="64"/>
    </row>
    <row r="216">
      <c r="B216" s="64"/>
    </row>
    <row r="217">
      <c r="B217" s="64"/>
    </row>
    <row r="218">
      <c r="B218" s="64"/>
    </row>
    <row r="219">
      <c r="B219" s="64"/>
    </row>
    <row r="220">
      <c r="B220" s="64"/>
    </row>
    <row r="221">
      <c r="B221" s="64"/>
    </row>
    <row r="222">
      <c r="B222" s="64"/>
    </row>
    <row r="223">
      <c r="B223" s="64"/>
    </row>
    <row r="224">
      <c r="B224" s="64"/>
    </row>
    <row r="225">
      <c r="B225" s="64"/>
    </row>
    <row r="226">
      <c r="B226" s="64"/>
    </row>
    <row r="227">
      <c r="B227" s="64"/>
    </row>
    <row r="228">
      <c r="B228" s="64"/>
    </row>
    <row r="229">
      <c r="B229" s="64"/>
    </row>
    <row r="230">
      <c r="B230" s="64"/>
    </row>
    <row r="231">
      <c r="B231" s="64"/>
    </row>
    <row r="232">
      <c r="B232" s="64"/>
    </row>
    <row r="233">
      <c r="B233" s="64"/>
    </row>
    <row r="234">
      <c r="B234" s="64"/>
    </row>
    <row r="235">
      <c r="B235" s="64"/>
    </row>
    <row r="236">
      <c r="B236" s="64"/>
    </row>
    <row r="237">
      <c r="B237" s="64"/>
    </row>
    <row r="238">
      <c r="B238" s="64"/>
    </row>
    <row r="239">
      <c r="B239" s="64"/>
    </row>
    <row r="240">
      <c r="B240" s="64"/>
    </row>
    <row r="241">
      <c r="B241" s="64"/>
    </row>
    <row r="242">
      <c r="B242" s="64"/>
    </row>
    <row r="243">
      <c r="B243" s="64"/>
    </row>
    <row r="244">
      <c r="B244" s="64"/>
    </row>
    <row r="245">
      <c r="B245" s="64"/>
    </row>
    <row r="246">
      <c r="B246" s="64"/>
    </row>
    <row r="247">
      <c r="B247" s="64"/>
    </row>
    <row r="248">
      <c r="B248" s="64"/>
    </row>
    <row r="249">
      <c r="B249" s="64"/>
    </row>
    <row r="250">
      <c r="B250" s="64"/>
    </row>
    <row r="251">
      <c r="B251" s="64"/>
    </row>
    <row r="252">
      <c r="B252" s="64"/>
    </row>
    <row r="253">
      <c r="B253" s="64"/>
    </row>
    <row r="254">
      <c r="B254" s="64"/>
    </row>
    <row r="255">
      <c r="B255" s="64"/>
    </row>
    <row r="256">
      <c r="B256" s="64"/>
    </row>
    <row r="257">
      <c r="B257" s="64"/>
    </row>
    <row r="258">
      <c r="B258" s="64"/>
    </row>
    <row r="259">
      <c r="B259" s="64"/>
    </row>
    <row r="260">
      <c r="B260" s="64"/>
    </row>
    <row r="261">
      <c r="B261" s="64"/>
    </row>
    <row r="262">
      <c r="B262" s="64"/>
    </row>
    <row r="263">
      <c r="B263" s="64"/>
    </row>
    <row r="264">
      <c r="B264" s="64"/>
    </row>
    <row r="265">
      <c r="B265" s="64"/>
    </row>
    <row r="266">
      <c r="B266" s="64"/>
    </row>
    <row r="267">
      <c r="B267" s="64"/>
    </row>
    <row r="268">
      <c r="B268" s="64"/>
    </row>
    <row r="269">
      <c r="B269" s="64"/>
    </row>
    <row r="270">
      <c r="B270" s="64"/>
    </row>
    <row r="271">
      <c r="B271" s="64"/>
    </row>
    <row r="272">
      <c r="B272" s="64"/>
    </row>
    <row r="273">
      <c r="B273" s="64"/>
    </row>
    <row r="274">
      <c r="B274" s="64"/>
    </row>
    <row r="275">
      <c r="B275" s="64"/>
    </row>
    <row r="276">
      <c r="B276" s="64"/>
    </row>
    <row r="277">
      <c r="B277" s="64"/>
    </row>
    <row r="278">
      <c r="B278" s="64"/>
    </row>
    <row r="279">
      <c r="B279" s="64"/>
    </row>
    <row r="280">
      <c r="B280" s="64"/>
    </row>
    <row r="281">
      <c r="B281" s="64"/>
    </row>
    <row r="282">
      <c r="B282" s="64"/>
    </row>
    <row r="283">
      <c r="B283" s="64"/>
    </row>
    <row r="284">
      <c r="B284" s="64"/>
    </row>
    <row r="285">
      <c r="B285" s="64"/>
    </row>
    <row r="286">
      <c r="B286" s="64"/>
    </row>
    <row r="287">
      <c r="B287" s="64"/>
    </row>
    <row r="288">
      <c r="B288" s="64"/>
    </row>
    <row r="289">
      <c r="B289" s="64"/>
    </row>
    <row r="290">
      <c r="B290" s="64"/>
    </row>
    <row r="291">
      <c r="B291" s="64"/>
    </row>
    <row r="292">
      <c r="B292" s="64"/>
    </row>
    <row r="293">
      <c r="B293" s="64"/>
    </row>
    <row r="294">
      <c r="B294" s="64"/>
    </row>
    <row r="295">
      <c r="B295" s="64"/>
    </row>
    <row r="296">
      <c r="B296" s="64"/>
    </row>
    <row r="297">
      <c r="B297" s="64"/>
    </row>
    <row r="298">
      <c r="B298" s="64"/>
    </row>
    <row r="299">
      <c r="B299" s="64"/>
    </row>
    <row r="300">
      <c r="B300" s="64"/>
    </row>
    <row r="301">
      <c r="B301" s="64"/>
    </row>
    <row r="302">
      <c r="B302" s="64"/>
    </row>
    <row r="303">
      <c r="B303" s="64"/>
    </row>
    <row r="304">
      <c r="B304" s="64"/>
    </row>
    <row r="305">
      <c r="B305" s="64"/>
    </row>
    <row r="306">
      <c r="B306" s="64"/>
    </row>
    <row r="307">
      <c r="B307" s="64"/>
    </row>
    <row r="308">
      <c r="B308" s="64"/>
    </row>
    <row r="309">
      <c r="B309" s="64"/>
    </row>
    <row r="310">
      <c r="B310" s="64"/>
    </row>
    <row r="311">
      <c r="B311" s="64"/>
    </row>
    <row r="312">
      <c r="B312" s="64"/>
    </row>
    <row r="313">
      <c r="B313" s="64"/>
    </row>
    <row r="314">
      <c r="B314" s="64"/>
    </row>
    <row r="315">
      <c r="B315" s="64"/>
    </row>
    <row r="316">
      <c r="B316" s="64"/>
    </row>
    <row r="317">
      <c r="B317" s="64"/>
    </row>
    <row r="318">
      <c r="B318" s="64"/>
    </row>
    <row r="319">
      <c r="B319" s="64"/>
    </row>
    <row r="320">
      <c r="B320" s="64"/>
    </row>
    <row r="321">
      <c r="B321" s="64"/>
    </row>
    <row r="322">
      <c r="B322" s="64"/>
    </row>
    <row r="323">
      <c r="B323" s="64"/>
    </row>
    <row r="324">
      <c r="B324" s="64"/>
    </row>
    <row r="325">
      <c r="B325" s="64"/>
    </row>
    <row r="326">
      <c r="B326" s="64"/>
    </row>
    <row r="327">
      <c r="B327" s="64"/>
    </row>
    <row r="328">
      <c r="B328" s="64"/>
    </row>
    <row r="329">
      <c r="B329" s="64"/>
    </row>
    <row r="330">
      <c r="B330" s="64"/>
    </row>
    <row r="331">
      <c r="B331" s="64"/>
    </row>
    <row r="332">
      <c r="B332" s="64"/>
    </row>
    <row r="333">
      <c r="B333" s="64"/>
    </row>
    <row r="334">
      <c r="B334" s="64"/>
    </row>
    <row r="335">
      <c r="B335" s="64"/>
    </row>
    <row r="336">
      <c r="B336" s="64"/>
    </row>
    <row r="337">
      <c r="B337" s="64"/>
    </row>
    <row r="338">
      <c r="B338" s="64"/>
    </row>
    <row r="339">
      <c r="B339" s="64"/>
    </row>
    <row r="340">
      <c r="B340" s="64"/>
    </row>
    <row r="341">
      <c r="B341" s="64"/>
    </row>
    <row r="342">
      <c r="B342" s="64"/>
    </row>
    <row r="343">
      <c r="B343" s="64"/>
    </row>
    <row r="344">
      <c r="B344" s="64"/>
    </row>
    <row r="345">
      <c r="B345" s="64"/>
    </row>
    <row r="346">
      <c r="B346" s="64"/>
    </row>
    <row r="347">
      <c r="B347" s="64"/>
    </row>
    <row r="348">
      <c r="B348" s="64"/>
    </row>
    <row r="349">
      <c r="B349" s="64"/>
    </row>
    <row r="350">
      <c r="B350" s="64"/>
    </row>
    <row r="351">
      <c r="B351" s="64"/>
    </row>
    <row r="352">
      <c r="B352" s="64"/>
    </row>
    <row r="353">
      <c r="B353" s="64"/>
    </row>
    <row r="354">
      <c r="B354" s="64"/>
    </row>
    <row r="355">
      <c r="B355" s="64"/>
    </row>
    <row r="356">
      <c r="B356" s="64"/>
    </row>
    <row r="357">
      <c r="B357" s="64"/>
    </row>
    <row r="358">
      <c r="B358" s="64"/>
    </row>
    <row r="359">
      <c r="B359" s="64"/>
    </row>
    <row r="360">
      <c r="B360" s="64"/>
    </row>
    <row r="361">
      <c r="B361" s="64"/>
    </row>
    <row r="362">
      <c r="B362" s="64"/>
    </row>
    <row r="363">
      <c r="B363" s="64"/>
    </row>
    <row r="364">
      <c r="B364" s="64"/>
    </row>
    <row r="365">
      <c r="B365" s="64"/>
    </row>
    <row r="366">
      <c r="B366" s="64"/>
    </row>
    <row r="367">
      <c r="B367" s="64"/>
    </row>
    <row r="368">
      <c r="B368" s="64"/>
    </row>
    <row r="369">
      <c r="B369" s="64"/>
    </row>
    <row r="370">
      <c r="B370" s="64"/>
    </row>
    <row r="371">
      <c r="B371" s="64"/>
    </row>
    <row r="372">
      <c r="B372" s="64"/>
    </row>
    <row r="373">
      <c r="B373" s="64"/>
    </row>
    <row r="374">
      <c r="B374" s="64"/>
    </row>
    <row r="375">
      <c r="B375" s="64"/>
    </row>
    <row r="376">
      <c r="B376" s="64"/>
    </row>
    <row r="377">
      <c r="B377" s="64"/>
    </row>
    <row r="378">
      <c r="B378" s="64"/>
    </row>
    <row r="379">
      <c r="B379" s="64"/>
    </row>
    <row r="380">
      <c r="B380" s="64"/>
    </row>
    <row r="381">
      <c r="B381" s="64"/>
    </row>
    <row r="382">
      <c r="B382" s="64"/>
    </row>
    <row r="383">
      <c r="B383" s="64"/>
    </row>
    <row r="384">
      <c r="B384" s="64"/>
    </row>
    <row r="385">
      <c r="B385" s="64"/>
    </row>
    <row r="386">
      <c r="B386" s="64"/>
    </row>
    <row r="387">
      <c r="B387" s="64"/>
    </row>
    <row r="388">
      <c r="B388" s="64"/>
    </row>
    <row r="389">
      <c r="B389" s="64"/>
    </row>
    <row r="390">
      <c r="B390" s="64"/>
    </row>
    <row r="391">
      <c r="B391" s="64"/>
    </row>
    <row r="392">
      <c r="B392" s="64"/>
    </row>
    <row r="393">
      <c r="B393" s="64"/>
    </row>
    <row r="394">
      <c r="B394" s="64"/>
    </row>
    <row r="395">
      <c r="B395" s="64"/>
    </row>
    <row r="396">
      <c r="B396" s="64"/>
    </row>
    <row r="397">
      <c r="B397" s="64"/>
    </row>
    <row r="398">
      <c r="B398" s="64"/>
    </row>
    <row r="399">
      <c r="B399" s="64"/>
    </row>
    <row r="400">
      <c r="B400" s="64"/>
    </row>
    <row r="401">
      <c r="B401" s="64"/>
    </row>
    <row r="402">
      <c r="B402" s="64"/>
    </row>
    <row r="403">
      <c r="B403" s="64"/>
    </row>
    <row r="404">
      <c r="B404" s="64"/>
    </row>
    <row r="405">
      <c r="B405" s="64"/>
    </row>
    <row r="406">
      <c r="B406" s="64"/>
    </row>
    <row r="407">
      <c r="B407" s="64"/>
    </row>
    <row r="408">
      <c r="B408" s="64"/>
    </row>
    <row r="409">
      <c r="B409" s="64"/>
    </row>
    <row r="410">
      <c r="B410" s="64"/>
    </row>
    <row r="411">
      <c r="B411" s="64"/>
    </row>
    <row r="412">
      <c r="B412" s="64"/>
    </row>
    <row r="413">
      <c r="B413" s="64"/>
    </row>
    <row r="414">
      <c r="B414" s="64"/>
    </row>
    <row r="415">
      <c r="B415" s="64"/>
    </row>
    <row r="416">
      <c r="B416" s="64"/>
    </row>
    <row r="417">
      <c r="B417" s="64"/>
    </row>
    <row r="418">
      <c r="B418" s="64"/>
    </row>
    <row r="419">
      <c r="B419" s="64"/>
    </row>
    <row r="420">
      <c r="B420" s="64"/>
    </row>
    <row r="421">
      <c r="B421" s="64"/>
    </row>
    <row r="422">
      <c r="B422" s="64"/>
    </row>
    <row r="423">
      <c r="B423" s="64"/>
    </row>
    <row r="424">
      <c r="B424" s="64"/>
    </row>
    <row r="425">
      <c r="B425" s="64"/>
    </row>
    <row r="426">
      <c r="B426" s="64"/>
    </row>
    <row r="427">
      <c r="B427" s="64"/>
    </row>
    <row r="428">
      <c r="B428" s="64"/>
    </row>
    <row r="429">
      <c r="B429" s="64"/>
    </row>
    <row r="430">
      <c r="B430" s="64"/>
    </row>
    <row r="431">
      <c r="B431" s="64"/>
    </row>
    <row r="432">
      <c r="B432" s="64"/>
    </row>
    <row r="433">
      <c r="B433" s="64"/>
    </row>
    <row r="434">
      <c r="B434" s="64"/>
    </row>
    <row r="435">
      <c r="B435" s="64"/>
    </row>
    <row r="436">
      <c r="B436" s="64"/>
    </row>
    <row r="437">
      <c r="B437" s="64"/>
    </row>
    <row r="438">
      <c r="B438" s="64"/>
    </row>
    <row r="439">
      <c r="B439" s="64"/>
    </row>
    <row r="440">
      <c r="B440" s="64"/>
    </row>
    <row r="441">
      <c r="B441" s="64"/>
    </row>
    <row r="442">
      <c r="B442" s="64"/>
    </row>
    <row r="443">
      <c r="B443" s="64"/>
    </row>
    <row r="444">
      <c r="B444" s="64"/>
    </row>
    <row r="445">
      <c r="B445" s="64"/>
    </row>
    <row r="446">
      <c r="B446" s="64"/>
    </row>
    <row r="447">
      <c r="B447" s="64"/>
    </row>
    <row r="448">
      <c r="B448" s="64"/>
    </row>
    <row r="449">
      <c r="B449" s="64"/>
    </row>
    <row r="450">
      <c r="B450" s="64"/>
    </row>
    <row r="451">
      <c r="B451" s="64"/>
    </row>
    <row r="452">
      <c r="B452" s="64"/>
    </row>
    <row r="453">
      <c r="B453" s="64"/>
    </row>
    <row r="454">
      <c r="B454" s="64"/>
    </row>
    <row r="455">
      <c r="B455" s="64"/>
    </row>
    <row r="456">
      <c r="B456" s="64"/>
    </row>
    <row r="457">
      <c r="B457" s="64"/>
    </row>
    <row r="458">
      <c r="B458" s="64"/>
    </row>
    <row r="459">
      <c r="B459" s="64"/>
    </row>
    <row r="460">
      <c r="B460" s="64"/>
    </row>
    <row r="461">
      <c r="B461" s="64"/>
    </row>
    <row r="462">
      <c r="B462" s="64"/>
    </row>
    <row r="463">
      <c r="B463" s="64"/>
    </row>
    <row r="464">
      <c r="B464" s="64"/>
    </row>
    <row r="465">
      <c r="B465" s="64"/>
    </row>
    <row r="466">
      <c r="B466" s="64"/>
    </row>
    <row r="467">
      <c r="B467" s="64"/>
    </row>
    <row r="468">
      <c r="B468" s="64"/>
    </row>
    <row r="469">
      <c r="B469" s="64"/>
    </row>
    <row r="470">
      <c r="B470" s="64"/>
    </row>
    <row r="471">
      <c r="B471" s="64"/>
    </row>
    <row r="472">
      <c r="B472" s="64"/>
    </row>
    <row r="473">
      <c r="B473" s="64"/>
    </row>
    <row r="474">
      <c r="B474" s="64"/>
    </row>
    <row r="475">
      <c r="B475" s="64"/>
    </row>
    <row r="476">
      <c r="B476" s="64"/>
    </row>
    <row r="477">
      <c r="B477" s="64"/>
    </row>
    <row r="478">
      <c r="B478" s="64"/>
    </row>
    <row r="479">
      <c r="B479" s="64"/>
    </row>
    <row r="480">
      <c r="B480" s="64"/>
    </row>
    <row r="481">
      <c r="B481" s="64"/>
    </row>
    <row r="482">
      <c r="B482" s="64"/>
    </row>
    <row r="483">
      <c r="B483" s="64"/>
    </row>
    <row r="484">
      <c r="B484" s="64"/>
    </row>
    <row r="485">
      <c r="B485" s="64"/>
    </row>
    <row r="486">
      <c r="B486" s="64"/>
    </row>
    <row r="487">
      <c r="B487" s="64"/>
    </row>
    <row r="488">
      <c r="B488" s="64"/>
    </row>
    <row r="489">
      <c r="B489" s="64"/>
    </row>
    <row r="490">
      <c r="B490" s="64"/>
    </row>
    <row r="491">
      <c r="B491" s="64"/>
    </row>
    <row r="492">
      <c r="B492" s="64"/>
    </row>
    <row r="493">
      <c r="B493" s="64"/>
    </row>
    <row r="494">
      <c r="B494" s="64"/>
    </row>
    <row r="495">
      <c r="B495" s="64"/>
    </row>
    <row r="496">
      <c r="B496" s="64"/>
    </row>
    <row r="497">
      <c r="B497" s="64"/>
    </row>
    <row r="498">
      <c r="B498" s="64"/>
    </row>
    <row r="499">
      <c r="B499" s="64"/>
    </row>
    <row r="500">
      <c r="B500" s="64"/>
    </row>
    <row r="501">
      <c r="B501" s="64"/>
    </row>
    <row r="502">
      <c r="B502" s="64"/>
    </row>
    <row r="503">
      <c r="B503" s="64"/>
    </row>
    <row r="504">
      <c r="B504" s="64"/>
    </row>
    <row r="505">
      <c r="B505" s="64"/>
    </row>
    <row r="506">
      <c r="B506" s="64"/>
    </row>
    <row r="507">
      <c r="B507" s="64"/>
    </row>
    <row r="508">
      <c r="B508" s="64"/>
    </row>
    <row r="509">
      <c r="B509" s="64"/>
    </row>
    <row r="510">
      <c r="B510" s="64"/>
    </row>
    <row r="511">
      <c r="B511" s="64"/>
    </row>
    <row r="512">
      <c r="B512" s="64"/>
    </row>
    <row r="513">
      <c r="B513" s="64"/>
    </row>
    <row r="514">
      <c r="B514" s="64"/>
    </row>
    <row r="515">
      <c r="B515" s="64"/>
    </row>
    <row r="516">
      <c r="B516" s="64"/>
    </row>
    <row r="517">
      <c r="B517" s="64"/>
    </row>
    <row r="518">
      <c r="B518" s="64"/>
    </row>
    <row r="519">
      <c r="B519" s="64"/>
    </row>
    <row r="520">
      <c r="B520" s="64"/>
    </row>
    <row r="521">
      <c r="B521" s="64"/>
    </row>
    <row r="522">
      <c r="B522" s="64"/>
    </row>
    <row r="523">
      <c r="B523" s="64"/>
    </row>
    <row r="524">
      <c r="B524" s="64"/>
    </row>
    <row r="525">
      <c r="B525" s="64"/>
    </row>
    <row r="526">
      <c r="B526" s="64"/>
    </row>
    <row r="527">
      <c r="B527" s="64"/>
    </row>
    <row r="528">
      <c r="B528" s="64"/>
    </row>
    <row r="529">
      <c r="B529" s="64"/>
    </row>
    <row r="530">
      <c r="B530" s="64"/>
    </row>
    <row r="531">
      <c r="B531" s="64"/>
    </row>
    <row r="532">
      <c r="B532" s="64"/>
    </row>
    <row r="533">
      <c r="B533" s="64"/>
    </row>
    <row r="534">
      <c r="B534" s="64"/>
    </row>
    <row r="535">
      <c r="B535" s="64"/>
    </row>
    <row r="536">
      <c r="B536" s="64"/>
    </row>
    <row r="537">
      <c r="B537" s="64"/>
    </row>
    <row r="538">
      <c r="B538" s="64"/>
    </row>
    <row r="539">
      <c r="B539" s="64"/>
    </row>
    <row r="540">
      <c r="B540" s="64"/>
    </row>
    <row r="541">
      <c r="B541" s="64"/>
    </row>
    <row r="542">
      <c r="B542" s="64"/>
    </row>
    <row r="543">
      <c r="B543" s="64"/>
    </row>
    <row r="544">
      <c r="B544" s="64"/>
    </row>
    <row r="545">
      <c r="B545" s="64"/>
    </row>
    <row r="546">
      <c r="B546" s="64"/>
    </row>
    <row r="547">
      <c r="B547" s="64"/>
    </row>
    <row r="548">
      <c r="B548" s="64"/>
    </row>
    <row r="549">
      <c r="B549" s="64"/>
    </row>
    <row r="550">
      <c r="B550" s="64"/>
    </row>
    <row r="551">
      <c r="B551" s="64"/>
    </row>
    <row r="552">
      <c r="B552" s="64"/>
    </row>
    <row r="553">
      <c r="B553" s="64"/>
    </row>
    <row r="554">
      <c r="B554" s="64"/>
    </row>
    <row r="555">
      <c r="B555" s="64"/>
    </row>
    <row r="556">
      <c r="B556" s="64"/>
    </row>
    <row r="557">
      <c r="B557" s="64"/>
    </row>
    <row r="558">
      <c r="B558" s="64"/>
    </row>
    <row r="559">
      <c r="B559" s="64"/>
    </row>
    <row r="560">
      <c r="B560" s="64"/>
    </row>
    <row r="561">
      <c r="B561" s="64"/>
    </row>
    <row r="562">
      <c r="B562" s="64"/>
    </row>
    <row r="563">
      <c r="B563" s="64"/>
    </row>
    <row r="564">
      <c r="B564" s="64"/>
    </row>
    <row r="565">
      <c r="B565" s="64"/>
    </row>
    <row r="566">
      <c r="B566" s="64"/>
    </row>
    <row r="567">
      <c r="B567" s="64"/>
    </row>
    <row r="568">
      <c r="B568" s="64"/>
    </row>
    <row r="569">
      <c r="B569" s="64"/>
    </row>
    <row r="570">
      <c r="B570" s="64"/>
    </row>
    <row r="571">
      <c r="B571" s="64"/>
    </row>
    <row r="572">
      <c r="B572" s="64"/>
    </row>
    <row r="573">
      <c r="B573" s="64"/>
    </row>
    <row r="574">
      <c r="B574" s="64"/>
    </row>
    <row r="575">
      <c r="B575" s="64"/>
    </row>
    <row r="576">
      <c r="B576" s="64"/>
    </row>
    <row r="577">
      <c r="B577" s="64"/>
    </row>
    <row r="578">
      <c r="B578" s="64"/>
    </row>
    <row r="579">
      <c r="B579" s="64"/>
    </row>
    <row r="580">
      <c r="B580" s="64"/>
    </row>
    <row r="581">
      <c r="B581" s="64"/>
    </row>
    <row r="582">
      <c r="B582" s="64"/>
    </row>
    <row r="583">
      <c r="B583" s="64"/>
    </row>
    <row r="584">
      <c r="B584" s="64"/>
    </row>
    <row r="585">
      <c r="B585" s="64"/>
    </row>
    <row r="586">
      <c r="B586" s="64"/>
    </row>
    <row r="587">
      <c r="B587" s="64"/>
    </row>
    <row r="588">
      <c r="B588" s="64"/>
    </row>
    <row r="589">
      <c r="B589" s="64"/>
    </row>
    <row r="590">
      <c r="B590" s="64"/>
    </row>
    <row r="591">
      <c r="B591" s="64"/>
    </row>
    <row r="592">
      <c r="B592" s="64"/>
    </row>
    <row r="593">
      <c r="B593" s="64"/>
    </row>
    <row r="594">
      <c r="B594" s="64"/>
    </row>
    <row r="595">
      <c r="B595" s="64"/>
    </row>
    <row r="596">
      <c r="B596" s="64"/>
    </row>
    <row r="597">
      <c r="B597" s="64"/>
    </row>
    <row r="598">
      <c r="B598" s="64"/>
    </row>
    <row r="599">
      <c r="B599" s="64"/>
    </row>
    <row r="600">
      <c r="B600" s="64"/>
    </row>
    <row r="601">
      <c r="B601" s="64"/>
    </row>
    <row r="602">
      <c r="B602" s="64"/>
    </row>
    <row r="603">
      <c r="B603" s="64"/>
    </row>
    <row r="604">
      <c r="B604" s="64"/>
    </row>
    <row r="605">
      <c r="B605" s="64"/>
    </row>
    <row r="606">
      <c r="B606" s="64"/>
    </row>
    <row r="607">
      <c r="B607" s="64"/>
    </row>
    <row r="608">
      <c r="B608" s="64"/>
    </row>
    <row r="609">
      <c r="B609" s="64"/>
    </row>
    <row r="610">
      <c r="B610" s="64"/>
    </row>
    <row r="611">
      <c r="B611" s="64"/>
    </row>
    <row r="612">
      <c r="B612" s="64"/>
    </row>
    <row r="613">
      <c r="B613" s="64"/>
    </row>
    <row r="614">
      <c r="B614" s="64"/>
    </row>
    <row r="615">
      <c r="B615" s="64"/>
    </row>
    <row r="616">
      <c r="B616" s="64"/>
    </row>
    <row r="617">
      <c r="B617" s="64"/>
    </row>
    <row r="618">
      <c r="B618" s="64"/>
    </row>
    <row r="619">
      <c r="B619" s="64"/>
    </row>
    <row r="620">
      <c r="B620" s="64"/>
    </row>
    <row r="621">
      <c r="B621" s="64"/>
    </row>
    <row r="622">
      <c r="B622" s="64"/>
    </row>
    <row r="623">
      <c r="B623" s="64"/>
    </row>
    <row r="624">
      <c r="B624" s="64"/>
    </row>
    <row r="625">
      <c r="B625" s="64"/>
    </row>
    <row r="626">
      <c r="B626" s="64"/>
    </row>
    <row r="627">
      <c r="B627" s="64"/>
    </row>
    <row r="628">
      <c r="B628" s="64"/>
    </row>
    <row r="629">
      <c r="B629" s="64"/>
    </row>
    <row r="630">
      <c r="B630" s="64"/>
    </row>
    <row r="631">
      <c r="B631" s="64"/>
    </row>
    <row r="632">
      <c r="B632" s="64"/>
    </row>
    <row r="633">
      <c r="B633" s="64"/>
    </row>
    <row r="634">
      <c r="B634" s="64"/>
    </row>
    <row r="635">
      <c r="B635" s="64"/>
    </row>
    <row r="636">
      <c r="B636" s="64"/>
    </row>
    <row r="637">
      <c r="B637" s="64"/>
    </row>
    <row r="638">
      <c r="B638" s="64"/>
    </row>
    <row r="639">
      <c r="B639" s="64"/>
    </row>
    <row r="640">
      <c r="B640" s="64"/>
    </row>
    <row r="641">
      <c r="B641" s="64"/>
    </row>
    <row r="642">
      <c r="B642" s="64"/>
    </row>
    <row r="643">
      <c r="B643" s="64"/>
    </row>
    <row r="644">
      <c r="B644" s="64"/>
    </row>
    <row r="645">
      <c r="B645" s="64"/>
    </row>
    <row r="646">
      <c r="B646" s="64"/>
    </row>
    <row r="647">
      <c r="B647" s="64"/>
    </row>
    <row r="648">
      <c r="B648" s="64"/>
    </row>
    <row r="649">
      <c r="B649" s="64"/>
    </row>
    <row r="650">
      <c r="B650" s="64"/>
    </row>
    <row r="651">
      <c r="B651" s="64"/>
    </row>
    <row r="652">
      <c r="B652" s="64"/>
    </row>
    <row r="653">
      <c r="B653" s="64"/>
    </row>
    <row r="654">
      <c r="B654" s="64"/>
    </row>
    <row r="655">
      <c r="B655" s="64"/>
    </row>
    <row r="656">
      <c r="B656" s="64"/>
    </row>
    <row r="657">
      <c r="B657" s="64"/>
    </row>
    <row r="658">
      <c r="B658" s="64"/>
    </row>
    <row r="659">
      <c r="B659" s="64"/>
    </row>
    <row r="660">
      <c r="B660" s="64"/>
    </row>
    <row r="661">
      <c r="B661" s="64"/>
    </row>
    <row r="662">
      <c r="B662" s="64"/>
    </row>
    <row r="663">
      <c r="B663" s="64"/>
    </row>
    <row r="664">
      <c r="B664" s="64"/>
    </row>
    <row r="665">
      <c r="B665" s="64"/>
    </row>
    <row r="666">
      <c r="B666" s="64"/>
    </row>
    <row r="667">
      <c r="B667" s="64"/>
    </row>
    <row r="668">
      <c r="B668" s="64"/>
    </row>
    <row r="669">
      <c r="B669" s="64"/>
    </row>
    <row r="670">
      <c r="B670" s="64"/>
    </row>
    <row r="671">
      <c r="B671" s="64"/>
    </row>
    <row r="672">
      <c r="B672" s="64"/>
    </row>
    <row r="673">
      <c r="B673" s="64"/>
    </row>
    <row r="674">
      <c r="B674" s="64"/>
    </row>
    <row r="675">
      <c r="B675" s="64"/>
    </row>
    <row r="676">
      <c r="B676" s="64"/>
    </row>
    <row r="677">
      <c r="B677" s="64"/>
    </row>
    <row r="678">
      <c r="B678" s="64"/>
    </row>
    <row r="679">
      <c r="B679" s="64"/>
    </row>
    <row r="680">
      <c r="B680" s="64"/>
    </row>
    <row r="681">
      <c r="B681" s="64"/>
    </row>
    <row r="682">
      <c r="B682" s="64"/>
    </row>
    <row r="683">
      <c r="B683" s="64"/>
    </row>
    <row r="684">
      <c r="B684" s="64"/>
    </row>
    <row r="685">
      <c r="B685" s="64"/>
    </row>
    <row r="686">
      <c r="B686" s="64"/>
    </row>
    <row r="687">
      <c r="B687" s="64"/>
    </row>
    <row r="688">
      <c r="B688" s="64"/>
    </row>
    <row r="689">
      <c r="B689" s="64"/>
    </row>
    <row r="690">
      <c r="B690" s="64"/>
    </row>
    <row r="691">
      <c r="B691" s="64"/>
    </row>
    <row r="692">
      <c r="B692" s="64"/>
    </row>
    <row r="693">
      <c r="B693" s="64"/>
    </row>
    <row r="694">
      <c r="B694" s="64"/>
    </row>
    <row r="695">
      <c r="B695" s="64"/>
    </row>
    <row r="696">
      <c r="B696" s="64"/>
    </row>
    <row r="697">
      <c r="B697" s="64"/>
    </row>
    <row r="698">
      <c r="B698" s="64"/>
    </row>
    <row r="699">
      <c r="B699" s="64"/>
    </row>
    <row r="700">
      <c r="B700" s="64"/>
    </row>
    <row r="701">
      <c r="B701" s="64"/>
    </row>
    <row r="702">
      <c r="B702" s="64"/>
    </row>
    <row r="703">
      <c r="B703" s="64"/>
    </row>
    <row r="704">
      <c r="B704" s="64"/>
    </row>
    <row r="705">
      <c r="B705" s="64"/>
    </row>
    <row r="706">
      <c r="B706" s="64"/>
    </row>
    <row r="707">
      <c r="B707" s="64"/>
    </row>
    <row r="708">
      <c r="B708" s="64"/>
    </row>
    <row r="709">
      <c r="B709" s="64"/>
    </row>
    <row r="710">
      <c r="B710" s="64"/>
    </row>
    <row r="711">
      <c r="B711" s="64"/>
    </row>
    <row r="712">
      <c r="B712" s="64"/>
    </row>
    <row r="713">
      <c r="B713" s="64"/>
    </row>
    <row r="714">
      <c r="B714" s="64"/>
    </row>
    <row r="715">
      <c r="B715" s="64"/>
    </row>
    <row r="716">
      <c r="B716" s="64"/>
    </row>
    <row r="717">
      <c r="B717" s="64"/>
    </row>
    <row r="718">
      <c r="B718" s="64"/>
    </row>
    <row r="719">
      <c r="B719" s="64"/>
    </row>
    <row r="720">
      <c r="B720" s="64"/>
    </row>
    <row r="721">
      <c r="B721" s="64"/>
    </row>
    <row r="722">
      <c r="B722" s="64"/>
    </row>
    <row r="723">
      <c r="B723" s="64"/>
    </row>
    <row r="724">
      <c r="B724" s="64"/>
    </row>
    <row r="725">
      <c r="B725" s="64"/>
    </row>
    <row r="726">
      <c r="B726" s="64"/>
    </row>
    <row r="727">
      <c r="B727" s="64"/>
    </row>
    <row r="728">
      <c r="B728" s="64"/>
    </row>
    <row r="729">
      <c r="B729" s="64"/>
    </row>
    <row r="730">
      <c r="B730" s="64"/>
    </row>
    <row r="731">
      <c r="B731" s="64"/>
    </row>
    <row r="732">
      <c r="B732" s="64"/>
    </row>
    <row r="733">
      <c r="B733" s="64"/>
    </row>
    <row r="734">
      <c r="B734" s="64"/>
    </row>
    <row r="735">
      <c r="B735" s="64"/>
    </row>
    <row r="736">
      <c r="B736" s="64"/>
    </row>
    <row r="737">
      <c r="B737" s="64"/>
    </row>
    <row r="738">
      <c r="B738" s="64"/>
    </row>
    <row r="739">
      <c r="B739" s="64"/>
    </row>
    <row r="740">
      <c r="B740" s="64"/>
    </row>
    <row r="741">
      <c r="B741" s="64"/>
    </row>
    <row r="742">
      <c r="B742" s="64"/>
    </row>
    <row r="743">
      <c r="B743" s="64"/>
    </row>
    <row r="744">
      <c r="B744" s="64"/>
    </row>
    <row r="745">
      <c r="B745" s="64"/>
    </row>
    <row r="746">
      <c r="B746" s="64"/>
    </row>
    <row r="747">
      <c r="B747" s="64"/>
    </row>
    <row r="748">
      <c r="B748" s="64"/>
    </row>
    <row r="749">
      <c r="B749" s="64"/>
    </row>
    <row r="750">
      <c r="B750" s="64"/>
    </row>
    <row r="751">
      <c r="B751" s="64"/>
    </row>
    <row r="752">
      <c r="B752" s="64"/>
    </row>
    <row r="753">
      <c r="B753" s="64"/>
    </row>
    <row r="754">
      <c r="B754" s="64"/>
    </row>
    <row r="755">
      <c r="B755" s="64"/>
    </row>
    <row r="756">
      <c r="B756" s="64"/>
    </row>
    <row r="757">
      <c r="B757" s="64"/>
    </row>
    <row r="758">
      <c r="B758" s="64"/>
    </row>
    <row r="759">
      <c r="B759" s="64"/>
    </row>
    <row r="760">
      <c r="B760" s="64"/>
    </row>
    <row r="761">
      <c r="B761" s="64"/>
    </row>
    <row r="762">
      <c r="B762" s="64"/>
    </row>
    <row r="763">
      <c r="B763" s="64"/>
    </row>
    <row r="764">
      <c r="B764" s="64"/>
    </row>
    <row r="765">
      <c r="B765" s="64"/>
    </row>
    <row r="766">
      <c r="B766" s="64"/>
    </row>
    <row r="767">
      <c r="B767" s="64"/>
    </row>
    <row r="768">
      <c r="B768" s="64"/>
    </row>
    <row r="769">
      <c r="B769" s="64"/>
    </row>
    <row r="770">
      <c r="B770" s="64"/>
    </row>
    <row r="771">
      <c r="B771" s="64"/>
    </row>
    <row r="772">
      <c r="B772" s="64"/>
    </row>
    <row r="773">
      <c r="B773" s="64"/>
    </row>
    <row r="774">
      <c r="B774" s="64"/>
    </row>
    <row r="775">
      <c r="B775" s="64"/>
    </row>
    <row r="776">
      <c r="B776" s="64"/>
    </row>
    <row r="777">
      <c r="B777" s="64"/>
    </row>
    <row r="778">
      <c r="B778" s="64"/>
    </row>
    <row r="779">
      <c r="B779" s="64"/>
    </row>
    <row r="780">
      <c r="B780" s="64"/>
    </row>
    <row r="781">
      <c r="B781" s="64"/>
    </row>
    <row r="782">
      <c r="B782" s="64"/>
    </row>
    <row r="783">
      <c r="B783" s="64"/>
    </row>
    <row r="784">
      <c r="B784" s="64"/>
    </row>
    <row r="785">
      <c r="B785" s="64"/>
    </row>
    <row r="786">
      <c r="B786" s="64"/>
    </row>
    <row r="787">
      <c r="B787" s="64"/>
    </row>
    <row r="788">
      <c r="B788" s="64"/>
    </row>
    <row r="789">
      <c r="B789" s="64"/>
    </row>
    <row r="790">
      <c r="B790" s="64"/>
    </row>
    <row r="791">
      <c r="B791" s="64"/>
    </row>
    <row r="792">
      <c r="B792" s="64"/>
    </row>
    <row r="793">
      <c r="B793" s="64"/>
    </row>
    <row r="794">
      <c r="B794" s="64"/>
    </row>
    <row r="795">
      <c r="B795" s="64"/>
    </row>
    <row r="796">
      <c r="B796" s="64"/>
    </row>
    <row r="797">
      <c r="B797" s="64"/>
    </row>
    <row r="798">
      <c r="B798" s="64"/>
    </row>
    <row r="799">
      <c r="B799" s="64"/>
    </row>
    <row r="800">
      <c r="B800" s="64"/>
    </row>
    <row r="801">
      <c r="B801" s="64"/>
    </row>
    <row r="802">
      <c r="B802" s="64"/>
    </row>
    <row r="803">
      <c r="B803" s="64"/>
    </row>
    <row r="804">
      <c r="B804" s="64"/>
    </row>
    <row r="805">
      <c r="B805" s="64"/>
    </row>
    <row r="806">
      <c r="B806" s="64"/>
    </row>
    <row r="807">
      <c r="B807" s="64"/>
    </row>
    <row r="808">
      <c r="B808" s="64"/>
    </row>
    <row r="809">
      <c r="B809" s="64"/>
    </row>
    <row r="810">
      <c r="B810" s="64"/>
    </row>
    <row r="811">
      <c r="B811" s="64"/>
    </row>
    <row r="812">
      <c r="B812" s="64"/>
    </row>
    <row r="813">
      <c r="B813" s="64"/>
    </row>
    <row r="814">
      <c r="B814" s="64"/>
    </row>
    <row r="815">
      <c r="B815" s="64"/>
    </row>
    <row r="816">
      <c r="B816" s="64"/>
    </row>
    <row r="817">
      <c r="B817" s="64"/>
    </row>
    <row r="818">
      <c r="B818" s="64"/>
    </row>
    <row r="819">
      <c r="B819" s="64"/>
    </row>
    <row r="820">
      <c r="B820" s="64"/>
    </row>
    <row r="821">
      <c r="B821" s="64"/>
    </row>
    <row r="822">
      <c r="B822" s="64"/>
    </row>
    <row r="823">
      <c r="B823" s="64"/>
    </row>
    <row r="824">
      <c r="B824" s="64"/>
    </row>
    <row r="825">
      <c r="B825" s="64"/>
    </row>
    <row r="826">
      <c r="B826" s="64"/>
    </row>
    <row r="827">
      <c r="B827" s="64"/>
    </row>
    <row r="828">
      <c r="B828" s="64"/>
    </row>
    <row r="829">
      <c r="B829" s="64"/>
    </row>
    <row r="830">
      <c r="B830" s="64"/>
    </row>
    <row r="831">
      <c r="B831" s="64"/>
    </row>
    <row r="832">
      <c r="B832" s="64"/>
    </row>
    <row r="833">
      <c r="B833" s="64"/>
    </row>
    <row r="834">
      <c r="B834" s="64"/>
    </row>
    <row r="835">
      <c r="B835" s="64"/>
    </row>
    <row r="836">
      <c r="B836" s="64"/>
    </row>
    <row r="837">
      <c r="B837" s="64"/>
    </row>
    <row r="838">
      <c r="B838" s="64"/>
    </row>
    <row r="839">
      <c r="B839" s="64"/>
    </row>
    <row r="840">
      <c r="B840" s="64"/>
    </row>
    <row r="841">
      <c r="B841" s="64"/>
    </row>
    <row r="842">
      <c r="B842" s="64"/>
    </row>
    <row r="843">
      <c r="B843" s="64"/>
    </row>
    <row r="844">
      <c r="B844" s="64"/>
    </row>
    <row r="845">
      <c r="B845" s="64"/>
    </row>
    <row r="846">
      <c r="B846" s="64"/>
    </row>
    <row r="847">
      <c r="B847" s="64"/>
    </row>
    <row r="848">
      <c r="B848" s="64"/>
    </row>
    <row r="849">
      <c r="B849" s="64"/>
    </row>
    <row r="850">
      <c r="B850" s="64"/>
    </row>
    <row r="851">
      <c r="B851" s="64"/>
    </row>
    <row r="852">
      <c r="B852" s="64"/>
    </row>
    <row r="853">
      <c r="B853" s="64"/>
    </row>
    <row r="854">
      <c r="B854" s="64"/>
    </row>
    <row r="855">
      <c r="B855" s="64"/>
    </row>
    <row r="856">
      <c r="B856" s="64"/>
    </row>
    <row r="857">
      <c r="B857" s="64"/>
    </row>
    <row r="858">
      <c r="B858" s="64"/>
    </row>
    <row r="859">
      <c r="B859" s="64"/>
    </row>
    <row r="860">
      <c r="B860" s="64"/>
    </row>
    <row r="861">
      <c r="B861" s="64"/>
    </row>
    <row r="862">
      <c r="B862" s="64"/>
    </row>
    <row r="863">
      <c r="B863" s="64"/>
    </row>
    <row r="864">
      <c r="B864" s="64"/>
    </row>
    <row r="865">
      <c r="B865" s="64"/>
    </row>
    <row r="866">
      <c r="B866" s="64"/>
    </row>
    <row r="867">
      <c r="B867" s="64"/>
    </row>
    <row r="868">
      <c r="B868" s="64"/>
    </row>
    <row r="869">
      <c r="B869" s="64"/>
    </row>
    <row r="870">
      <c r="B870" s="64"/>
    </row>
    <row r="871">
      <c r="B871" s="64"/>
    </row>
    <row r="872">
      <c r="B872" s="64"/>
    </row>
    <row r="873">
      <c r="B873" s="64"/>
    </row>
    <row r="874">
      <c r="B874" s="64"/>
    </row>
    <row r="875">
      <c r="B875" s="64"/>
    </row>
    <row r="876">
      <c r="B876" s="64"/>
    </row>
    <row r="877">
      <c r="B877" s="64"/>
    </row>
    <row r="878">
      <c r="B878" s="64"/>
    </row>
    <row r="879">
      <c r="B879" s="64"/>
    </row>
    <row r="880">
      <c r="B880" s="64"/>
    </row>
    <row r="881">
      <c r="B881" s="64"/>
    </row>
    <row r="882">
      <c r="B882" s="64"/>
    </row>
    <row r="883">
      <c r="B883" s="64"/>
    </row>
    <row r="884">
      <c r="B884" s="64"/>
    </row>
    <row r="885">
      <c r="B885" s="64"/>
    </row>
    <row r="886">
      <c r="B886" s="64"/>
    </row>
    <row r="887">
      <c r="B887" s="64"/>
    </row>
    <row r="888">
      <c r="B888" s="64"/>
    </row>
    <row r="889">
      <c r="B889" s="64"/>
    </row>
    <row r="890">
      <c r="B890" s="64"/>
    </row>
    <row r="891">
      <c r="B891" s="64"/>
    </row>
    <row r="892">
      <c r="B892" s="64"/>
    </row>
    <row r="893">
      <c r="B893" s="64"/>
    </row>
    <row r="894">
      <c r="B894" s="64"/>
    </row>
    <row r="895">
      <c r="B895" s="64"/>
    </row>
    <row r="896">
      <c r="B896" s="64"/>
    </row>
    <row r="897">
      <c r="B897" s="64"/>
    </row>
    <row r="898">
      <c r="B898" s="64"/>
    </row>
    <row r="899">
      <c r="B899" s="64"/>
    </row>
    <row r="900">
      <c r="B900" s="64"/>
    </row>
    <row r="901">
      <c r="B901" s="64"/>
    </row>
    <row r="902">
      <c r="B902" s="64"/>
    </row>
    <row r="903">
      <c r="B903" s="64"/>
    </row>
    <row r="904">
      <c r="B904" s="64"/>
    </row>
    <row r="905">
      <c r="B905" s="64"/>
    </row>
    <row r="906">
      <c r="B906" s="64"/>
    </row>
    <row r="907">
      <c r="B907" s="64"/>
    </row>
    <row r="908">
      <c r="B908" s="64"/>
    </row>
    <row r="909">
      <c r="B909" s="64"/>
    </row>
    <row r="910">
      <c r="B910" s="64"/>
    </row>
    <row r="911">
      <c r="B911" s="64"/>
    </row>
    <row r="912">
      <c r="B912" s="64"/>
    </row>
    <row r="913">
      <c r="B913" s="64"/>
    </row>
    <row r="914">
      <c r="B914" s="64"/>
    </row>
    <row r="915">
      <c r="B915" s="64"/>
    </row>
    <row r="916">
      <c r="B916" s="64"/>
    </row>
    <row r="917">
      <c r="B917" s="64"/>
    </row>
    <row r="918">
      <c r="B918" s="64"/>
    </row>
    <row r="919">
      <c r="B919" s="64"/>
    </row>
    <row r="920">
      <c r="B920" s="64"/>
    </row>
    <row r="921">
      <c r="B921" s="64"/>
    </row>
    <row r="922">
      <c r="B922" s="64"/>
    </row>
    <row r="923">
      <c r="B923" s="64"/>
    </row>
    <row r="924">
      <c r="B924" s="64"/>
    </row>
    <row r="925">
      <c r="B925" s="64"/>
    </row>
    <row r="926">
      <c r="B926" s="64"/>
    </row>
    <row r="927">
      <c r="B927" s="64"/>
    </row>
    <row r="928">
      <c r="B928" s="64"/>
    </row>
    <row r="929">
      <c r="B929" s="64"/>
    </row>
    <row r="930">
      <c r="B930" s="64"/>
    </row>
    <row r="931">
      <c r="B931" s="64"/>
    </row>
    <row r="932">
      <c r="B932" s="64"/>
    </row>
    <row r="933">
      <c r="B933" s="64"/>
    </row>
    <row r="934">
      <c r="B934" s="64"/>
    </row>
    <row r="935">
      <c r="B935" s="64"/>
    </row>
    <row r="936">
      <c r="B936" s="64"/>
    </row>
    <row r="937">
      <c r="B937" s="64"/>
    </row>
    <row r="938">
      <c r="B938" s="64"/>
    </row>
    <row r="939">
      <c r="B939" s="64"/>
    </row>
    <row r="940">
      <c r="B940" s="64"/>
    </row>
    <row r="941">
      <c r="B941" s="64"/>
    </row>
    <row r="942">
      <c r="B942" s="64"/>
    </row>
    <row r="943">
      <c r="B943" s="64"/>
    </row>
    <row r="944">
      <c r="B944" s="64"/>
    </row>
    <row r="945">
      <c r="B945" s="64"/>
    </row>
    <row r="946">
      <c r="B946" s="64"/>
    </row>
    <row r="947">
      <c r="B947" s="64"/>
    </row>
    <row r="948">
      <c r="B948" s="64"/>
    </row>
    <row r="949">
      <c r="B949" s="64"/>
    </row>
    <row r="950">
      <c r="B950" s="64"/>
    </row>
    <row r="951">
      <c r="B951" s="64"/>
    </row>
    <row r="952">
      <c r="B952" s="64"/>
    </row>
    <row r="953">
      <c r="B953" s="64"/>
    </row>
    <row r="954">
      <c r="B954" s="64"/>
    </row>
    <row r="955">
      <c r="B955" s="64"/>
    </row>
    <row r="956">
      <c r="B956" s="64"/>
    </row>
    <row r="957">
      <c r="B957" s="64"/>
    </row>
    <row r="958">
      <c r="B958" s="64"/>
    </row>
    <row r="959">
      <c r="B959" s="64"/>
    </row>
    <row r="960">
      <c r="B960" s="64"/>
    </row>
    <row r="961">
      <c r="B961" s="64"/>
    </row>
    <row r="962">
      <c r="B962" s="64"/>
    </row>
    <row r="963">
      <c r="B963" s="64"/>
    </row>
    <row r="964">
      <c r="B964" s="64"/>
    </row>
    <row r="965">
      <c r="B965" s="64"/>
    </row>
    <row r="966">
      <c r="B966" s="64"/>
    </row>
    <row r="967">
      <c r="B967" s="64"/>
    </row>
    <row r="968">
      <c r="B968" s="64"/>
    </row>
    <row r="969">
      <c r="B969" s="64"/>
    </row>
    <row r="970">
      <c r="B970" s="64"/>
    </row>
    <row r="971">
      <c r="B971" s="64"/>
    </row>
    <row r="972">
      <c r="B972" s="64"/>
    </row>
    <row r="973">
      <c r="B973" s="64"/>
    </row>
    <row r="974">
      <c r="B974" s="64"/>
    </row>
    <row r="975">
      <c r="B975" s="64"/>
    </row>
    <row r="976">
      <c r="B976" s="64"/>
    </row>
    <row r="977">
      <c r="B977" s="64"/>
    </row>
    <row r="978">
      <c r="B978" s="64"/>
    </row>
    <row r="979">
      <c r="B979" s="64"/>
    </row>
    <row r="980">
      <c r="B980" s="64"/>
    </row>
    <row r="981">
      <c r="B981" s="64"/>
    </row>
    <row r="982">
      <c r="B982" s="64"/>
    </row>
    <row r="983">
      <c r="B983" s="64"/>
    </row>
    <row r="984">
      <c r="B984" s="64"/>
    </row>
    <row r="985">
      <c r="B985" s="64"/>
    </row>
    <row r="986">
      <c r="B986" s="64"/>
    </row>
    <row r="987">
      <c r="B987" s="64"/>
    </row>
    <row r="988">
      <c r="B988" s="64"/>
    </row>
    <row r="989">
      <c r="B989" s="64"/>
    </row>
    <row r="990">
      <c r="B990" s="64"/>
    </row>
    <row r="991">
      <c r="B991" s="64"/>
    </row>
    <row r="992">
      <c r="B992" s="64"/>
    </row>
    <row r="993">
      <c r="B993" s="64"/>
    </row>
    <row r="994">
      <c r="B994" s="64"/>
    </row>
    <row r="995">
      <c r="B995" s="64"/>
    </row>
    <row r="996">
      <c r="B996" s="64"/>
    </row>
    <row r="997">
      <c r="B997" s="64"/>
    </row>
    <row r="998">
      <c r="B998" s="64"/>
    </row>
    <row r="999">
      <c r="B999" s="64"/>
    </row>
    <row r="1000">
      <c r="B1000" s="6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8.86"/>
  </cols>
  <sheetData>
    <row r="1">
      <c r="A1" s="61" t="s">
        <v>898</v>
      </c>
    </row>
    <row r="2">
      <c r="A2" s="1" t="str">
        <f t="array" ref="A2:A303">SORT(UNIQUE(Ventas!C:C))</f>
        <v>Abraham almenar</v>
      </c>
    </row>
    <row r="3">
      <c r="A3" s="1" t="s">
        <v>44</v>
      </c>
    </row>
    <row r="4">
      <c r="A4" s="1" t="s">
        <v>473</v>
      </c>
    </row>
    <row r="5">
      <c r="A5" s="1" t="s">
        <v>381</v>
      </c>
    </row>
    <row r="6">
      <c r="A6" s="1" t="s">
        <v>799</v>
      </c>
    </row>
    <row r="7">
      <c r="A7" s="1" t="s">
        <v>429</v>
      </c>
    </row>
    <row r="8">
      <c r="A8" s="1" t="s">
        <v>175</v>
      </c>
    </row>
    <row r="9">
      <c r="A9" s="1" t="s">
        <v>112</v>
      </c>
    </row>
    <row r="10">
      <c r="A10" s="1" t="s">
        <v>188</v>
      </c>
    </row>
    <row r="11">
      <c r="A11" s="1" t="s">
        <v>259</v>
      </c>
    </row>
    <row r="12">
      <c r="A12" s="1" t="s">
        <v>82</v>
      </c>
    </row>
    <row r="13">
      <c r="A13" s="1" t="s">
        <v>358</v>
      </c>
    </row>
    <row r="14">
      <c r="A14" s="1" t="s">
        <v>139</v>
      </c>
    </row>
    <row r="15">
      <c r="A15" s="1" t="s">
        <v>276</v>
      </c>
    </row>
    <row r="16">
      <c r="A16" s="1" t="s">
        <v>274</v>
      </c>
    </row>
    <row r="17">
      <c r="A17" s="1" t="s">
        <v>62</v>
      </c>
    </row>
    <row r="18">
      <c r="A18" s="1" t="s">
        <v>838</v>
      </c>
    </row>
    <row r="19">
      <c r="A19" s="1" t="s">
        <v>168</v>
      </c>
    </row>
    <row r="20">
      <c r="A20" s="1" t="s">
        <v>144</v>
      </c>
    </row>
    <row r="21">
      <c r="A21" s="1" t="s">
        <v>612</v>
      </c>
    </row>
    <row r="22">
      <c r="A22" s="1" t="s">
        <v>867</v>
      </c>
    </row>
    <row r="23">
      <c r="A23" s="1" t="s">
        <v>479</v>
      </c>
    </row>
    <row r="24">
      <c r="A24" s="1" t="s">
        <v>759</v>
      </c>
    </row>
    <row r="25">
      <c r="A25" s="1" t="s">
        <v>154</v>
      </c>
    </row>
    <row r="26">
      <c r="A26" s="1" t="s">
        <v>499</v>
      </c>
    </row>
    <row r="27">
      <c r="A27" s="1" t="s">
        <v>441</v>
      </c>
    </row>
    <row r="28">
      <c r="A28" s="1" t="s">
        <v>291</v>
      </c>
    </row>
    <row r="29">
      <c r="A29" s="1" t="s">
        <v>190</v>
      </c>
    </row>
    <row r="30">
      <c r="A30" s="1" t="s">
        <v>646</v>
      </c>
    </row>
    <row r="31">
      <c r="A31" s="1" t="s">
        <v>872</v>
      </c>
    </row>
    <row r="32">
      <c r="A32" s="1" t="s">
        <v>471</v>
      </c>
    </row>
    <row r="33">
      <c r="A33" s="1" t="s">
        <v>356</v>
      </c>
    </row>
    <row r="34">
      <c r="A34" s="1" t="s">
        <v>416</v>
      </c>
    </row>
    <row r="35">
      <c r="A35" s="1" t="s">
        <v>266</v>
      </c>
    </row>
    <row r="36">
      <c r="A36" s="1" t="s">
        <v>289</v>
      </c>
    </row>
    <row r="37">
      <c r="A37" s="1" t="s">
        <v>331</v>
      </c>
    </row>
    <row r="38">
      <c r="A38" s="1" t="s">
        <v>246</v>
      </c>
    </row>
    <row r="39">
      <c r="A39" s="1" t="s">
        <v>616</v>
      </c>
    </row>
    <row r="40">
      <c r="A40" s="1" t="s">
        <v>158</v>
      </c>
    </row>
    <row r="41">
      <c r="A41" s="1" t="s">
        <v>234</v>
      </c>
    </row>
    <row r="42">
      <c r="A42" s="1" t="s">
        <v>303</v>
      </c>
    </row>
    <row r="43">
      <c r="A43" s="1" t="s">
        <v>226</v>
      </c>
    </row>
    <row r="44">
      <c r="A44" s="1" t="s">
        <v>150</v>
      </c>
    </row>
    <row r="45">
      <c r="A45" s="1" t="s">
        <v>457</v>
      </c>
    </row>
    <row r="46">
      <c r="A46" s="1" t="s">
        <v>244</v>
      </c>
    </row>
    <row r="47">
      <c r="A47" s="1" t="s">
        <v>427</v>
      </c>
    </row>
    <row r="48">
      <c r="A48" s="1" t="s">
        <v>841</v>
      </c>
    </row>
    <row r="49">
      <c r="A49" s="1" t="s">
        <v>477</v>
      </c>
    </row>
    <row r="50">
      <c r="A50" s="1" t="s">
        <v>323</v>
      </c>
    </row>
    <row r="51">
      <c r="A51" s="1" t="s">
        <v>852</v>
      </c>
    </row>
    <row r="52">
      <c r="A52" s="1" t="s">
        <v>220</v>
      </c>
    </row>
    <row r="53">
      <c r="A53" s="1" t="s">
        <v>761</v>
      </c>
    </row>
    <row r="54">
      <c r="A54" s="1" t="s">
        <v>814</v>
      </c>
    </row>
    <row r="55">
      <c r="A55" s="1" t="s">
        <v>754</v>
      </c>
    </row>
    <row r="56">
      <c r="A56" s="1" t="s">
        <v>202</v>
      </c>
    </row>
    <row r="57">
      <c r="A57" s="1" t="s">
        <v>280</v>
      </c>
    </row>
    <row r="58">
      <c r="A58" s="1" t="s">
        <v>889</v>
      </c>
    </row>
    <row r="59">
      <c r="A59" s="1" t="s">
        <v>1</v>
      </c>
    </row>
    <row r="60">
      <c r="A60" s="1" t="s">
        <v>805</v>
      </c>
    </row>
    <row r="61">
      <c r="A61" s="1" t="s">
        <v>671</v>
      </c>
    </row>
    <row r="62">
      <c r="A62" s="1" t="s">
        <v>365</v>
      </c>
    </row>
    <row r="63">
      <c r="A63" s="1" t="s">
        <v>744</v>
      </c>
    </row>
    <row r="64">
      <c r="A64" s="1" t="s">
        <v>75</v>
      </c>
    </row>
    <row r="65">
      <c r="A65" s="1" t="s">
        <v>475</v>
      </c>
    </row>
    <row r="66">
      <c r="A66" s="1" t="s">
        <v>849</v>
      </c>
    </row>
    <row r="67">
      <c r="A67" s="1" t="s">
        <v>224</v>
      </c>
    </row>
    <row r="68">
      <c r="A68" s="1" t="s">
        <v>796</v>
      </c>
    </row>
    <row r="69">
      <c r="A69" s="1" t="s">
        <v>812</v>
      </c>
    </row>
    <row r="70">
      <c r="A70" s="1" t="s">
        <v>439</v>
      </c>
    </row>
    <row r="71">
      <c r="A71" s="1" t="s">
        <v>495</v>
      </c>
    </row>
    <row r="72">
      <c r="A72" s="1" t="s">
        <v>252</v>
      </c>
    </row>
    <row r="73">
      <c r="A73" s="1" t="s">
        <v>19</v>
      </c>
    </row>
    <row r="74">
      <c r="A74" s="1" t="s">
        <v>232</v>
      </c>
    </row>
    <row r="75">
      <c r="A75" s="1" t="s">
        <v>104</v>
      </c>
    </row>
    <row r="76">
      <c r="A76" s="1" t="s">
        <v>425</v>
      </c>
    </row>
    <row r="77">
      <c r="A77" s="1" t="s">
        <v>774</v>
      </c>
    </row>
    <row r="78">
      <c r="A78" s="1" t="s">
        <v>756</v>
      </c>
    </row>
    <row r="79">
      <c r="A79" s="1" t="s">
        <v>311</v>
      </c>
    </row>
    <row r="80">
      <c r="A80" s="1" t="s">
        <v>301</v>
      </c>
    </row>
    <row r="81">
      <c r="A81" s="1" t="s">
        <v>455</v>
      </c>
    </row>
    <row r="82">
      <c r="A82" s="1" t="s">
        <v>56</v>
      </c>
    </row>
    <row r="83">
      <c r="A83" s="1" t="s">
        <v>152</v>
      </c>
    </row>
    <row r="84">
      <c r="A84" s="1" t="s">
        <v>119</v>
      </c>
    </row>
    <row r="85">
      <c r="A85" s="1" t="s">
        <v>230</v>
      </c>
    </row>
    <row r="86">
      <c r="A86" s="1" t="s">
        <v>727</v>
      </c>
    </row>
    <row r="87">
      <c r="A87" s="1" t="s">
        <v>179</v>
      </c>
    </row>
    <row r="88">
      <c r="A88" s="1" t="s">
        <v>453</v>
      </c>
    </row>
    <row r="89">
      <c r="A89" s="1" t="s">
        <v>347</v>
      </c>
    </row>
    <row r="90">
      <c r="A90" s="1" t="s">
        <v>600</v>
      </c>
    </row>
    <row r="91">
      <c r="A91" s="1" t="s">
        <v>52</v>
      </c>
    </row>
    <row r="92">
      <c r="A92" s="1" t="s">
        <v>390</v>
      </c>
    </row>
    <row r="93">
      <c r="A93" s="1" t="s">
        <v>414</v>
      </c>
    </row>
    <row r="94">
      <c r="A94" s="1" t="s">
        <v>819</v>
      </c>
    </row>
    <row r="95">
      <c r="A95" s="1" t="s">
        <v>396</v>
      </c>
    </row>
    <row r="96">
      <c r="A96" s="1" t="s">
        <v>695</v>
      </c>
    </row>
    <row r="97">
      <c r="A97" s="1" t="s">
        <v>367</v>
      </c>
    </row>
    <row r="98">
      <c r="A98" s="1" t="s">
        <v>859</v>
      </c>
    </row>
    <row r="99">
      <c r="A99" s="1" t="s">
        <v>363</v>
      </c>
    </row>
    <row r="100">
      <c r="A100" s="1" t="s">
        <v>110</v>
      </c>
    </row>
    <row r="101">
      <c r="A101" s="1" t="s">
        <v>256</v>
      </c>
    </row>
    <row r="102">
      <c r="A102" s="1" t="s">
        <v>5</v>
      </c>
    </row>
    <row r="103">
      <c r="A103" s="1" t="s">
        <v>142</v>
      </c>
    </row>
    <row r="104">
      <c r="A104" s="1" t="s">
        <v>137</v>
      </c>
    </row>
    <row r="105">
      <c r="A105" s="1" t="s">
        <v>206</v>
      </c>
    </row>
    <row r="106">
      <c r="A106" s="1" t="s">
        <v>722</v>
      </c>
    </row>
    <row r="107">
      <c r="A107" s="1" t="s">
        <v>73</v>
      </c>
    </row>
    <row r="108">
      <c r="A108" s="1" t="s">
        <v>32</v>
      </c>
    </row>
    <row r="109">
      <c r="A109" s="1" t="s">
        <v>720</v>
      </c>
    </row>
    <row r="110">
      <c r="A110" s="1" t="s">
        <v>679</v>
      </c>
    </row>
    <row r="111">
      <c r="A111" s="1" t="s">
        <v>408</v>
      </c>
    </row>
    <row r="112">
      <c r="A112" s="1" t="s">
        <v>752</v>
      </c>
    </row>
    <row r="113">
      <c r="A113" s="1" t="s">
        <v>621</v>
      </c>
    </row>
    <row r="114">
      <c r="A114" s="1" t="s">
        <v>341</v>
      </c>
    </row>
    <row r="115">
      <c r="A115" s="1" t="s">
        <v>376</v>
      </c>
    </row>
    <row r="116">
      <c r="A116" s="1" t="s">
        <v>718</v>
      </c>
    </row>
    <row r="117">
      <c r="A117" s="1" t="s">
        <v>117</v>
      </c>
    </row>
    <row r="118">
      <c r="A118" s="1" t="s">
        <v>626</v>
      </c>
    </row>
    <row r="119">
      <c r="A119" s="1" t="s">
        <v>493</v>
      </c>
    </row>
    <row r="120">
      <c r="A120" s="1" t="s">
        <v>321</v>
      </c>
    </row>
    <row r="121">
      <c r="A121" s="1" t="s">
        <v>319</v>
      </c>
    </row>
    <row r="122">
      <c r="A122" s="1" t="s">
        <v>345</v>
      </c>
    </row>
    <row r="123">
      <c r="A123" s="1" t="s">
        <v>69</v>
      </c>
    </row>
    <row r="124">
      <c r="A124" s="1" t="s">
        <v>135</v>
      </c>
    </row>
    <row r="125">
      <c r="A125" s="1" t="s">
        <v>412</v>
      </c>
    </row>
    <row r="126">
      <c r="A126" s="1" t="s">
        <v>592</v>
      </c>
    </row>
    <row r="127">
      <c r="A127" s="1" t="s">
        <v>298</v>
      </c>
    </row>
    <row r="128">
      <c r="A128" s="1" t="s">
        <v>213</v>
      </c>
    </row>
    <row r="129">
      <c r="A129" s="1" t="s">
        <v>317</v>
      </c>
    </row>
    <row r="130">
      <c r="A130" s="1" t="s">
        <v>353</v>
      </c>
    </row>
    <row r="131">
      <c r="A131" s="1" t="s">
        <v>59</v>
      </c>
    </row>
    <row r="132">
      <c r="A132" s="1" t="s">
        <v>133</v>
      </c>
    </row>
    <row r="133">
      <c r="A133" s="1" t="s">
        <v>505</v>
      </c>
    </row>
    <row r="134">
      <c r="A134" s="1" t="s">
        <v>28</v>
      </c>
    </row>
    <row r="135">
      <c r="A135" s="1" t="s">
        <v>437</v>
      </c>
    </row>
    <row r="136">
      <c r="A136" s="1" t="s">
        <v>451</v>
      </c>
    </row>
    <row r="137">
      <c r="A137" s="1" t="s">
        <v>204</v>
      </c>
    </row>
    <row r="138">
      <c r="A138" s="1" t="s">
        <v>469</v>
      </c>
    </row>
    <row r="139">
      <c r="A139" s="1" t="s">
        <v>360</v>
      </c>
    </row>
    <row r="140">
      <c r="A140" s="1" t="s">
        <v>166</v>
      </c>
    </row>
    <row r="141">
      <c r="A141" s="1" t="s">
        <v>79</v>
      </c>
    </row>
    <row r="142">
      <c r="A142" s="1" t="s">
        <v>196</v>
      </c>
    </row>
    <row r="143">
      <c r="A143" s="1" t="s">
        <v>164</v>
      </c>
    </row>
    <row r="144">
      <c r="A144" s="1" t="s">
        <v>807</v>
      </c>
    </row>
    <row r="145">
      <c r="A145" s="1" t="s">
        <v>254</v>
      </c>
    </row>
    <row r="146">
      <c r="A146" s="1" t="s">
        <v>309</v>
      </c>
    </row>
    <row r="147">
      <c r="A147" s="1" t="s">
        <v>716</v>
      </c>
    </row>
    <row r="148">
      <c r="A148" s="1" t="s">
        <v>162</v>
      </c>
    </row>
    <row r="149">
      <c r="A149" s="1" t="s">
        <v>94</v>
      </c>
    </row>
    <row r="150">
      <c r="A150" s="1" t="s">
        <v>503</v>
      </c>
    </row>
    <row r="151">
      <c r="A151" s="1" t="s">
        <v>108</v>
      </c>
    </row>
    <row r="152">
      <c r="A152" s="1" t="s">
        <v>334</v>
      </c>
    </row>
    <row r="153">
      <c r="A153" s="1" t="s">
        <v>41</v>
      </c>
    </row>
    <row r="154">
      <c r="A154" s="1" t="s">
        <v>38</v>
      </c>
    </row>
    <row r="155">
      <c r="A155" s="1" t="s">
        <v>269</v>
      </c>
    </row>
    <row r="156">
      <c r="A156" s="1" t="s">
        <v>467</v>
      </c>
    </row>
    <row r="157">
      <c r="A157" s="1" t="s">
        <v>121</v>
      </c>
    </row>
    <row r="158">
      <c r="A158" s="1" t="s">
        <v>77</v>
      </c>
    </row>
    <row r="159">
      <c r="A159" s="1" t="s">
        <v>651</v>
      </c>
    </row>
    <row r="160">
      <c r="A160" s="1" t="s">
        <v>160</v>
      </c>
    </row>
    <row r="161">
      <c r="A161" s="1" t="s">
        <v>374</v>
      </c>
    </row>
    <row r="162">
      <c r="A162" s="1" t="s">
        <v>295</v>
      </c>
    </row>
    <row r="163">
      <c r="A163" s="1" t="s">
        <v>507</v>
      </c>
    </row>
    <row r="164">
      <c r="A164" s="1" t="s">
        <v>351</v>
      </c>
    </row>
    <row r="165">
      <c r="A165" s="1" t="s">
        <v>449</v>
      </c>
    </row>
    <row r="166">
      <c r="A166" s="1" t="s">
        <v>398</v>
      </c>
    </row>
    <row r="167">
      <c r="A167" s="1" t="s">
        <v>635</v>
      </c>
    </row>
    <row r="168">
      <c r="A168" s="1" t="s">
        <v>250</v>
      </c>
    </row>
    <row r="169">
      <c r="A169" s="1" t="s">
        <v>186</v>
      </c>
    </row>
    <row r="170">
      <c r="A170" s="1" t="s">
        <v>339</v>
      </c>
    </row>
    <row r="171">
      <c r="A171" s="1" t="s">
        <v>248</v>
      </c>
    </row>
    <row r="172">
      <c r="A172" s="1" t="s">
        <v>491</v>
      </c>
    </row>
    <row r="173">
      <c r="A173" s="1" t="s">
        <v>183</v>
      </c>
    </row>
    <row r="174">
      <c r="A174" s="1" t="s">
        <v>663</v>
      </c>
    </row>
    <row r="175">
      <c r="A175" s="1" t="s">
        <v>388</v>
      </c>
    </row>
    <row r="176">
      <c r="A176" s="1" t="s">
        <v>177</v>
      </c>
    </row>
    <row r="177">
      <c r="A177" s="1" t="s">
        <v>92</v>
      </c>
    </row>
    <row r="178">
      <c r="A178" s="1" t="s">
        <v>766</v>
      </c>
    </row>
    <row r="179">
      <c r="A179" s="1" t="s">
        <v>831</v>
      </c>
    </row>
    <row r="180">
      <c r="A180" s="1" t="s">
        <v>242</v>
      </c>
    </row>
    <row r="181">
      <c r="A181" s="1" t="s">
        <v>735</v>
      </c>
      <c r="E181" s="65"/>
    </row>
    <row r="182">
      <c r="A182" s="1" t="s">
        <v>199</v>
      </c>
    </row>
    <row r="183">
      <c r="A183" s="1" t="s">
        <v>764</v>
      </c>
    </row>
    <row r="184">
      <c r="A184" s="1" t="s">
        <v>862</v>
      </c>
    </row>
    <row r="185">
      <c r="A185" s="1" t="s">
        <v>394</v>
      </c>
    </row>
    <row r="186">
      <c r="A186" s="1" t="s">
        <v>501</v>
      </c>
    </row>
    <row r="187">
      <c r="A187" s="1" t="s">
        <v>447</v>
      </c>
    </row>
    <row r="188">
      <c r="A188" s="1" t="s">
        <v>372</v>
      </c>
    </row>
    <row r="189">
      <c r="A189" s="1" t="s">
        <v>264</v>
      </c>
    </row>
    <row r="190">
      <c r="A190" s="1" t="s">
        <v>709</v>
      </c>
    </row>
    <row r="191">
      <c r="A191" s="1" t="s">
        <v>211</v>
      </c>
    </row>
    <row r="192">
      <c r="A192" s="1" t="s">
        <v>435</v>
      </c>
    </row>
    <row r="193">
      <c r="A193" s="1" t="s">
        <v>882</v>
      </c>
    </row>
    <row r="194">
      <c r="A194" s="1" t="s">
        <v>630</v>
      </c>
    </row>
    <row r="195">
      <c r="A195" s="1" t="s">
        <v>14</v>
      </c>
    </row>
    <row r="196">
      <c r="A196" s="1" t="s">
        <v>215</v>
      </c>
    </row>
    <row r="197">
      <c r="A197" s="1" t="s">
        <v>891</v>
      </c>
    </row>
    <row r="198">
      <c r="A198" s="1" t="s">
        <v>816</v>
      </c>
    </row>
    <row r="199">
      <c r="A199" s="1" t="s">
        <v>35</v>
      </c>
    </row>
    <row r="200">
      <c r="A200" s="1" t="s">
        <v>240</v>
      </c>
    </row>
    <row r="201">
      <c r="A201" s="1" t="s">
        <v>489</v>
      </c>
    </row>
    <row r="202">
      <c r="A202" s="1" t="s">
        <v>712</v>
      </c>
    </row>
    <row r="203">
      <c r="A203" s="1" t="s">
        <v>218</v>
      </c>
    </row>
    <row r="204">
      <c r="A204" s="1" t="s">
        <v>181</v>
      </c>
    </row>
    <row r="205">
      <c r="A205" s="1" t="s">
        <v>445</v>
      </c>
    </row>
    <row r="206">
      <c r="A206" s="1" t="s">
        <v>406</v>
      </c>
    </row>
    <row r="207">
      <c r="A207" s="1" t="s">
        <v>404</v>
      </c>
    </row>
    <row r="208">
      <c r="A208" s="1" t="s">
        <v>481</v>
      </c>
    </row>
    <row r="209">
      <c r="A209" s="1" t="s">
        <v>402</v>
      </c>
    </row>
    <row r="210">
      <c r="A210" s="1" t="s">
        <v>131</v>
      </c>
    </row>
    <row r="211">
      <c r="A211" s="1" t="s">
        <v>741</v>
      </c>
    </row>
    <row r="212">
      <c r="A212" s="1" t="s">
        <v>208</v>
      </c>
    </row>
    <row r="213">
      <c r="A213" s="1" t="s">
        <v>305</v>
      </c>
    </row>
    <row r="214">
      <c r="A214" s="1" t="s">
        <v>400</v>
      </c>
    </row>
    <row r="215">
      <c r="A215" s="1" t="s">
        <v>100</v>
      </c>
    </row>
    <row r="216">
      <c r="A216" s="1" t="s">
        <v>98</v>
      </c>
    </row>
    <row r="217">
      <c r="A217" s="1" t="s">
        <v>497</v>
      </c>
    </row>
    <row r="218">
      <c r="A218" s="1" t="s">
        <v>385</v>
      </c>
    </row>
    <row r="219">
      <c r="A219" s="1" t="s">
        <v>89</v>
      </c>
    </row>
    <row r="220">
      <c r="A220" s="1" t="s">
        <v>487</v>
      </c>
    </row>
    <row r="221">
      <c r="A221" s="1" t="s">
        <v>433</v>
      </c>
    </row>
    <row r="222">
      <c r="A222" s="1" t="s">
        <v>24</v>
      </c>
    </row>
    <row r="223">
      <c r="A223" s="1" t="s">
        <v>87</v>
      </c>
    </row>
    <row r="224">
      <c r="A224" s="1" t="s">
        <v>465</v>
      </c>
    </row>
    <row r="225">
      <c r="A225" s="1" t="s">
        <v>173</v>
      </c>
    </row>
    <row r="226">
      <c r="A226" s="1" t="s">
        <v>633</v>
      </c>
    </row>
    <row r="227">
      <c r="A227" s="1" t="s">
        <v>605</v>
      </c>
    </row>
    <row r="228">
      <c r="A228" s="1" t="s">
        <v>792</v>
      </c>
    </row>
    <row r="229">
      <c r="A229" s="1" t="s">
        <v>287</v>
      </c>
    </row>
    <row r="230">
      <c r="A230" s="1" t="s">
        <v>284</v>
      </c>
    </row>
    <row r="231">
      <c r="A231" s="1" t="s">
        <v>423</v>
      </c>
    </row>
    <row r="232">
      <c r="A232" s="1" t="s">
        <v>307</v>
      </c>
    </row>
    <row r="233">
      <c r="A233" s="1" t="s">
        <v>128</v>
      </c>
    </row>
    <row r="234">
      <c r="A234" s="1" t="s">
        <v>370</v>
      </c>
    </row>
    <row r="235">
      <c r="A235" s="1" t="s">
        <v>156</v>
      </c>
    </row>
    <row r="236">
      <c r="A236" s="1" t="s">
        <v>784</v>
      </c>
    </row>
    <row r="237">
      <c r="A237" s="1" t="s">
        <v>378</v>
      </c>
    </row>
    <row r="238">
      <c r="A238" s="1" t="s">
        <v>262</v>
      </c>
    </row>
    <row r="239">
      <c r="A239" s="1" t="s">
        <v>228</v>
      </c>
    </row>
    <row r="240">
      <c r="A240" s="1" t="s">
        <v>222</v>
      </c>
    </row>
    <row r="241">
      <c r="A241" s="1" t="s">
        <v>421</v>
      </c>
    </row>
    <row r="242">
      <c r="A242" s="1" t="s">
        <v>392</v>
      </c>
    </row>
    <row r="243">
      <c r="A243" s="1" t="s">
        <v>126</v>
      </c>
    </row>
    <row r="244">
      <c r="A244" s="1" t="s">
        <v>50</v>
      </c>
    </row>
    <row r="245">
      <c r="A245" s="1" t="s">
        <v>618</v>
      </c>
    </row>
    <row r="246">
      <c r="A246" s="1" t="s">
        <v>349</v>
      </c>
    </row>
    <row r="247">
      <c r="A247" s="1" t="s">
        <v>271</v>
      </c>
    </row>
    <row r="248">
      <c r="A248" s="1" t="s">
        <v>278</v>
      </c>
    </row>
    <row r="249">
      <c r="A249" s="1" t="s">
        <v>703</v>
      </c>
    </row>
    <row r="250">
      <c r="A250" s="1" t="s">
        <v>343</v>
      </c>
    </row>
    <row r="251">
      <c r="A251" s="1" t="s">
        <v>47</v>
      </c>
    </row>
    <row r="252">
      <c r="A252" s="1" t="s">
        <v>337</v>
      </c>
    </row>
    <row r="253">
      <c r="A253" s="1" t="s">
        <v>738</v>
      </c>
    </row>
    <row r="254">
      <c r="A254" s="1" t="s">
        <v>443</v>
      </c>
    </row>
    <row r="255">
      <c r="A255" s="1" t="s">
        <v>147</v>
      </c>
    </row>
    <row r="256">
      <c r="A256" s="1" t="s">
        <v>843</v>
      </c>
    </row>
    <row r="257">
      <c r="A257" s="1" t="s">
        <v>699</v>
      </c>
    </row>
    <row r="258">
      <c r="A258" s="1" t="s">
        <v>644</v>
      </c>
    </row>
    <row r="259">
      <c r="A259" s="1" t="s">
        <v>106</v>
      </c>
    </row>
    <row r="260">
      <c r="A260" s="1" t="s">
        <v>293</v>
      </c>
    </row>
    <row r="261">
      <c r="A261" s="1" t="s">
        <v>463</v>
      </c>
    </row>
    <row r="262">
      <c r="A262" s="1" t="s">
        <v>869</v>
      </c>
    </row>
    <row r="263">
      <c r="A263" s="1" t="s">
        <v>383</v>
      </c>
    </row>
    <row r="264">
      <c r="A264" s="1" t="s">
        <v>238</v>
      </c>
    </row>
    <row r="265">
      <c r="A265" s="1" t="s">
        <v>96</v>
      </c>
    </row>
    <row r="266">
      <c r="A266" s="1" t="s">
        <v>236</v>
      </c>
    </row>
    <row r="267">
      <c r="A267" s="1" t="s">
        <v>115</v>
      </c>
    </row>
    <row r="268">
      <c r="A268" s="1" t="s">
        <v>315</v>
      </c>
    </row>
    <row r="269">
      <c r="A269" s="1" t="s">
        <v>461</v>
      </c>
    </row>
    <row r="270">
      <c r="A270" s="1" t="s">
        <v>668</v>
      </c>
    </row>
    <row r="271">
      <c r="A271" s="1" t="s">
        <v>419</v>
      </c>
    </row>
    <row r="272">
      <c r="A272" s="1" t="s">
        <v>828</v>
      </c>
    </row>
    <row r="273">
      <c r="A273" s="1" t="s">
        <v>313</v>
      </c>
    </row>
    <row r="274">
      <c r="A274" s="1" t="s">
        <v>786</v>
      </c>
    </row>
    <row r="275">
      <c r="A275" s="1" t="s">
        <v>431</v>
      </c>
    </row>
    <row r="276">
      <c r="A276" s="1" t="s">
        <v>770</v>
      </c>
    </row>
    <row r="277">
      <c r="A277" s="1" t="s">
        <v>666</v>
      </c>
    </row>
    <row r="278">
      <c r="A278" s="1" t="s">
        <v>102</v>
      </c>
    </row>
    <row r="279">
      <c r="A279" s="1" t="s">
        <v>67</v>
      </c>
    </row>
    <row r="280">
      <c r="A280" s="1" t="s">
        <v>410</v>
      </c>
    </row>
    <row r="281">
      <c r="A281" s="1" t="s">
        <v>192</v>
      </c>
    </row>
    <row r="282">
      <c r="A282" s="1" t="s">
        <v>607</v>
      </c>
    </row>
    <row r="283">
      <c r="A283" s="1" t="s">
        <v>886</v>
      </c>
    </row>
    <row r="284">
      <c r="A284" s="1" t="s">
        <v>780</v>
      </c>
    </row>
    <row r="285">
      <c r="A285" s="1" t="s">
        <v>84</v>
      </c>
    </row>
    <row r="286">
      <c r="A286" s="1" t="s">
        <v>329</v>
      </c>
    </row>
    <row r="287">
      <c r="A287" s="1" t="s">
        <v>602</v>
      </c>
    </row>
    <row r="288">
      <c r="A288" s="1" t="s">
        <v>282</v>
      </c>
    </row>
    <row r="289">
      <c r="A289" s="1" t="s">
        <v>724</v>
      </c>
    </row>
    <row r="290">
      <c r="A290" s="1" t="s">
        <v>878</v>
      </c>
    </row>
    <row r="291">
      <c r="A291" s="1" t="s">
        <v>659</v>
      </c>
    </row>
    <row r="292">
      <c r="A292" s="1" t="s">
        <v>638</v>
      </c>
    </row>
    <row r="293">
      <c r="A293" s="1" t="s">
        <v>124</v>
      </c>
    </row>
    <row r="294">
      <c r="A294" s="1" t="s">
        <v>684</v>
      </c>
    </row>
    <row r="295">
      <c r="A295" s="1" t="s">
        <v>459</v>
      </c>
    </row>
    <row r="296">
      <c r="A296" s="1" t="s">
        <v>170</v>
      </c>
    </row>
    <row r="297">
      <c r="A297" s="1" t="s">
        <v>65</v>
      </c>
    </row>
    <row r="298">
      <c r="A298" s="1" t="s">
        <v>327</v>
      </c>
    </row>
    <row r="299">
      <c r="A299" s="1" t="s">
        <v>485</v>
      </c>
    </row>
    <row r="300">
      <c r="A300" s="1" t="s">
        <v>876</v>
      </c>
    </row>
    <row r="301">
      <c r="A301" s="1" t="s">
        <v>483</v>
      </c>
    </row>
    <row r="302">
      <c r="A302" s="1" t="s">
        <v>598</v>
      </c>
    </row>
    <row r="303">
      <c r="A303" s="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6.71"/>
  </cols>
  <sheetData>
    <row r="1">
      <c r="A1" s="61" t="s">
        <v>898</v>
      </c>
    </row>
    <row r="2">
      <c r="A2" s="1" t="str">
        <f t="array" ref="A2:A20">SORT(UNIQUE(Ventas!D:D))</f>
        <v>BETANCOURT ROBRIGUEZ LUIS ENRRIQUE</v>
      </c>
    </row>
    <row r="3">
      <c r="A3" s="1" t="s">
        <v>595</v>
      </c>
    </row>
    <row r="4">
      <c r="A4" s="1" t="s">
        <v>323</v>
      </c>
    </row>
    <row r="5">
      <c r="A5" s="1" t="s">
        <v>532</v>
      </c>
    </row>
    <row r="6">
      <c r="A6" s="1" t="s">
        <v>353</v>
      </c>
    </row>
    <row r="7">
      <c r="A7" s="1" t="s">
        <v>535</v>
      </c>
    </row>
    <row r="8">
      <c r="A8" s="1" t="s">
        <v>208</v>
      </c>
    </row>
    <row r="9">
      <c r="A9" s="1" t="s">
        <v>538</v>
      </c>
    </row>
    <row r="10">
      <c r="A10" s="1" t="s">
        <v>540</v>
      </c>
    </row>
    <row r="11">
      <c r="A11" s="1" t="s">
        <v>542</v>
      </c>
    </row>
    <row r="12">
      <c r="A12" s="1" t="s">
        <v>544</v>
      </c>
    </row>
    <row r="13">
      <c r="A13" s="1" t="s">
        <v>546</v>
      </c>
    </row>
    <row r="14">
      <c r="A14" s="1" t="s">
        <v>548</v>
      </c>
    </row>
    <row r="15">
      <c r="A15" s="1" t="s">
        <v>550</v>
      </c>
    </row>
    <row r="16">
      <c r="A16" s="1" t="s">
        <v>552</v>
      </c>
    </row>
    <row r="17">
      <c r="A17" s="1" t="s">
        <v>554</v>
      </c>
    </row>
    <row r="18">
      <c r="A18" s="1" t="s">
        <v>527</v>
      </c>
    </row>
    <row r="19">
      <c r="A19" s="1" t="s">
        <v>556</v>
      </c>
    </row>
    <row r="20">
      <c r="A20" s="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22.0"/>
  </cols>
  <sheetData>
    <row r="1">
      <c r="A1" s="66" t="str">
        <f>IFERROR(__xludf.DUMMYFUNCTION("IMPORTRANGE(""1phBteir1JvZA_YB4eDx70bR3SALgHxGTJo0_8ZhROpA"", ""Cobranza!A:K"")"),"Fecha")</f>
        <v>Fecha</v>
      </c>
      <c r="B1" s="67" t="str">
        <f>IFERROR(__xludf.DUMMYFUNCTION("""COMPUTED_VALUE"""),"Nro de Orden")</f>
        <v>Nro de Orden</v>
      </c>
      <c r="C1" s="1" t="str">
        <f>IFERROR(__xludf.DUMMYFUNCTION("""COMPUTED_VALUE"""),"Importe firmado")</f>
        <v>Importe firmado</v>
      </c>
      <c r="D1" s="1" t="str">
        <f>IFERROR(__xludf.DUMMYFUNCTION("""COMPUTED_VALUE"""),"Moneda")</f>
        <v>Moneda</v>
      </c>
      <c r="E1" s="68" t="str">
        <f>IFERROR(__xludf.DUMMYFUNCTION("""COMPUTED_VALUE"""),"Metodo de Pago")</f>
        <v>Metodo de Pago</v>
      </c>
      <c r="F1" s="1" t="str">
        <f>IFERROR(__xludf.DUMMYFUNCTION("""COMPUTED_VALUE"""),"Cliente")</f>
        <v>Cliente</v>
      </c>
      <c r="G1" s="1" t="str">
        <f>IFERROR(__xludf.DUMMYFUNCTION("""COMPUTED_VALUE"""),"Tasa BCV")</f>
        <v>Tasa BCV</v>
      </c>
      <c r="H1" s="1" t="str">
        <f>IFERROR(__xludf.DUMMYFUNCTION("""COMPUTED_VALUE"""),"Tasa  Real")</f>
        <v>Tasa  Real</v>
      </c>
      <c r="I1" s="1" t="str">
        <f>IFERROR(__xludf.DUMMYFUNCTION("""COMPUTED_VALUE"""),"Monto $ BCV")</f>
        <v>Monto $ BCV</v>
      </c>
      <c r="J1" s="1" t="str">
        <f>IFERROR(__xludf.DUMMYFUNCTION("""COMPUTED_VALUE"""),"Monto $ Real")</f>
        <v>Monto $ Real</v>
      </c>
      <c r="K1" s="4" t="str">
        <f>IFERROR(__xludf.DUMMYFUNCTION("""COMPUTED_VALUE"""),"Monto Unificado USD")</f>
        <v>Monto Unificado USD</v>
      </c>
      <c r="M1" s="1" t="str">
        <f>IFERROR(__xludf.DUMMYFUNCTION("IMPORTRANGE(""1I5CXnP0_qpV4qGLl7lP9NfJPmVY1srOb40atau8JYc8"", ""Retenciones!A:F"")"),"Fecha")</f>
        <v>Fecha</v>
      </c>
      <c r="N1" s="67" t="str">
        <f>IFERROR(__xludf.DUMMYFUNCTION("""COMPUTED_VALUE"""),"Nro de Orden")</f>
        <v>Nro de Orden</v>
      </c>
      <c r="O1" s="1" t="str">
        <f>IFERROR(__xludf.DUMMYFUNCTION("""COMPUTED_VALUE"""),"Monto")</f>
        <v>Monto</v>
      </c>
      <c r="P1" s="1" t="str">
        <f>IFERROR(__xludf.DUMMYFUNCTION("""COMPUTED_VALUE"""),"Cliente")</f>
        <v>Cliente</v>
      </c>
      <c r="Q1" s="1" t="str">
        <f>IFERROR(__xludf.DUMMYFUNCTION("""COMPUTED_VALUE"""),"Tasa BCV")</f>
        <v>Tasa BCV</v>
      </c>
      <c r="R1" s="4" t="str">
        <f>IFERROR(__xludf.DUMMYFUNCTION("""COMPUTED_VALUE"""),"Monto USD")</f>
        <v>Monto USD</v>
      </c>
    </row>
    <row r="2">
      <c r="A2" s="66">
        <f>IFERROR(__xludf.DUMMYFUNCTION("""COMPUTED_VALUE"""),46083.0)</f>
        <v>46083</v>
      </c>
      <c r="B2" s="67">
        <f>IFERROR(__xludf.DUMMYFUNCTION("""COMPUTED_VALUE"""),52.0)</f>
        <v>52</v>
      </c>
      <c r="C2" s="69">
        <f>IFERROR(__xludf.DUMMYFUNCTION("""COMPUTED_VALUE"""),260.0)</f>
        <v>260</v>
      </c>
      <c r="D2" s="1" t="str">
        <f>IFERROR(__xludf.DUMMYFUNCTION("""COMPUTED_VALUE"""),"USD")</f>
        <v>USD</v>
      </c>
      <c r="E2" s="1" t="str">
        <f>IFERROR(__xludf.DUMMYFUNCTION("""COMPUTED_VALUE"""),"Efectivo USD")</f>
        <v>Efectivo USD</v>
      </c>
      <c r="F2" s="1" t="str">
        <f>IFERROR(__xludf.DUMMYFUNCTION("""COMPUTED_VALUE"""),"FREDI MARQUEZ")</f>
        <v>FREDI MARQUEZ</v>
      </c>
      <c r="G2" s="70">
        <f>IFERROR(__xludf.DUMMYFUNCTION("""COMPUTED_VALUE"""),414.0455)</f>
        <v>414.0455</v>
      </c>
      <c r="H2" s="1"/>
      <c r="I2" s="71">
        <f>IFERROR(__xludf.DUMMYFUNCTION("""COMPUTED_VALUE"""),260.0)</f>
        <v>260</v>
      </c>
      <c r="J2" s="69">
        <f>IFERROR(__xludf.DUMMYFUNCTION("""COMPUTED_VALUE"""),260.0)</f>
        <v>260</v>
      </c>
      <c r="K2" s="4">
        <f>IFERROR(__xludf.DUMMYFUNCTION("""COMPUTED_VALUE"""),260.0)</f>
        <v>260</v>
      </c>
      <c r="M2" s="66">
        <f>IFERROR(__xludf.DUMMYFUNCTION("""COMPUTED_VALUE"""),46176.0)</f>
        <v>46176</v>
      </c>
      <c r="N2" s="67">
        <f>IFERROR(__xludf.DUMMYFUNCTION("""COMPUTED_VALUE"""),42.0)</f>
        <v>42</v>
      </c>
      <c r="O2" s="4">
        <f>IFERROR(__xludf.DUMMYFUNCTION("""COMPUTED_VALUE"""),9034.0)</f>
        <v>9034</v>
      </c>
      <c r="P2" s="1" t="str">
        <f>IFERROR(__xludf.DUMMYFUNCTION("""COMPUTED_VALUE"""),"ALIPLUS TRASPORTE Y EQUIPOS, CA")</f>
        <v>ALIPLUS TRASPORTE Y EQUIPOS, CA</v>
      </c>
      <c r="Q2" s="70">
        <f>IFERROR(__xludf.DUMMYFUNCTION("""COMPUTED_VALUE"""),431.0113)</f>
        <v>431.0113</v>
      </c>
      <c r="R2" s="4">
        <f>IFERROR(__xludf.DUMMYFUNCTION("""COMPUTED_VALUE"""),20.960007313033323)</f>
        <v>20.96000731</v>
      </c>
    </row>
    <row r="3">
      <c r="A3" s="66">
        <f>IFERROR(__xludf.DUMMYFUNCTION("""COMPUTED_VALUE"""),46080.0)</f>
        <v>46080</v>
      </c>
      <c r="B3" s="67">
        <f>IFERROR(__xludf.DUMMYFUNCTION("""COMPUTED_VALUE"""),8.0)</f>
        <v>8</v>
      </c>
      <c r="C3" s="69">
        <f>IFERROR(__xludf.DUMMYFUNCTION("""COMPUTED_VALUE"""),35.33)</f>
        <v>35.33</v>
      </c>
      <c r="D3" s="1" t="str">
        <f>IFERROR(__xludf.DUMMYFUNCTION("""COMPUTED_VALUE"""),"USD")</f>
        <v>USD</v>
      </c>
      <c r="E3" s="1" t="str">
        <f>IFERROR(__xludf.DUMMYFUNCTION("""COMPUTED_VALUE"""),"Efectivo USD")</f>
        <v>Efectivo USD</v>
      </c>
      <c r="F3" s="1" t="str">
        <f>IFERROR(__xludf.DUMMYFUNCTION("""COMPUTED_VALUE"""),"ZIP MARKET, CA")</f>
        <v>ZIP MARKET, CA</v>
      </c>
      <c r="G3" s="70">
        <f>IFERROR(__xludf.DUMMYFUNCTION("""COMPUTED_VALUE"""),414.0455)</f>
        <v>414.0455</v>
      </c>
      <c r="H3" s="1"/>
      <c r="I3" s="71">
        <f>IFERROR(__xludf.DUMMYFUNCTION("""COMPUTED_VALUE"""),35.33)</f>
        <v>35.33</v>
      </c>
      <c r="J3" s="69">
        <f>IFERROR(__xludf.DUMMYFUNCTION("""COMPUTED_VALUE"""),35.33)</f>
        <v>35.33</v>
      </c>
      <c r="K3" s="4">
        <f>IFERROR(__xludf.DUMMYFUNCTION("""COMPUTED_VALUE"""),35.33)</f>
        <v>35.33</v>
      </c>
      <c r="M3" s="66">
        <f>IFERROR(__xludf.DUMMYFUNCTION("""COMPUTED_VALUE"""),46098.0)</f>
        <v>46098</v>
      </c>
      <c r="N3" s="67">
        <f>IFERROR(__xludf.DUMMYFUNCTION("""COMPUTED_VALUE"""),88.0)</f>
        <v>88</v>
      </c>
      <c r="O3" s="4">
        <f>IFERROR(__xludf.DUMMYFUNCTION("""COMPUTED_VALUE"""),17032.91)</f>
        <v>17032.91</v>
      </c>
      <c r="P3" s="1" t="str">
        <f>IFERROR(__xludf.DUMMYFUNCTION("""COMPUTED_VALUE"""),"ALIPLUS TRASPORTE Y EQUIPOS, CA")</f>
        <v>ALIPLUS TRASPORTE Y EQUIPOS, CA</v>
      </c>
      <c r="Q3" s="70">
        <f>IFERROR(__xludf.DUMMYFUNCTION("""COMPUTED_VALUE"""),448.3686)</f>
        <v>448.3686</v>
      </c>
      <c r="R3" s="4">
        <f>IFERROR(__xludf.DUMMYFUNCTION("""COMPUTED_VALUE"""),37.988632567044164)</f>
        <v>37.98863257</v>
      </c>
    </row>
    <row r="4">
      <c r="A4" s="66">
        <f>IFERROR(__xludf.DUMMYFUNCTION("""COMPUTED_VALUE"""),46083.0)</f>
        <v>46083</v>
      </c>
      <c r="B4" s="67">
        <f>IFERROR(__xludf.DUMMYFUNCTION("""COMPUTED_VALUE"""),9.0)</f>
        <v>9</v>
      </c>
      <c r="C4" s="69">
        <f>IFERROR(__xludf.DUMMYFUNCTION("""COMPUTED_VALUE"""),166513.7)</f>
        <v>166513.7</v>
      </c>
      <c r="D4" s="1" t="str">
        <f>IFERROR(__xludf.DUMMYFUNCTION("""COMPUTED_VALUE"""),"VES")</f>
        <v>VES</v>
      </c>
      <c r="E4" s="1" t="str">
        <f>IFERROR(__xludf.DUMMYFUNCTION("""COMPUTED_VALUE"""),"Bancamiga")</f>
        <v>Bancamiga</v>
      </c>
      <c r="F4" s="1" t="str">
        <f>IFERROR(__xludf.DUMMYFUNCTION("""COMPUTED_VALUE"""),"E&amp;M CAR SHOP C.A")</f>
        <v>E&amp;M CAR SHOP C.A</v>
      </c>
      <c r="G4" s="70">
        <f>IFERROR(__xludf.DUMMYFUNCTION("""COMPUTED_VALUE"""),419.9873)</f>
        <v>419.9873</v>
      </c>
      <c r="H4" s="1"/>
      <c r="I4" s="71">
        <f>IFERROR(__xludf.DUMMYFUNCTION("""COMPUTED_VALUE"""),396.47317906993857)</f>
        <v>396.4731791</v>
      </c>
      <c r="J4" s="69">
        <f>IFERROR(__xludf.DUMMYFUNCTION("""COMPUTED_VALUE"""),0.0)</f>
        <v>0</v>
      </c>
      <c r="K4" s="4">
        <f>IFERROR(__xludf.DUMMYFUNCTION("""COMPUTED_VALUE"""),396.47317906993857)</f>
        <v>396.4731791</v>
      </c>
      <c r="M4" s="1"/>
      <c r="N4" s="67"/>
      <c r="O4" s="1"/>
      <c r="P4" s="1"/>
      <c r="Q4" s="1"/>
      <c r="R4" s="4"/>
    </row>
    <row r="5">
      <c r="A5" s="66">
        <f>IFERROR(__xludf.DUMMYFUNCTION("""COMPUTED_VALUE"""),46084.0)</f>
        <v>46084</v>
      </c>
      <c r="B5" s="67">
        <f>IFERROR(__xludf.DUMMYFUNCTION("""COMPUTED_VALUE"""),7.0)</f>
        <v>7</v>
      </c>
      <c r="C5" s="69">
        <f>IFERROR(__xludf.DUMMYFUNCTION("""COMPUTED_VALUE"""),246.0)</f>
        <v>246</v>
      </c>
      <c r="D5" s="1" t="str">
        <f>IFERROR(__xludf.DUMMYFUNCTION("""COMPUTED_VALUE"""),"USD")</f>
        <v>USD</v>
      </c>
      <c r="E5" s="1" t="str">
        <f>IFERROR(__xludf.DUMMYFUNCTION("""COMPUTED_VALUE"""),"Efectivo USD")</f>
        <v>Efectivo USD</v>
      </c>
      <c r="F5" s="1" t="str">
        <f>IFERROR(__xludf.DUMMYFUNCTION("""COMPUTED_VALUE"""),"EMPRENDIMIENTO IRMA RODRIGUEZ 6")</f>
        <v>EMPRENDIMIENTO IRMA RODRIGUEZ 6</v>
      </c>
      <c r="G5" s="70">
        <f>IFERROR(__xludf.DUMMYFUNCTION("""COMPUTED_VALUE"""),421.8772)</f>
        <v>421.8772</v>
      </c>
      <c r="H5" s="1"/>
      <c r="I5" s="71">
        <f>IFERROR(__xludf.DUMMYFUNCTION("""COMPUTED_VALUE"""),246.0)</f>
        <v>246</v>
      </c>
      <c r="J5" s="69">
        <f>IFERROR(__xludf.DUMMYFUNCTION("""COMPUTED_VALUE"""),246.0)</f>
        <v>246</v>
      </c>
      <c r="K5" s="4">
        <f>IFERROR(__xludf.DUMMYFUNCTION("""COMPUTED_VALUE"""),246.0)</f>
        <v>246</v>
      </c>
      <c r="M5" s="1"/>
      <c r="N5" s="67"/>
      <c r="O5" s="1"/>
      <c r="P5" s="1"/>
      <c r="Q5" s="1"/>
      <c r="R5" s="4"/>
    </row>
    <row r="6">
      <c r="A6" s="66">
        <f>IFERROR(__xludf.DUMMYFUNCTION("""COMPUTED_VALUE"""),46086.0)</f>
        <v>46086</v>
      </c>
      <c r="B6" s="67">
        <f>IFERROR(__xludf.DUMMYFUNCTION("""COMPUTED_VALUE"""),33.0)</f>
        <v>33</v>
      </c>
      <c r="C6" s="69">
        <f>IFERROR(__xludf.DUMMYFUNCTION("""COMPUTED_VALUE"""),195.0)</f>
        <v>195</v>
      </c>
      <c r="D6" s="1" t="str">
        <f>IFERROR(__xludf.DUMMYFUNCTION("""COMPUTED_VALUE"""),"USD")</f>
        <v>USD</v>
      </c>
      <c r="E6" s="1" t="str">
        <f>IFERROR(__xludf.DUMMYFUNCTION("""COMPUTED_VALUE"""),"Efectivo USD")</f>
        <v>Efectivo USD</v>
      </c>
      <c r="F6" s="1" t="str">
        <f>IFERROR(__xludf.DUMMYFUNCTION("""COMPUTED_VALUE"""),"Angel ARMAS")</f>
        <v>Angel ARMAS</v>
      </c>
      <c r="G6" s="70">
        <f>IFERROR(__xludf.DUMMYFUNCTION("""COMPUTED_VALUE"""),427.9302)</f>
        <v>427.9302</v>
      </c>
      <c r="H6" s="1"/>
      <c r="I6" s="71">
        <f>IFERROR(__xludf.DUMMYFUNCTION("""COMPUTED_VALUE"""),195.0)</f>
        <v>195</v>
      </c>
      <c r="J6" s="69">
        <f>IFERROR(__xludf.DUMMYFUNCTION("""COMPUTED_VALUE"""),195.0)</f>
        <v>195</v>
      </c>
      <c r="K6" s="4">
        <f>IFERROR(__xludf.DUMMYFUNCTION("""COMPUTED_VALUE"""),195.0)</f>
        <v>195</v>
      </c>
      <c r="M6" s="1"/>
      <c r="N6" s="67"/>
      <c r="O6" s="1"/>
      <c r="P6" s="1"/>
      <c r="Q6" s="1"/>
      <c r="R6" s="4"/>
    </row>
    <row r="7">
      <c r="A7" s="66">
        <f>IFERROR(__xludf.DUMMYFUNCTION("""COMPUTED_VALUE"""),46086.0)</f>
        <v>46086</v>
      </c>
      <c r="B7" s="67">
        <f>IFERROR(__xludf.DUMMYFUNCTION("""COMPUTED_VALUE"""),28.0)</f>
        <v>28</v>
      </c>
      <c r="C7" s="69">
        <f>IFERROR(__xludf.DUMMYFUNCTION("""COMPUTED_VALUE"""),29489.51)</f>
        <v>29489.51</v>
      </c>
      <c r="D7" s="1" t="str">
        <f>IFERROR(__xludf.DUMMYFUNCTION("""COMPUTED_VALUE"""),"VES")</f>
        <v>VES</v>
      </c>
      <c r="E7" s="1" t="str">
        <f>IFERROR(__xludf.DUMMYFUNCTION("""COMPUTED_VALUE"""),"Venezuela")</f>
        <v>Venezuela</v>
      </c>
      <c r="F7" s="1" t="str">
        <f>IFERROR(__xludf.DUMMYFUNCTION("""COMPUTED_VALUE"""),"Ricardo A. Fernandez.")</f>
        <v>Ricardo A. Fernandez.</v>
      </c>
      <c r="G7" s="70">
        <f>IFERROR(__xludf.DUMMYFUNCTION("""COMPUTED_VALUE"""),427.9302)</f>
        <v>427.9302</v>
      </c>
      <c r="H7" s="1"/>
      <c r="I7" s="71">
        <f>IFERROR(__xludf.DUMMYFUNCTION("""COMPUTED_VALUE"""),68.91196274532622)</f>
        <v>68.91196275</v>
      </c>
      <c r="J7" s="69">
        <f>IFERROR(__xludf.DUMMYFUNCTION("""COMPUTED_VALUE"""),0.0)</f>
        <v>0</v>
      </c>
      <c r="K7" s="4">
        <f>IFERROR(__xludf.DUMMYFUNCTION("""COMPUTED_VALUE"""),68.91196274532622)</f>
        <v>68.91196275</v>
      </c>
      <c r="M7" s="1"/>
      <c r="N7" s="67"/>
      <c r="O7" s="1"/>
      <c r="P7" s="1"/>
      <c r="Q7" s="1"/>
      <c r="R7" s="4"/>
    </row>
    <row r="8">
      <c r="A8" s="66">
        <f>IFERROR(__xludf.DUMMYFUNCTION("""COMPUTED_VALUE"""),46086.0)</f>
        <v>46086</v>
      </c>
      <c r="B8" s="67">
        <f>IFERROR(__xludf.DUMMYFUNCTION("""COMPUTED_VALUE"""),32.0)</f>
        <v>32</v>
      </c>
      <c r="C8" s="69">
        <f>IFERROR(__xludf.DUMMYFUNCTION("""COMPUTED_VALUE"""),43501.1)</f>
        <v>43501.1</v>
      </c>
      <c r="D8" s="1" t="str">
        <f>IFERROR(__xludf.DUMMYFUNCTION("""COMPUTED_VALUE"""),"VES")</f>
        <v>VES</v>
      </c>
      <c r="E8" s="1" t="str">
        <f>IFERROR(__xludf.DUMMYFUNCTION("""COMPUTED_VALUE"""),"Bancamiga")</f>
        <v>Bancamiga</v>
      </c>
      <c r="F8" s="1" t="str">
        <f>IFERROR(__xludf.DUMMYFUNCTION("""COMPUTED_VALUE"""),"Ferretería JJ Martins c.a")</f>
        <v>Ferretería JJ Martins c.a</v>
      </c>
      <c r="G8" s="70">
        <f>IFERROR(__xludf.DUMMYFUNCTION("""COMPUTED_VALUE"""),501.73)</f>
        <v>501.73</v>
      </c>
      <c r="H8" s="1"/>
      <c r="I8" s="71">
        <f>IFERROR(__xludf.DUMMYFUNCTION("""COMPUTED_VALUE"""),86.70221035218145)</f>
        <v>86.70221035</v>
      </c>
      <c r="J8" s="69">
        <f>IFERROR(__xludf.DUMMYFUNCTION("""COMPUTED_VALUE"""),0.0)</f>
        <v>0</v>
      </c>
      <c r="K8" s="4">
        <f>IFERROR(__xludf.DUMMYFUNCTION("""COMPUTED_VALUE"""),86.70221035218145)</f>
        <v>86.70221035</v>
      </c>
      <c r="M8" s="1"/>
      <c r="N8" s="67"/>
      <c r="O8" s="1"/>
      <c r="P8" s="1"/>
      <c r="Q8" s="1"/>
      <c r="R8" s="4"/>
    </row>
    <row r="9">
      <c r="A9" s="66">
        <f>IFERROR(__xludf.DUMMYFUNCTION("""COMPUTED_VALUE"""),46087.0)</f>
        <v>46087</v>
      </c>
      <c r="B9" s="67">
        <f>IFERROR(__xludf.DUMMYFUNCTION("""COMPUTED_VALUE"""),42.0)</f>
        <v>42</v>
      </c>
      <c r="C9" s="69">
        <f>IFERROR(__xludf.DUMMYFUNCTION("""COMPUTED_VALUE"""),56462.48)</f>
        <v>56462.48</v>
      </c>
      <c r="D9" s="1" t="str">
        <f>IFERROR(__xludf.DUMMYFUNCTION("""COMPUTED_VALUE"""),"VES")</f>
        <v>VES</v>
      </c>
      <c r="E9" s="1" t="str">
        <f>IFERROR(__xludf.DUMMYFUNCTION("""COMPUTED_VALUE"""),"Bancamiga")</f>
        <v>Bancamiga</v>
      </c>
      <c r="F9" s="1" t="str">
        <f>IFERROR(__xludf.DUMMYFUNCTION("""COMPUTED_VALUE"""),"ALIPLUS TRASPORTE Y EQUIPOS, CA")</f>
        <v>ALIPLUS TRASPORTE Y EQUIPOS, CA</v>
      </c>
      <c r="G9" s="70">
        <f>IFERROR(__xludf.DUMMYFUNCTION("""COMPUTED_VALUE"""),431.0113)</f>
        <v>431.0113</v>
      </c>
      <c r="H9" s="1"/>
      <c r="I9" s="71">
        <f>IFERROR(__xludf.DUMMYFUNCTION("""COMPUTED_VALUE"""),130.99999930396257)</f>
        <v>130.9999993</v>
      </c>
      <c r="J9" s="69">
        <f>IFERROR(__xludf.DUMMYFUNCTION("""COMPUTED_VALUE"""),0.0)</f>
        <v>0</v>
      </c>
      <c r="K9" s="4">
        <f>IFERROR(__xludf.DUMMYFUNCTION("""COMPUTED_VALUE"""),130.99999930396257)</f>
        <v>130.9999993</v>
      </c>
      <c r="M9" s="1"/>
      <c r="N9" s="67"/>
      <c r="O9" s="1"/>
      <c r="P9" s="1"/>
      <c r="Q9" s="1"/>
      <c r="R9" s="4"/>
    </row>
    <row r="10">
      <c r="A10" s="66">
        <f>IFERROR(__xludf.DUMMYFUNCTION("""COMPUTED_VALUE"""),46090.0)</f>
        <v>46090</v>
      </c>
      <c r="B10" s="67">
        <f>IFERROR(__xludf.DUMMYFUNCTION("""COMPUTED_VALUE"""),50.0)</f>
        <v>50</v>
      </c>
      <c r="C10" s="69">
        <f>IFERROR(__xludf.DUMMYFUNCTION("""COMPUTED_VALUE"""),65.0)</f>
        <v>65</v>
      </c>
      <c r="D10" s="1" t="str">
        <f>IFERROR(__xludf.DUMMYFUNCTION("""COMPUTED_VALUE"""),"USD")</f>
        <v>USD</v>
      </c>
      <c r="E10" s="1" t="str">
        <f>IFERROR(__xludf.DUMMYFUNCTION("""COMPUTED_VALUE"""),"Efectivo USD")</f>
        <v>Efectivo USD</v>
      </c>
      <c r="F10" s="1" t="str">
        <f>IFERROR(__xludf.DUMMYFUNCTION("""COMPUTED_VALUE"""),"FREDI MARQUEZ")</f>
        <v>FREDI MARQUEZ</v>
      </c>
      <c r="G10" s="70">
        <f>IFERROR(__xludf.DUMMYFUNCTION("""COMPUTED_VALUE"""),433.1664)</f>
        <v>433.1664</v>
      </c>
      <c r="H10" s="1"/>
      <c r="I10" s="71">
        <f>IFERROR(__xludf.DUMMYFUNCTION("""COMPUTED_VALUE"""),65.0)</f>
        <v>65</v>
      </c>
      <c r="J10" s="69">
        <f>IFERROR(__xludf.DUMMYFUNCTION("""COMPUTED_VALUE"""),65.0)</f>
        <v>65</v>
      </c>
      <c r="K10" s="4">
        <f>IFERROR(__xludf.DUMMYFUNCTION("""COMPUTED_VALUE"""),65.0)</f>
        <v>65</v>
      </c>
      <c r="M10" s="1"/>
      <c r="N10" s="67"/>
      <c r="O10" s="1"/>
      <c r="P10" s="1"/>
      <c r="Q10" s="1"/>
      <c r="R10" s="4"/>
    </row>
    <row r="11">
      <c r="A11" s="66">
        <f>IFERROR(__xludf.DUMMYFUNCTION("""COMPUTED_VALUE"""),46090.0)</f>
        <v>46090</v>
      </c>
      <c r="B11" s="67">
        <f>IFERROR(__xludf.DUMMYFUNCTION("""COMPUTED_VALUE"""),164.0)</f>
        <v>164</v>
      </c>
      <c r="C11" s="69">
        <f>IFERROR(__xludf.DUMMYFUNCTION("""COMPUTED_VALUE"""),48.0)</f>
        <v>48</v>
      </c>
      <c r="D11" s="1" t="str">
        <f>IFERROR(__xludf.DUMMYFUNCTION("""COMPUTED_VALUE"""),"USD")</f>
        <v>USD</v>
      </c>
      <c r="E11" s="1" t="str">
        <f>IFERROR(__xludf.DUMMYFUNCTION("""COMPUTED_VALUE"""),"Efectivo USD")</f>
        <v>Efectivo USD</v>
      </c>
      <c r="F11" s="1" t="str">
        <f>IFERROR(__xludf.DUMMYFUNCTION("""COMPUTED_VALUE"""),"INVERSIONES IRETE SUKA, C.A")</f>
        <v>INVERSIONES IRETE SUKA, C.A</v>
      </c>
      <c r="G11" s="70">
        <f>IFERROR(__xludf.DUMMYFUNCTION("""COMPUTED_VALUE"""),433.1664)</f>
        <v>433.1664</v>
      </c>
      <c r="H11" s="1"/>
      <c r="I11" s="71">
        <f>IFERROR(__xludf.DUMMYFUNCTION("""COMPUTED_VALUE"""),48.0)</f>
        <v>48</v>
      </c>
      <c r="J11" s="69">
        <f>IFERROR(__xludf.DUMMYFUNCTION("""COMPUTED_VALUE"""),48.0)</f>
        <v>48</v>
      </c>
      <c r="K11" s="4">
        <f>IFERROR(__xludf.DUMMYFUNCTION("""COMPUTED_VALUE"""),48.0)</f>
        <v>48</v>
      </c>
      <c r="M11" s="1"/>
      <c r="N11" s="67"/>
      <c r="O11" s="1"/>
      <c r="P11" s="1"/>
      <c r="Q11" s="1"/>
      <c r="R11" s="4"/>
    </row>
    <row r="12">
      <c r="A12" s="66">
        <f>IFERROR(__xludf.DUMMYFUNCTION("""COMPUTED_VALUE"""),46090.0)</f>
        <v>46090</v>
      </c>
      <c r="B12" s="67">
        <f>IFERROR(__xludf.DUMMYFUNCTION("""COMPUTED_VALUE"""),47.0)</f>
        <v>47</v>
      </c>
      <c r="C12" s="69">
        <f>IFERROR(__xludf.DUMMYFUNCTION("""COMPUTED_VALUE"""),820035.98)</f>
        <v>820035.98</v>
      </c>
      <c r="D12" s="1" t="str">
        <f>IFERROR(__xludf.DUMMYFUNCTION("""COMPUTED_VALUE"""),"VES")</f>
        <v>VES</v>
      </c>
      <c r="E12" s="1" t="str">
        <f>IFERROR(__xludf.DUMMYFUNCTION("""COMPUTED_VALUE"""),"Bancamiga")</f>
        <v>Bancamiga</v>
      </c>
      <c r="F12" s="1" t="str">
        <f>IFERROR(__xludf.DUMMYFUNCTION("""COMPUTED_VALUE"""),"Rawy Xavier Melendez Caripa")</f>
        <v>Rawy Xavier Melendez Caripa</v>
      </c>
      <c r="G12" s="70">
        <f>IFERROR(__xludf.DUMMYFUNCTION("""COMPUTED_VALUE"""),433.1664)</f>
        <v>433.1664</v>
      </c>
      <c r="H12" s="1"/>
      <c r="I12" s="71">
        <f>IFERROR(__xludf.DUMMYFUNCTION("""COMPUTED_VALUE"""),1893.1200111550663)</f>
        <v>1893.120011</v>
      </c>
      <c r="J12" s="69">
        <f>IFERROR(__xludf.DUMMYFUNCTION("""COMPUTED_VALUE"""),0.0)</f>
        <v>0</v>
      </c>
      <c r="K12" s="4">
        <f>IFERROR(__xludf.DUMMYFUNCTION("""COMPUTED_VALUE"""),1893.1200111550663)</f>
        <v>1893.120011</v>
      </c>
      <c r="M12" s="1"/>
      <c r="N12" s="67"/>
      <c r="O12" s="1"/>
      <c r="P12" s="1"/>
      <c r="Q12" s="1"/>
      <c r="R12" s="4"/>
    </row>
    <row r="13">
      <c r="A13" s="66">
        <f>IFERROR(__xludf.DUMMYFUNCTION("""COMPUTED_VALUE"""),46092.0)</f>
        <v>46092</v>
      </c>
      <c r="B13" s="67">
        <f>IFERROR(__xludf.DUMMYFUNCTION("""COMPUTED_VALUE"""),67.0)</f>
        <v>67</v>
      </c>
      <c r="C13" s="69">
        <f>IFERROR(__xludf.DUMMYFUNCTION("""COMPUTED_VALUE"""),70112.0)</f>
        <v>70112</v>
      </c>
      <c r="D13" s="1" t="str">
        <f>IFERROR(__xludf.DUMMYFUNCTION("""COMPUTED_VALUE"""),"VES")</f>
        <v>VES</v>
      </c>
      <c r="E13" s="1" t="str">
        <f>IFERROR(__xludf.DUMMYFUNCTION("""COMPUTED_VALUE"""),"Venezuela")</f>
        <v>Venezuela</v>
      </c>
      <c r="F13" s="1" t="str">
        <f>IFERROR(__xludf.DUMMYFUNCTION("""COMPUTED_VALUE"""),"Jesus luciani Russiani.")</f>
        <v>Jesus luciani Russiani.</v>
      </c>
      <c r="G13" s="70">
        <f>IFERROR(__xludf.DUMMYFUNCTION("""COMPUTED_VALUE"""),438.205)</f>
        <v>438.205</v>
      </c>
      <c r="H13" s="1"/>
      <c r="I13" s="71">
        <f>IFERROR(__xludf.DUMMYFUNCTION("""COMPUTED_VALUE"""),159.99817437044305)</f>
        <v>159.9981744</v>
      </c>
      <c r="J13" s="69">
        <f>IFERROR(__xludf.DUMMYFUNCTION("""COMPUTED_VALUE"""),0.0)</f>
        <v>0</v>
      </c>
      <c r="K13" s="4">
        <f>IFERROR(__xludf.DUMMYFUNCTION("""COMPUTED_VALUE"""),159.99817437044305)</f>
        <v>159.9981744</v>
      </c>
      <c r="M13" s="1"/>
      <c r="N13" s="67"/>
      <c r="O13" s="1"/>
      <c r="P13" s="1"/>
      <c r="Q13" s="1"/>
      <c r="R13" s="4"/>
    </row>
    <row r="14">
      <c r="A14" s="66">
        <f>IFERROR(__xludf.DUMMYFUNCTION("""COMPUTED_VALUE"""),46093.0)</f>
        <v>46093</v>
      </c>
      <c r="B14" s="67">
        <f>IFERROR(__xludf.DUMMYFUNCTION("""COMPUTED_VALUE"""),77.0)</f>
        <v>77</v>
      </c>
      <c r="C14" s="69">
        <f>IFERROR(__xludf.DUMMYFUNCTION("""COMPUTED_VALUE"""),36.0)</f>
        <v>36</v>
      </c>
      <c r="D14" s="1" t="str">
        <f>IFERROR(__xludf.DUMMYFUNCTION("""COMPUTED_VALUE"""),"USD")</f>
        <v>USD</v>
      </c>
      <c r="E14" s="1" t="str">
        <f>IFERROR(__xludf.DUMMYFUNCTION("""COMPUTED_VALUE"""),"Efectivo USD")</f>
        <v>Efectivo USD</v>
      </c>
      <c r="F14" s="1" t="str">
        <f>IFERROR(__xludf.DUMMYFUNCTION("""COMPUTED_VALUE"""),"Ruben Dario Fernandez")</f>
        <v>Ruben Dario Fernandez</v>
      </c>
      <c r="G14" s="70">
        <f>IFERROR(__xludf.DUMMYFUNCTION("""COMPUTED_VALUE"""),440.9657)</f>
        <v>440.9657</v>
      </c>
      <c r="H14" s="1"/>
      <c r="I14" s="71">
        <f>IFERROR(__xludf.DUMMYFUNCTION("""COMPUTED_VALUE"""),36.0)</f>
        <v>36</v>
      </c>
      <c r="J14" s="69">
        <f>IFERROR(__xludf.DUMMYFUNCTION("""COMPUTED_VALUE"""),36.0)</f>
        <v>36</v>
      </c>
      <c r="K14" s="4">
        <f>IFERROR(__xludf.DUMMYFUNCTION("""COMPUTED_VALUE"""),36.0)</f>
        <v>36</v>
      </c>
      <c r="M14" s="1"/>
      <c r="N14" s="67"/>
      <c r="O14" s="1"/>
      <c r="P14" s="1"/>
      <c r="Q14" s="1"/>
      <c r="R14" s="4"/>
    </row>
    <row r="15">
      <c r="A15" s="66">
        <f>IFERROR(__xludf.DUMMYFUNCTION("""COMPUTED_VALUE"""),46093.0)</f>
        <v>46093</v>
      </c>
      <c r="B15" s="67">
        <f>IFERROR(__xludf.DUMMYFUNCTION("""COMPUTED_VALUE"""),20.0)</f>
        <v>20</v>
      </c>
      <c r="C15" s="69">
        <f>IFERROR(__xludf.DUMMYFUNCTION("""COMPUTED_VALUE"""),16606.59)</f>
        <v>16606.59</v>
      </c>
      <c r="D15" s="1" t="str">
        <f>IFERROR(__xludf.DUMMYFUNCTION("""COMPUTED_VALUE"""),"VES")</f>
        <v>VES</v>
      </c>
      <c r="E15" s="1" t="str">
        <f>IFERROR(__xludf.DUMMYFUNCTION("""COMPUTED_VALUE"""),"Bancamiga")</f>
        <v>Bancamiga</v>
      </c>
      <c r="F15" s="1" t="str">
        <f>IFERROR(__xludf.DUMMYFUNCTION("""COMPUTED_VALUE"""),"EMPRENDIMIENTO TOMAS MARCANO 5")</f>
        <v>EMPRENDIMIENTO TOMAS MARCANO 5</v>
      </c>
      <c r="G15" s="70">
        <f>IFERROR(__xludf.DUMMYFUNCTION("""COMPUTED_VALUE"""),440.9657)</f>
        <v>440.9657</v>
      </c>
      <c r="H15" s="1"/>
      <c r="I15" s="71">
        <f>IFERROR(__xludf.DUMMYFUNCTION("""COMPUTED_VALUE"""),37.659595746335825)</f>
        <v>37.65959575</v>
      </c>
      <c r="J15" s="69">
        <f>IFERROR(__xludf.DUMMYFUNCTION("""COMPUTED_VALUE"""),0.0)</f>
        <v>0</v>
      </c>
      <c r="K15" s="4">
        <f>IFERROR(__xludf.DUMMYFUNCTION("""COMPUTED_VALUE"""),37.659595746335825)</f>
        <v>37.65959575</v>
      </c>
      <c r="M15" s="1"/>
      <c r="N15" s="67"/>
      <c r="O15" s="1"/>
      <c r="P15" s="1"/>
      <c r="Q15" s="1"/>
      <c r="R15" s="4"/>
    </row>
    <row r="16">
      <c r="A16" s="66">
        <f>IFERROR(__xludf.DUMMYFUNCTION("""COMPUTED_VALUE"""),46094.0)</f>
        <v>46094</v>
      </c>
      <c r="B16" s="67">
        <f>IFERROR(__xludf.DUMMYFUNCTION("""COMPUTED_VALUE"""),23.0)</f>
        <v>23</v>
      </c>
      <c r="C16" s="69">
        <f>IFERROR(__xludf.DUMMYFUNCTION("""COMPUTED_VALUE"""),66.0)</f>
        <v>66</v>
      </c>
      <c r="D16" s="1" t="str">
        <f>IFERROR(__xludf.DUMMYFUNCTION("""COMPUTED_VALUE"""),"USD")</f>
        <v>USD</v>
      </c>
      <c r="E16" s="1" t="str">
        <f>IFERROR(__xludf.DUMMYFUNCTION("""COMPUTED_VALUE"""),"Efectivo USD")</f>
        <v>Efectivo USD</v>
      </c>
      <c r="F16" s="1" t="str">
        <f>IFERROR(__xludf.DUMMYFUNCTION("""COMPUTED_VALUE"""),"Multiservicios Sanahuja 36 C.A")</f>
        <v>Multiservicios Sanahuja 36 C.A</v>
      </c>
      <c r="G16" s="70">
        <f>IFERROR(__xludf.DUMMYFUNCTION("""COMPUTED_VALUE"""),510.34)</f>
        <v>510.34</v>
      </c>
      <c r="H16" s="1"/>
      <c r="I16" s="71">
        <f>IFERROR(__xludf.DUMMYFUNCTION("""COMPUTED_VALUE"""),66.0)</f>
        <v>66</v>
      </c>
      <c r="J16" s="69">
        <f>IFERROR(__xludf.DUMMYFUNCTION("""COMPUTED_VALUE"""),66.0)</f>
        <v>66</v>
      </c>
      <c r="K16" s="4">
        <f>IFERROR(__xludf.DUMMYFUNCTION("""COMPUTED_VALUE"""),66.0)</f>
        <v>66</v>
      </c>
      <c r="N16" s="67"/>
      <c r="R16" s="4"/>
    </row>
    <row r="17">
      <c r="A17" s="66">
        <f>IFERROR(__xludf.DUMMYFUNCTION("""COMPUTED_VALUE"""),46094.0)</f>
        <v>46094</v>
      </c>
      <c r="B17" s="67">
        <f>IFERROR(__xludf.DUMMYFUNCTION("""COMPUTED_VALUE"""),46.0)</f>
        <v>46</v>
      </c>
      <c r="C17" s="69">
        <f>IFERROR(__xludf.DUMMYFUNCTION("""COMPUTED_VALUE"""),129.98)</f>
        <v>129.98</v>
      </c>
      <c r="D17" s="1" t="str">
        <f>IFERROR(__xludf.DUMMYFUNCTION("""COMPUTED_VALUE"""),"USD")</f>
        <v>USD</v>
      </c>
      <c r="E17" s="1" t="str">
        <f>IFERROR(__xludf.DUMMYFUNCTION("""COMPUTED_VALUE"""),"Efectivo USD")</f>
        <v>Efectivo USD</v>
      </c>
      <c r="F17" s="1" t="str">
        <f>IFERROR(__xludf.DUMMYFUNCTION("""COMPUTED_VALUE"""),"EMPRENDIMIENTO IRMA RODRIGUEZ 6")</f>
        <v>EMPRENDIMIENTO IRMA RODRIGUEZ 6</v>
      </c>
      <c r="G17" s="70">
        <f>IFERROR(__xludf.DUMMYFUNCTION("""COMPUTED_VALUE"""),510.34)</f>
        <v>510.34</v>
      </c>
      <c r="H17" s="1"/>
      <c r="I17" s="71">
        <f>IFERROR(__xludf.DUMMYFUNCTION("""COMPUTED_VALUE"""),129.98)</f>
        <v>129.98</v>
      </c>
      <c r="J17" s="69">
        <f>IFERROR(__xludf.DUMMYFUNCTION("""COMPUTED_VALUE"""),129.98)</f>
        <v>129.98</v>
      </c>
      <c r="K17" s="4">
        <f>IFERROR(__xludf.DUMMYFUNCTION("""COMPUTED_VALUE"""),129.98)</f>
        <v>129.98</v>
      </c>
      <c r="N17" s="67"/>
      <c r="R17" s="4"/>
    </row>
    <row r="18">
      <c r="A18" s="66">
        <f>IFERROR(__xludf.DUMMYFUNCTION("""COMPUTED_VALUE"""),46094.0)</f>
        <v>46094</v>
      </c>
      <c r="B18" s="67">
        <f>IFERROR(__xludf.DUMMYFUNCTION("""COMPUTED_VALUE"""),66.0)</f>
        <v>66</v>
      </c>
      <c r="C18" s="69">
        <f>IFERROR(__xludf.DUMMYFUNCTION("""COMPUTED_VALUE"""),132.48)</f>
        <v>132.48</v>
      </c>
      <c r="D18" s="1" t="str">
        <f>IFERROR(__xludf.DUMMYFUNCTION("""COMPUTED_VALUE"""),"USD")</f>
        <v>USD</v>
      </c>
      <c r="E18" s="1" t="str">
        <f>IFERROR(__xludf.DUMMYFUNCTION("""COMPUTED_VALUE"""),"Efectivo USD")</f>
        <v>Efectivo USD</v>
      </c>
      <c r="F18" s="1" t="str">
        <f>IFERROR(__xludf.DUMMYFUNCTION("""COMPUTED_VALUE"""),"EMPRENDIMIENTO IRMA RODRIGUEZ 6")</f>
        <v>EMPRENDIMIENTO IRMA RODRIGUEZ 6</v>
      </c>
      <c r="G18" s="70">
        <f>IFERROR(__xludf.DUMMYFUNCTION("""COMPUTED_VALUE"""),510.34)</f>
        <v>510.34</v>
      </c>
      <c r="H18" s="1"/>
      <c r="I18" s="71">
        <f>IFERROR(__xludf.DUMMYFUNCTION("""COMPUTED_VALUE"""),132.48)</f>
        <v>132.48</v>
      </c>
      <c r="J18" s="69">
        <f>IFERROR(__xludf.DUMMYFUNCTION("""COMPUTED_VALUE"""),132.48)</f>
        <v>132.48</v>
      </c>
      <c r="K18" s="4">
        <f>IFERROR(__xludf.DUMMYFUNCTION("""COMPUTED_VALUE"""),132.48)</f>
        <v>132.48</v>
      </c>
      <c r="N18" s="67"/>
      <c r="R18" s="4"/>
    </row>
    <row r="19">
      <c r="A19" s="66">
        <f>IFERROR(__xludf.DUMMYFUNCTION("""COMPUTED_VALUE"""),46094.0)</f>
        <v>46094</v>
      </c>
      <c r="B19" s="67">
        <f>IFERROR(__xludf.DUMMYFUNCTION("""COMPUTED_VALUE"""),88.0)</f>
        <v>88</v>
      </c>
      <c r="C19" s="69">
        <f>IFERROR(__xludf.DUMMYFUNCTION("""COMPUTED_VALUE"""),106455.68)</f>
        <v>106455.68</v>
      </c>
      <c r="D19" s="1" t="str">
        <f>IFERROR(__xludf.DUMMYFUNCTION("""COMPUTED_VALUE"""),"VES")</f>
        <v>VES</v>
      </c>
      <c r="E19" s="1" t="str">
        <f>IFERROR(__xludf.DUMMYFUNCTION("""COMPUTED_VALUE"""),"Bancamiga")</f>
        <v>Bancamiga</v>
      </c>
      <c r="F19" s="1" t="str">
        <f>IFERROR(__xludf.DUMMYFUNCTION("""COMPUTED_VALUE"""),"ALIPLUS TRASPORTE Y EQUIPOS, CA")</f>
        <v>ALIPLUS TRASPORTE Y EQUIPOS, CA</v>
      </c>
      <c r="G19" s="70">
        <f>IFERROR(__xludf.DUMMYFUNCTION("""COMPUTED_VALUE"""),443.2587)</f>
        <v>443.2587</v>
      </c>
      <c r="H19" s="1"/>
      <c r="I19" s="71">
        <f>IFERROR(__xludf.DUMMYFUNCTION("""COMPUTED_VALUE"""),240.16602494209363)</f>
        <v>240.1660249</v>
      </c>
      <c r="J19" s="69">
        <f>IFERROR(__xludf.DUMMYFUNCTION("""COMPUTED_VALUE"""),0.0)</f>
        <v>0</v>
      </c>
      <c r="K19" s="4">
        <f>IFERROR(__xludf.DUMMYFUNCTION("""COMPUTED_VALUE"""),240.16602494209363)</f>
        <v>240.1660249</v>
      </c>
      <c r="N19" s="67"/>
      <c r="R19" s="4"/>
    </row>
    <row r="20">
      <c r="A20" s="66">
        <f>IFERROR(__xludf.DUMMYFUNCTION("""COMPUTED_VALUE"""),46094.0)</f>
        <v>46094</v>
      </c>
      <c r="B20" s="67">
        <f>IFERROR(__xludf.DUMMYFUNCTION("""COMPUTED_VALUE"""),79.0)</f>
        <v>79</v>
      </c>
      <c r="C20" s="69">
        <f>IFERROR(__xludf.DUMMYFUNCTION("""COMPUTED_VALUE"""),203899.0)</f>
        <v>203899</v>
      </c>
      <c r="D20" s="1" t="str">
        <f>IFERROR(__xludf.DUMMYFUNCTION("""COMPUTED_VALUE"""),"VES")</f>
        <v>VES</v>
      </c>
      <c r="E20" s="1" t="str">
        <f>IFERROR(__xludf.DUMMYFUNCTION("""COMPUTED_VALUE"""),"Bancamiga")</f>
        <v>Bancamiga</v>
      </c>
      <c r="F20" s="1" t="str">
        <f>IFERROR(__xludf.DUMMYFUNCTION("""COMPUTED_VALUE"""),"E&amp;M CAR SHOP C.A")</f>
        <v>E&amp;M CAR SHOP C.A</v>
      </c>
      <c r="G20" s="70">
        <f>IFERROR(__xludf.DUMMYFUNCTION("""COMPUTED_VALUE"""),510.34)</f>
        <v>510.34</v>
      </c>
      <c r="H20" s="1"/>
      <c r="I20" s="71">
        <f>IFERROR(__xludf.DUMMYFUNCTION("""COMPUTED_VALUE"""),399.5356037151703)</f>
        <v>399.5356037</v>
      </c>
      <c r="J20" s="69">
        <f>IFERROR(__xludf.DUMMYFUNCTION("""COMPUTED_VALUE"""),0.0)</f>
        <v>0</v>
      </c>
      <c r="K20" s="4">
        <f>IFERROR(__xludf.DUMMYFUNCTION("""COMPUTED_VALUE"""),399.5356037151703)</f>
        <v>399.5356037</v>
      </c>
      <c r="N20" s="67"/>
      <c r="R20" s="4"/>
    </row>
    <row r="21">
      <c r="A21" s="66">
        <f>IFERROR(__xludf.DUMMYFUNCTION("""COMPUTED_VALUE"""),46097.0)</f>
        <v>46097</v>
      </c>
      <c r="B21" s="67">
        <f>IFERROR(__xludf.DUMMYFUNCTION("""COMPUTED_VALUE"""),20.0)</f>
        <v>20</v>
      </c>
      <c r="C21" s="69">
        <f>IFERROR(__xludf.DUMMYFUNCTION("""COMPUTED_VALUE"""),7670.0)</f>
        <v>7670</v>
      </c>
      <c r="D21" s="1" t="str">
        <f>IFERROR(__xludf.DUMMYFUNCTION("""COMPUTED_VALUE"""),"VES")</f>
        <v>VES</v>
      </c>
      <c r="E21" s="1" t="str">
        <f>IFERROR(__xludf.DUMMYFUNCTION("""COMPUTED_VALUE"""),"Bancamiga")</f>
        <v>Bancamiga</v>
      </c>
      <c r="F21" s="1" t="str">
        <f>IFERROR(__xludf.DUMMYFUNCTION("""COMPUTED_VALUE"""),"EMPRENDIMIENTO TOMAS MARCANO 5")</f>
        <v>EMPRENDIMIENTO TOMAS MARCANO 5</v>
      </c>
      <c r="G21" s="70">
        <f>IFERROR(__xludf.DUMMYFUNCTION("""COMPUTED_VALUE"""),511.34)</f>
        <v>511.34</v>
      </c>
      <c r="H21" s="1"/>
      <c r="I21" s="71">
        <f>IFERROR(__xludf.DUMMYFUNCTION("""COMPUTED_VALUE"""),14.999804435405014)</f>
        <v>14.99980444</v>
      </c>
      <c r="J21" s="69">
        <f>IFERROR(__xludf.DUMMYFUNCTION("""COMPUTED_VALUE"""),0.0)</f>
        <v>0</v>
      </c>
      <c r="K21" s="4">
        <f>IFERROR(__xludf.DUMMYFUNCTION("""COMPUTED_VALUE"""),14.999804435405014)</f>
        <v>14.99980444</v>
      </c>
      <c r="N21" s="67"/>
      <c r="R21" s="4"/>
    </row>
    <row r="22">
      <c r="A22" s="66">
        <f>IFERROR(__xludf.DUMMYFUNCTION("""COMPUTED_VALUE"""),46098.0)</f>
        <v>46098</v>
      </c>
      <c r="B22" s="67">
        <f>IFERROR(__xludf.DUMMYFUNCTION("""COMPUTED_VALUE"""),30.0)</f>
        <v>30</v>
      </c>
      <c r="C22" s="69">
        <f>IFERROR(__xludf.DUMMYFUNCTION("""COMPUTED_VALUE"""),146.0)</f>
        <v>146</v>
      </c>
      <c r="D22" s="1" t="str">
        <f>IFERROR(__xludf.DUMMYFUNCTION("""COMPUTED_VALUE"""),"USD")</f>
        <v>USD</v>
      </c>
      <c r="E22" s="1" t="str">
        <f>IFERROR(__xludf.DUMMYFUNCTION("""COMPUTED_VALUE"""),"Efectivo USD")</f>
        <v>Efectivo USD</v>
      </c>
      <c r="F22" s="1" t="str">
        <f>IFERROR(__xludf.DUMMYFUNCTION("""COMPUTED_VALUE"""),"HIDRAULICAS CAICEDO C.A.")</f>
        <v>HIDRAULICAS CAICEDO C.A.</v>
      </c>
      <c r="G22" s="70">
        <f>IFERROR(__xludf.DUMMYFUNCTION("""COMPUTED_VALUE"""),514.97)</f>
        <v>514.97</v>
      </c>
      <c r="H22" s="1"/>
      <c r="I22" s="71">
        <f>IFERROR(__xludf.DUMMYFUNCTION("""COMPUTED_VALUE"""),146.0)</f>
        <v>146</v>
      </c>
      <c r="J22" s="69">
        <f>IFERROR(__xludf.DUMMYFUNCTION("""COMPUTED_VALUE"""),146.0)</f>
        <v>146</v>
      </c>
      <c r="K22" s="4">
        <f>IFERROR(__xludf.DUMMYFUNCTION("""COMPUTED_VALUE"""),146.0)</f>
        <v>146</v>
      </c>
      <c r="N22" s="67"/>
      <c r="R22" s="4"/>
    </row>
    <row r="23">
      <c r="A23" s="66">
        <f>IFERROR(__xludf.DUMMYFUNCTION("""COMPUTED_VALUE"""),46098.0)</f>
        <v>46098</v>
      </c>
      <c r="B23" s="67">
        <f>IFERROR(__xludf.DUMMYFUNCTION("""COMPUTED_VALUE"""),23.0)</f>
        <v>23</v>
      </c>
      <c r="C23" s="69">
        <f>IFERROR(__xludf.DUMMYFUNCTION("""COMPUTED_VALUE"""),30.0)</f>
        <v>30</v>
      </c>
      <c r="D23" s="1" t="str">
        <f>IFERROR(__xludf.DUMMYFUNCTION("""COMPUTED_VALUE"""),"USD")</f>
        <v>USD</v>
      </c>
      <c r="E23" s="1" t="str">
        <f>IFERROR(__xludf.DUMMYFUNCTION("""COMPUTED_VALUE"""),"Efectivo USD")</f>
        <v>Efectivo USD</v>
      </c>
      <c r="F23" s="1" t="str">
        <f>IFERROR(__xludf.DUMMYFUNCTION("""COMPUTED_VALUE"""),"Multiservicios Sanahuja 36 C.A")</f>
        <v>Multiservicios Sanahuja 36 C.A</v>
      </c>
      <c r="G23" s="70">
        <f>IFERROR(__xludf.DUMMYFUNCTION("""COMPUTED_VALUE"""),510.34)</f>
        <v>510.34</v>
      </c>
      <c r="H23" s="1"/>
      <c r="I23" s="71">
        <f>IFERROR(__xludf.DUMMYFUNCTION("""COMPUTED_VALUE"""),30.0)</f>
        <v>30</v>
      </c>
      <c r="J23" s="69">
        <f>IFERROR(__xludf.DUMMYFUNCTION("""COMPUTED_VALUE"""),30.0)</f>
        <v>30</v>
      </c>
      <c r="K23" s="4">
        <f>IFERROR(__xludf.DUMMYFUNCTION("""COMPUTED_VALUE"""),30.0)</f>
        <v>30</v>
      </c>
      <c r="N23" s="67"/>
      <c r="R23" s="4"/>
    </row>
    <row r="24">
      <c r="A24" s="66">
        <f>IFERROR(__xludf.DUMMYFUNCTION("""COMPUTED_VALUE"""),46100.0)</f>
        <v>46100</v>
      </c>
      <c r="B24" s="67">
        <f>IFERROR(__xludf.DUMMYFUNCTION("""COMPUTED_VALUE"""),92.0)</f>
        <v>92</v>
      </c>
      <c r="C24" s="69">
        <f>IFERROR(__xludf.DUMMYFUNCTION("""COMPUTED_VALUE"""),126.0)</f>
        <v>126</v>
      </c>
      <c r="D24" s="1" t="str">
        <f>IFERROR(__xludf.DUMMYFUNCTION("""COMPUTED_VALUE"""),"USD")</f>
        <v>USD</v>
      </c>
      <c r="E24" s="1" t="str">
        <f>IFERROR(__xludf.DUMMYFUNCTION("""COMPUTED_VALUE"""),"Efectivo USD")</f>
        <v>Efectivo USD</v>
      </c>
      <c r="F24" s="1" t="str">
        <f>IFERROR(__xludf.DUMMYFUNCTION("""COMPUTED_VALUE"""),"EMPRENDIMIENTO IRMA RODRIGUEZ 6")</f>
        <v>EMPRENDIMIENTO IRMA RODRIGUEZ 6</v>
      </c>
      <c r="G24" s="70">
        <f>IFERROR(__xludf.DUMMYFUNCTION("""COMPUTED_VALUE"""),451.5072)</f>
        <v>451.5072</v>
      </c>
      <c r="H24" s="1"/>
      <c r="I24" s="71">
        <f>IFERROR(__xludf.DUMMYFUNCTION("""COMPUTED_VALUE"""),126.0)</f>
        <v>126</v>
      </c>
      <c r="J24" s="69">
        <f>IFERROR(__xludf.DUMMYFUNCTION("""COMPUTED_VALUE"""),126.0)</f>
        <v>126</v>
      </c>
      <c r="K24" s="4">
        <f>IFERROR(__xludf.DUMMYFUNCTION("""COMPUTED_VALUE"""),126.0)</f>
        <v>126</v>
      </c>
      <c r="N24" s="67"/>
      <c r="R24" s="4"/>
    </row>
    <row r="25">
      <c r="A25" s="66">
        <f>IFERROR(__xludf.DUMMYFUNCTION("""COMPUTED_VALUE"""),46100.0)</f>
        <v>46100</v>
      </c>
      <c r="B25" s="67">
        <f>IFERROR(__xludf.DUMMYFUNCTION("""COMPUTED_VALUE"""),4.0)</f>
        <v>4</v>
      </c>
      <c r="C25" s="69">
        <f>IFERROR(__xludf.DUMMYFUNCTION("""COMPUTED_VALUE"""),175.0)</f>
        <v>175</v>
      </c>
      <c r="D25" s="1" t="str">
        <f>IFERROR(__xludf.DUMMYFUNCTION("""COMPUTED_VALUE"""),"USD")</f>
        <v>USD</v>
      </c>
      <c r="E25" s="1" t="str">
        <f>IFERROR(__xludf.DUMMYFUNCTION("""COMPUTED_VALUE"""),"Efectivo USD")</f>
        <v>Efectivo USD</v>
      </c>
      <c r="F25" s="1" t="str">
        <f>IFERROR(__xludf.DUMMYFUNCTION("""COMPUTED_VALUE"""),"GARAJE Y TALLERES FRIDELBA, C.A")</f>
        <v>GARAJE Y TALLERES FRIDELBA, C.A</v>
      </c>
      <c r="G25" s="70">
        <f>IFERROR(__xludf.DUMMYFUNCTION("""COMPUTED_VALUE"""),520.64)</f>
        <v>520.64</v>
      </c>
      <c r="H25" s="1"/>
      <c r="I25" s="71">
        <f>IFERROR(__xludf.DUMMYFUNCTION("""COMPUTED_VALUE"""),175.0)</f>
        <v>175</v>
      </c>
      <c r="J25" s="69">
        <f>IFERROR(__xludf.DUMMYFUNCTION("""COMPUTED_VALUE"""),175.0)</f>
        <v>175</v>
      </c>
      <c r="K25" s="4">
        <f>IFERROR(__xludf.DUMMYFUNCTION("""COMPUTED_VALUE"""),175.0)</f>
        <v>175</v>
      </c>
      <c r="N25" s="67"/>
      <c r="R25" s="4"/>
    </row>
    <row r="26">
      <c r="A26" s="66">
        <f>IFERROR(__xludf.DUMMYFUNCTION("""COMPUTED_VALUE"""),46100.0)</f>
        <v>46100</v>
      </c>
      <c r="B26" s="67">
        <f>IFERROR(__xludf.DUMMYFUNCTION("""COMPUTED_VALUE"""),38.0)</f>
        <v>38</v>
      </c>
      <c r="C26" s="69">
        <f>IFERROR(__xludf.DUMMYFUNCTION("""COMPUTED_VALUE"""),50.0)</f>
        <v>50</v>
      </c>
      <c r="D26" s="1" t="str">
        <f>IFERROR(__xludf.DUMMYFUNCTION("""COMPUTED_VALUE"""),"USD")</f>
        <v>USD</v>
      </c>
      <c r="E26" s="1" t="str">
        <f>IFERROR(__xludf.DUMMYFUNCTION("""COMPUTED_VALUE"""),"Efectivo USD")</f>
        <v>Efectivo USD</v>
      </c>
      <c r="F26" s="1" t="str">
        <f>IFERROR(__xludf.DUMMYFUNCTION("""COMPUTED_VALUE"""),"Auto repuestos Fontalvo")</f>
        <v>Auto repuestos Fontalvo</v>
      </c>
      <c r="G26" s="70">
        <f>IFERROR(__xludf.DUMMYFUNCTION("""COMPUTED_VALUE"""),520.64)</f>
        <v>520.64</v>
      </c>
      <c r="H26" s="1"/>
      <c r="I26" s="71">
        <f>IFERROR(__xludf.DUMMYFUNCTION("""COMPUTED_VALUE"""),50.0)</f>
        <v>50</v>
      </c>
      <c r="J26" s="69">
        <f>IFERROR(__xludf.DUMMYFUNCTION("""COMPUTED_VALUE"""),50.0)</f>
        <v>50</v>
      </c>
      <c r="K26" s="4">
        <f>IFERROR(__xludf.DUMMYFUNCTION("""COMPUTED_VALUE"""),50.0)</f>
        <v>50</v>
      </c>
      <c r="N26" s="67"/>
      <c r="R26" s="4"/>
    </row>
    <row r="27">
      <c r="A27" s="66">
        <f>IFERROR(__xludf.DUMMYFUNCTION("""COMPUTED_VALUE"""),46100.0)</f>
        <v>46100</v>
      </c>
      <c r="B27" s="67">
        <f>IFERROR(__xludf.DUMMYFUNCTION("""COMPUTED_VALUE"""),99.0)</f>
        <v>99</v>
      </c>
      <c r="C27" s="69">
        <f>IFERROR(__xludf.DUMMYFUNCTION("""COMPUTED_VALUE"""),36196.75)</f>
        <v>36196.75</v>
      </c>
      <c r="D27" s="1" t="str">
        <f>IFERROR(__xludf.DUMMYFUNCTION("""COMPUTED_VALUE"""),"VES")</f>
        <v>VES</v>
      </c>
      <c r="E27" s="1" t="str">
        <f>IFERROR(__xludf.DUMMYFUNCTION("""COMPUTED_VALUE"""),"Bancamiga")</f>
        <v>Bancamiga</v>
      </c>
      <c r="F27" s="1" t="str">
        <f>IFERROR(__xludf.DUMMYFUNCTION("""COMPUTED_VALUE"""),"ZIP MARKET, CA")</f>
        <v>ZIP MARKET, CA</v>
      </c>
      <c r="G27" s="70">
        <f>IFERROR(__xludf.DUMMYFUNCTION("""COMPUTED_VALUE"""),451.5072)</f>
        <v>451.5072</v>
      </c>
      <c r="H27" s="1"/>
      <c r="I27" s="71">
        <f>IFERROR(__xludf.DUMMYFUNCTION("""COMPUTED_VALUE"""),80.16871048789477)</f>
        <v>80.16871049</v>
      </c>
      <c r="J27" s="69">
        <f>IFERROR(__xludf.DUMMYFUNCTION("""COMPUTED_VALUE"""),0.0)</f>
        <v>0</v>
      </c>
      <c r="K27" s="4">
        <f>IFERROR(__xludf.DUMMYFUNCTION("""COMPUTED_VALUE"""),80.16871048789477)</f>
        <v>80.16871049</v>
      </c>
      <c r="N27" s="67"/>
      <c r="R27" s="4"/>
    </row>
    <row r="28">
      <c r="A28" s="66">
        <f>IFERROR(__xludf.DUMMYFUNCTION("""COMPUTED_VALUE"""),46104.0)</f>
        <v>46104</v>
      </c>
      <c r="B28" s="67">
        <f>IFERROR(__xludf.DUMMYFUNCTION("""COMPUTED_VALUE"""),137.0)</f>
        <v>137</v>
      </c>
      <c r="C28" s="69">
        <f>IFERROR(__xludf.DUMMYFUNCTION("""COMPUTED_VALUE"""),129.92)</f>
        <v>129.92</v>
      </c>
      <c r="D28" s="1" t="str">
        <f>IFERROR(__xludf.DUMMYFUNCTION("""COMPUTED_VALUE"""),"USD")</f>
        <v>USD</v>
      </c>
      <c r="E28" s="1" t="str">
        <f>IFERROR(__xludf.DUMMYFUNCTION("""COMPUTED_VALUE"""),"Efectivo USD")</f>
        <v>Efectivo USD</v>
      </c>
      <c r="F28" s="1" t="str">
        <f>IFERROR(__xludf.DUMMYFUNCTION("""COMPUTED_VALUE"""),"FREDI MARQUEZ")</f>
        <v>FREDI MARQUEZ</v>
      </c>
      <c r="G28" s="70">
        <f>IFERROR(__xludf.DUMMYFUNCTION("""COMPUTED_VALUE"""),457.0757)</f>
        <v>457.0757</v>
      </c>
      <c r="H28" s="1"/>
      <c r="I28" s="71">
        <f>IFERROR(__xludf.DUMMYFUNCTION("""COMPUTED_VALUE"""),129.92)</f>
        <v>129.92</v>
      </c>
      <c r="J28" s="69">
        <f>IFERROR(__xludf.DUMMYFUNCTION("""COMPUTED_VALUE"""),129.92)</f>
        <v>129.92</v>
      </c>
      <c r="K28" s="4">
        <f>IFERROR(__xludf.DUMMYFUNCTION("""COMPUTED_VALUE"""),129.92)</f>
        <v>129.92</v>
      </c>
      <c r="N28" s="67"/>
      <c r="R28" s="4"/>
    </row>
    <row r="29">
      <c r="A29" s="66">
        <f>IFERROR(__xludf.DUMMYFUNCTION("""COMPUTED_VALUE"""),46104.0)</f>
        <v>46104</v>
      </c>
      <c r="B29" s="67">
        <f>IFERROR(__xludf.DUMMYFUNCTION("""COMPUTED_VALUE"""),48.0)</f>
        <v>48</v>
      </c>
      <c r="C29" s="69">
        <f>IFERROR(__xludf.DUMMYFUNCTION("""COMPUTED_VALUE"""),32691.98)</f>
        <v>32691.98</v>
      </c>
      <c r="D29" s="1" t="str">
        <f>IFERROR(__xludf.DUMMYFUNCTION("""COMPUTED_VALUE"""),"VES")</f>
        <v>VES</v>
      </c>
      <c r="E29" s="1" t="str">
        <f>IFERROR(__xludf.DUMMYFUNCTION("""COMPUTED_VALUE"""),"Bancamiga")</f>
        <v>Bancamiga</v>
      </c>
      <c r="F29" s="1" t="str">
        <f>IFERROR(__xludf.DUMMYFUNCTION("""COMPUTED_VALUE"""),"Autoelectronica Oranel, C.A.")</f>
        <v>Autoelectronica Oranel, C.A.</v>
      </c>
      <c r="G29" s="70">
        <f>IFERROR(__xludf.DUMMYFUNCTION("""COMPUTED_VALUE"""),527.79)</f>
        <v>527.79</v>
      </c>
      <c r="H29" s="1"/>
      <c r="I29" s="71">
        <f>IFERROR(__xludf.DUMMYFUNCTION("""COMPUTED_VALUE"""),61.94126451808485)</f>
        <v>61.94126452</v>
      </c>
      <c r="J29" s="69">
        <f>IFERROR(__xludf.DUMMYFUNCTION("""COMPUTED_VALUE"""),0.0)</f>
        <v>0</v>
      </c>
      <c r="K29" s="4">
        <f>IFERROR(__xludf.DUMMYFUNCTION("""COMPUTED_VALUE"""),61.94126451808485)</f>
        <v>61.94126452</v>
      </c>
      <c r="N29" s="67"/>
      <c r="R29" s="4"/>
    </row>
    <row r="30">
      <c r="A30" s="66">
        <f>IFERROR(__xludf.DUMMYFUNCTION("""COMPUTED_VALUE"""),46104.0)</f>
        <v>46104</v>
      </c>
      <c r="B30" s="67">
        <f>IFERROR(__xludf.DUMMYFUNCTION("""COMPUTED_VALUE"""),140.0)</f>
        <v>140</v>
      </c>
      <c r="C30" s="69">
        <f>IFERROR(__xludf.DUMMYFUNCTION("""COMPUTED_VALUE"""),24522.12)</f>
        <v>24522.12</v>
      </c>
      <c r="D30" s="1" t="str">
        <f>IFERROR(__xludf.DUMMYFUNCTION("""COMPUTED_VALUE"""),"VES")</f>
        <v>VES</v>
      </c>
      <c r="E30" s="1" t="str">
        <f>IFERROR(__xludf.DUMMYFUNCTION("""COMPUTED_VALUE"""),"Bancamiga")</f>
        <v>Bancamiga</v>
      </c>
      <c r="F30" s="1" t="str">
        <f>IFERROR(__xludf.DUMMYFUNCTION("""COMPUTED_VALUE"""),"JOSE STURCHIO CAPPELLANIA")</f>
        <v>JOSE STURCHIO CAPPELLANIA</v>
      </c>
      <c r="G30" s="70">
        <f>IFERROR(__xludf.DUMMYFUNCTION("""COMPUTED_VALUE"""),457.0757)</f>
        <v>457.0757</v>
      </c>
      <c r="H30" s="1"/>
      <c r="I30" s="71">
        <f>IFERROR(__xludf.DUMMYFUNCTION("""COMPUTED_VALUE"""),53.65001902310711)</f>
        <v>53.65001902</v>
      </c>
      <c r="J30" s="69">
        <f>IFERROR(__xludf.DUMMYFUNCTION("""COMPUTED_VALUE"""),0.0)</f>
        <v>0</v>
      </c>
      <c r="K30" s="4">
        <f>IFERROR(__xludf.DUMMYFUNCTION("""COMPUTED_VALUE"""),53.65001902310711)</f>
        <v>53.65001902</v>
      </c>
      <c r="N30" s="67"/>
      <c r="R30" s="4"/>
    </row>
    <row r="31">
      <c r="A31" s="66">
        <f>IFERROR(__xludf.DUMMYFUNCTION("""COMPUTED_VALUE"""),46105.0)</f>
        <v>46105</v>
      </c>
      <c r="B31" s="67">
        <f>IFERROR(__xludf.DUMMYFUNCTION("""COMPUTED_VALUE"""),136.0)</f>
        <v>136</v>
      </c>
      <c r="C31" s="69">
        <f>IFERROR(__xludf.DUMMYFUNCTION("""COMPUTED_VALUE"""),42792.08)</f>
        <v>42792.08</v>
      </c>
      <c r="D31" s="1" t="str">
        <f>IFERROR(__xludf.DUMMYFUNCTION("""COMPUTED_VALUE"""),"VES")</f>
        <v>VES</v>
      </c>
      <c r="E31" s="1" t="str">
        <f>IFERROR(__xludf.DUMMYFUNCTION("""COMPUTED_VALUE"""),"Bancamiga")</f>
        <v>Bancamiga</v>
      </c>
      <c r="F31" s="1" t="str">
        <f>IFERROR(__xludf.DUMMYFUNCTION("""COMPUTED_VALUE"""),"ZIP MARKET, CA")</f>
        <v>ZIP MARKET, CA</v>
      </c>
      <c r="G31" s="70">
        <f>IFERROR(__xludf.DUMMYFUNCTION("""COMPUTED_VALUE"""),459.4525)</f>
        <v>459.4525</v>
      </c>
      <c r="H31" s="1"/>
      <c r="I31" s="71">
        <f>IFERROR(__xludf.DUMMYFUNCTION("""COMPUTED_VALUE"""),93.13711428276046)</f>
        <v>93.13711428</v>
      </c>
      <c r="J31" s="69">
        <f>IFERROR(__xludf.DUMMYFUNCTION("""COMPUTED_VALUE"""),0.0)</f>
        <v>0</v>
      </c>
      <c r="K31" s="4">
        <f>IFERROR(__xludf.DUMMYFUNCTION("""COMPUTED_VALUE"""),93.13711428276046)</f>
        <v>93.13711428</v>
      </c>
      <c r="N31" s="67"/>
      <c r="R31" s="4"/>
    </row>
    <row r="32">
      <c r="A32" s="66">
        <f>IFERROR(__xludf.DUMMYFUNCTION("""COMPUTED_VALUE"""),46105.0)</f>
        <v>46105</v>
      </c>
      <c r="B32" s="67">
        <f>IFERROR(__xludf.DUMMYFUNCTION("""COMPUTED_VALUE"""),56.0)</f>
        <v>56</v>
      </c>
      <c r="C32" s="69">
        <f>IFERROR(__xludf.DUMMYFUNCTION("""COMPUTED_VALUE"""),30.0)</f>
        <v>30</v>
      </c>
      <c r="D32" s="1" t="str">
        <f>IFERROR(__xludf.DUMMYFUNCTION("""COMPUTED_VALUE"""),"USD")</f>
        <v>USD</v>
      </c>
      <c r="E32" s="1" t="str">
        <f>IFERROR(__xludf.DUMMYFUNCTION("""COMPUTED_VALUE"""),"Efectivo USD")</f>
        <v>Efectivo USD</v>
      </c>
      <c r="F32" s="1" t="str">
        <f>IFERROR(__xludf.DUMMYFUNCTION("""COMPUTED_VALUE"""),"Motolavado Yahir")</f>
        <v>Motolavado Yahir</v>
      </c>
      <c r="G32" s="70">
        <f>IFERROR(__xludf.DUMMYFUNCTION("""COMPUTED_VALUE"""),533.4565)</f>
        <v>533.4565</v>
      </c>
      <c r="H32" s="1"/>
      <c r="I32" s="71">
        <f>IFERROR(__xludf.DUMMYFUNCTION("""COMPUTED_VALUE"""),30.0)</f>
        <v>30</v>
      </c>
      <c r="J32" s="69">
        <f>IFERROR(__xludf.DUMMYFUNCTION("""COMPUTED_VALUE"""),30.0)</f>
        <v>30</v>
      </c>
      <c r="K32" s="4">
        <f>IFERROR(__xludf.DUMMYFUNCTION("""COMPUTED_VALUE"""),30.0)</f>
        <v>30</v>
      </c>
      <c r="N32" s="67"/>
      <c r="R32" s="4"/>
    </row>
    <row r="33">
      <c r="A33" s="66">
        <f>IFERROR(__xludf.DUMMYFUNCTION("""COMPUTED_VALUE"""),46106.0)</f>
        <v>46106</v>
      </c>
      <c r="B33" s="67">
        <f>IFERROR(__xludf.DUMMYFUNCTION("""COMPUTED_VALUE"""),119.0)</f>
        <v>119</v>
      </c>
      <c r="C33" s="69">
        <f>IFERROR(__xludf.DUMMYFUNCTION("""COMPUTED_VALUE"""),197.0)</f>
        <v>197</v>
      </c>
      <c r="D33" s="1" t="str">
        <f>IFERROR(__xludf.DUMMYFUNCTION("""COMPUTED_VALUE"""),"USD")</f>
        <v>USD</v>
      </c>
      <c r="E33" s="1" t="str">
        <f>IFERROR(__xludf.DUMMYFUNCTION("""COMPUTED_VALUE"""),"Efectivo USD")</f>
        <v>Efectivo USD</v>
      </c>
      <c r="F33" s="1" t="str">
        <f>IFERROR(__xludf.DUMMYFUNCTION("""COMPUTED_VALUE"""),"EMPRENDIMIENTO IRMA RODRIGUEZ 6")</f>
        <v>EMPRENDIMIENTO IRMA RODRIGUEZ 6</v>
      </c>
      <c r="G33" s="70">
        <f>IFERROR(__xludf.DUMMYFUNCTION("""COMPUTED_VALUE"""),455.254)</f>
        <v>455.254</v>
      </c>
      <c r="H33" s="1"/>
      <c r="I33" s="71">
        <f>IFERROR(__xludf.DUMMYFUNCTION("""COMPUTED_VALUE"""),197.0)</f>
        <v>197</v>
      </c>
      <c r="J33" s="69">
        <f>IFERROR(__xludf.DUMMYFUNCTION("""COMPUTED_VALUE"""),197.0)</f>
        <v>197</v>
      </c>
      <c r="K33" s="4">
        <f>IFERROR(__xludf.DUMMYFUNCTION("""COMPUTED_VALUE"""),197.0)</f>
        <v>197</v>
      </c>
      <c r="N33" s="67"/>
      <c r="R33" s="4"/>
    </row>
    <row r="34">
      <c r="A34" s="66">
        <f>IFERROR(__xludf.DUMMYFUNCTION("""COMPUTED_VALUE"""),46106.0)</f>
        <v>46106</v>
      </c>
      <c r="B34" s="67">
        <f>IFERROR(__xludf.DUMMYFUNCTION("""COMPUTED_VALUE"""),108.0)</f>
        <v>108</v>
      </c>
      <c r="C34" s="69">
        <f>IFERROR(__xludf.DUMMYFUNCTION("""COMPUTED_VALUE"""),110.03)</f>
        <v>110.03</v>
      </c>
      <c r="D34" s="1" t="str">
        <f>IFERROR(__xludf.DUMMYFUNCTION("""COMPUTED_VALUE"""),"USD")</f>
        <v>USD</v>
      </c>
      <c r="E34" s="1" t="str">
        <f>IFERROR(__xludf.DUMMYFUNCTION("""COMPUTED_VALUE"""),"Efectivo USD")</f>
        <v>Efectivo USD</v>
      </c>
      <c r="F34" s="1" t="str">
        <f>IFERROR(__xludf.DUMMYFUNCTION("""COMPUTED_VALUE"""),"HIDRAULICAS CAICEDO C.A.")</f>
        <v>HIDRAULICAS CAICEDO C.A.</v>
      </c>
      <c r="G34" s="70">
        <f>IFERROR(__xludf.DUMMYFUNCTION("""COMPUTED_VALUE"""),459.4525)</f>
        <v>459.4525</v>
      </c>
      <c r="H34" s="1"/>
      <c r="I34" s="71">
        <f>IFERROR(__xludf.DUMMYFUNCTION("""COMPUTED_VALUE"""),110.03)</f>
        <v>110.03</v>
      </c>
      <c r="J34" s="69">
        <f>IFERROR(__xludf.DUMMYFUNCTION("""COMPUTED_VALUE"""),110.03)</f>
        <v>110.03</v>
      </c>
      <c r="K34" s="4">
        <f>IFERROR(__xludf.DUMMYFUNCTION("""COMPUTED_VALUE"""),110.03)</f>
        <v>110.03</v>
      </c>
      <c r="N34" s="67"/>
      <c r="R34" s="4"/>
    </row>
    <row r="35">
      <c r="A35" s="66">
        <f>IFERROR(__xludf.DUMMYFUNCTION("""COMPUTED_VALUE"""),46106.0)</f>
        <v>46106</v>
      </c>
      <c r="B35" s="67">
        <f>IFERROR(__xludf.DUMMYFUNCTION("""COMPUTED_VALUE"""),116.0)</f>
        <v>116</v>
      </c>
      <c r="C35" s="69">
        <f>IFERROR(__xludf.DUMMYFUNCTION("""COMPUTED_VALUE"""),99.01)</f>
        <v>99.01</v>
      </c>
      <c r="D35" s="1" t="str">
        <f>IFERROR(__xludf.DUMMYFUNCTION("""COMPUTED_VALUE"""),"USD")</f>
        <v>USD</v>
      </c>
      <c r="E35" s="1" t="str">
        <f>IFERROR(__xludf.DUMMYFUNCTION("""COMPUTED_VALUE"""),"Efectivo USD")</f>
        <v>Efectivo USD</v>
      </c>
      <c r="F35" s="1" t="str">
        <f>IFERROR(__xludf.DUMMYFUNCTION("""COMPUTED_VALUE"""),"AGROPECUARIA EL TORO DORADO, C.A")</f>
        <v>AGROPECUARIA EL TORO DORADO, C.A</v>
      </c>
      <c r="G35" s="70">
        <f>IFERROR(__xludf.DUMMYFUNCTION("""COMPUTED_VALUE"""),462.6687)</f>
        <v>462.6687</v>
      </c>
      <c r="H35" s="1"/>
      <c r="I35" s="71">
        <f>IFERROR(__xludf.DUMMYFUNCTION("""COMPUTED_VALUE"""),99.01)</f>
        <v>99.01</v>
      </c>
      <c r="J35" s="69">
        <f>IFERROR(__xludf.DUMMYFUNCTION("""COMPUTED_VALUE"""),99.01)</f>
        <v>99.01</v>
      </c>
      <c r="K35" s="4">
        <f>IFERROR(__xludf.DUMMYFUNCTION("""COMPUTED_VALUE"""),99.01)</f>
        <v>99.01</v>
      </c>
      <c r="N35" s="67"/>
      <c r="R35" s="4"/>
    </row>
    <row r="36">
      <c r="A36" s="66">
        <f>IFERROR(__xludf.DUMMYFUNCTION("""COMPUTED_VALUE"""),46106.0)</f>
        <v>46106</v>
      </c>
      <c r="B36" s="67">
        <f>IFERROR(__xludf.DUMMYFUNCTION("""COMPUTED_VALUE"""),148.0)</f>
        <v>148</v>
      </c>
      <c r="C36" s="69">
        <f>IFERROR(__xludf.DUMMYFUNCTION("""COMPUTED_VALUE"""),36.08)</f>
        <v>36.08</v>
      </c>
      <c r="D36" s="1" t="str">
        <f>IFERROR(__xludf.DUMMYFUNCTION("""COMPUTED_VALUE"""),"USD")</f>
        <v>USD</v>
      </c>
      <c r="E36" s="1" t="str">
        <f>IFERROR(__xludf.DUMMYFUNCTION("""COMPUTED_VALUE"""),"Efectivo USD")</f>
        <v>Efectivo USD</v>
      </c>
      <c r="F36" s="1" t="str">
        <f>IFERROR(__xludf.DUMMYFUNCTION("""COMPUTED_VALUE"""),"AGROPECUARIA EL TORO DORADO, C.A")</f>
        <v>AGROPECUARIA EL TORO DORADO, C.A</v>
      </c>
      <c r="G36" s="70">
        <f>IFERROR(__xludf.DUMMYFUNCTION("""COMPUTED_VALUE"""),462.6687)</f>
        <v>462.6687</v>
      </c>
      <c r="H36" s="1"/>
      <c r="I36" s="71">
        <f>IFERROR(__xludf.DUMMYFUNCTION("""COMPUTED_VALUE"""),36.08)</f>
        <v>36.08</v>
      </c>
      <c r="J36" s="69">
        <f>IFERROR(__xludf.DUMMYFUNCTION("""COMPUTED_VALUE"""),36.08)</f>
        <v>36.08</v>
      </c>
      <c r="K36" s="4">
        <f>IFERROR(__xludf.DUMMYFUNCTION("""COMPUTED_VALUE"""),36.08)</f>
        <v>36.08</v>
      </c>
      <c r="N36" s="67"/>
      <c r="R36" s="4"/>
    </row>
    <row r="37">
      <c r="A37" s="66">
        <f>IFERROR(__xludf.DUMMYFUNCTION("""COMPUTED_VALUE"""),46106.0)</f>
        <v>46106</v>
      </c>
      <c r="B37" s="67">
        <f>IFERROR(__xludf.DUMMYFUNCTION("""COMPUTED_VALUE"""),139.0)</f>
        <v>139</v>
      </c>
      <c r="C37" s="69">
        <f>IFERROR(__xludf.DUMMYFUNCTION("""COMPUTED_VALUE"""),972.03)</f>
        <v>972.03</v>
      </c>
      <c r="D37" s="1" t="str">
        <f>IFERROR(__xludf.DUMMYFUNCTION("""COMPUTED_VALUE"""),"USD")</f>
        <v>USD</v>
      </c>
      <c r="E37" s="1" t="str">
        <f>IFERROR(__xludf.DUMMYFUNCTION("""COMPUTED_VALUE"""),"Efectivo USD")</f>
        <v>Efectivo USD</v>
      </c>
      <c r="F37" s="1" t="str">
        <f>IFERROR(__xludf.DUMMYFUNCTION("""COMPUTED_VALUE"""),"AGROPECUARIA EL TORO DORADO, C.A")</f>
        <v>AGROPECUARIA EL TORO DORADO, C.A</v>
      </c>
      <c r="G37" s="70">
        <f>IFERROR(__xludf.DUMMYFUNCTION("""COMPUTED_VALUE"""),462.6687)</f>
        <v>462.6687</v>
      </c>
      <c r="H37" s="1"/>
      <c r="I37" s="71">
        <f>IFERROR(__xludf.DUMMYFUNCTION("""COMPUTED_VALUE"""),972.03)</f>
        <v>972.03</v>
      </c>
      <c r="J37" s="69">
        <f>IFERROR(__xludf.DUMMYFUNCTION("""COMPUTED_VALUE"""),972.03)</f>
        <v>972.03</v>
      </c>
      <c r="K37" s="4">
        <f>IFERROR(__xludf.DUMMYFUNCTION("""COMPUTED_VALUE"""),972.03)</f>
        <v>972.03</v>
      </c>
      <c r="N37" s="67"/>
      <c r="R37" s="4"/>
    </row>
    <row r="38">
      <c r="A38" s="66">
        <f>IFERROR(__xludf.DUMMYFUNCTION("""COMPUTED_VALUE"""),46107.0)</f>
        <v>46107</v>
      </c>
      <c r="B38" s="67">
        <f>IFERROR(__xludf.DUMMYFUNCTION("""COMPUTED_VALUE"""),157.0)</f>
        <v>157</v>
      </c>
      <c r="C38" s="69">
        <f>IFERROR(__xludf.DUMMYFUNCTION("""COMPUTED_VALUE"""),124.0)</f>
        <v>124</v>
      </c>
      <c r="D38" s="1" t="str">
        <f>IFERROR(__xludf.DUMMYFUNCTION("""COMPUTED_VALUE"""),"USD")</f>
        <v>USD</v>
      </c>
      <c r="E38" s="1" t="str">
        <f>IFERROR(__xludf.DUMMYFUNCTION("""COMPUTED_VALUE"""),"Efectivo USD")</f>
        <v>Efectivo USD</v>
      </c>
      <c r="F38" s="1" t="str">
        <f>IFERROR(__xludf.DUMMYFUNCTION("""COMPUTED_VALUE"""),"Turismo Apureño Turapca, C.A")</f>
        <v>Turismo Apureño Turapca, C.A</v>
      </c>
      <c r="G38" s="70">
        <f>IFERROR(__xludf.DUMMYFUNCTION("""COMPUTED_VALUE"""),540.1704)</f>
        <v>540.1704</v>
      </c>
      <c r="H38" s="1"/>
      <c r="I38" s="71">
        <f>IFERROR(__xludf.DUMMYFUNCTION("""COMPUTED_VALUE"""),124.0)</f>
        <v>124</v>
      </c>
      <c r="J38" s="69">
        <f>IFERROR(__xludf.DUMMYFUNCTION("""COMPUTED_VALUE"""),124.0)</f>
        <v>124</v>
      </c>
      <c r="K38" s="4">
        <f>IFERROR(__xludf.DUMMYFUNCTION("""COMPUTED_VALUE"""),124.0)</f>
        <v>124</v>
      </c>
      <c r="N38" s="67"/>
      <c r="R38" s="4"/>
    </row>
    <row r="39">
      <c r="A39" s="66">
        <f>IFERROR(__xludf.DUMMYFUNCTION("""COMPUTED_VALUE"""),46107.0)</f>
        <v>46107</v>
      </c>
      <c r="B39" s="67">
        <f>IFERROR(__xludf.DUMMYFUNCTION("""COMPUTED_VALUE"""),81.0)</f>
        <v>81</v>
      </c>
      <c r="C39" s="69">
        <f>IFERROR(__xludf.DUMMYFUNCTION("""COMPUTED_VALUE"""),72.0)</f>
        <v>72</v>
      </c>
      <c r="D39" s="1" t="str">
        <f>IFERROR(__xludf.DUMMYFUNCTION("""COMPUTED_VALUE"""),"USD")</f>
        <v>USD</v>
      </c>
      <c r="E39" s="1" t="str">
        <f>IFERROR(__xludf.DUMMYFUNCTION("""COMPUTED_VALUE"""),"Efectivo USD")</f>
        <v>Efectivo USD</v>
      </c>
      <c r="F39" s="1" t="str">
        <f>IFERROR(__xludf.DUMMYFUNCTION("""COMPUTED_VALUE"""),"Coffee Party, C.A.")</f>
        <v>Coffee Party, C.A.</v>
      </c>
      <c r="G39" s="70">
        <f>IFERROR(__xludf.DUMMYFUNCTION("""COMPUTED_VALUE"""),540.1704)</f>
        <v>540.1704</v>
      </c>
      <c r="H39" s="1"/>
      <c r="I39" s="71">
        <f>IFERROR(__xludf.DUMMYFUNCTION("""COMPUTED_VALUE"""),72.0)</f>
        <v>72</v>
      </c>
      <c r="J39" s="69">
        <f>IFERROR(__xludf.DUMMYFUNCTION("""COMPUTED_VALUE"""),72.0)</f>
        <v>72</v>
      </c>
      <c r="K39" s="4">
        <f>IFERROR(__xludf.DUMMYFUNCTION("""COMPUTED_VALUE"""),72.0)</f>
        <v>72</v>
      </c>
      <c r="N39" s="67"/>
      <c r="R39" s="4"/>
    </row>
    <row r="40">
      <c r="A40" s="66">
        <f>IFERROR(__xludf.DUMMYFUNCTION("""COMPUTED_VALUE"""),46107.0)</f>
        <v>46107</v>
      </c>
      <c r="B40" s="67">
        <f>IFERROR(__xludf.DUMMYFUNCTION("""COMPUTED_VALUE"""),86.0)</f>
        <v>86</v>
      </c>
      <c r="C40" s="69">
        <f>IFERROR(__xludf.DUMMYFUNCTION("""COMPUTED_VALUE"""),28000.0)</f>
        <v>28000</v>
      </c>
      <c r="D40" s="1" t="str">
        <f>IFERROR(__xludf.DUMMYFUNCTION("""COMPUTED_VALUE"""),"VES")</f>
        <v>VES</v>
      </c>
      <c r="E40" s="1" t="str">
        <f>IFERROR(__xludf.DUMMYFUNCTION("""COMPUTED_VALUE"""),"Bancamiga")</f>
        <v>Bancamiga</v>
      </c>
      <c r="F40" s="1" t="str">
        <f>IFERROR(__xludf.DUMMYFUNCTION("""COMPUTED_VALUE"""),"Williams Bastidas")</f>
        <v>Williams Bastidas</v>
      </c>
      <c r="G40" s="70">
        <f>IFERROR(__xludf.DUMMYFUNCTION("""COMPUTED_VALUE"""),540.1704)</f>
        <v>540.1704</v>
      </c>
      <c r="H40" s="1"/>
      <c r="I40" s="71">
        <f>IFERROR(__xludf.DUMMYFUNCTION("""COMPUTED_VALUE"""),51.83549487346956)</f>
        <v>51.83549487</v>
      </c>
      <c r="J40" s="69">
        <f>IFERROR(__xludf.DUMMYFUNCTION("""COMPUTED_VALUE"""),0.0)</f>
        <v>0</v>
      </c>
      <c r="K40" s="4">
        <f>IFERROR(__xludf.DUMMYFUNCTION("""COMPUTED_VALUE"""),51.83549487346956)</f>
        <v>51.83549487</v>
      </c>
      <c r="N40" s="67"/>
      <c r="R40" s="4"/>
    </row>
    <row r="41">
      <c r="A41" s="66">
        <f>IFERROR(__xludf.DUMMYFUNCTION("""COMPUTED_VALUE"""),46107.0)</f>
        <v>46107</v>
      </c>
      <c r="B41" s="67">
        <f>IFERROR(__xludf.DUMMYFUNCTION("""COMPUTED_VALUE"""),37.0)</f>
        <v>37</v>
      </c>
      <c r="C41" s="69">
        <f>IFERROR(__xludf.DUMMYFUNCTION("""COMPUTED_VALUE"""),20.0)</f>
        <v>20</v>
      </c>
      <c r="D41" s="1" t="str">
        <f>IFERROR(__xludf.DUMMYFUNCTION("""COMPUTED_VALUE"""),"USD")</f>
        <v>USD</v>
      </c>
      <c r="E41" s="1" t="str">
        <f>IFERROR(__xludf.DUMMYFUNCTION("""COMPUTED_VALUE"""),"Efectivo USD")</f>
        <v>Efectivo USD</v>
      </c>
      <c r="F41" s="1" t="str">
        <f>IFERROR(__xludf.DUMMYFUNCTION("""COMPUTED_VALUE"""),"Junior Marco Antonio Vivas Navas")</f>
        <v>Junior Marco Antonio Vivas Navas</v>
      </c>
      <c r="G41" s="70">
        <f>IFERROR(__xludf.DUMMYFUNCTION("""COMPUTED_VALUE"""),540.1704)</f>
        <v>540.1704</v>
      </c>
      <c r="H41" s="1"/>
      <c r="I41" s="71">
        <f>IFERROR(__xludf.DUMMYFUNCTION("""COMPUTED_VALUE"""),20.0)</f>
        <v>20</v>
      </c>
      <c r="J41" s="69">
        <f>IFERROR(__xludf.DUMMYFUNCTION("""COMPUTED_VALUE"""),20.0)</f>
        <v>20</v>
      </c>
      <c r="K41" s="4">
        <f>IFERROR(__xludf.DUMMYFUNCTION("""COMPUTED_VALUE"""),20.0)</f>
        <v>20</v>
      </c>
      <c r="N41" s="67"/>
      <c r="R41" s="4"/>
    </row>
    <row r="42">
      <c r="A42" s="66">
        <f>IFERROR(__xludf.DUMMYFUNCTION("""COMPUTED_VALUE"""),46108.0)</f>
        <v>46108</v>
      </c>
      <c r="B42" s="67">
        <f>IFERROR(__xludf.DUMMYFUNCTION("""COMPUTED_VALUE"""),121.0)</f>
        <v>121</v>
      </c>
      <c r="C42" s="69">
        <f>IFERROR(__xludf.DUMMYFUNCTION("""COMPUTED_VALUE"""),46851.45)</f>
        <v>46851.45</v>
      </c>
      <c r="D42" s="1" t="str">
        <f>IFERROR(__xludf.DUMMYFUNCTION("""COMPUTED_VALUE"""),"VES")</f>
        <v>VES</v>
      </c>
      <c r="E42" s="1" t="str">
        <f>IFERROR(__xludf.DUMMYFUNCTION("""COMPUTED_VALUE"""),"Bancamiga")</f>
        <v>Bancamiga</v>
      </c>
      <c r="F42" s="1" t="str">
        <f>IFERROR(__xludf.DUMMYFUNCTION("""COMPUTED_VALUE"""),"Jose Lopez Espinoza")</f>
        <v>Jose Lopez Espinoza</v>
      </c>
      <c r="G42" s="70">
        <f>IFERROR(__xludf.DUMMYFUNCTION("""COMPUTED_VALUE"""),468.5145)</f>
        <v>468.5145</v>
      </c>
      <c r="H42" s="1"/>
      <c r="I42" s="71">
        <f>IFERROR(__xludf.DUMMYFUNCTION("""COMPUTED_VALUE"""),100.0)</f>
        <v>100</v>
      </c>
      <c r="J42" s="69">
        <f>IFERROR(__xludf.DUMMYFUNCTION("""COMPUTED_VALUE"""),0.0)</f>
        <v>0</v>
      </c>
      <c r="K42" s="4">
        <f>IFERROR(__xludf.DUMMYFUNCTION("""COMPUTED_VALUE"""),100.0)</f>
        <v>100</v>
      </c>
      <c r="N42" s="67"/>
      <c r="R42" s="4"/>
    </row>
    <row r="43">
      <c r="A43" s="66">
        <f>IFERROR(__xludf.DUMMYFUNCTION("""COMPUTED_VALUE"""),46108.0)</f>
        <v>46108</v>
      </c>
      <c r="B43" s="67">
        <f>IFERROR(__xludf.DUMMYFUNCTION("""COMPUTED_VALUE"""),51.0)</f>
        <v>51</v>
      </c>
      <c r="C43" s="69">
        <f>IFERROR(__xludf.DUMMYFUNCTION("""COMPUTED_VALUE"""),119.48)</f>
        <v>119.48</v>
      </c>
      <c r="D43" s="1" t="str">
        <f>IFERROR(__xludf.DUMMYFUNCTION("""COMPUTED_VALUE"""),"USD")</f>
        <v>USD</v>
      </c>
      <c r="E43" s="1" t="str">
        <f>IFERROR(__xludf.DUMMYFUNCTION("""COMPUTED_VALUE"""),"Efectivo USD")</f>
        <v>Efectivo USD</v>
      </c>
      <c r="F43" s="1" t="str">
        <f>IFERROR(__xludf.DUMMYFUNCTION("""COMPUTED_VALUE"""),"Auto Repuestos Acal C.A")</f>
        <v>Auto Repuestos Acal C.A</v>
      </c>
      <c r="G43" s="70">
        <f>IFERROR(__xludf.DUMMYFUNCTION("""COMPUTED_VALUE"""),541.1904)</f>
        <v>541.1904</v>
      </c>
      <c r="H43" s="1"/>
      <c r="I43" s="71">
        <f>IFERROR(__xludf.DUMMYFUNCTION("""COMPUTED_VALUE"""),119.48)</f>
        <v>119.48</v>
      </c>
      <c r="J43" s="69">
        <f>IFERROR(__xludf.DUMMYFUNCTION("""COMPUTED_VALUE"""),119.48)</f>
        <v>119.48</v>
      </c>
      <c r="K43" s="4">
        <f>IFERROR(__xludf.DUMMYFUNCTION("""COMPUTED_VALUE"""),119.48)</f>
        <v>119.48</v>
      </c>
      <c r="N43" s="67"/>
      <c r="R43" s="4"/>
    </row>
    <row r="44">
      <c r="A44" s="66">
        <f>IFERROR(__xludf.DUMMYFUNCTION("""COMPUTED_VALUE"""),46108.0)</f>
        <v>46108</v>
      </c>
      <c r="B44" s="67">
        <f>IFERROR(__xludf.DUMMYFUNCTION("""COMPUTED_VALUE"""),27.0)</f>
        <v>27</v>
      </c>
      <c r="C44" s="69">
        <f>IFERROR(__xludf.DUMMYFUNCTION("""COMPUTED_VALUE"""),20.0)</f>
        <v>20</v>
      </c>
      <c r="D44" s="1" t="str">
        <f>IFERROR(__xludf.DUMMYFUNCTION("""COMPUTED_VALUE"""),"USD")</f>
        <v>USD</v>
      </c>
      <c r="E44" s="1" t="str">
        <f>IFERROR(__xludf.DUMMYFUNCTION("""COMPUTED_VALUE"""),"Efectivo USD")</f>
        <v>Efectivo USD</v>
      </c>
      <c r="F44" s="1" t="str">
        <f>IFERROR(__xludf.DUMMYFUNCTION("""COMPUTED_VALUE"""),"Moises Alejandro Mares")</f>
        <v>Moises Alejandro Mares</v>
      </c>
      <c r="G44" s="70">
        <f>IFERROR(__xludf.DUMMYFUNCTION("""COMPUTED_VALUE"""),541.1904)</f>
        <v>541.1904</v>
      </c>
      <c r="H44" s="1"/>
      <c r="I44" s="71">
        <f>IFERROR(__xludf.DUMMYFUNCTION("""COMPUTED_VALUE"""),20.0)</f>
        <v>20</v>
      </c>
      <c r="J44" s="69">
        <f>IFERROR(__xludf.DUMMYFUNCTION("""COMPUTED_VALUE"""),20.0)</f>
        <v>20</v>
      </c>
      <c r="K44" s="4">
        <f>IFERROR(__xludf.DUMMYFUNCTION("""COMPUTED_VALUE"""),20.0)</f>
        <v>20</v>
      </c>
      <c r="N44" s="67"/>
      <c r="R44" s="4"/>
    </row>
    <row r="45">
      <c r="A45" s="66">
        <f>IFERROR(__xludf.DUMMYFUNCTION("""COMPUTED_VALUE"""),46108.0)</f>
        <v>46108</v>
      </c>
      <c r="B45" s="67">
        <f>IFERROR(__xludf.DUMMYFUNCTION("""COMPUTED_VALUE"""),18.0)</f>
        <v>18</v>
      </c>
      <c r="C45" s="69">
        <f>IFERROR(__xludf.DUMMYFUNCTION("""COMPUTED_VALUE"""),50.0)</f>
        <v>50</v>
      </c>
      <c r="D45" s="1" t="str">
        <f>IFERROR(__xludf.DUMMYFUNCTION("""COMPUTED_VALUE"""),"USD")</f>
        <v>USD</v>
      </c>
      <c r="E45" s="1" t="str">
        <f>IFERROR(__xludf.DUMMYFUNCTION("""COMPUTED_VALUE"""),"Efectivo USD")</f>
        <v>Efectivo USD</v>
      </c>
      <c r="F45" s="1" t="str">
        <f>IFERROR(__xludf.DUMMYFUNCTION("""COMPUTED_VALUE"""),"AUTO ACCESORIOS VZLA, C.A.")</f>
        <v>AUTO ACCESORIOS VZLA, C.A.</v>
      </c>
      <c r="G45" s="70">
        <f>IFERROR(__xludf.DUMMYFUNCTION("""COMPUTED_VALUE"""),541.1904)</f>
        <v>541.1904</v>
      </c>
      <c r="H45" s="1"/>
      <c r="I45" s="71">
        <f>IFERROR(__xludf.DUMMYFUNCTION("""COMPUTED_VALUE"""),50.0)</f>
        <v>50</v>
      </c>
      <c r="J45" s="69">
        <f>IFERROR(__xludf.DUMMYFUNCTION("""COMPUTED_VALUE"""),50.0)</f>
        <v>50</v>
      </c>
      <c r="K45" s="4">
        <f>IFERROR(__xludf.DUMMYFUNCTION("""COMPUTED_VALUE"""),50.0)</f>
        <v>50</v>
      </c>
      <c r="N45" s="67"/>
      <c r="R45" s="4"/>
    </row>
    <row r="46">
      <c r="A46" s="66">
        <f>IFERROR(__xludf.DUMMYFUNCTION("""COMPUTED_VALUE"""),46108.0)</f>
        <v>46108</v>
      </c>
      <c r="B46" s="67">
        <f>IFERROR(__xludf.DUMMYFUNCTION("""COMPUTED_VALUE"""),100.0)</f>
        <v>100</v>
      </c>
      <c r="C46" s="69">
        <f>IFERROR(__xludf.DUMMYFUNCTION("""COMPUTED_VALUE"""),46800.0)</f>
        <v>46800</v>
      </c>
      <c r="D46" s="1" t="str">
        <f>IFERROR(__xludf.DUMMYFUNCTION("""COMPUTED_VALUE"""),"VES")</f>
        <v>VES</v>
      </c>
      <c r="E46" s="1" t="str">
        <f>IFERROR(__xludf.DUMMYFUNCTION("""COMPUTED_VALUE"""),"Bancamiga")</f>
        <v>Bancamiga</v>
      </c>
      <c r="F46" s="1" t="str">
        <f>IFERROR(__xludf.DUMMYFUNCTION("""COMPUTED_VALUE"""),"Diana Carolina Torres")</f>
        <v>Diana Carolina Torres</v>
      </c>
      <c r="G46" s="70">
        <f>IFERROR(__xludf.DUMMYFUNCTION("""COMPUTED_VALUE"""),468.5145)</f>
        <v>468.5145</v>
      </c>
      <c r="H46" s="1"/>
      <c r="I46" s="71">
        <f>IFERROR(__xludf.DUMMYFUNCTION("""COMPUTED_VALUE"""),99.89018482885803)</f>
        <v>99.89018483</v>
      </c>
      <c r="J46" s="69">
        <f>IFERROR(__xludf.DUMMYFUNCTION("""COMPUTED_VALUE"""),0.0)</f>
        <v>0</v>
      </c>
      <c r="K46" s="4">
        <f>IFERROR(__xludf.DUMMYFUNCTION("""COMPUTED_VALUE"""),99.89018482885803)</f>
        <v>99.89018483</v>
      </c>
      <c r="N46" s="67"/>
      <c r="R46" s="4"/>
    </row>
    <row r="47">
      <c r="A47" s="66">
        <f>IFERROR(__xludf.DUMMYFUNCTION("""COMPUTED_VALUE"""),46108.0)</f>
        <v>46108</v>
      </c>
      <c r="B47" s="67">
        <f>IFERROR(__xludf.DUMMYFUNCTION("""COMPUTED_VALUE"""),57.0)</f>
        <v>57</v>
      </c>
      <c r="C47" s="69">
        <f>IFERROR(__xludf.DUMMYFUNCTION("""COMPUTED_VALUE"""),45616.9)</f>
        <v>45616.9</v>
      </c>
      <c r="D47" s="1" t="str">
        <f>IFERROR(__xludf.DUMMYFUNCTION("""COMPUTED_VALUE"""),"VES")</f>
        <v>VES</v>
      </c>
      <c r="E47" s="1" t="str">
        <f>IFERROR(__xludf.DUMMYFUNCTION("""COMPUTED_VALUE"""),"Bancamiga")</f>
        <v>Bancamiga</v>
      </c>
      <c r="F47" s="1" t="str">
        <f>IFERROR(__xludf.DUMMYFUNCTION("""COMPUTED_VALUE"""),"Comercial Rio Paraguas C.A")</f>
        <v>Comercial Rio Paraguas C.A</v>
      </c>
      <c r="G47" s="70">
        <f>IFERROR(__xludf.DUMMYFUNCTION("""COMPUTED_VALUE"""),541.1904)</f>
        <v>541.1904</v>
      </c>
      <c r="H47" s="1"/>
      <c r="I47" s="71">
        <f>IFERROR(__xludf.DUMMYFUNCTION("""COMPUTED_VALUE"""),84.28992827662871)</f>
        <v>84.28992828</v>
      </c>
      <c r="J47" s="69">
        <f>IFERROR(__xludf.DUMMYFUNCTION("""COMPUTED_VALUE"""),0.0)</f>
        <v>0</v>
      </c>
      <c r="K47" s="4">
        <f>IFERROR(__xludf.DUMMYFUNCTION("""COMPUTED_VALUE"""),84.28992827662871)</f>
        <v>84.28992828</v>
      </c>
      <c r="N47" s="67"/>
      <c r="R47" s="4"/>
    </row>
    <row r="48">
      <c r="A48" s="66">
        <f>IFERROR(__xludf.DUMMYFUNCTION("""COMPUTED_VALUE"""),46111.0)</f>
        <v>46111</v>
      </c>
      <c r="B48" s="67">
        <f>IFERROR(__xludf.DUMMYFUNCTION("""COMPUTED_VALUE"""),171.0)</f>
        <v>171</v>
      </c>
      <c r="C48" s="69">
        <f>IFERROR(__xludf.DUMMYFUNCTION("""COMPUTED_VALUE"""),260.0)</f>
        <v>260</v>
      </c>
      <c r="D48" s="1" t="str">
        <f>IFERROR(__xludf.DUMMYFUNCTION("""COMPUTED_VALUE"""),"USD")</f>
        <v>USD</v>
      </c>
      <c r="E48" s="1" t="str">
        <f>IFERROR(__xludf.DUMMYFUNCTION("""COMPUTED_VALUE"""),"Efectivo USD")</f>
        <v>Efectivo USD</v>
      </c>
      <c r="F48" s="1" t="str">
        <f>IFERROR(__xludf.DUMMYFUNCTION("""COMPUTED_VALUE"""),"FREDI MARQUEZ")</f>
        <v>FREDI MARQUEZ</v>
      </c>
      <c r="G48" s="70">
        <f>IFERROR(__xludf.DUMMYFUNCTION("""COMPUTED_VALUE"""),471.7004)</f>
        <v>471.7004</v>
      </c>
      <c r="H48" s="1"/>
      <c r="I48" s="71">
        <f>IFERROR(__xludf.DUMMYFUNCTION("""COMPUTED_VALUE"""),260.0)</f>
        <v>260</v>
      </c>
      <c r="J48" s="69">
        <f>IFERROR(__xludf.DUMMYFUNCTION("""COMPUTED_VALUE"""),260.0)</f>
        <v>260</v>
      </c>
      <c r="K48" s="4">
        <f>IFERROR(__xludf.DUMMYFUNCTION("""COMPUTED_VALUE"""),260.0)</f>
        <v>260</v>
      </c>
      <c r="N48" s="67"/>
      <c r="R48" s="4"/>
    </row>
    <row r="49">
      <c r="A49" s="66">
        <f>IFERROR(__xludf.DUMMYFUNCTION("""COMPUTED_VALUE"""),46111.0)</f>
        <v>46111</v>
      </c>
      <c r="B49" s="67">
        <f>IFERROR(__xludf.DUMMYFUNCTION("""COMPUTED_VALUE"""),22.0)</f>
        <v>22</v>
      </c>
      <c r="C49" s="69">
        <f>IFERROR(__xludf.DUMMYFUNCTION("""COMPUTED_VALUE"""),96.0)</f>
        <v>96</v>
      </c>
      <c r="D49" s="1" t="str">
        <f>IFERROR(__xludf.DUMMYFUNCTION("""COMPUTED_VALUE"""),"USD")</f>
        <v>USD</v>
      </c>
      <c r="E49" s="1" t="str">
        <f>IFERROR(__xludf.DUMMYFUNCTION("""COMPUTED_VALUE"""),"Efectivo USD")</f>
        <v>Efectivo USD</v>
      </c>
      <c r="F49" s="1" t="str">
        <f>IFERROR(__xludf.DUMMYFUNCTION("""COMPUTED_VALUE"""),"Autorepuestos las 24 horas")</f>
        <v>Autorepuestos las 24 horas</v>
      </c>
      <c r="G49" s="70">
        <f>IFERROR(__xludf.DUMMYFUNCTION("""COMPUTED_VALUE"""),543.9413)</f>
        <v>543.9413</v>
      </c>
      <c r="H49" s="1"/>
      <c r="I49" s="71">
        <f>IFERROR(__xludf.DUMMYFUNCTION("""COMPUTED_VALUE"""),96.0)</f>
        <v>96</v>
      </c>
      <c r="J49" s="69">
        <f>IFERROR(__xludf.DUMMYFUNCTION("""COMPUTED_VALUE"""),96.0)</f>
        <v>96</v>
      </c>
      <c r="K49" s="4">
        <f>IFERROR(__xludf.DUMMYFUNCTION("""COMPUTED_VALUE"""),96.0)</f>
        <v>96</v>
      </c>
      <c r="N49" s="67"/>
      <c r="R49" s="4"/>
    </row>
    <row r="50">
      <c r="A50" s="66">
        <f>IFERROR(__xludf.DUMMYFUNCTION("""COMPUTED_VALUE"""),46111.0)</f>
        <v>46111</v>
      </c>
      <c r="B50" s="67">
        <f>IFERROR(__xludf.DUMMYFUNCTION("""COMPUTED_VALUE"""),83.0)</f>
        <v>83</v>
      </c>
      <c r="C50" s="69">
        <f>IFERROR(__xludf.DUMMYFUNCTION("""COMPUTED_VALUE"""),65.0)</f>
        <v>65</v>
      </c>
      <c r="D50" s="1" t="str">
        <f>IFERROR(__xludf.DUMMYFUNCTION("""COMPUTED_VALUE"""),"USD")</f>
        <v>USD</v>
      </c>
      <c r="E50" s="1" t="str">
        <f>IFERROR(__xludf.DUMMYFUNCTION("""COMPUTED_VALUE"""),"Efectivo USD")</f>
        <v>Efectivo USD</v>
      </c>
      <c r="F50" s="1" t="str">
        <f>IFERROR(__xludf.DUMMYFUNCTION("""COMPUTED_VALUE"""),"Inversiones Famasa, C.A")</f>
        <v>Inversiones Famasa, C.A</v>
      </c>
      <c r="G50" s="70">
        <f>IFERROR(__xludf.DUMMYFUNCTION("""COMPUTED_VALUE"""),527.7944)</f>
        <v>527.7944</v>
      </c>
      <c r="H50" s="1"/>
      <c r="I50" s="71">
        <f>IFERROR(__xludf.DUMMYFUNCTION("""COMPUTED_VALUE"""),65.0)</f>
        <v>65</v>
      </c>
      <c r="J50" s="69">
        <f>IFERROR(__xludf.DUMMYFUNCTION("""COMPUTED_VALUE"""),65.0)</f>
        <v>65</v>
      </c>
      <c r="K50" s="4">
        <f>IFERROR(__xludf.DUMMYFUNCTION("""COMPUTED_VALUE"""),65.0)</f>
        <v>65</v>
      </c>
      <c r="N50" s="67"/>
      <c r="R50" s="4"/>
    </row>
    <row r="51">
      <c r="A51" s="66">
        <f>IFERROR(__xludf.DUMMYFUNCTION("""COMPUTED_VALUE"""),46111.0)</f>
        <v>46111</v>
      </c>
      <c r="B51" s="67">
        <f>IFERROR(__xludf.DUMMYFUNCTION("""COMPUTED_VALUE"""),83.0)</f>
        <v>83</v>
      </c>
      <c r="C51" s="69">
        <f>IFERROR(__xludf.DUMMYFUNCTION("""COMPUTED_VALUE"""),1000.0)</f>
        <v>1000</v>
      </c>
      <c r="D51" s="1" t="str">
        <f>IFERROR(__xludf.DUMMYFUNCTION("""COMPUTED_VALUE"""),"VES")</f>
        <v>VES</v>
      </c>
      <c r="E51" s="1" t="str">
        <f>IFERROR(__xludf.DUMMYFUNCTION("""COMPUTED_VALUE"""),"Efectivo VES")</f>
        <v>Efectivo VES</v>
      </c>
      <c r="F51" s="1" t="str">
        <f>IFERROR(__xludf.DUMMYFUNCTION("""COMPUTED_VALUE"""),"Inversiones Famasa, C.A")</f>
        <v>Inversiones Famasa, C.A</v>
      </c>
      <c r="G51" s="70">
        <f>IFERROR(__xludf.DUMMYFUNCTION("""COMPUTED_VALUE"""),527.7944)</f>
        <v>527.7944</v>
      </c>
      <c r="H51" s="1"/>
      <c r="I51" s="71">
        <f>IFERROR(__xludf.DUMMYFUNCTION("""COMPUTED_VALUE"""),1.8946771697464013)</f>
        <v>1.89467717</v>
      </c>
      <c r="J51" s="69">
        <f>IFERROR(__xludf.DUMMYFUNCTION("""COMPUTED_VALUE"""),0.0)</f>
        <v>0</v>
      </c>
      <c r="K51" s="4">
        <f>IFERROR(__xludf.DUMMYFUNCTION("""COMPUTED_VALUE"""),1.8946771697464013)</f>
        <v>1.89467717</v>
      </c>
      <c r="N51" s="67"/>
      <c r="R51" s="4"/>
    </row>
    <row r="52">
      <c r="A52" s="66">
        <f>IFERROR(__xludf.DUMMYFUNCTION("""COMPUTED_VALUE"""),46112.0)</f>
        <v>46112</v>
      </c>
      <c r="B52" s="67">
        <f>IFERROR(__xludf.DUMMYFUNCTION("""COMPUTED_VALUE"""),152.0)</f>
        <v>152</v>
      </c>
      <c r="C52" s="69">
        <f>IFERROR(__xludf.DUMMYFUNCTION("""COMPUTED_VALUE"""),35.0)</f>
        <v>35</v>
      </c>
      <c r="D52" s="1" t="str">
        <f>IFERROR(__xludf.DUMMYFUNCTION("""COMPUTED_VALUE"""),"USD")</f>
        <v>USD</v>
      </c>
      <c r="E52" s="1" t="str">
        <f>IFERROR(__xludf.DUMMYFUNCTION("""COMPUTED_VALUE"""),"Efectivo USD")</f>
        <v>Efectivo USD</v>
      </c>
      <c r="F52" s="1" t="str">
        <f>IFERROR(__xludf.DUMMYFUNCTION("""COMPUTED_VALUE"""),"ESTACIONAMIENTO CIACORE 2000 c.a")</f>
        <v>ESTACIONAMIENTO CIACORE 2000 c.a</v>
      </c>
      <c r="G52" s="70">
        <f>IFERROR(__xludf.DUMMYFUNCTION("""COMPUTED_VALUE"""),542.6382)</f>
        <v>542.6382</v>
      </c>
      <c r="H52" s="1"/>
      <c r="I52" s="71">
        <f>IFERROR(__xludf.DUMMYFUNCTION("""COMPUTED_VALUE"""),35.0)</f>
        <v>35</v>
      </c>
      <c r="J52" s="69">
        <f>IFERROR(__xludf.DUMMYFUNCTION("""COMPUTED_VALUE"""),35.0)</f>
        <v>35</v>
      </c>
      <c r="K52" s="4">
        <f>IFERROR(__xludf.DUMMYFUNCTION("""COMPUTED_VALUE"""),35.0)</f>
        <v>35</v>
      </c>
      <c r="N52" s="67"/>
      <c r="R52" s="4"/>
    </row>
    <row r="53">
      <c r="A53" s="66">
        <f>IFERROR(__xludf.DUMMYFUNCTION("""COMPUTED_VALUE"""),46112.0)</f>
        <v>46112</v>
      </c>
      <c r="B53" s="67">
        <f>IFERROR(__xludf.DUMMYFUNCTION("""COMPUTED_VALUE"""),132.0)</f>
        <v>132</v>
      </c>
      <c r="C53" s="69">
        <f>IFERROR(__xludf.DUMMYFUNCTION("""COMPUTED_VALUE"""),94.0)</f>
        <v>94</v>
      </c>
      <c r="D53" s="1" t="str">
        <f>IFERROR(__xludf.DUMMYFUNCTION("""COMPUTED_VALUE"""),"USD")</f>
        <v>USD</v>
      </c>
      <c r="E53" s="1" t="str">
        <f>IFERROR(__xludf.DUMMYFUNCTION("""COMPUTED_VALUE"""),"Efectivo USD")</f>
        <v>Efectivo USD</v>
      </c>
      <c r="F53" s="1" t="str">
        <f>IFERROR(__xludf.DUMMYFUNCTION("""COMPUTED_VALUE"""),"Distribuidora Nesmari 2050 c.a")</f>
        <v>Distribuidora Nesmari 2050 c.a</v>
      </c>
      <c r="G53" s="70">
        <f>IFERROR(__xludf.DUMMYFUNCTION("""COMPUTED_VALUE"""),542.6382)</f>
        <v>542.6382</v>
      </c>
      <c r="H53" s="1"/>
      <c r="I53" s="71">
        <f>IFERROR(__xludf.DUMMYFUNCTION("""COMPUTED_VALUE"""),94.0)</f>
        <v>94</v>
      </c>
      <c r="J53" s="69">
        <f>IFERROR(__xludf.DUMMYFUNCTION("""COMPUTED_VALUE"""),94.0)</f>
        <v>94</v>
      </c>
      <c r="K53" s="4">
        <f>IFERROR(__xludf.DUMMYFUNCTION("""COMPUTED_VALUE"""),94.0)</f>
        <v>94</v>
      </c>
      <c r="N53" s="67"/>
      <c r="R53" s="4"/>
    </row>
    <row r="54">
      <c r="A54" s="66">
        <f>IFERROR(__xludf.DUMMYFUNCTION("""COMPUTED_VALUE"""),46112.0)</f>
        <v>46112</v>
      </c>
      <c r="B54" s="67">
        <f>IFERROR(__xludf.DUMMYFUNCTION("""COMPUTED_VALUE"""),56.0)</f>
        <v>56</v>
      </c>
      <c r="C54" s="69">
        <f>IFERROR(__xludf.DUMMYFUNCTION("""COMPUTED_VALUE"""),44.0)</f>
        <v>44</v>
      </c>
      <c r="D54" s="1" t="str">
        <f>IFERROR(__xludf.DUMMYFUNCTION("""COMPUTED_VALUE"""),"USD")</f>
        <v>USD</v>
      </c>
      <c r="E54" s="1" t="str">
        <f>IFERROR(__xludf.DUMMYFUNCTION("""COMPUTED_VALUE"""),"Efectivo USD")</f>
        <v>Efectivo USD</v>
      </c>
      <c r="F54" s="1" t="str">
        <f>IFERROR(__xludf.DUMMYFUNCTION("""COMPUTED_VALUE"""),"Motolavado Yahir")</f>
        <v>Motolavado Yahir</v>
      </c>
      <c r="G54" s="70">
        <f>IFERROR(__xludf.DUMMYFUNCTION("""COMPUTED_VALUE"""),542.6382)</f>
        <v>542.6382</v>
      </c>
      <c r="H54" s="1"/>
      <c r="I54" s="71">
        <f>IFERROR(__xludf.DUMMYFUNCTION("""COMPUTED_VALUE"""),44.0)</f>
        <v>44</v>
      </c>
      <c r="J54" s="69">
        <f>IFERROR(__xludf.DUMMYFUNCTION("""COMPUTED_VALUE"""),44.0)</f>
        <v>44</v>
      </c>
      <c r="K54" s="4">
        <f>IFERROR(__xludf.DUMMYFUNCTION("""COMPUTED_VALUE"""),44.0)</f>
        <v>44</v>
      </c>
      <c r="N54" s="67"/>
      <c r="R54" s="4"/>
    </row>
    <row r="55">
      <c r="A55" s="66">
        <f>IFERROR(__xludf.DUMMYFUNCTION("""COMPUTED_VALUE"""),46112.0)</f>
        <v>46112</v>
      </c>
      <c r="B55" s="67">
        <f>IFERROR(__xludf.DUMMYFUNCTION("""COMPUTED_VALUE"""),27.0)</f>
        <v>27</v>
      </c>
      <c r="C55" s="69">
        <f>IFERROR(__xludf.DUMMYFUNCTION("""COMPUTED_VALUE"""),20.0)</f>
        <v>20</v>
      </c>
      <c r="D55" s="1" t="str">
        <f>IFERROR(__xludf.DUMMYFUNCTION("""COMPUTED_VALUE"""),"USD")</f>
        <v>USD</v>
      </c>
      <c r="E55" s="1" t="str">
        <f>IFERROR(__xludf.DUMMYFUNCTION("""COMPUTED_VALUE"""),"Efectivo USD")</f>
        <v>Efectivo USD</v>
      </c>
      <c r="F55" s="1" t="str">
        <f>IFERROR(__xludf.DUMMYFUNCTION("""COMPUTED_VALUE"""),"Moises Alejandro Mares")</f>
        <v>Moises Alejandro Mares</v>
      </c>
      <c r="G55" s="70">
        <f>IFERROR(__xludf.DUMMYFUNCTION("""COMPUTED_VALUE"""),542.6382)</f>
        <v>542.6382</v>
      </c>
      <c r="H55" s="1"/>
      <c r="I55" s="71">
        <f>IFERROR(__xludf.DUMMYFUNCTION("""COMPUTED_VALUE"""),20.0)</f>
        <v>20</v>
      </c>
      <c r="J55" s="69">
        <f>IFERROR(__xludf.DUMMYFUNCTION("""COMPUTED_VALUE"""),20.0)</f>
        <v>20</v>
      </c>
      <c r="K55" s="4">
        <f>IFERROR(__xludf.DUMMYFUNCTION("""COMPUTED_VALUE"""),20.0)</f>
        <v>20</v>
      </c>
      <c r="N55" s="67"/>
      <c r="R55" s="4"/>
    </row>
    <row r="56">
      <c r="A56" s="66">
        <f>IFERROR(__xludf.DUMMYFUNCTION("""COMPUTED_VALUE"""),46112.0)</f>
        <v>46112</v>
      </c>
      <c r="B56" s="67">
        <f>IFERROR(__xludf.DUMMYFUNCTION("""COMPUTED_VALUE"""),54.0)</f>
        <v>54</v>
      </c>
      <c r="C56" s="69">
        <f>IFERROR(__xludf.DUMMYFUNCTION("""COMPUTED_VALUE"""),18954.8)</f>
        <v>18954.8</v>
      </c>
      <c r="D56" s="1" t="str">
        <f>IFERROR(__xludf.DUMMYFUNCTION("""COMPUTED_VALUE"""),"VES")</f>
        <v>VES</v>
      </c>
      <c r="E56" s="1" t="str">
        <f>IFERROR(__xludf.DUMMYFUNCTION("""COMPUTED_VALUE"""),"Bancamiga")</f>
        <v>Bancamiga</v>
      </c>
      <c r="F56" s="1" t="str">
        <f>IFERROR(__xludf.DUMMYFUNCTION("""COMPUTED_VALUE"""),"Corporación Lubricantes 7ma Av.C.A")</f>
        <v>Corporación Lubricantes 7ma Av.C.A</v>
      </c>
      <c r="G56" s="70">
        <f>IFERROR(__xludf.DUMMYFUNCTION("""COMPUTED_VALUE"""),542.6382)</f>
        <v>542.6382</v>
      </c>
      <c r="H56" s="1"/>
      <c r="I56" s="71">
        <f>IFERROR(__xludf.DUMMYFUNCTION("""COMPUTED_VALUE"""),34.930824995365235)</f>
        <v>34.930825</v>
      </c>
      <c r="J56" s="69">
        <f>IFERROR(__xludf.DUMMYFUNCTION("""COMPUTED_VALUE"""),0.0)</f>
        <v>0</v>
      </c>
      <c r="K56" s="4">
        <f>IFERROR(__xludf.DUMMYFUNCTION("""COMPUTED_VALUE"""),34.930824995365235)</f>
        <v>34.930825</v>
      </c>
      <c r="N56" s="67"/>
      <c r="R56" s="4"/>
    </row>
    <row r="57">
      <c r="A57" s="66">
        <f>IFERROR(__xludf.DUMMYFUNCTION("""COMPUTED_VALUE"""),46112.0)</f>
        <v>46112</v>
      </c>
      <c r="B57" s="67">
        <f>IFERROR(__xludf.DUMMYFUNCTION("""COMPUTED_VALUE"""),131.0)</f>
        <v>131</v>
      </c>
      <c r="C57" s="69">
        <f>IFERROR(__xludf.DUMMYFUNCTION("""COMPUTED_VALUE"""),20.0)</f>
        <v>20</v>
      </c>
      <c r="D57" s="1" t="str">
        <f>IFERROR(__xludf.DUMMYFUNCTION("""COMPUTED_VALUE"""),"USD")</f>
        <v>USD</v>
      </c>
      <c r="E57" s="1" t="str">
        <f>IFERROR(__xludf.DUMMYFUNCTION("""COMPUTED_VALUE"""),"Efectivo USD")</f>
        <v>Efectivo USD</v>
      </c>
      <c r="F57" s="1" t="str">
        <f>IFERROR(__xludf.DUMMYFUNCTION("""COMPUTED_VALUE"""),"Nyekel Quevedo")</f>
        <v>Nyekel Quevedo</v>
      </c>
      <c r="G57" s="70">
        <f>IFERROR(__xludf.DUMMYFUNCTION("""COMPUTED_VALUE"""),542.6382)</f>
        <v>542.6382</v>
      </c>
      <c r="H57" s="1"/>
      <c r="I57" s="71">
        <f>IFERROR(__xludf.DUMMYFUNCTION("""COMPUTED_VALUE"""),20.0)</f>
        <v>20</v>
      </c>
      <c r="J57" s="69">
        <f>IFERROR(__xludf.DUMMYFUNCTION("""COMPUTED_VALUE"""),20.0)</f>
        <v>20</v>
      </c>
      <c r="K57" s="4">
        <f>IFERROR(__xludf.DUMMYFUNCTION("""COMPUTED_VALUE"""),20.0)</f>
        <v>20</v>
      </c>
      <c r="N57" s="67"/>
      <c r="R57" s="4"/>
    </row>
    <row r="58">
      <c r="A58" s="66">
        <f>IFERROR(__xludf.DUMMYFUNCTION("""COMPUTED_VALUE"""),46112.0)</f>
        <v>46112</v>
      </c>
      <c r="B58" s="67">
        <f>IFERROR(__xludf.DUMMYFUNCTION("""COMPUTED_VALUE"""),175.0)</f>
        <v>175</v>
      </c>
      <c r="C58" s="69">
        <f>IFERROR(__xludf.DUMMYFUNCTION("""COMPUTED_VALUE"""),108.0)</f>
        <v>108</v>
      </c>
      <c r="D58" s="1" t="str">
        <f>IFERROR(__xludf.DUMMYFUNCTION("""COMPUTED_VALUE"""),"USD")</f>
        <v>USD</v>
      </c>
      <c r="E58" s="1" t="str">
        <f>IFERROR(__xludf.DUMMYFUNCTION("""COMPUTED_VALUE"""),"Efectivo USD")</f>
        <v>Efectivo USD</v>
      </c>
      <c r="F58" s="1" t="str">
        <f>IFERROR(__xludf.DUMMYFUNCTION("""COMPUTED_VALUE"""),"ESTACIONAMIENTO CIACORE 2000")</f>
        <v>ESTACIONAMIENTO CIACORE 2000</v>
      </c>
      <c r="G58" s="70">
        <f>IFERROR(__xludf.DUMMYFUNCTION("""COMPUTED_VALUE"""),481.6989)</f>
        <v>481.6989</v>
      </c>
      <c r="H58" s="1"/>
      <c r="I58" s="71">
        <f>IFERROR(__xludf.DUMMYFUNCTION("""COMPUTED_VALUE"""),108.0)</f>
        <v>108</v>
      </c>
      <c r="J58" s="69">
        <f>IFERROR(__xludf.DUMMYFUNCTION("""COMPUTED_VALUE"""),108.0)</f>
        <v>108</v>
      </c>
      <c r="K58" s="4">
        <f>IFERROR(__xludf.DUMMYFUNCTION("""COMPUTED_VALUE"""),108.0)</f>
        <v>108</v>
      </c>
      <c r="N58" s="67"/>
      <c r="R58" s="4"/>
    </row>
    <row r="59">
      <c r="A59" s="66">
        <f>IFERROR(__xludf.DUMMYFUNCTION("""COMPUTED_VALUE"""),46113.0)</f>
        <v>46113</v>
      </c>
      <c r="B59" s="67">
        <f>IFERROR(__xludf.DUMMYFUNCTION("""COMPUTED_VALUE"""),83.0)</f>
        <v>83</v>
      </c>
      <c r="C59" s="69">
        <f>IFERROR(__xludf.DUMMYFUNCTION("""COMPUTED_VALUE"""),67.0)</f>
        <v>67</v>
      </c>
      <c r="D59" s="1" t="str">
        <f>IFERROR(__xludf.DUMMYFUNCTION("""COMPUTED_VALUE"""),"USD")</f>
        <v>USD</v>
      </c>
      <c r="E59" s="1" t="str">
        <f>IFERROR(__xludf.DUMMYFUNCTION("""COMPUTED_VALUE"""),"Efectivo USD")</f>
        <v>Efectivo USD</v>
      </c>
      <c r="F59" s="1" t="str">
        <f>IFERROR(__xludf.DUMMYFUNCTION("""COMPUTED_VALUE"""),"Inversiones Famasa, C.A")</f>
        <v>Inversiones Famasa, C.A</v>
      </c>
      <c r="G59" s="70">
        <f>IFERROR(__xludf.DUMMYFUNCTION("""COMPUTED_VALUE"""),545.9483)</f>
        <v>545.9483</v>
      </c>
      <c r="H59" s="1"/>
      <c r="I59" s="71">
        <f>IFERROR(__xludf.DUMMYFUNCTION("""COMPUTED_VALUE"""),67.0)</f>
        <v>67</v>
      </c>
      <c r="J59" s="69">
        <f>IFERROR(__xludf.DUMMYFUNCTION("""COMPUTED_VALUE"""),67.0)</f>
        <v>67</v>
      </c>
      <c r="K59" s="4">
        <f>IFERROR(__xludf.DUMMYFUNCTION("""COMPUTED_VALUE"""),67.0)</f>
        <v>67</v>
      </c>
      <c r="N59" s="67"/>
      <c r="R59" s="4"/>
    </row>
    <row r="60">
      <c r="A60" s="66">
        <f>IFERROR(__xludf.DUMMYFUNCTION("""COMPUTED_VALUE"""),46113.0)</f>
        <v>46113</v>
      </c>
      <c r="B60" s="67">
        <f>IFERROR(__xludf.DUMMYFUNCTION("""COMPUTED_VALUE"""),170.0)</f>
        <v>170</v>
      </c>
      <c r="C60" s="69">
        <f>IFERROR(__xludf.DUMMYFUNCTION("""COMPUTED_VALUE"""),247.88)</f>
        <v>247.88</v>
      </c>
      <c r="D60" s="1" t="str">
        <f>IFERROR(__xludf.DUMMYFUNCTION("""COMPUTED_VALUE"""),"USD")</f>
        <v>USD</v>
      </c>
      <c r="E60" s="1" t="str">
        <f>IFERROR(__xludf.DUMMYFUNCTION("""COMPUTED_VALUE"""),"Efectivo USD")</f>
        <v>Efectivo USD</v>
      </c>
      <c r="F60" s="1" t="str">
        <f>IFERROR(__xludf.DUMMYFUNCTION("""COMPUTED_VALUE"""),"EMPRENDIMIENTO IRMA RODRIGUEZ 6")</f>
        <v>EMPRENDIMIENTO IRMA RODRIGUEZ 6</v>
      </c>
      <c r="G60" s="70">
        <f>IFERROR(__xludf.DUMMYFUNCTION("""COMPUTED_VALUE"""),473.9176)</f>
        <v>473.9176</v>
      </c>
      <c r="H60" s="1"/>
      <c r="I60" s="71">
        <f>IFERROR(__xludf.DUMMYFUNCTION("""COMPUTED_VALUE"""),247.88)</f>
        <v>247.88</v>
      </c>
      <c r="J60" s="69">
        <f>IFERROR(__xludf.DUMMYFUNCTION("""COMPUTED_VALUE"""),247.88)</f>
        <v>247.88</v>
      </c>
      <c r="K60" s="4">
        <f>IFERROR(__xludf.DUMMYFUNCTION("""COMPUTED_VALUE"""),247.88)</f>
        <v>247.88</v>
      </c>
      <c r="N60" s="67"/>
      <c r="R60" s="4"/>
    </row>
    <row r="61">
      <c r="A61" s="66">
        <f>IFERROR(__xludf.DUMMYFUNCTION("""COMPUTED_VALUE"""),46113.0)</f>
        <v>46113</v>
      </c>
      <c r="B61" s="67">
        <f>IFERROR(__xludf.DUMMYFUNCTION("""COMPUTED_VALUE"""),106.0)</f>
        <v>106</v>
      </c>
      <c r="C61" s="69">
        <f>IFERROR(__xludf.DUMMYFUNCTION("""COMPUTED_VALUE"""),238119.78)</f>
        <v>238119.78</v>
      </c>
      <c r="D61" s="1" t="str">
        <f>IFERROR(__xludf.DUMMYFUNCTION("""COMPUTED_VALUE"""),"VES")</f>
        <v>VES</v>
      </c>
      <c r="E61" s="1" t="str">
        <f>IFERROR(__xludf.DUMMYFUNCTION("""COMPUTED_VALUE"""),"Bancamiga")</f>
        <v>Bancamiga</v>
      </c>
      <c r="F61" s="1" t="str">
        <f>IFERROR(__xludf.DUMMYFUNCTION("""COMPUTED_VALUE"""),"E&amp;M CAR SHOP C.A")</f>
        <v>E&amp;M CAR SHOP C.A</v>
      </c>
      <c r="G61" s="70">
        <f>IFERROR(__xludf.DUMMYFUNCTION("""COMPUTED_VALUE"""),473.9176)</f>
        <v>473.9176</v>
      </c>
      <c r="H61" s="1"/>
      <c r="I61" s="71">
        <f>IFERROR(__xludf.DUMMYFUNCTION("""COMPUTED_VALUE"""),502.4497507583597)</f>
        <v>502.4497508</v>
      </c>
      <c r="J61" s="69">
        <f>IFERROR(__xludf.DUMMYFUNCTION("""COMPUTED_VALUE"""),0.0)</f>
        <v>0</v>
      </c>
      <c r="K61" s="4">
        <f>IFERROR(__xludf.DUMMYFUNCTION("""COMPUTED_VALUE"""),502.4497507583597)</f>
        <v>502.4497508</v>
      </c>
      <c r="N61" s="67"/>
      <c r="R61" s="4"/>
    </row>
    <row r="62">
      <c r="A62" s="66">
        <f>IFERROR(__xludf.DUMMYFUNCTION("""COMPUTED_VALUE"""),46118.0)</f>
        <v>46118</v>
      </c>
      <c r="B62" s="67">
        <f>IFERROR(__xludf.DUMMYFUNCTION("""COMPUTED_VALUE"""),121.0)</f>
        <v>121</v>
      </c>
      <c r="C62" s="69">
        <f>IFERROR(__xludf.DUMMYFUNCTION("""COMPUTED_VALUE"""),47405.98)</f>
        <v>47405.98</v>
      </c>
      <c r="D62" s="1" t="str">
        <f>IFERROR(__xludf.DUMMYFUNCTION("""COMPUTED_VALUE"""),"VES")</f>
        <v>VES</v>
      </c>
      <c r="E62" s="1" t="str">
        <f>IFERROR(__xludf.DUMMYFUNCTION("""COMPUTED_VALUE"""),"Bancamiga")</f>
        <v>Bancamiga</v>
      </c>
      <c r="F62" s="1" t="str">
        <f>IFERROR(__xludf.DUMMYFUNCTION("""COMPUTED_VALUE"""),"Jose Lopez Espinoza")</f>
        <v>Jose Lopez Espinoza</v>
      </c>
      <c r="G62" s="70">
        <f>IFERROR(__xludf.DUMMYFUNCTION("""COMPUTED_VALUE"""),474.0598)</f>
        <v>474.0598</v>
      </c>
      <c r="H62" s="1"/>
      <c r="I62" s="71">
        <f>IFERROR(__xludf.DUMMYFUNCTION("""COMPUTED_VALUE"""),100.00000000000001)</f>
        <v>100</v>
      </c>
      <c r="J62" s="69">
        <f>IFERROR(__xludf.DUMMYFUNCTION("""COMPUTED_VALUE"""),0.0)</f>
        <v>0</v>
      </c>
      <c r="K62" s="4">
        <f>IFERROR(__xludf.DUMMYFUNCTION("""COMPUTED_VALUE"""),100.00000000000001)</f>
        <v>100</v>
      </c>
      <c r="N62" s="67"/>
      <c r="R62" s="4"/>
    </row>
    <row r="63">
      <c r="A63" s="66">
        <f>IFERROR(__xludf.DUMMYFUNCTION("""COMPUTED_VALUE"""),46118.0)</f>
        <v>46118</v>
      </c>
      <c r="B63" s="67">
        <f>IFERROR(__xludf.DUMMYFUNCTION("""COMPUTED_VALUE"""),90.0)</f>
        <v>90</v>
      </c>
      <c r="C63" s="69">
        <f>IFERROR(__xludf.DUMMYFUNCTION("""COMPUTED_VALUE"""),100.0)</f>
        <v>100</v>
      </c>
      <c r="D63" s="1" t="str">
        <f>IFERROR(__xludf.DUMMYFUNCTION("""COMPUTED_VALUE"""),"USD")</f>
        <v>USD</v>
      </c>
      <c r="E63" s="1" t="str">
        <f>IFERROR(__xludf.DUMMYFUNCTION("""COMPUTED_VALUE"""),"Efectivo USD")</f>
        <v>Efectivo USD</v>
      </c>
      <c r="F63" s="1" t="str">
        <f>IFERROR(__xludf.DUMMYFUNCTION("""COMPUTED_VALUE"""),"ACCESORIOS Y REPUESTOS MOTO CAR 20-11-C.A")</f>
        <v>ACCESORIOS Y REPUESTOS MOTO CAR 20-11-C.A</v>
      </c>
      <c r="G63" s="70">
        <f>IFERROR(__xludf.DUMMYFUNCTION("""COMPUTED_VALUE"""),474.0598)</f>
        <v>474.0598</v>
      </c>
      <c r="H63" s="1"/>
      <c r="I63" s="71">
        <f>IFERROR(__xludf.DUMMYFUNCTION("""COMPUTED_VALUE"""),100.0)</f>
        <v>100</v>
      </c>
      <c r="J63" s="69">
        <f>IFERROR(__xludf.DUMMYFUNCTION("""COMPUTED_VALUE"""),100.0)</f>
        <v>100</v>
      </c>
      <c r="K63" s="4">
        <f>IFERROR(__xludf.DUMMYFUNCTION("""COMPUTED_VALUE"""),100.0)</f>
        <v>100</v>
      </c>
      <c r="N63" s="67"/>
      <c r="R63" s="4"/>
    </row>
    <row r="64">
      <c r="A64" s="66">
        <f>IFERROR(__xludf.DUMMYFUNCTION("""COMPUTED_VALUE"""),46118.0)</f>
        <v>46118</v>
      </c>
      <c r="B64" s="67">
        <f>IFERROR(__xludf.DUMMYFUNCTION("""COMPUTED_VALUE"""),176.0)</f>
        <v>176</v>
      </c>
      <c r="C64" s="69">
        <f>IFERROR(__xludf.DUMMYFUNCTION("""COMPUTED_VALUE"""),110.0)</f>
        <v>110</v>
      </c>
      <c r="D64" s="1" t="str">
        <f>IFERROR(__xludf.DUMMYFUNCTION("""COMPUTED_VALUE"""),"USD")</f>
        <v>USD</v>
      </c>
      <c r="E64" s="1" t="str">
        <f>IFERROR(__xludf.DUMMYFUNCTION("""COMPUTED_VALUE"""),"Efectivo USD")</f>
        <v>Efectivo USD</v>
      </c>
      <c r="F64" s="1" t="str">
        <f>IFERROR(__xludf.DUMMYFUNCTION("""COMPUTED_VALUE"""),"Jose Angel Gutierrez Rodriguez")</f>
        <v>Jose Angel Gutierrez Rodriguez</v>
      </c>
      <c r="G64" s="70">
        <f>IFERROR(__xludf.DUMMYFUNCTION("""COMPUTED_VALUE"""),474.0598)</f>
        <v>474.0598</v>
      </c>
      <c r="H64" s="1"/>
      <c r="I64" s="71">
        <f>IFERROR(__xludf.DUMMYFUNCTION("""COMPUTED_VALUE"""),110.0)</f>
        <v>110</v>
      </c>
      <c r="J64" s="69">
        <f>IFERROR(__xludf.DUMMYFUNCTION("""COMPUTED_VALUE"""),110.0)</f>
        <v>110</v>
      </c>
      <c r="K64" s="4">
        <f>IFERROR(__xludf.DUMMYFUNCTION("""COMPUTED_VALUE"""),110.0)</f>
        <v>110</v>
      </c>
      <c r="N64" s="67"/>
      <c r="R64" s="4"/>
    </row>
    <row r="65">
      <c r="A65" s="66">
        <f>IFERROR(__xludf.DUMMYFUNCTION("""COMPUTED_VALUE"""),46118.0)</f>
        <v>46118</v>
      </c>
      <c r="B65" s="67">
        <f>IFERROR(__xludf.DUMMYFUNCTION("""COMPUTED_VALUE"""),94.0)</f>
        <v>94</v>
      </c>
      <c r="C65" s="69">
        <f>IFERROR(__xludf.DUMMYFUNCTION("""COMPUTED_VALUE"""),23705.0)</f>
        <v>23705</v>
      </c>
      <c r="D65" s="1" t="str">
        <f>IFERROR(__xludf.DUMMYFUNCTION("""COMPUTED_VALUE"""),"VES")</f>
        <v>VES</v>
      </c>
      <c r="E65" s="1" t="str">
        <f>IFERROR(__xludf.DUMMYFUNCTION("""COMPUTED_VALUE"""),"Venezuela")</f>
        <v>Venezuela</v>
      </c>
      <c r="F65" s="1" t="str">
        <f>IFERROR(__xludf.DUMMYFUNCTION("""COMPUTED_VALUE"""),"Moto repuestos jj")</f>
        <v>Moto repuestos jj</v>
      </c>
      <c r="G65" s="70">
        <f>IFERROR(__xludf.DUMMYFUNCTION("""COMPUTED_VALUE"""),474.0598)</f>
        <v>474.0598</v>
      </c>
      <c r="H65" s="1"/>
      <c r="I65" s="71">
        <f>IFERROR(__xludf.DUMMYFUNCTION("""COMPUTED_VALUE"""),50.004239971412886)</f>
        <v>50.00423997</v>
      </c>
      <c r="J65" s="69">
        <f>IFERROR(__xludf.DUMMYFUNCTION("""COMPUTED_VALUE"""),0.0)</f>
        <v>0</v>
      </c>
      <c r="K65" s="4">
        <f>IFERROR(__xludf.DUMMYFUNCTION("""COMPUTED_VALUE"""),50.004239971412886)</f>
        <v>50.00423997</v>
      </c>
      <c r="N65" s="67"/>
      <c r="R65" s="4"/>
    </row>
    <row r="66">
      <c r="A66" s="66">
        <f>IFERROR(__xludf.DUMMYFUNCTION("""COMPUTED_VALUE"""),46118.0)</f>
        <v>46118</v>
      </c>
      <c r="B66" s="67">
        <f>IFERROR(__xludf.DUMMYFUNCTION("""COMPUTED_VALUE"""),20.0)</f>
        <v>20</v>
      </c>
      <c r="C66" s="69">
        <f>IFERROR(__xludf.DUMMYFUNCTION("""COMPUTED_VALUE"""),13775.0)</f>
        <v>13775</v>
      </c>
      <c r="D66" s="1" t="str">
        <f>IFERROR(__xludf.DUMMYFUNCTION("""COMPUTED_VALUE"""),"VES")</f>
        <v>VES</v>
      </c>
      <c r="E66" s="1" t="str">
        <f>IFERROR(__xludf.DUMMYFUNCTION("""COMPUTED_VALUE"""),"Bancamiga")</f>
        <v>Bancamiga</v>
      </c>
      <c r="F66" s="1" t="str">
        <f>IFERROR(__xludf.DUMMYFUNCTION("""COMPUTED_VALUE"""),"EMPRENDIMIENTO TOMAS MARCANO 5")</f>
        <v>EMPRENDIMIENTO TOMAS MARCANO 5</v>
      </c>
      <c r="G66" s="70">
        <f>IFERROR(__xludf.DUMMYFUNCTION("""COMPUTED_VALUE"""),550.8954)</f>
        <v>550.8954</v>
      </c>
      <c r="H66" s="1"/>
      <c r="I66" s="71">
        <f>IFERROR(__xludf.DUMMYFUNCTION("""COMPUTED_VALUE"""),25.004746817635436)</f>
        <v>25.00474682</v>
      </c>
      <c r="J66" s="69">
        <f>IFERROR(__xludf.DUMMYFUNCTION("""COMPUTED_VALUE"""),0.0)</f>
        <v>0</v>
      </c>
      <c r="K66" s="4">
        <f>IFERROR(__xludf.DUMMYFUNCTION("""COMPUTED_VALUE"""),25.004746817635436)</f>
        <v>25.00474682</v>
      </c>
      <c r="N66" s="67"/>
      <c r="R66" s="4"/>
    </row>
    <row r="67">
      <c r="A67" s="66">
        <f>IFERROR(__xludf.DUMMYFUNCTION("""COMPUTED_VALUE"""),46118.0)</f>
        <v>46118</v>
      </c>
      <c r="B67" s="67">
        <f>IFERROR(__xludf.DUMMYFUNCTION("""COMPUTED_VALUE"""),2.0)</f>
        <v>2</v>
      </c>
      <c r="C67" s="69">
        <f>IFERROR(__xludf.DUMMYFUNCTION("""COMPUTED_VALUE"""),47405.98)</f>
        <v>47405.98</v>
      </c>
      <c r="D67" s="1" t="str">
        <f>IFERROR(__xludf.DUMMYFUNCTION("""COMPUTED_VALUE"""),"VES")</f>
        <v>VES</v>
      </c>
      <c r="E67" s="1" t="str">
        <f>IFERROR(__xludf.DUMMYFUNCTION("""COMPUTED_VALUE"""),"Bancamiga")</f>
        <v>Bancamiga</v>
      </c>
      <c r="F67" s="1" t="str">
        <f>IFERROR(__xludf.DUMMYFUNCTION("""COMPUTED_VALUE"""),"Jose Lopez Espinoza")</f>
        <v>Jose Lopez Espinoza</v>
      </c>
      <c r="G67" s="70">
        <f>IFERROR(__xludf.DUMMYFUNCTION("""COMPUTED_VALUE"""),550.8954)</f>
        <v>550.8954</v>
      </c>
      <c r="H67" s="1"/>
      <c r="I67" s="71">
        <f>IFERROR(__xludf.DUMMYFUNCTION("""COMPUTED_VALUE"""),86.0525972807179)</f>
        <v>86.05259728</v>
      </c>
      <c r="J67" s="69">
        <f>IFERROR(__xludf.DUMMYFUNCTION("""COMPUTED_VALUE"""),0.0)</f>
        <v>0</v>
      </c>
      <c r="K67" s="4">
        <f>IFERROR(__xludf.DUMMYFUNCTION("""COMPUTED_VALUE"""),86.0525972807179)</f>
        <v>86.05259728</v>
      </c>
      <c r="N67" s="67"/>
      <c r="R67" s="4"/>
    </row>
    <row r="68">
      <c r="A68" s="66">
        <f>IFERROR(__xludf.DUMMYFUNCTION("""COMPUTED_VALUE"""),46119.0)</f>
        <v>46119</v>
      </c>
      <c r="B68" s="67">
        <f>IFERROR(__xludf.DUMMYFUNCTION("""COMPUTED_VALUE"""),29.0)</f>
        <v>29</v>
      </c>
      <c r="C68" s="69">
        <f>IFERROR(__xludf.DUMMYFUNCTION("""COMPUTED_VALUE"""),100.0)</f>
        <v>100</v>
      </c>
      <c r="D68" s="1" t="str">
        <f>IFERROR(__xludf.DUMMYFUNCTION("""COMPUTED_VALUE"""),"USD")</f>
        <v>USD</v>
      </c>
      <c r="E68" s="1" t="str">
        <f>IFERROR(__xludf.DUMMYFUNCTION("""COMPUTED_VALUE"""),"Efectivo USD")</f>
        <v>Efectivo USD</v>
      </c>
      <c r="F68" s="1" t="str">
        <f>IFERROR(__xludf.DUMMYFUNCTION("""COMPUTED_VALUE"""),"AUTOREPUESTOS SION C.A.")</f>
        <v>AUTOREPUESTOS SION C.A.</v>
      </c>
      <c r="G68" s="70">
        <f>IFERROR(__xludf.DUMMYFUNCTION("""COMPUTED_VALUE"""),474.5338)</f>
        <v>474.5338</v>
      </c>
      <c r="H68" s="1"/>
      <c r="I68" s="71">
        <f>IFERROR(__xludf.DUMMYFUNCTION("""COMPUTED_VALUE"""),100.0)</f>
        <v>100</v>
      </c>
      <c r="J68" s="69">
        <f>IFERROR(__xludf.DUMMYFUNCTION("""COMPUTED_VALUE"""),100.0)</f>
        <v>100</v>
      </c>
      <c r="K68" s="4">
        <f>IFERROR(__xludf.DUMMYFUNCTION("""COMPUTED_VALUE"""),100.0)</f>
        <v>100</v>
      </c>
      <c r="N68" s="67"/>
      <c r="R68" s="4"/>
    </row>
    <row r="69">
      <c r="A69" s="66">
        <f>IFERROR(__xludf.DUMMYFUNCTION("""COMPUTED_VALUE"""),46119.0)</f>
        <v>46119</v>
      </c>
      <c r="B69" s="67">
        <f>IFERROR(__xludf.DUMMYFUNCTION("""COMPUTED_VALUE"""),104.0)</f>
        <v>104</v>
      </c>
      <c r="C69" s="69">
        <f>IFERROR(__xludf.DUMMYFUNCTION("""COMPUTED_VALUE"""),70.0)</f>
        <v>70</v>
      </c>
      <c r="D69" s="1" t="str">
        <f>IFERROR(__xludf.DUMMYFUNCTION("""COMPUTED_VALUE"""),"USD")</f>
        <v>USD</v>
      </c>
      <c r="E69" s="1" t="str">
        <f>IFERROR(__xludf.DUMMYFUNCTION("""COMPUTED_VALUE"""),"Efectivo USD")</f>
        <v>Efectivo USD</v>
      </c>
      <c r="F69" s="1" t="str">
        <f>IFERROR(__xludf.DUMMYFUNCTION("""COMPUTED_VALUE"""),"Inversiones Brayan CT C.A")</f>
        <v>Inversiones Brayan CT C.A</v>
      </c>
      <c r="G69" s="70">
        <f>IFERROR(__xludf.DUMMYFUNCTION("""COMPUTED_VALUE"""),474.5338)</f>
        <v>474.5338</v>
      </c>
      <c r="H69" s="1"/>
      <c r="I69" s="71">
        <f>IFERROR(__xludf.DUMMYFUNCTION("""COMPUTED_VALUE"""),70.0)</f>
        <v>70</v>
      </c>
      <c r="J69" s="69">
        <f>IFERROR(__xludf.DUMMYFUNCTION("""COMPUTED_VALUE"""),70.0)</f>
        <v>70</v>
      </c>
      <c r="K69" s="4">
        <f>IFERROR(__xludf.DUMMYFUNCTION("""COMPUTED_VALUE"""),70.0)</f>
        <v>70</v>
      </c>
      <c r="N69" s="67"/>
      <c r="R69" s="4"/>
    </row>
    <row r="70">
      <c r="A70" s="66">
        <f>IFERROR(__xludf.DUMMYFUNCTION("""COMPUTED_VALUE"""),46119.0)</f>
        <v>46119</v>
      </c>
      <c r="B70" s="67">
        <f>IFERROR(__xludf.DUMMYFUNCTION("""COMPUTED_VALUE"""),27.0)</f>
        <v>27</v>
      </c>
      <c r="C70" s="69">
        <f>IFERROR(__xludf.DUMMYFUNCTION("""COMPUTED_VALUE"""),20.0)</f>
        <v>20</v>
      </c>
      <c r="D70" s="1" t="str">
        <f>IFERROR(__xludf.DUMMYFUNCTION("""COMPUTED_VALUE"""),"USD")</f>
        <v>USD</v>
      </c>
      <c r="E70" s="1" t="str">
        <f>IFERROR(__xludf.DUMMYFUNCTION("""COMPUTED_VALUE"""),"Efectivo USD")</f>
        <v>Efectivo USD</v>
      </c>
      <c r="F70" s="1" t="str">
        <f>IFERROR(__xludf.DUMMYFUNCTION("""COMPUTED_VALUE"""),"Moises Alejandro Mares")</f>
        <v>Moises Alejandro Mares</v>
      </c>
      <c r="G70" s="70">
        <f>IFERROR(__xludf.DUMMYFUNCTION("""COMPUTED_VALUE"""),474.5338)</f>
        <v>474.5338</v>
      </c>
      <c r="H70" s="1"/>
      <c r="I70" s="71">
        <f>IFERROR(__xludf.DUMMYFUNCTION("""COMPUTED_VALUE"""),20.0)</f>
        <v>20</v>
      </c>
      <c r="J70" s="69">
        <f>IFERROR(__xludf.DUMMYFUNCTION("""COMPUTED_VALUE"""),20.0)</f>
        <v>20</v>
      </c>
      <c r="K70" s="4">
        <f>IFERROR(__xludf.DUMMYFUNCTION("""COMPUTED_VALUE"""),20.0)</f>
        <v>20</v>
      </c>
      <c r="N70" s="67"/>
      <c r="R70" s="4"/>
    </row>
    <row r="71">
      <c r="A71" s="66">
        <f>IFERROR(__xludf.DUMMYFUNCTION("""COMPUTED_VALUE"""),46119.0)</f>
        <v>46119</v>
      </c>
      <c r="B71" s="67">
        <f>IFERROR(__xludf.DUMMYFUNCTION("""COMPUTED_VALUE"""),182.0)</f>
        <v>182</v>
      </c>
      <c r="C71" s="69">
        <f>IFERROR(__xludf.DUMMYFUNCTION("""COMPUTED_VALUE"""),115.92)</f>
        <v>115.92</v>
      </c>
      <c r="D71" s="1" t="str">
        <f>IFERROR(__xludf.DUMMYFUNCTION("""COMPUTED_VALUE"""),"USD")</f>
        <v>USD</v>
      </c>
      <c r="E71" s="1" t="str">
        <f>IFERROR(__xludf.DUMMYFUNCTION("""COMPUTED_VALUE"""),"Efectivo USD")</f>
        <v>Efectivo USD</v>
      </c>
      <c r="F71" s="1" t="str">
        <f>IFERROR(__xludf.DUMMYFUNCTION("""COMPUTED_VALUE"""),"EMPRENDIMIENTO IRMA RODRIGUEZ 6")</f>
        <v>EMPRENDIMIENTO IRMA RODRIGUEZ 6</v>
      </c>
      <c r="G71" s="70">
        <f>IFERROR(__xludf.DUMMYFUNCTION("""COMPUTED_VALUE"""),474.5338)</f>
        <v>474.5338</v>
      </c>
      <c r="H71" s="1"/>
      <c r="I71" s="71">
        <f>IFERROR(__xludf.DUMMYFUNCTION("""COMPUTED_VALUE"""),115.92)</f>
        <v>115.92</v>
      </c>
      <c r="J71" s="69">
        <f>IFERROR(__xludf.DUMMYFUNCTION("""COMPUTED_VALUE"""),115.92)</f>
        <v>115.92</v>
      </c>
      <c r="K71" s="4">
        <f>IFERROR(__xludf.DUMMYFUNCTION("""COMPUTED_VALUE"""),115.92)</f>
        <v>115.92</v>
      </c>
      <c r="N71" s="67"/>
      <c r="R71" s="4"/>
    </row>
    <row r="72">
      <c r="A72" s="66">
        <f>IFERROR(__xludf.DUMMYFUNCTION("""COMPUTED_VALUE"""),46119.0)</f>
        <v>46119</v>
      </c>
      <c r="B72" s="67">
        <f>IFERROR(__xludf.DUMMYFUNCTION("""COMPUTED_VALUE"""),184.0)</f>
        <v>184</v>
      </c>
      <c r="C72" s="69">
        <f>IFERROR(__xludf.DUMMYFUNCTION("""COMPUTED_VALUE"""),64.8)</f>
        <v>64.8</v>
      </c>
      <c r="D72" s="1" t="str">
        <f>IFERROR(__xludf.DUMMYFUNCTION("""COMPUTED_VALUE"""),"USD")</f>
        <v>USD</v>
      </c>
      <c r="E72" s="1" t="str">
        <f>IFERROR(__xludf.DUMMYFUNCTION("""COMPUTED_VALUE"""),"Efectivo USD")</f>
        <v>Efectivo USD</v>
      </c>
      <c r="F72" s="1" t="str">
        <f>IFERROR(__xludf.DUMMYFUNCTION("""COMPUTED_VALUE"""),"EMPRENDIMIENTO IRMA RODRIGUEZ 6")</f>
        <v>EMPRENDIMIENTO IRMA RODRIGUEZ 6</v>
      </c>
      <c r="G72" s="70">
        <f>IFERROR(__xludf.DUMMYFUNCTION("""COMPUTED_VALUE"""),474.5338)</f>
        <v>474.5338</v>
      </c>
      <c r="H72" s="1"/>
      <c r="I72" s="71">
        <f>IFERROR(__xludf.DUMMYFUNCTION("""COMPUTED_VALUE"""),64.8)</f>
        <v>64.8</v>
      </c>
      <c r="J72" s="69">
        <f>IFERROR(__xludf.DUMMYFUNCTION("""COMPUTED_VALUE"""),64.8)</f>
        <v>64.8</v>
      </c>
      <c r="K72" s="4">
        <f>IFERROR(__xludf.DUMMYFUNCTION("""COMPUTED_VALUE"""),64.8)</f>
        <v>64.8</v>
      </c>
      <c r="N72" s="67"/>
      <c r="R72" s="4"/>
    </row>
    <row r="73">
      <c r="A73" s="66">
        <f>IFERROR(__xludf.DUMMYFUNCTION("""COMPUTED_VALUE"""),46119.0)</f>
        <v>46119</v>
      </c>
      <c r="B73" s="67">
        <f>IFERROR(__xludf.DUMMYFUNCTION("""COMPUTED_VALUE"""),94.0)</f>
        <v>94</v>
      </c>
      <c r="C73" s="69">
        <f>IFERROR(__xludf.DUMMYFUNCTION("""COMPUTED_VALUE"""),23726.5)</f>
        <v>23726.5</v>
      </c>
      <c r="D73" s="1" t="str">
        <f>IFERROR(__xludf.DUMMYFUNCTION("""COMPUTED_VALUE"""),"VES")</f>
        <v>VES</v>
      </c>
      <c r="E73" s="1" t="str">
        <f>IFERROR(__xludf.DUMMYFUNCTION("""COMPUTED_VALUE"""),"Venezuela")</f>
        <v>Venezuela</v>
      </c>
      <c r="F73" s="1" t="str">
        <f>IFERROR(__xludf.DUMMYFUNCTION("""COMPUTED_VALUE"""),"Moto repuestos jj")</f>
        <v>Moto repuestos jj</v>
      </c>
      <c r="G73" s="70">
        <f>IFERROR(__xludf.DUMMYFUNCTION("""COMPUTED_VALUE"""),474.5338)</f>
        <v>474.5338</v>
      </c>
      <c r="H73" s="1"/>
      <c r="I73" s="71">
        <f>IFERROR(__xludf.DUMMYFUNCTION("""COMPUTED_VALUE"""),49.999599607024834)</f>
        <v>49.99959961</v>
      </c>
      <c r="J73" s="69">
        <f>IFERROR(__xludf.DUMMYFUNCTION("""COMPUTED_VALUE"""),0.0)</f>
        <v>0</v>
      </c>
      <c r="K73" s="4">
        <f>IFERROR(__xludf.DUMMYFUNCTION("""COMPUTED_VALUE"""),49.999599607024834)</f>
        <v>49.99959961</v>
      </c>
      <c r="N73" s="67"/>
      <c r="R73" s="4"/>
    </row>
    <row r="74">
      <c r="A74" s="66">
        <f>IFERROR(__xludf.DUMMYFUNCTION("""COMPUTED_VALUE"""),46120.0)</f>
        <v>46120</v>
      </c>
      <c r="B74" s="67">
        <f>IFERROR(__xludf.DUMMYFUNCTION("""COMPUTED_VALUE"""),185.0)</f>
        <v>185</v>
      </c>
      <c r="C74" s="69">
        <f>IFERROR(__xludf.DUMMYFUNCTION("""COMPUTED_VALUE"""),74937.81)</f>
        <v>74937.81</v>
      </c>
      <c r="D74" s="1" t="str">
        <f>IFERROR(__xludf.DUMMYFUNCTION("""COMPUTED_VALUE"""),"VES")</f>
        <v>VES</v>
      </c>
      <c r="E74" s="1" t="str">
        <f>IFERROR(__xludf.DUMMYFUNCTION("""COMPUTED_VALUE"""),"Bancamiga")</f>
        <v>Bancamiga</v>
      </c>
      <c r="F74" s="1" t="str">
        <f>IFERROR(__xludf.DUMMYFUNCTION("""COMPUTED_VALUE"""),"Pidelo Y Punto,c.a.")</f>
        <v>Pidelo Y Punto,c.a.</v>
      </c>
      <c r="G74" s="70">
        <f>IFERROR(__xludf.DUMMYFUNCTION("""COMPUTED_VALUE"""),475.9583)</f>
        <v>475.9583</v>
      </c>
      <c r="H74" s="1"/>
      <c r="I74" s="71">
        <f>IFERROR(__xludf.DUMMYFUNCTION("""COMPUTED_VALUE"""),157.44616702765768)</f>
        <v>157.446167</v>
      </c>
      <c r="J74" s="69">
        <f>IFERROR(__xludf.DUMMYFUNCTION("""COMPUTED_VALUE"""),0.0)</f>
        <v>0</v>
      </c>
      <c r="K74" s="4">
        <f>IFERROR(__xludf.DUMMYFUNCTION("""COMPUTED_VALUE"""),157.44616702765768)</f>
        <v>157.446167</v>
      </c>
      <c r="N74" s="67"/>
      <c r="R74" s="4"/>
    </row>
    <row r="75">
      <c r="A75" s="66">
        <f>IFERROR(__xludf.DUMMYFUNCTION("""COMPUTED_VALUE"""),46120.0)</f>
        <v>46120</v>
      </c>
      <c r="B75" s="67">
        <f>IFERROR(__xludf.DUMMYFUNCTION("""COMPUTED_VALUE"""),20.0)</f>
        <v>20</v>
      </c>
      <c r="C75" s="69">
        <f>IFERROR(__xludf.DUMMYFUNCTION("""COMPUTED_VALUE"""),10995.0)</f>
        <v>10995</v>
      </c>
      <c r="D75" s="1" t="str">
        <f>IFERROR(__xludf.DUMMYFUNCTION("""COMPUTED_VALUE"""),"VES")</f>
        <v>VES</v>
      </c>
      <c r="E75" s="1" t="str">
        <f>IFERROR(__xludf.DUMMYFUNCTION("""COMPUTED_VALUE"""),"Bancamiga")</f>
        <v>Bancamiga</v>
      </c>
      <c r="F75" s="1" t="str">
        <f>IFERROR(__xludf.DUMMYFUNCTION("""COMPUTED_VALUE"""),"EMPRENDIMIENTO TOMAS MARCANO 5")</f>
        <v>EMPRENDIMIENTO TOMAS MARCANO 5</v>
      </c>
      <c r="G75" s="70">
        <f>IFERROR(__xludf.DUMMYFUNCTION("""COMPUTED_VALUE"""),549.6986)</f>
        <v>549.6986</v>
      </c>
      <c r="H75" s="1"/>
      <c r="I75" s="71">
        <f>IFERROR(__xludf.DUMMYFUNCTION("""COMPUTED_VALUE"""),20.001870115732512)</f>
        <v>20.00187012</v>
      </c>
      <c r="J75" s="69">
        <f>IFERROR(__xludf.DUMMYFUNCTION("""COMPUTED_VALUE"""),0.0)</f>
        <v>0</v>
      </c>
      <c r="K75" s="4">
        <f>IFERROR(__xludf.DUMMYFUNCTION("""COMPUTED_VALUE"""),20.001870115732512)</f>
        <v>20.00187012</v>
      </c>
      <c r="N75" s="67"/>
      <c r="R75" s="4"/>
    </row>
    <row r="76">
      <c r="A76" s="66">
        <f>IFERROR(__xludf.DUMMYFUNCTION("""COMPUTED_VALUE"""),46121.0)</f>
        <v>46121</v>
      </c>
      <c r="B76" s="67">
        <f>IFERROR(__xludf.DUMMYFUNCTION("""COMPUTED_VALUE"""),131.0)</f>
        <v>131</v>
      </c>
      <c r="C76" s="69">
        <f>IFERROR(__xludf.DUMMYFUNCTION("""COMPUTED_VALUE"""),4.0)</f>
        <v>4</v>
      </c>
      <c r="D76" s="1" t="str">
        <f>IFERROR(__xludf.DUMMYFUNCTION("""COMPUTED_VALUE"""),"USD")</f>
        <v>USD</v>
      </c>
      <c r="E76" s="1" t="str">
        <f>IFERROR(__xludf.DUMMYFUNCTION("""COMPUTED_VALUE"""),"Efectivo USD")</f>
        <v>Efectivo USD</v>
      </c>
      <c r="F76" s="1" t="str">
        <f>IFERROR(__xludf.DUMMYFUNCTION("""COMPUTED_VALUE"""),"Neykel Quevedo")</f>
        <v>Neykel Quevedo</v>
      </c>
      <c r="G76" s="70">
        <f>IFERROR(__xludf.DUMMYFUNCTION("""COMPUTED_VALUE"""),473.9176)</f>
        <v>473.9176</v>
      </c>
      <c r="H76" s="1"/>
      <c r="I76" s="71">
        <f>IFERROR(__xludf.DUMMYFUNCTION("""COMPUTED_VALUE"""),4.0)</f>
        <v>4</v>
      </c>
      <c r="J76" s="69">
        <f>IFERROR(__xludf.DUMMYFUNCTION("""COMPUTED_VALUE"""),4.0)</f>
        <v>4</v>
      </c>
      <c r="K76" s="4">
        <f>IFERROR(__xludf.DUMMYFUNCTION("""COMPUTED_VALUE"""),4.0)</f>
        <v>4</v>
      </c>
      <c r="N76" s="67"/>
      <c r="R76" s="4"/>
    </row>
    <row r="77">
      <c r="A77" s="66">
        <f>IFERROR(__xludf.DUMMYFUNCTION("""COMPUTED_VALUE"""),46121.0)</f>
        <v>46121</v>
      </c>
      <c r="B77" s="67">
        <f>IFERROR(__xludf.DUMMYFUNCTION("""COMPUTED_VALUE"""),190.0)</f>
        <v>190</v>
      </c>
      <c r="C77" s="69">
        <f>IFERROR(__xludf.DUMMYFUNCTION("""COMPUTED_VALUE"""),345.0)</f>
        <v>345</v>
      </c>
      <c r="D77" s="1" t="str">
        <f>IFERROR(__xludf.DUMMYFUNCTION("""COMPUTED_VALUE"""),"USD")</f>
        <v>USD</v>
      </c>
      <c r="E77" s="1" t="str">
        <f>IFERROR(__xludf.DUMMYFUNCTION("""COMPUTED_VALUE"""),"Efectivo USD")</f>
        <v>Efectivo USD</v>
      </c>
      <c r="F77" s="1" t="str">
        <f>IFERROR(__xludf.DUMMYFUNCTION("""COMPUTED_VALUE"""),"Anthony Jose Quijada Diaz.")</f>
        <v>Anthony Jose Quijada Diaz.</v>
      </c>
      <c r="G77" s="70">
        <f>IFERROR(__xludf.DUMMYFUNCTION("""COMPUTED_VALUE"""),473.9176)</f>
        <v>473.9176</v>
      </c>
      <c r="H77" s="1"/>
      <c r="I77" s="71">
        <f>IFERROR(__xludf.DUMMYFUNCTION("""COMPUTED_VALUE"""),345.0)</f>
        <v>345</v>
      </c>
      <c r="J77" s="69">
        <f>IFERROR(__xludf.DUMMYFUNCTION("""COMPUTED_VALUE"""),345.0)</f>
        <v>345</v>
      </c>
      <c r="K77" s="4">
        <f>IFERROR(__xludf.DUMMYFUNCTION("""COMPUTED_VALUE"""),345.0)</f>
        <v>345</v>
      </c>
      <c r="N77" s="67"/>
      <c r="R77" s="4"/>
    </row>
    <row r="78">
      <c r="A78" s="66">
        <f>IFERROR(__xludf.DUMMYFUNCTION("""COMPUTED_VALUE"""),46121.0)</f>
        <v>46121</v>
      </c>
      <c r="B78" s="67">
        <f>IFERROR(__xludf.DUMMYFUNCTION("""COMPUTED_VALUE"""),190.0)</f>
        <v>190</v>
      </c>
      <c r="C78" s="69">
        <f>IFERROR(__xludf.DUMMYFUNCTION("""COMPUTED_VALUE"""),285.58)</f>
        <v>285.58</v>
      </c>
      <c r="D78" s="1" t="str">
        <f>IFERROR(__xludf.DUMMYFUNCTION("""COMPUTED_VALUE"""),"VES")</f>
        <v>VES</v>
      </c>
      <c r="E78" s="1" t="str">
        <f>IFERROR(__xludf.DUMMYFUNCTION("""COMPUTED_VALUE"""),"Bancamiga")</f>
        <v>Bancamiga</v>
      </c>
      <c r="F78" s="1" t="str">
        <f>IFERROR(__xludf.DUMMYFUNCTION("""COMPUTED_VALUE"""),"Anthony Jose Quijada Diaz.")</f>
        <v>Anthony Jose Quijada Diaz.</v>
      </c>
      <c r="G78" s="70">
        <f>IFERROR(__xludf.DUMMYFUNCTION("""COMPUTED_VALUE"""),473.9176)</f>
        <v>473.9176</v>
      </c>
      <c r="H78" s="1"/>
      <c r="I78" s="71">
        <f>IFERROR(__xludf.DUMMYFUNCTION("""COMPUTED_VALUE"""),0.6025942062502004)</f>
        <v>0.6025942063</v>
      </c>
      <c r="J78" s="69">
        <f>IFERROR(__xludf.DUMMYFUNCTION("""COMPUTED_VALUE"""),0.0)</f>
        <v>0</v>
      </c>
      <c r="K78" s="4">
        <f>IFERROR(__xludf.DUMMYFUNCTION("""COMPUTED_VALUE"""),0.6025942062502004)</f>
        <v>0.6025942063</v>
      </c>
      <c r="N78" s="67"/>
      <c r="R78" s="4"/>
    </row>
    <row r="79">
      <c r="A79" s="66">
        <f>IFERROR(__xludf.DUMMYFUNCTION("""COMPUTED_VALUE"""),46121.0)</f>
        <v>46121</v>
      </c>
      <c r="B79" s="67">
        <f>IFERROR(__xludf.DUMMYFUNCTION("""COMPUTED_VALUE"""),176.0)</f>
        <v>176</v>
      </c>
      <c r="C79" s="69">
        <f>IFERROR(__xludf.DUMMYFUNCTION("""COMPUTED_VALUE"""),50.0)</f>
        <v>50</v>
      </c>
      <c r="D79" s="1" t="str">
        <f>IFERROR(__xludf.DUMMYFUNCTION("""COMPUTED_VALUE"""),"USD")</f>
        <v>USD</v>
      </c>
      <c r="E79" s="1" t="str">
        <f>IFERROR(__xludf.DUMMYFUNCTION("""COMPUTED_VALUE"""),"Efectivo USD")</f>
        <v>Efectivo USD</v>
      </c>
      <c r="F79" s="1" t="str">
        <f>IFERROR(__xludf.DUMMYFUNCTION("""COMPUTED_VALUE"""),"Jose Angel Gutierrez Rodriguez")</f>
        <v>Jose Angel Gutierrez Rodriguez</v>
      </c>
      <c r="G79" s="70">
        <f>IFERROR(__xludf.DUMMYFUNCTION("""COMPUTED_VALUE"""),473.9176)</f>
        <v>473.9176</v>
      </c>
      <c r="H79" s="1"/>
      <c r="I79" s="71">
        <f>IFERROR(__xludf.DUMMYFUNCTION("""COMPUTED_VALUE"""),50.0)</f>
        <v>50</v>
      </c>
      <c r="J79" s="69">
        <f>IFERROR(__xludf.DUMMYFUNCTION("""COMPUTED_VALUE"""),50.0)</f>
        <v>50</v>
      </c>
      <c r="K79" s="4">
        <f>IFERROR(__xludf.DUMMYFUNCTION("""COMPUTED_VALUE"""),50.0)</f>
        <v>50</v>
      </c>
      <c r="N79" s="67"/>
      <c r="R79" s="4"/>
    </row>
    <row r="80">
      <c r="A80" s="66">
        <f>IFERROR(__xludf.DUMMYFUNCTION("""COMPUTED_VALUE"""),46121.0)</f>
        <v>46121</v>
      </c>
      <c r="B80" s="67">
        <f>IFERROR(__xludf.DUMMYFUNCTION("""COMPUTED_VALUE"""),153.0)</f>
        <v>153</v>
      </c>
      <c r="C80" s="69">
        <f>IFERROR(__xludf.DUMMYFUNCTION("""COMPUTED_VALUE"""),128.0)</f>
        <v>128</v>
      </c>
      <c r="D80" s="1" t="str">
        <f>IFERROR(__xludf.DUMMYFUNCTION("""COMPUTED_VALUE"""),"USD")</f>
        <v>USD</v>
      </c>
      <c r="E80" s="1" t="str">
        <f>IFERROR(__xludf.DUMMYFUNCTION("""COMPUTED_VALUE"""),"Efectivo USD")</f>
        <v>Efectivo USD</v>
      </c>
      <c r="F80" s="1" t="str">
        <f>IFERROR(__xludf.DUMMYFUNCTION("""COMPUTED_VALUE"""),"Emprendimiento Yeizon Villaroel")</f>
        <v>Emprendimiento Yeizon Villaroel</v>
      </c>
      <c r="G80" s="70">
        <f>IFERROR(__xludf.DUMMYFUNCTION("""COMPUTED_VALUE"""),473.9176)</f>
        <v>473.9176</v>
      </c>
      <c r="H80" s="1"/>
      <c r="I80" s="71">
        <f>IFERROR(__xludf.DUMMYFUNCTION("""COMPUTED_VALUE"""),128.0)</f>
        <v>128</v>
      </c>
      <c r="J80" s="69">
        <f>IFERROR(__xludf.DUMMYFUNCTION("""COMPUTED_VALUE"""),128.0)</f>
        <v>128</v>
      </c>
      <c r="K80" s="4">
        <f>IFERROR(__xludf.DUMMYFUNCTION("""COMPUTED_VALUE"""),128.0)</f>
        <v>128</v>
      </c>
      <c r="N80" s="67"/>
      <c r="R80" s="4"/>
    </row>
    <row r="81">
      <c r="A81" s="66">
        <f>IFERROR(__xludf.DUMMYFUNCTION("""COMPUTED_VALUE"""),46121.0)</f>
        <v>46121</v>
      </c>
      <c r="B81" s="67">
        <f>IFERROR(__xludf.DUMMYFUNCTION("""COMPUTED_VALUE"""),89.0)</f>
        <v>89</v>
      </c>
      <c r="C81" s="69">
        <f>IFERROR(__xludf.DUMMYFUNCTION("""COMPUTED_VALUE"""),90.0)</f>
        <v>90</v>
      </c>
      <c r="D81" s="1" t="str">
        <f>IFERROR(__xludf.DUMMYFUNCTION("""COMPUTED_VALUE"""),"USD")</f>
        <v>USD</v>
      </c>
      <c r="E81" s="1" t="str">
        <f>IFERROR(__xludf.DUMMYFUNCTION("""COMPUTED_VALUE"""),"Efectivo USD")</f>
        <v>Efectivo USD</v>
      </c>
      <c r="F81" s="1" t="str">
        <f>IFERROR(__xludf.DUMMYFUNCTION("""COMPUTED_VALUE"""),"Moto Repuestos Sanz 11. C.A.")</f>
        <v>Moto Repuestos Sanz 11. C.A.</v>
      </c>
      <c r="G81" s="70">
        <f>IFERROR(__xludf.DUMMYFUNCTION("""COMPUTED_VALUE"""),473.9176)</f>
        <v>473.9176</v>
      </c>
      <c r="H81" s="1"/>
      <c r="I81" s="71">
        <f>IFERROR(__xludf.DUMMYFUNCTION("""COMPUTED_VALUE"""),90.0)</f>
        <v>90</v>
      </c>
      <c r="J81" s="69">
        <f>IFERROR(__xludf.DUMMYFUNCTION("""COMPUTED_VALUE"""),90.0)</f>
        <v>90</v>
      </c>
      <c r="K81" s="4">
        <f>IFERROR(__xludf.DUMMYFUNCTION("""COMPUTED_VALUE"""),90.0)</f>
        <v>90</v>
      </c>
      <c r="N81" s="67"/>
      <c r="R81" s="4"/>
    </row>
    <row r="82">
      <c r="A82" s="66">
        <f>IFERROR(__xludf.DUMMYFUNCTION("""COMPUTED_VALUE"""),46121.0)</f>
        <v>46121</v>
      </c>
      <c r="B82" s="67">
        <f>IFERROR(__xludf.DUMMYFUNCTION("""COMPUTED_VALUE"""),37.0)</f>
        <v>37</v>
      </c>
      <c r="C82" s="69">
        <f>IFERROR(__xludf.DUMMYFUNCTION("""COMPUTED_VALUE"""),38.0)</f>
        <v>38</v>
      </c>
      <c r="D82" s="1" t="str">
        <f>IFERROR(__xludf.DUMMYFUNCTION("""COMPUTED_VALUE"""),"USD")</f>
        <v>USD</v>
      </c>
      <c r="E82" s="1" t="str">
        <f>IFERROR(__xludf.DUMMYFUNCTION("""COMPUTED_VALUE"""),"Efectivo USD")</f>
        <v>Efectivo USD</v>
      </c>
      <c r="F82" s="1" t="str">
        <f>IFERROR(__xludf.DUMMYFUNCTION("""COMPUTED_VALUE"""),"Junior Marco Antonio Vivas Navas")</f>
        <v>Junior Marco Antonio Vivas Navas</v>
      </c>
      <c r="G82" s="70">
        <f>IFERROR(__xludf.DUMMYFUNCTION("""COMPUTED_VALUE"""),473.9176)</f>
        <v>473.9176</v>
      </c>
      <c r="H82" s="1"/>
      <c r="I82" s="71">
        <f>IFERROR(__xludf.DUMMYFUNCTION("""COMPUTED_VALUE"""),38.0)</f>
        <v>38</v>
      </c>
      <c r="J82" s="69">
        <f>IFERROR(__xludf.DUMMYFUNCTION("""COMPUTED_VALUE"""),38.0)</f>
        <v>38</v>
      </c>
      <c r="K82" s="4">
        <f>IFERROR(__xludf.DUMMYFUNCTION("""COMPUTED_VALUE"""),38.0)</f>
        <v>38</v>
      </c>
      <c r="N82" s="67"/>
      <c r="R82" s="4"/>
    </row>
    <row r="83">
      <c r="A83" s="66">
        <f>IFERROR(__xludf.DUMMYFUNCTION("""COMPUTED_VALUE"""),46121.0)</f>
        <v>46121</v>
      </c>
      <c r="B83" s="67">
        <f>IFERROR(__xludf.DUMMYFUNCTION("""COMPUTED_VALUE"""),188.0)</f>
        <v>188</v>
      </c>
      <c r="C83" s="69">
        <f>IFERROR(__xludf.DUMMYFUNCTION("""COMPUTED_VALUE"""),143.0)</f>
        <v>143</v>
      </c>
      <c r="D83" s="1" t="str">
        <f>IFERROR(__xludf.DUMMYFUNCTION("""COMPUTED_VALUE"""),"USD")</f>
        <v>USD</v>
      </c>
      <c r="E83" s="1" t="str">
        <f>IFERROR(__xludf.DUMMYFUNCTION("""COMPUTED_VALUE"""),"Efectivo USD")</f>
        <v>Efectivo USD</v>
      </c>
      <c r="F83" s="1" t="str">
        <f>IFERROR(__xludf.DUMMYFUNCTION("""COMPUTED_VALUE"""),"EMPRENDIMIENTO IRMA RODRIGUEZ 6")</f>
        <v>EMPRENDIMIENTO IRMA RODRIGUEZ 6</v>
      </c>
      <c r="G83" s="70">
        <f>IFERROR(__xludf.DUMMYFUNCTION("""COMPUTED_VALUE"""),473.9176)</f>
        <v>473.9176</v>
      </c>
      <c r="H83" s="1"/>
      <c r="I83" s="71">
        <f>IFERROR(__xludf.DUMMYFUNCTION("""COMPUTED_VALUE"""),143.0)</f>
        <v>143</v>
      </c>
      <c r="J83" s="69">
        <f>IFERROR(__xludf.DUMMYFUNCTION("""COMPUTED_VALUE"""),143.0)</f>
        <v>143</v>
      </c>
      <c r="K83" s="4">
        <f>IFERROR(__xludf.DUMMYFUNCTION("""COMPUTED_VALUE"""),143.0)</f>
        <v>143</v>
      </c>
      <c r="N83" s="67"/>
      <c r="R83" s="4"/>
    </row>
    <row r="84">
      <c r="A84" s="66">
        <f>IFERROR(__xludf.DUMMYFUNCTION("""COMPUTED_VALUE"""),46121.0)</f>
        <v>46121</v>
      </c>
      <c r="B84" s="67">
        <f>IFERROR(__xludf.DUMMYFUNCTION("""COMPUTED_VALUE"""),105.0)</f>
        <v>105</v>
      </c>
      <c r="C84" s="69">
        <f>IFERROR(__xludf.DUMMYFUNCTION("""COMPUTED_VALUE"""),30000.0)</f>
        <v>30000</v>
      </c>
      <c r="D84" s="1" t="str">
        <f>IFERROR(__xludf.DUMMYFUNCTION("""COMPUTED_VALUE"""),"VES")</f>
        <v>VES</v>
      </c>
      <c r="E84" s="1" t="str">
        <f>IFERROR(__xludf.DUMMYFUNCTION("""COMPUTED_VALUE"""),"Bancamiga")</f>
        <v>Bancamiga</v>
      </c>
      <c r="F84" s="1" t="str">
        <f>IFERROR(__xludf.DUMMYFUNCTION("""COMPUTED_VALUE"""),"Ricardo A. Fernandez.")</f>
        <v>Ricardo A. Fernandez.</v>
      </c>
      <c r="G84" s="70">
        <f>IFERROR(__xludf.DUMMYFUNCTION("""COMPUTED_VALUE"""),473.9176)</f>
        <v>473.9176</v>
      </c>
      <c r="H84" s="1"/>
      <c r="I84" s="71">
        <f>IFERROR(__xludf.DUMMYFUNCTION("""COMPUTED_VALUE"""),63.30214366379303)</f>
        <v>63.30214366</v>
      </c>
      <c r="J84" s="69">
        <f>IFERROR(__xludf.DUMMYFUNCTION("""COMPUTED_VALUE"""),0.0)</f>
        <v>0</v>
      </c>
      <c r="K84" s="4">
        <f>IFERROR(__xludf.DUMMYFUNCTION("""COMPUTED_VALUE"""),63.30214366379303)</f>
        <v>63.30214366</v>
      </c>
      <c r="N84" s="67"/>
      <c r="R84" s="4"/>
    </row>
    <row r="85">
      <c r="A85" s="66">
        <f>IFERROR(__xludf.DUMMYFUNCTION("""COMPUTED_VALUE"""),46121.0)</f>
        <v>46121</v>
      </c>
      <c r="B85" s="67">
        <f>IFERROR(__xludf.DUMMYFUNCTION("""COMPUTED_VALUE"""),94.0)</f>
        <v>94</v>
      </c>
      <c r="C85" s="69">
        <f>IFERROR(__xludf.DUMMYFUNCTION("""COMPUTED_VALUE"""),23797.5)</f>
        <v>23797.5</v>
      </c>
      <c r="D85" s="1" t="str">
        <f>IFERROR(__xludf.DUMMYFUNCTION("""COMPUTED_VALUE"""),"VES")</f>
        <v>VES</v>
      </c>
      <c r="E85" s="1" t="str">
        <f>IFERROR(__xludf.DUMMYFUNCTION("""COMPUTED_VALUE"""),"Venezuela")</f>
        <v>Venezuela</v>
      </c>
      <c r="F85" s="1" t="str">
        <f>IFERROR(__xludf.DUMMYFUNCTION("""COMPUTED_VALUE"""),"Moto repuestos jj")</f>
        <v>Moto repuestos jj</v>
      </c>
      <c r="G85" s="70">
        <f>IFERROR(__xludf.DUMMYFUNCTION("""COMPUTED_VALUE"""),473.9176)</f>
        <v>473.9176</v>
      </c>
      <c r="H85" s="1"/>
      <c r="I85" s="71">
        <f>IFERROR(__xludf.DUMMYFUNCTION("""COMPUTED_VALUE"""),50.214425461303826)</f>
        <v>50.21442546</v>
      </c>
      <c r="J85" s="69">
        <f>IFERROR(__xludf.DUMMYFUNCTION("""COMPUTED_VALUE"""),0.0)</f>
        <v>0</v>
      </c>
      <c r="K85" s="4">
        <f>IFERROR(__xludf.DUMMYFUNCTION("""COMPUTED_VALUE"""),50.214425461303826)</f>
        <v>50.21442546</v>
      </c>
      <c r="N85" s="67"/>
      <c r="R85" s="4"/>
    </row>
    <row r="86">
      <c r="A86" s="66">
        <f>IFERROR(__xludf.DUMMYFUNCTION("""COMPUTED_VALUE"""),46121.0)</f>
        <v>46121</v>
      </c>
      <c r="B86" s="67">
        <f>IFERROR(__xludf.DUMMYFUNCTION("""COMPUTED_VALUE"""),195.0)</f>
        <v>195</v>
      </c>
      <c r="C86" s="69">
        <f>IFERROR(__xludf.DUMMYFUNCTION("""COMPUTED_VALUE"""),681.0)</f>
        <v>681</v>
      </c>
      <c r="D86" s="1" t="str">
        <f>IFERROR(__xludf.DUMMYFUNCTION("""COMPUTED_VALUE"""),"USD")</f>
        <v>USD</v>
      </c>
      <c r="E86" s="1" t="str">
        <f>IFERROR(__xludf.DUMMYFUNCTION("""COMPUTED_VALUE"""),"Efectivo USD")</f>
        <v>Efectivo USD</v>
      </c>
      <c r="F86" s="1" t="str">
        <f>IFERROR(__xludf.DUMMYFUNCTION("""COMPUTED_VALUE"""),"Paola M. Aguilera Z.")</f>
        <v>Paola M. Aguilera Z.</v>
      </c>
      <c r="G86" s="70">
        <f>IFERROR(__xludf.DUMMYFUNCTION("""COMPUTED_VALUE"""),473.9176)</f>
        <v>473.9176</v>
      </c>
      <c r="H86" s="1"/>
      <c r="I86" s="71">
        <f>IFERROR(__xludf.DUMMYFUNCTION("""COMPUTED_VALUE"""),681.0)</f>
        <v>681</v>
      </c>
      <c r="J86" s="69">
        <f>IFERROR(__xludf.DUMMYFUNCTION("""COMPUTED_VALUE"""),681.0)</f>
        <v>681</v>
      </c>
      <c r="K86" s="4">
        <f>IFERROR(__xludf.DUMMYFUNCTION("""COMPUTED_VALUE"""),681.0)</f>
        <v>681</v>
      </c>
      <c r="N86" s="67"/>
      <c r="R86" s="4"/>
    </row>
    <row r="87">
      <c r="A87" s="66">
        <f>IFERROR(__xludf.DUMMYFUNCTION("""COMPUTED_VALUE"""),46122.0)</f>
        <v>46122</v>
      </c>
      <c r="B87" s="67">
        <f>IFERROR(__xludf.DUMMYFUNCTION("""COMPUTED_VALUE"""),202.0)</f>
        <v>202</v>
      </c>
      <c r="C87" s="69">
        <f>IFERROR(__xludf.DUMMYFUNCTION("""COMPUTED_VALUE"""),107.0)</f>
        <v>107</v>
      </c>
      <c r="D87" s="1" t="str">
        <f>IFERROR(__xludf.DUMMYFUNCTION("""COMPUTED_VALUE"""),"USD")</f>
        <v>USD</v>
      </c>
      <c r="E87" s="1" t="str">
        <f>IFERROR(__xludf.DUMMYFUNCTION("""COMPUTED_VALUE"""),"Efectivo USD")</f>
        <v>Efectivo USD</v>
      </c>
      <c r="F87" s="1" t="str">
        <f>IFERROR(__xludf.DUMMYFUNCTION("""COMPUTED_VALUE"""),"Motorepuestos HD 94, C.A")</f>
        <v>Motorepuestos HD 94, C.A</v>
      </c>
      <c r="G87" s="70">
        <f>IFERROR(__xludf.DUMMYFUNCTION("""COMPUTED_VALUE"""),476.4342)</f>
        <v>476.4342</v>
      </c>
      <c r="H87" s="1"/>
      <c r="I87" s="71">
        <f>IFERROR(__xludf.DUMMYFUNCTION("""COMPUTED_VALUE"""),107.0)</f>
        <v>107</v>
      </c>
      <c r="J87" s="69">
        <f>IFERROR(__xludf.DUMMYFUNCTION("""COMPUTED_VALUE"""),107.0)</f>
        <v>107</v>
      </c>
      <c r="K87" s="4">
        <f>IFERROR(__xludf.DUMMYFUNCTION("""COMPUTED_VALUE"""),107.0)</f>
        <v>107</v>
      </c>
      <c r="N87" s="67"/>
      <c r="R87" s="4"/>
    </row>
    <row r="88">
      <c r="A88" s="66">
        <f>IFERROR(__xludf.DUMMYFUNCTION("""COMPUTED_VALUE"""),46122.0)</f>
        <v>46122</v>
      </c>
      <c r="B88" s="67">
        <f>IFERROR(__xludf.DUMMYFUNCTION("""COMPUTED_VALUE"""),159.0)</f>
        <v>159</v>
      </c>
      <c r="C88" s="69">
        <f>IFERROR(__xludf.DUMMYFUNCTION("""COMPUTED_VALUE"""),500.0)</f>
        <v>500</v>
      </c>
      <c r="D88" s="1" t="str">
        <f>IFERROR(__xludf.DUMMYFUNCTION("""COMPUTED_VALUE"""),"USD")</f>
        <v>USD</v>
      </c>
      <c r="E88" s="1" t="str">
        <f>IFERROR(__xludf.DUMMYFUNCTION("""COMPUTED_VALUE"""),"Efectivo USD")</f>
        <v>Efectivo USD</v>
      </c>
      <c r="F88" s="1" t="str">
        <f>IFERROR(__xludf.DUMMYFUNCTION("""COMPUTED_VALUE"""),"Grupo 3030, C.A")</f>
        <v>Grupo 3030, C.A</v>
      </c>
      <c r="G88" s="70">
        <f>IFERROR(__xludf.DUMMYFUNCTION("""COMPUTED_VALUE"""),476.4342)</f>
        <v>476.4342</v>
      </c>
      <c r="H88" s="1"/>
      <c r="I88" s="71">
        <f>IFERROR(__xludf.DUMMYFUNCTION("""COMPUTED_VALUE"""),500.0)</f>
        <v>500</v>
      </c>
      <c r="J88" s="69">
        <f>IFERROR(__xludf.DUMMYFUNCTION("""COMPUTED_VALUE"""),500.0)</f>
        <v>500</v>
      </c>
      <c r="K88" s="4">
        <f>IFERROR(__xludf.DUMMYFUNCTION("""COMPUTED_VALUE"""),500.0)</f>
        <v>500</v>
      </c>
      <c r="N88" s="67"/>
      <c r="R88" s="4"/>
    </row>
    <row r="89">
      <c r="A89" s="66">
        <f>IFERROR(__xludf.DUMMYFUNCTION("""COMPUTED_VALUE"""),46122.0)</f>
        <v>46122</v>
      </c>
      <c r="B89" s="67">
        <f>IFERROR(__xludf.DUMMYFUNCTION("""COMPUTED_VALUE"""),158.0)</f>
        <v>158</v>
      </c>
      <c r="C89" s="69">
        <f>IFERROR(__xludf.DUMMYFUNCTION("""COMPUTED_VALUE"""),220.0)</f>
        <v>220</v>
      </c>
      <c r="D89" s="1" t="str">
        <f>IFERROR(__xludf.DUMMYFUNCTION("""COMPUTED_VALUE"""),"USD")</f>
        <v>USD</v>
      </c>
      <c r="E89" s="1" t="str">
        <f>IFERROR(__xludf.DUMMYFUNCTION("""COMPUTED_VALUE"""),"Efectivo USD")</f>
        <v>Efectivo USD</v>
      </c>
      <c r="F89" s="1" t="str">
        <f>IFERROR(__xludf.DUMMYFUNCTION("""COMPUTED_VALUE"""),"Dimas Ortíz")</f>
        <v>Dimas Ortíz</v>
      </c>
      <c r="G89" s="70">
        <f>IFERROR(__xludf.DUMMYFUNCTION("""COMPUTED_VALUE"""),476.4342)</f>
        <v>476.4342</v>
      </c>
      <c r="H89" s="1"/>
      <c r="I89" s="71">
        <f>IFERROR(__xludf.DUMMYFUNCTION("""COMPUTED_VALUE"""),220.0)</f>
        <v>220</v>
      </c>
      <c r="J89" s="69">
        <f>IFERROR(__xludf.DUMMYFUNCTION("""COMPUTED_VALUE"""),220.0)</f>
        <v>220</v>
      </c>
      <c r="K89" s="4">
        <f>IFERROR(__xludf.DUMMYFUNCTION("""COMPUTED_VALUE"""),220.0)</f>
        <v>220</v>
      </c>
      <c r="N89" s="67"/>
      <c r="R89" s="4"/>
    </row>
    <row r="90">
      <c r="A90" s="66">
        <f>IFERROR(__xludf.DUMMYFUNCTION("""COMPUTED_VALUE"""),46122.0)</f>
        <v>46122</v>
      </c>
      <c r="B90" s="67">
        <f>IFERROR(__xludf.DUMMYFUNCTION("""COMPUTED_VALUE"""),56.0)</f>
        <v>56</v>
      </c>
      <c r="C90" s="69">
        <f>IFERROR(__xludf.DUMMYFUNCTION("""COMPUTED_VALUE"""),60.0)</f>
        <v>60</v>
      </c>
      <c r="D90" s="1" t="str">
        <f>IFERROR(__xludf.DUMMYFUNCTION("""COMPUTED_VALUE"""),"USD")</f>
        <v>USD</v>
      </c>
      <c r="E90" s="1" t="str">
        <f>IFERROR(__xludf.DUMMYFUNCTION("""COMPUTED_VALUE"""),"Efectivo USD")</f>
        <v>Efectivo USD</v>
      </c>
      <c r="F90" s="1" t="str">
        <f>IFERROR(__xludf.DUMMYFUNCTION("""COMPUTED_VALUE"""),"Motolavado Yahir")</f>
        <v>Motolavado Yahir</v>
      </c>
      <c r="G90" s="70">
        <f>IFERROR(__xludf.DUMMYFUNCTION("""COMPUTED_VALUE"""),476.4342)</f>
        <v>476.4342</v>
      </c>
      <c r="H90" s="1"/>
      <c r="I90" s="71">
        <f>IFERROR(__xludf.DUMMYFUNCTION("""COMPUTED_VALUE"""),60.0)</f>
        <v>60</v>
      </c>
      <c r="J90" s="69">
        <f>IFERROR(__xludf.DUMMYFUNCTION("""COMPUTED_VALUE"""),60.0)</f>
        <v>60</v>
      </c>
      <c r="K90" s="4">
        <f>IFERROR(__xludf.DUMMYFUNCTION("""COMPUTED_VALUE"""),60.0)</f>
        <v>60</v>
      </c>
      <c r="N90" s="67"/>
      <c r="R90" s="4"/>
    </row>
    <row r="91">
      <c r="A91" s="66">
        <f>IFERROR(__xludf.DUMMYFUNCTION("""COMPUTED_VALUE"""),46122.0)</f>
        <v>46122</v>
      </c>
      <c r="B91" s="67">
        <f>IFERROR(__xludf.DUMMYFUNCTION("""COMPUTED_VALUE"""),64.0)</f>
        <v>64</v>
      </c>
      <c r="C91" s="69">
        <f>IFERROR(__xludf.DUMMYFUNCTION("""COMPUTED_VALUE"""),24860.48)</f>
        <v>24860.48</v>
      </c>
      <c r="D91" s="1" t="str">
        <f>IFERROR(__xludf.DUMMYFUNCTION("""COMPUTED_VALUE"""),"VES")</f>
        <v>VES</v>
      </c>
      <c r="E91" s="1" t="str">
        <f>IFERROR(__xludf.DUMMYFUNCTION("""COMPUTED_VALUE"""),"Bancamiga")</f>
        <v>Bancamiga</v>
      </c>
      <c r="F91" s="1" t="str">
        <f>IFERROR(__xludf.DUMMYFUNCTION("""COMPUTED_VALUE"""),"VAL VAL 16 C.A")</f>
        <v>VAL VAL 16 C.A</v>
      </c>
      <c r="G91" s="70">
        <f>IFERROR(__xludf.DUMMYFUNCTION("""COMPUTED_VALUE"""),556.6609)</f>
        <v>556.6609</v>
      </c>
      <c r="H91" s="1"/>
      <c r="I91" s="71">
        <f>IFERROR(__xludf.DUMMYFUNCTION("""COMPUTED_VALUE"""),44.660007555766896)</f>
        <v>44.66000756</v>
      </c>
      <c r="J91" s="69">
        <f>IFERROR(__xludf.DUMMYFUNCTION("""COMPUTED_VALUE"""),0.0)</f>
        <v>0</v>
      </c>
      <c r="K91" s="4">
        <f>IFERROR(__xludf.DUMMYFUNCTION("""COMPUTED_VALUE"""),44.660007555766896)</f>
        <v>44.66000756</v>
      </c>
      <c r="N91" s="67"/>
      <c r="R91" s="4"/>
    </row>
    <row r="92">
      <c r="A92" s="66">
        <f>IFERROR(__xludf.DUMMYFUNCTION("""COMPUTED_VALUE"""),46122.0)</f>
        <v>46122</v>
      </c>
      <c r="B92" s="67">
        <f>IFERROR(__xludf.DUMMYFUNCTION("""COMPUTED_VALUE"""),64.0)</f>
        <v>64</v>
      </c>
      <c r="C92" s="69">
        <f>IFERROR(__xludf.DUMMYFUNCTION("""COMPUTED_VALUE"""),56890.75)</f>
        <v>56890.75</v>
      </c>
      <c r="D92" s="1" t="str">
        <f>IFERROR(__xludf.DUMMYFUNCTION("""COMPUTED_VALUE"""),"VES")</f>
        <v>VES</v>
      </c>
      <c r="E92" s="1" t="str">
        <f>IFERROR(__xludf.DUMMYFUNCTION("""COMPUTED_VALUE"""),"Bancamiga")</f>
        <v>Bancamiga</v>
      </c>
      <c r="F92" s="1" t="str">
        <f>IFERROR(__xludf.DUMMYFUNCTION("""COMPUTED_VALUE"""),"VAL VAL 16 C.A")</f>
        <v>VAL VAL 16 C.A</v>
      </c>
      <c r="G92" s="70">
        <f>IFERROR(__xludf.DUMMYFUNCTION("""COMPUTED_VALUE"""),556.6609)</f>
        <v>556.6609</v>
      </c>
      <c r="H92" s="1"/>
      <c r="I92" s="71">
        <f>IFERROR(__xludf.DUMMYFUNCTION("""COMPUTED_VALUE"""),102.20001081448329)</f>
        <v>102.2000108</v>
      </c>
      <c r="J92" s="69">
        <f>IFERROR(__xludf.DUMMYFUNCTION("""COMPUTED_VALUE"""),0.0)</f>
        <v>0</v>
      </c>
      <c r="K92" s="4">
        <f>IFERROR(__xludf.DUMMYFUNCTION("""COMPUTED_VALUE"""),102.20001081448329)</f>
        <v>102.2000108</v>
      </c>
      <c r="N92" s="67"/>
      <c r="R92" s="4"/>
    </row>
    <row r="93">
      <c r="A93" s="66">
        <f>IFERROR(__xludf.DUMMYFUNCTION("""COMPUTED_VALUE"""),46122.0)</f>
        <v>46122</v>
      </c>
      <c r="B93" s="67">
        <f>IFERROR(__xludf.DUMMYFUNCTION("""COMPUTED_VALUE"""),94.0)</f>
        <v>94</v>
      </c>
      <c r="C93" s="69">
        <f>IFERROR(__xludf.DUMMYFUNCTION("""COMPUTED_VALUE"""),7020.0)</f>
        <v>7020</v>
      </c>
      <c r="D93" s="1" t="str">
        <f>IFERROR(__xludf.DUMMYFUNCTION("""COMPUTED_VALUE"""),"VES")</f>
        <v>VES</v>
      </c>
      <c r="E93" s="1" t="str">
        <f>IFERROR(__xludf.DUMMYFUNCTION("""COMPUTED_VALUE"""),"Bancamiga")</f>
        <v>Bancamiga</v>
      </c>
      <c r="F93" s="1" t="str">
        <f>IFERROR(__xludf.DUMMYFUNCTION("""COMPUTED_VALUE"""),"Moto repuestos jj")</f>
        <v>Moto repuestos jj</v>
      </c>
      <c r="G93" s="70">
        <f>IFERROR(__xludf.DUMMYFUNCTION("""COMPUTED_VALUE"""),476.4342)</f>
        <v>476.4342</v>
      </c>
      <c r="H93" s="1"/>
      <c r="I93" s="71">
        <f>IFERROR(__xludf.DUMMYFUNCTION("""COMPUTED_VALUE"""),14.73445860939454)</f>
        <v>14.73445861</v>
      </c>
      <c r="J93" s="69">
        <f>IFERROR(__xludf.DUMMYFUNCTION("""COMPUTED_VALUE"""),0.0)</f>
        <v>0</v>
      </c>
      <c r="K93" s="4">
        <f>IFERROR(__xludf.DUMMYFUNCTION("""COMPUTED_VALUE"""),14.73445860939454)</f>
        <v>14.73445861</v>
      </c>
      <c r="N93" s="67"/>
      <c r="R93" s="4"/>
    </row>
    <row r="94">
      <c r="A94" s="66">
        <f>IFERROR(__xludf.DUMMYFUNCTION("""COMPUTED_VALUE"""),46122.0)</f>
        <v>46122</v>
      </c>
      <c r="B94" s="67">
        <f>IFERROR(__xludf.DUMMYFUNCTION("""COMPUTED_VALUE"""),183.0)</f>
        <v>183</v>
      </c>
      <c r="C94" s="69">
        <f>IFERROR(__xludf.DUMMYFUNCTION("""COMPUTED_VALUE"""),560948.68)</f>
        <v>560948.68</v>
      </c>
      <c r="D94" s="1" t="str">
        <f>IFERROR(__xludf.DUMMYFUNCTION("""COMPUTED_VALUE"""),"VES")</f>
        <v>VES</v>
      </c>
      <c r="E94" s="1" t="str">
        <f>IFERROR(__xludf.DUMMYFUNCTION("""COMPUTED_VALUE"""),"BANcamiga")</f>
        <v>BANcamiga</v>
      </c>
      <c r="F94" s="1" t="str">
        <f>IFERROR(__xludf.DUMMYFUNCTION("""COMPUTED_VALUE"""),"AREA58 2022, C.A.")</f>
        <v>AREA58 2022, C.A.</v>
      </c>
      <c r="G94" s="70">
        <f>IFERROR(__xludf.DUMMYFUNCTION("""COMPUTED_VALUE"""),476.4342)</f>
        <v>476.4342</v>
      </c>
      <c r="H94" s="1"/>
      <c r="I94" s="71">
        <f>IFERROR(__xludf.DUMMYFUNCTION("""COMPUTED_VALUE"""),1177.3896164465104)</f>
        <v>1177.389616</v>
      </c>
      <c r="J94" s="69">
        <f>IFERROR(__xludf.DUMMYFUNCTION("""COMPUTED_VALUE"""),0.0)</f>
        <v>0</v>
      </c>
      <c r="K94" s="4">
        <f>IFERROR(__xludf.DUMMYFUNCTION("""COMPUTED_VALUE"""),1177.3896164465104)</f>
        <v>1177.389616</v>
      </c>
      <c r="N94" s="67"/>
      <c r="R94" s="4"/>
    </row>
    <row r="95">
      <c r="A95" s="66">
        <f>IFERROR(__xludf.DUMMYFUNCTION("""COMPUTED_VALUE"""),46125.0)</f>
        <v>46125</v>
      </c>
      <c r="B95" s="67">
        <f>IFERROR(__xludf.DUMMYFUNCTION("""COMPUTED_VALUE"""),206.0)</f>
        <v>206</v>
      </c>
      <c r="C95" s="69">
        <f>IFERROR(__xludf.DUMMYFUNCTION("""COMPUTED_VALUE"""),197.0)</f>
        <v>197</v>
      </c>
      <c r="D95" s="1" t="str">
        <f>IFERROR(__xludf.DUMMYFUNCTION("""COMPUTED_VALUE"""),"USD")</f>
        <v>USD</v>
      </c>
      <c r="E95" s="1" t="str">
        <f>IFERROR(__xludf.DUMMYFUNCTION("""COMPUTED_VALUE"""),"Efectivo USD")</f>
        <v>Efectivo USD</v>
      </c>
      <c r="F95" s="1" t="str">
        <f>IFERROR(__xludf.DUMMYFUNCTION("""COMPUTED_VALUE"""),"Paola M. Aguilera Z.")</f>
        <v>Paola M. Aguilera Z.</v>
      </c>
      <c r="G95" s="70">
        <f>IFERROR(__xludf.DUMMYFUNCTION("""COMPUTED_VALUE"""),477.1488)</f>
        <v>477.1488</v>
      </c>
      <c r="H95" s="1"/>
      <c r="I95" s="71">
        <f>IFERROR(__xludf.DUMMYFUNCTION("""COMPUTED_VALUE"""),197.0)</f>
        <v>197</v>
      </c>
      <c r="J95" s="69">
        <f>IFERROR(__xludf.DUMMYFUNCTION("""COMPUTED_VALUE"""),197.0)</f>
        <v>197</v>
      </c>
      <c r="K95" s="4">
        <f>IFERROR(__xludf.DUMMYFUNCTION("""COMPUTED_VALUE"""),197.0)</f>
        <v>197</v>
      </c>
      <c r="N95" s="67"/>
      <c r="R95" s="4"/>
    </row>
    <row r="96">
      <c r="A96" s="66">
        <f>IFERROR(__xludf.DUMMYFUNCTION("""COMPUTED_VALUE"""),46125.0)</f>
        <v>46125</v>
      </c>
      <c r="B96" s="67">
        <f>IFERROR(__xludf.DUMMYFUNCTION("""COMPUTED_VALUE"""),82.0)</f>
        <v>82</v>
      </c>
      <c r="C96" s="69">
        <f>IFERROR(__xludf.DUMMYFUNCTION("""COMPUTED_VALUE"""),300.0)</f>
        <v>300</v>
      </c>
      <c r="D96" s="1" t="str">
        <f>IFERROR(__xludf.DUMMYFUNCTION("""COMPUTED_VALUE"""),"USD")</f>
        <v>USD</v>
      </c>
      <c r="E96" s="1" t="str">
        <f>IFERROR(__xludf.DUMMYFUNCTION("""COMPUTED_VALUE"""),"Efectivo USD")</f>
        <v>Efectivo USD</v>
      </c>
      <c r="F96" s="1" t="str">
        <f>IFERROR(__xludf.DUMMYFUNCTION("""COMPUTED_VALUE"""),"Pedro Castro")</f>
        <v>Pedro Castro</v>
      </c>
      <c r="G96" s="70">
        <f>IFERROR(__xludf.DUMMYFUNCTION("""COMPUTED_VALUE"""),477.1488)</f>
        <v>477.1488</v>
      </c>
      <c r="H96" s="1"/>
      <c r="I96" s="71">
        <f>IFERROR(__xludf.DUMMYFUNCTION("""COMPUTED_VALUE"""),300.0)</f>
        <v>300</v>
      </c>
      <c r="J96" s="69">
        <f>IFERROR(__xludf.DUMMYFUNCTION("""COMPUTED_VALUE"""),300.0)</f>
        <v>300</v>
      </c>
      <c r="K96" s="4">
        <f>IFERROR(__xludf.DUMMYFUNCTION("""COMPUTED_VALUE"""),300.0)</f>
        <v>300</v>
      </c>
      <c r="N96" s="67"/>
      <c r="R96" s="4"/>
    </row>
    <row r="97">
      <c r="A97" s="66">
        <f>IFERROR(__xludf.DUMMYFUNCTION("""COMPUTED_VALUE"""),46125.0)</f>
        <v>46125</v>
      </c>
      <c r="B97" s="67">
        <f>IFERROR(__xludf.DUMMYFUNCTION("""COMPUTED_VALUE"""),101.0)</f>
        <v>101</v>
      </c>
      <c r="C97" s="69">
        <f>IFERROR(__xludf.DUMMYFUNCTION("""COMPUTED_VALUE"""),60.0)</f>
        <v>60</v>
      </c>
      <c r="D97" s="1" t="str">
        <f>IFERROR(__xludf.DUMMYFUNCTION("""COMPUTED_VALUE"""),"USD")</f>
        <v>USD</v>
      </c>
      <c r="E97" s="1" t="str">
        <f>IFERROR(__xludf.DUMMYFUNCTION("""COMPUTED_VALUE"""),"Efectivo USD")</f>
        <v>Efectivo USD</v>
      </c>
      <c r="F97" s="1" t="str">
        <f>IFERROR(__xludf.DUMMYFUNCTION("""COMPUTED_VALUE"""),"INVERSIONES JOSCAR XXI, S.A.")</f>
        <v>INVERSIONES JOSCAR XXI, S.A.</v>
      </c>
      <c r="G97" s="70">
        <f>IFERROR(__xludf.DUMMYFUNCTION("""COMPUTED_VALUE"""),477.1488)</f>
        <v>477.1488</v>
      </c>
      <c r="H97" s="1"/>
      <c r="I97" s="71">
        <f>IFERROR(__xludf.DUMMYFUNCTION("""COMPUTED_VALUE"""),60.0)</f>
        <v>60</v>
      </c>
      <c r="J97" s="69">
        <f>IFERROR(__xludf.DUMMYFUNCTION("""COMPUTED_VALUE"""),60.0)</f>
        <v>60</v>
      </c>
      <c r="K97" s="4">
        <f>IFERROR(__xludf.DUMMYFUNCTION("""COMPUTED_VALUE"""),60.0)</f>
        <v>60</v>
      </c>
      <c r="N97" s="67"/>
      <c r="R97" s="4"/>
    </row>
    <row r="98">
      <c r="A98" s="66">
        <f>IFERROR(__xludf.DUMMYFUNCTION("""COMPUTED_VALUE"""),46125.0)</f>
        <v>46125</v>
      </c>
      <c r="B98" s="67">
        <f>IFERROR(__xludf.DUMMYFUNCTION("""COMPUTED_VALUE"""),83.0)</f>
        <v>83</v>
      </c>
      <c r="C98" s="69">
        <f>IFERROR(__xludf.DUMMYFUNCTION("""COMPUTED_VALUE"""),42880.0)</f>
        <v>42880</v>
      </c>
      <c r="D98" s="1" t="str">
        <f>IFERROR(__xludf.DUMMYFUNCTION("""COMPUTED_VALUE"""),"VES")</f>
        <v>VES</v>
      </c>
      <c r="E98" s="1" t="str">
        <f>IFERROR(__xludf.DUMMYFUNCTION("""COMPUTED_VALUE"""),"Bancamiga")</f>
        <v>Bancamiga</v>
      </c>
      <c r="F98" s="1" t="str">
        <f>IFERROR(__xludf.DUMMYFUNCTION("""COMPUTED_VALUE"""),"Inversiones Famasa, C.A")</f>
        <v>Inversiones Famasa, C.A</v>
      </c>
      <c r="G98" s="70">
        <f>IFERROR(__xludf.DUMMYFUNCTION("""COMPUTED_VALUE"""),560.0486)</f>
        <v>560.0486</v>
      </c>
      <c r="H98" s="1"/>
      <c r="I98" s="71">
        <f>IFERROR(__xludf.DUMMYFUNCTION("""COMPUTED_VALUE"""),76.56478384197372)</f>
        <v>76.56478384</v>
      </c>
      <c r="J98" s="69">
        <f>IFERROR(__xludf.DUMMYFUNCTION("""COMPUTED_VALUE"""),0.0)</f>
        <v>0</v>
      </c>
      <c r="K98" s="4">
        <f>IFERROR(__xludf.DUMMYFUNCTION("""COMPUTED_VALUE"""),76.56478384197372)</f>
        <v>76.56478384</v>
      </c>
      <c r="N98" s="67"/>
      <c r="R98" s="4"/>
    </row>
    <row r="99">
      <c r="A99" s="66">
        <f>IFERROR(__xludf.DUMMYFUNCTION("""COMPUTED_VALUE"""),46125.0)</f>
        <v>46125</v>
      </c>
      <c r="B99" s="67">
        <f>IFERROR(__xludf.DUMMYFUNCTION("""COMPUTED_VALUE"""),84.0)</f>
        <v>84</v>
      </c>
      <c r="C99" s="69">
        <f>IFERROR(__xludf.DUMMYFUNCTION("""COMPUTED_VALUE"""),27712.8)</f>
        <v>27712.8</v>
      </c>
      <c r="D99" s="1" t="str">
        <f>IFERROR(__xludf.DUMMYFUNCTION("""COMPUTED_VALUE"""),"VES")</f>
        <v>VES</v>
      </c>
      <c r="E99" s="1" t="str">
        <f>IFERROR(__xludf.DUMMYFUNCTION("""COMPUTED_VALUE"""),"Bancamiga")</f>
        <v>Bancamiga</v>
      </c>
      <c r="F99" s="1" t="str">
        <f>IFERROR(__xludf.DUMMYFUNCTION("""COMPUTED_VALUE"""),"Inversiones maxgad &amp; ef")</f>
        <v>Inversiones maxgad &amp; ef</v>
      </c>
      <c r="G99" s="70">
        <f>IFERROR(__xludf.DUMMYFUNCTION("""COMPUTED_VALUE"""),560.0486)</f>
        <v>560.0486</v>
      </c>
      <c r="H99" s="1"/>
      <c r="I99" s="71">
        <f>IFERROR(__xludf.DUMMYFUNCTION("""COMPUTED_VALUE"""),49.48284845279499)</f>
        <v>49.48284845</v>
      </c>
      <c r="J99" s="69">
        <f>IFERROR(__xludf.DUMMYFUNCTION("""COMPUTED_VALUE"""),0.0)</f>
        <v>0</v>
      </c>
      <c r="K99" s="4">
        <f>IFERROR(__xludf.DUMMYFUNCTION("""COMPUTED_VALUE"""),49.48284845279499)</f>
        <v>49.48284845</v>
      </c>
      <c r="N99" s="67"/>
      <c r="R99" s="4"/>
    </row>
    <row r="100">
      <c r="A100" s="66">
        <f>IFERROR(__xludf.DUMMYFUNCTION("""COMPUTED_VALUE"""),46125.0)</f>
        <v>46125</v>
      </c>
      <c r="B100" s="67">
        <f>IFERROR(__xludf.DUMMYFUNCTION("""COMPUTED_VALUE"""),72.0)</f>
        <v>72</v>
      </c>
      <c r="C100" s="69">
        <f>IFERROR(__xludf.DUMMYFUNCTION("""COMPUTED_VALUE"""),44031.13)</f>
        <v>44031.13</v>
      </c>
      <c r="D100" s="1" t="str">
        <f>IFERROR(__xludf.DUMMYFUNCTION("""COMPUTED_VALUE"""),"VES")</f>
        <v>VES</v>
      </c>
      <c r="E100" s="1" t="str">
        <f>IFERROR(__xludf.DUMMYFUNCTION("""COMPUTED_VALUE"""),"Bancamiga")</f>
        <v>Bancamiga</v>
      </c>
      <c r="F100" s="1" t="str">
        <f>IFERROR(__xludf.DUMMYFUNCTION("""COMPUTED_VALUE"""),"DISTRIBUIDORA PINOS 181297 C.A")</f>
        <v>DISTRIBUIDORA PINOS 181297 C.A</v>
      </c>
      <c r="G100" s="70">
        <f>IFERROR(__xludf.DUMMYFUNCTION("""COMPUTED_VALUE"""),560.0486)</f>
        <v>560.0486</v>
      </c>
      <c r="H100" s="1"/>
      <c r="I100" s="71">
        <f>IFERROR(__xludf.DUMMYFUNCTION("""COMPUTED_VALUE"""),78.62019474738442)</f>
        <v>78.62019475</v>
      </c>
      <c r="J100" s="69">
        <f>IFERROR(__xludf.DUMMYFUNCTION("""COMPUTED_VALUE"""),0.0)</f>
        <v>0</v>
      </c>
      <c r="K100" s="4">
        <f>IFERROR(__xludf.DUMMYFUNCTION("""COMPUTED_VALUE"""),78.62019474738442)</f>
        <v>78.62019475</v>
      </c>
      <c r="N100" s="67"/>
      <c r="R100" s="4"/>
    </row>
    <row r="101">
      <c r="A101" s="66">
        <f>IFERROR(__xludf.DUMMYFUNCTION("""COMPUTED_VALUE"""),46125.0)</f>
        <v>46125</v>
      </c>
      <c r="B101" s="67">
        <f>IFERROR(__xludf.DUMMYFUNCTION("""COMPUTED_VALUE"""),106.0)</f>
        <v>106</v>
      </c>
      <c r="C101" s="69">
        <f>IFERROR(__xludf.DUMMYFUNCTION("""COMPUTED_VALUE"""),239762.85)</f>
        <v>239762.85</v>
      </c>
      <c r="D101" s="1" t="str">
        <f>IFERROR(__xludf.DUMMYFUNCTION("""COMPUTED_VALUE"""),"VES")</f>
        <v>VES</v>
      </c>
      <c r="E101" s="1" t="str">
        <f>IFERROR(__xludf.DUMMYFUNCTION("""COMPUTED_VALUE"""),"Bancamiga")</f>
        <v>Bancamiga</v>
      </c>
      <c r="F101" s="1" t="str">
        <f>IFERROR(__xludf.DUMMYFUNCTION("""COMPUTED_VALUE"""),"E&amp;M CAR SHOP C.A")</f>
        <v>E&amp;M CAR SHOP C.A</v>
      </c>
      <c r="G101" s="70">
        <f>IFERROR(__xludf.DUMMYFUNCTION("""COMPUTED_VALUE"""),477.1488)</f>
        <v>477.1488</v>
      </c>
      <c r="H101" s="1"/>
      <c r="I101" s="71">
        <f>IFERROR(__xludf.DUMMYFUNCTION("""COMPUTED_VALUE"""),502.4907324507575)</f>
        <v>502.4907325</v>
      </c>
      <c r="J101" s="69">
        <f>IFERROR(__xludf.DUMMYFUNCTION("""COMPUTED_VALUE"""),0.0)</f>
        <v>0</v>
      </c>
      <c r="K101" s="4">
        <f>IFERROR(__xludf.DUMMYFUNCTION("""COMPUTED_VALUE"""),502.4907324507575)</f>
        <v>502.4907325</v>
      </c>
      <c r="N101" s="67"/>
      <c r="R101" s="4"/>
    </row>
    <row r="102">
      <c r="A102" s="66">
        <f>IFERROR(__xludf.DUMMYFUNCTION("""COMPUTED_VALUE"""),46126.0)</f>
        <v>46126</v>
      </c>
      <c r="B102" s="67">
        <f>IFERROR(__xludf.DUMMYFUNCTION("""COMPUTED_VALUE"""),104.0)</f>
        <v>104</v>
      </c>
      <c r="C102" s="69">
        <f>IFERROR(__xludf.DUMMYFUNCTION("""COMPUTED_VALUE"""),30.0)</f>
        <v>30</v>
      </c>
      <c r="D102" s="1" t="str">
        <f>IFERROR(__xludf.DUMMYFUNCTION("""COMPUTED_VALUE"""),"USD")</f>
        <v>USD</v>
      </c>
      <c r="E102" s="1" t="str">
        <f>IFERROR(__xludf.DUMMYFUNCTION("""COMPUTED_VALUE"""),"Efectivo USD")</f>
        <v>Efectivo USD</v>
      </c>
      <c r="F102" s="1" t="str">
        <f>IFERROR(__xludf.DUMMYFUNCTION("""COMPUTED_VALUE"""),"Inversiones Brayan CT C.A")</f>
        <v>Inversiones Brayan CT C.A</v>
      </c>
      <c r="G102" s="70">
        <f>IFERROR(__xludf.DUMMYFUNCTION("""COMPUTED_VALUE"""),477.6259)</f>
        <v>477.6259</v>
      </c>
      <c r="H102" s="1"/>
      <c r="I102" s="71">
        <f>IFERROR(__xludf.DUMMYFUNCTION("""COMPUTED_VALUE"""),30.0)</f>
        <v>30</v>
      </c>
      <c r="J102" s="69">
        <f>IFERROR(__xludf.DUMMYFUNCTION("""COMPUTED_VALUE"""),30.0)</f>
        <v>30</v>
      </c>
      <c r="K102" s="4">
        <f>IFERROR(__xludf.DUMMYFUNCTION("""COMPUTED_VALUE"""),30.0)</f>
        <v>30</v>
      </c>
      <c r="N102" s="67"/>
      <c r="R102" s="4"/>
    </row>
    <row r="103">
      <c r="A103" s="66">
        <f>IFERROR(__xludf.DUMMYFUNCTION("""COMPUTED_VALUE"""),46126.0)</f>
        <v>46126</v>
      </c>
      <c r="B103" s="67">
        <f>IFERROR(__xludf.DUMMYFUNCTION("""COMPUTED_VALUE"""),18.0)</f>
        <v>18</v>
      </c>
      <c r="C103" s="69">
        <f>IFERROR(__xludf.DUMMYFUNCTION("""COMPUTED_VALUE"""),46.0)</f>
        <v>46</v>
      </c>
      <c r="D103" s="1" t="str">
        <f>IFERROR(__xludf.DUMMYFUNCTION("""COMPUTED_VALUE"""),"USD")</f>
        <v>USD</v>
      </c>
      <c r="E103" s="1" t="str">
        <f>IFERROR(__xludf.DUMMYFUNCTION("""COMPUTED_VALUE"""),"Efectivo USD")</f>
        <v>Efectivo USD</v>
      </c>
      <c r="F103" s="1" t="str">
        <f>IFERROR(__xludf.DUMMYFUNCTION("""COMPUTED_VALUE"""),"AUTO ACCESORIOS VZLA, C.A.")</f>
        <v>AUTO ACCESORIOS VZLA, C.A.</v>
      </c>
      <c r="G103" s="70">
        <f>IFERROR(__xludf.DUMMYFUNCTION("""COMPUTED_VALUE"""),477.6259)</f>
        <v>477.6259</v>
      </c>
      <c r="H103" s="1"/>
      <c r="I103" s="71">
        <f>IFERROR(__xludf.DUMMYFUNCTION("""COMPUTED_VALUE"""),46.0)</f>
        <v>46</v>
      </c>
      <c r="J103" s="69">
        <f>IFERROR(__xludf.DUMMYFUNCTION("""COMPUTED_VALUE"""),46.0)</f>
        <v>46</v>
      </c>
      <c r="K103" s="4">
        <f>IFERROR(__xludf.DUMMYFUNCTION("""COMPUTED_VALUE"""),46.0)</f>
        <v>46</v>
      </c>
      <c r="N103" s="67"/>
      <c r="R103" s="4"/>
    </row>
    <row r="104">
      <c r="A104" s="66">
        <f>IFERROR(__xludf.DUMMYFUNCTION("""COMPUTED_VALUE"""),46126.0)</f>
        <v>46126</v>
      </c>
      <c r="B104" s="67">
        <f>IFERROR(__xludf.DUMMYFUNCTION("""COMPUTED_VALUE"""),105.0)</f>
        <v>105</v>
      </c>
      <c r="C104" s="69">
        <f>IFERROR(__xludf.DUMMYFUNCTION("""COMPUTED_VALUE"""),54000.0)</f>
        <v>54000</v>
      </c>
      <c r="D104" s="1" t="str">
        <f>IFERROR(__xludf.DUMMYFUNCTION("""COMPUTED_VALUE"""),"VES")</f>
        <v>VES</v>
      </c>
      <c r="E104" s="1" t="str">
        <f>IFERROR(__xludf.DUMMYFUNCTION("""COMPUTED_VALUE"""),"Bancamiga")</f>
        <v>Bancamiga</v>
      </c>
      <c r="F104" s="1" t="str">
        <f>IFERROR(__xludf.DUMMYFUNCTION("""COMPUTED_VALUE"""),"Ricardo A. Fernandez.")</f>
        <v>Ricardo A. Fernandez.</v>
      </c>
      <c r="G104" s="70">
        <f>IFERROR(__xludf.DUMMYFUNCTION("""COMPUTED_VALUE"""),477.6259)</f>
        <v>477.6259</v>
      </c>
      <c r="H104" s="1"/>
      <c r="I104" s="71">
        <f>IFERROR(__xludf.DUMMYFUNCTION("""COMPUTED_VALUE"""),113.05919549170177)</f>
        <v>113.0591955</v>
      </c>
      <c r="J104" s="69">
        <f>IFERROR(__xludf.DUMMYFUNCTION("""COMPUTED_VALUE"""),0.0)</f>
        <v>0</v>
      </c>
      <c r="K104" s="4">
        <f>IFERROR(__xludf.DUMMYFUNCTION("""COMPUTED_VALUE"""),113.05919549170177)</f>
        <v>113.0591955</v>
      </c>
      <c r="N104" s="67"/>
      <c r="R104" s="4"/>
    </row>
    <row r="105">
      <c r="A105" s="66">
        <f>IFERROR(__xludf.DUMMYFUNCTION("""COMPUTED_VALUE"""),46129.0)</f>
        <v>46129</v>
      </c>
      <c r="B105" s="67">
        <f>IFERROR(__xludf.DUMMYFUNCTION("""COMPUTED_VALUE"""),239.0)</f>
        <v>239</v>
      </c>
      <c r="C105" s="69">
        <f>IFERROR(__xludf.DUMMYFUNCTION("""COMPUTED_VALUE"""),65.0)</f>
        <v>65</v>
      </c>
      <c r="D105" s="1" t="str">
        <f>IFERROR(__xludf.DUMMYFUNCTION("""COMPUTED_VALUE"""),"USD")</f>
        <v>USD</v>
      </c>
      <c r="E105" s="1" t="str">
        <f>IFERROR(__xludf.DUMMYFUNCTION("""COMPUTED_VALUE"""),"Efectivo USD")</f>
        <v>Efectivo USD</v>
      </c>
      <c r="F105" s="1" t="str">
        <f>IFERROR(__xludf.DUMMYFUNCTION("""COMPUTED_VALUE"""),"Jhonny Bolivar")</f>
        <v>Jhonny Bolivar</v>
      </c>
      <c r="G105" s="70">
        <f>IFERROR(__xludf.DUMMYFUNCTION("""COMPUTED_VALUE"""),480.2572)</f>
        <v>480.2572</v>
      </c>
      <c r="H105" s="1"/>
      <c r="I105" s="71">
        <f>IFERROR(__xludf.DUMMYFUNCTION("""COMPUTED_VALUE"""),65.0)</f>
        <v>65</v>
      </c>
      <c r="J105" s="69">
        <f>IFERROR(__xludf.DUMMYFUNCTION("""COMPUTED_VALUE"""),65.0)</f>
        <v>65</v>
      </c>
      <c r="K105" s="4">
        <f>IFERROR(__xludf.DUMMYFUNCTION("""COMPUTED_VALUE"""),65.0)</f>
        <v>65</v>
      </c>
      <c r="N105" s="67"/>
      <c r="R105" s="4"/>
    </row>
    <row r="106">
      <c r="A106" s="66">
        <f>IFERROR(__xludf.DUMMYFUNCTION("""COMPUTED_VALUE"""),46182.0)</f>
        <v>46182</v>
      </c>
      <c r="B106" s="67">
        <f>IFERROR(__xludf.DUMMYFUNCTION("""COMPUTED_VALUE"""),357.0)</f>
        <v>357</v>
      </c>
      <c r="C106" s="69">
        <f>IFERROR(__xludf.DUMMYFUNCTION("""COMPUTED_VALUE"""),3457.96)</f>
        <v>3457.96</v>
      </c>
      <c r="D106" s="1" t="str">
        <f>IFERROR(__xludf.DUMMYFUNCTION("""COMPUTED_VALUE"""),"USD")</f>
        <v>USD</v>
      </c>
      <c r="E106" s="1" t="str">
        <f>IFERROR(__xludf.DUMMYFUNCTION("""COMPUTED_VALUE"""),"Conciliacion")</f>
        <v>Conciliacion</v>
      </c>
      <c r="F106" s="1" t="str">
        <f>IFERROR(__xludf.DUMMYFUNCTION("""COMPUTED_VALUE"""),"Agropecuaria Leche Miel")</f>
        <v>Agropecuaria Leche Miel</v>
      </c>
      <c r="G106" s="70">
        <f>IFERROR(__xludf.DUMMYFUNCTION("""COMPUTED_VALUE"""),567.68)</f>
        <v>567.68</v>
      </c>
      <c r="H106" s="1"/>
      <c r="I106" s="71">
        <f>IFERROR(__xludf.DUMMYFUNCTION("""COMPUTED_VALUE"""),3457.96)</f>
        <v>3457.96</v>
      </c>
      <c r="J106" s="69">
        <f>IFERROR(__xludf.DUMMYFUNCTION("""COMPUTED_VALUE"""),3457.96)</f>
        <v>3457.96</v>
      </c>
      <c r="K106" s="4">
        <f>IFERROR(__xludf.DUMMYFUNCTION("""COMPUTED_VALUE"""),3457.96)</f>
        <v>3457.96</v>
      </c>
      <c r="N106" s="67"/>
      <c r="R106" s="4"/>
    </row>
    <row r="107">
      <c r="A107" s="66">
        <f>IFERROR(__xludf.DUMMYFUNCTION("""COMPUTED_VALUE"""),46182.0)</f>
        <v>46182</v>
      </c>
      <c r="B107" s="67">
        <f>IFERROR(__xludf.DUMMYFUNCTION("""COMPUTED_VALUE"""),328.0)</f>
        <v>328</v>
      </c>
      <c r="C107" s="69">
        <f>IFERROR(__xludf.DUMMYFUNCTION("""COMPUTED_VALUE"""),6802.37)</f>
        <v>6802.37</v>
      </c>
      <c r="D107" s="1" t="str">
        <f>IFERROR(__xludf.DUMMYFUNCTION("""COMPUTED_VALUE"""),"USD")</f>
        <v>USD</v>
      </c>
      <c r="E107" s="1" t="str">
        <f>IFERROR(__xludf.DUMMYFUNCTION("""COMPUTED_VALUE"""),"Conciliacion")</f>
        <v>Conciliacion</v>
      </c>
      <c r="F107" s="1" t="str">
        <f>IFERROR(__xludf.DUMMYFUNCTION("""COMPUTED_VALUE"""),"Agropecuaria Leche Miel")</f>
        <v>Agropecuaria Leche Miel</v>
      </c>
      <c r="G107" s="70">
        <f>IFERROR(__xludf.DUMMYFUNCTION("""COMPUTED_VALUE"""),567.68)</f>
        <v>567.68</v>
      </c>
      <c r="H107" s="1"/>
      <c r="I107" s="71">
        <f>IFERROR(__xludf.DUMMYFUNCTION("""COMPUTED_VALUE"""),6802.37)</f>
        <v>6802.37</v>
      </c>
      <c r="J107" s="69">
        <f>IFERROR(__xludf.DUMMYFUNCTION("""COMPUTED_VALUE"""),6802.37)</f>
        <v>6802.37</v>
      </c>
      <c r="K107" s="4">
        <f>IFERROR(__xludf.DUMMYFUNCTION("""COMPUTED_VALUE"""),6802.37)</f>
        <v>6802.37</v>
      </c>
      <c r="N107" s="67"/>
      <c r="R107" s="4"/>
    </row>
    <row r="108">
      <c r="A108" s="66">
        <f>IFERROR(__xludf.DUMMYFUNCTION("""COMPUTED_VALUE"""),46122.0)</f>
        <v>46122</v>
      </c>
      <c r="B108" s="67">
        <f>IFERROR(__xludf.DUMMYFUNCTION("""COMPUTED_VALUE"""),63.0)</f>
        <v>63</v>
      </c>
      <c r="C108" s="69">
        <f>IFERROR(__xludf.DUMMYFUNCTION("""COMPUTED_VALUE"""),40080.0)</f>
        <v>40080</v>
      </c>
      <c r="D108" s="1" t="str">
        <f>IFERROR(__xludf.DUMMYFUNCTION("""COMPUTED_VALUE"""),"VES")</f>
        <v>VES</v>
      </c>
      <c r="E108" s="1" t="str">
        <f>IFERROR(__xludf.DUMMYFUNCTION("""COMPUTED_VALUE"""),"Bancamiga")</f>
        <v>Bancamiga</v>
      </c>
      <c r="F108" s="1" t="str">
        <f>IFERROR(__xludf.DUMMYFUNCTION("""COMPUTED_VALUE"""),"TorniRepuesto BA 2015, C.A")</f>
        <v>TorniRepuesto BA 2015, C.A</v>
      </c>
      <c r="G108" s="70">
        <f>IFERROR(__xludf.DUMMYFUNCTION("""COMPUTED_VALUE"""),556.6609)</f>
        <v>556.6609</v>
      </c>
      <c r="H108" s="1"/>
      <c r="I108" s="71">
        <f>IFERROR(__xludf.DUMMYFUNCTION("""COMPUTED_VALUE"""),72.00074587599022)</f>
        <v>72.00074588</v>
      </c>
      <c r="J108" s="69">
        <f>IFERROR(__xludf.DUMMYFUNCTION("""COMPUTED_VALUE"""),0.0)</f>
        <v>0</v>
      </c>
      <c r="K108" s="4">
        <f>IFERROR(__xludf.DUMMYFUNCTION("""COMPUTED_VALUE"""),72.00074587599022)</f>
        <v>72.00074588</v>
      </c>
      <c r="N108" s="67"/>
      <c r="R108" s="4"/>
    </row>
    <row r="109">
      <c r="A109" s="66">
        <f>IFERROR(__xludf.DUMMYFUNCTION("""COMPUTED_VALUE"""),46127.0)</f>
        <v>46127</v>
      </c>
      <c r="B109" s="67">
        <f>IFERROR(__xludf.DUMMYFUNCTION("""COMPUTED_VALUE"""),165.0)</f>
        <v>165</v>
      </c>
      <c r="C109" s="69">
        <f>IFERROR(__xludf.DUMMYFUNCTION("""COMPUTED_VALUE"""),71787.16)</f>
        <v>71787.16</v>
      </c>
      <c r="D109" s="1" t="str">
        <f>IFERROR(__xludf.DUMMYFUNCTION("""COMPUTED_VALUE"""),"VES")</f>
        <v>VES</v>
      </c>
      <c r="E109" s="1" t="str">
        <f>IFERROR(__xludf.DUMMYFUNCTION("""COMPUTED_VALUE"""),"Bancamiga")</f>
        <v>Bancamiga</v>
      </c>
      <c r="F109" s="1" t="str">
        <f>IFERROR(__xludf.DUMMYFUNCTION("""COMPUTED_VALUE"""),"EMPRENDIMIENTO HECTOR LLAMOZA")</f>
        <v>EMPRENDIMIENTO HECTOR LLAMOZA</v>
      </c>
      <c r="G109" s="70">
        <f>IFERROR(__xludf.DUMMYFUNCTION("""COMPUTED_VALUE"""),478.5811)</f>
        <v>478.5811</v>
      </c>
      <c r="H109" s="1"/>
      <c r="I109" s="71">
        <f>IFERROR(__xludf.DUMMYFUNCTION("""COMPUTED_VALUE"""),149.99998955244996)</f>
        <v>149.9999896</v>
      </c>
      <c r="J109" s="69">
        <f>IFERROR(__xludf.DUMMYFUNCTION("""COMPUTED_VALUE"""),0.0)</f>
        <v>0</v>
      </c>
      <c r="K109" s="4">
        <f>IFERROR(__xludf.DUMMYFUNCTION("""COMPUTED_VALUE"""),149.99998955244996)</f>
        <v>149.9999896</v>
      </c>
      <c r="N109" s="67"/>
      <c r="R109" s="4"/>
    </row>
    <row r="110">
      <c r="A110" s="66">
        <f>IFERROR(__xludf.DUMMYFUNCTION("""COMPUTED_VALUE"""),46127.0)</f>
        <v>46127</v>
      </c>
      <c r="B110" s="67">
        <f>IFERROR(__xludf.DUMMYFUNCTION("""COMPUTED_VALUE"""),83.0)</f>
        <v>83</v>
      </c>
      <c r="C110" s="69">
        <f>IFERROR(__xludf.DUMMYFUNCTION("""COMPUTED_VALUE"""),25.0)</f>
        <v>25</v>
      </c>
      <c r="D110" s="1" t="str">
        <f>IFERROR(__xludf.DUMMYFUNCTION("""COMPUTED_VALUE"""),"USD")</f>
        <v>USD</v>
      </c>
      <c r="E110" s="1" t="str">
        <f>IFERROR(__xludf.DUMMYFUNCTION("""COMPUTED_VALUE"""),"Efectivo USD")</f>
        <v>Efectivo USD</v>
      </c>
      <c r="F110" s="1" t="str">
        <f>IFERROR(__xludf.DUMMYFUNCTION("""COMPUTED_VALUE"""),"Inversiones Famasa, C.A")</f>
        <v>Inversiones Famasa, C.A</v>
      </c>
      <c r="G110" s="70">
        <f>IFERROR(__xludf.DUMMYFUNCTION("""COMPUTED_VALUE"""),478.5811)</f>
        <v>478.5811</v>
      </c>
      <c r="H110" s="1"/>
      <c r="I110" s="71">
        <f>IFERROR(__xludf.DUMMYFUNCTION("""COMPUTED_VALUE"""),25.0)</f>
        <v>25</v>
      </c>
      <c r="J110" s="69">
        <f>IFERROR(__xludf.DUMMYFUNCTION("""COMPUTED_VALUE"""),25.0)</f>
        <v>25</v>
      </c>
      <c r="K110" s="4">
        <f>IFERROR(__xludf.DUMMYFUNCTION("""COMPUTED_VALUE"""),25.0)</f>
        <v>25</v>
      </c>
      <c r="N110" s="67"/>
      <c r="R110" s="4"/>
    </row>
    <row r="111">
      <c r="A111" s="66">
        <f>IFERROR(__xludf.DUMMYFUNCTION("""COMPUTED_VALUE"""),46127.0)</f>
        <v>46127</v>
      </c>
      <c r="B111" s="67">
        <f>IFERROR(__xludf.DUMMYFUNCTION("""COMPUTED_VALUE"""),122.0)</f>
        <v>122</v>
      </c>
      <c r="C111" s="69">
        <f>IFERROR(__xludf.DUMMYFUNCTION("""COMPUTED_VALUE"""),20.0)</f>
        <v>20</v>
      </c>
      <c r="D111" s="1" t="str">
        <f>IFERROR(__xludf.DUMMYFUNCTION("""COMPUTED_VALUE"""),"USD")</f>
        <v>USD</v>
      </c>
      <c r="E111" s="1" t="str">
        <f>IFERROR(__xludf.DUMMYFUNCTION("""COMPUTED_VALUE"""),"Efectivo USD")</f>
        <v>Efectivo USD</v>
      </c>
      <c r="F111" s="1" t="str">
        <f>IFERROR(__xludf.DUMMYFUNCTION("""COMPUTED_VALUE"""),"Emprendimiento Tomas Paz")</f>
        <v>Emprendimiento Tomas Paz</v>
      </c>
      <c r="G111" s="70">
        <f>IFERROR(__xludf.DUMMYFUNCTION("""COMPUTED_VALUE"""),478.5811)</f>
        <v>478.5811</v>
      </c>
      <c r="H111" s="1"/>
      <c r="I111" s="71">
        <f>IFERROR(__xludf.DUMMYFUNCTION("""COMPUTED_VALUE"""),20.0)</f>
        <v>20</v>
      </c>
      <c r="J111" s="69">
        <f>IFERROR(__xludf.DUMMYFUNCTION("""COMPUTED_VALUE"""),20.0)</f>
        <v>20</v>
      </c>
      <c r="K111" s="4">
        <f>IFERROR(__xludf.DUMMYFUNCTION("""COMPUTED_VALUE"""),20.0)</f>
        <v>20</v>
      </c>
      <c r="N111" s="67"/>
      <c r="R111" s="4"/>
    </row>
    <row r="112">
      <c r="A112" s="66">
        <f>IFERROR(__xludf.DUMMYFUNCTION("""COMPUTED_VALUE"""),46126.0)</f>
        <v>46126</v>
      </c>
      <c r="B112" s="67">
        <f>IFERROR(__xludf.DUMMYFUNCTION("""COMPUTED_VALUE"""),159.0)</f>
        <v>159</v>
      </c>
      <c r="C112" s="69">
        <f>IFERROR(__xludf.DUMMYFUNCTION("""COMPUTED_VALUE"""),90.0)</f>
        <v>90</v>
      </c>
      <c r="D112" s="1" t="str">
        <f>IFERROR(__xludf.DUMMYFUNCTION("""COMPUTED_VALUE"""),"USD")</f>
        <v>USD</v>
      </c>
      <c r="E112" s="1" t="str">
        <f>IFERROR(__xludf.DUMMYFUNCTION("""COMPUTED_VALUE"""),"Zelle")</f>
        <v>Zelle</v>
      </c>
      <c r="F112" s="1" t="str">
        <f>IFERROR(__xludf.DUMMYFUNCTION("""COMPUTED_VALUE"""),"Grupo 3030, C.A")</f>
        <v>Grupo 3030, C.A</v>
      </c>
      <c r="G112" s="70">
        <f>IFERROR(__xludf.DUMMYFUNCTION("""COMPUTED_VALUE"""),478.5811)</f>
        <v>478.5811</v>
      </c>
      <c r="H112" s="1"/>
      <c r="I112" s="71">
        <f>IFERROR(__xludf.DUMMYFUNCTION("""COMPUTED_VALUE"""),90.0)</f>
        <v>90</v>
      </c>
      <c r="J112" s="69">
        <f>IFERROR(__xludf.DUMMYFUNCTION("""COMPUTED_VALUE"""),90.0)</f>
        <v>90</v>
      </c>
      <c r="K112" s="4">
        <f>IFERROR(__xludf.DUMMYFUNCTION("""COMPUTED_VALUE"""),90.0)</f>
        <v>90</v>
      </c>
      <c r="N112" s="67"/>
      <c r="R112" s="4"/>
    </row>
    <row r="113">
      <c r="A113" s="66">
        <f>IFERROR(__xludf.DUMMYFUNCTION("""COMPUTED_VALUE"""),46126.0)</f>
        <v>46126</v>
      </c>
      <c r="B113" s="67">
        <f>IFERROR(__xludf.DUMMYFUNCTION("""COMPUTED_VALUE"""),159.0)</f>
        <v>159</v>
      </c>
      <c r="C113" s="69">
        <f>IFERROR(__xludf.DUMMYFUNCTION("""COMPUTED_VALUE"""),220.0)</f>
        <v>220</v>
      </c>
      <c r="D113" s="1" t="str">
        <f>IFERROR(__xludf.DUMMYFUNCTION("""COMPUTED_VALUE"""),"USD")</f>
        <v>USD</v>
      </c>
      <c r="E113" s="1" t="str">
        <f>IFERROR(__xludf.DUMMYFUNCTION("""COMPUTED_VALUE"""),"Zelle")</f>
        <v>Zelle</v>
      </c>
      <c r="F113" s="1" t="str">
        <f>IFERROR(__xludf.DUMMYFUNCTION("""COMPUTED_VALUE"""),"Grupo 3030, C.A")</f>
        <v>Grupo 3030, C.A</v>
      </c>
      <c r="G113" s="70">
        <f>IFERROR(__xludf.DUMMYFUNCTION("""COMPUTED_VALUE"""),478.5811)</f>
        <v>478.5811</v>
      </c>
      <c r="H113" s="1"/>
      <c r="I113" s="71">
        <f>IFERROR(__xludf.DUMMYFUNCTION("""COMPUTED_VALUE"""),220.0)</f>
        <v>220</v>
      </c>
      <c r="J113" s="69">
        <f>IFERROR(__xludf.DUMMYFUNCTION("""COMPUTED_VALUE"""),220.0)</f>
        <v>220</v>
      </c>
      <c r="K113" s="4">
        <f>IFERROR(__xludf.DUMMYFUNCTION("""COMPUTED_VALUE"""),220.0)</f>
        <v>220</v>
      </c>
      <c r="N113" s="67"/>
      <c r="R113" s="4"/>
    </row>
    <row r="114">
      <c r="A114" s="66">
        <f>IFERROR(__xludf.DUMMYFUNCTION("""COMPUTED_VALUE"""),46127.0)</f>
        <v>46127</v>
      </c>
      <c r="B114" s="67">
        <f>IFERROR(__xludf.DUMMYFUNCTION("""COMPUTED_VALUE"""),114.0)</f>
        <v>114</v>
      </c>
      <c r="C114" s="69">
        <f>IFERROR(__xludf.DUMMYFUNCTION("""COMPUTED_VALUE"""),20.0)</f>
        <v>20</v>
      </c>
      <c r="D114" s="1" t="str">
        <f>IFERROR(__xludf.DUMMYFUNCTION("""COMPUTED_VALUE"""),"USD")</f>
        <v>USD</v>
      </c>
      <c r="E114" s="1" t="str">
        <f>IFERROR(__xludf.DUMMYFUNCTION("""COMPUTED_VALUE"""),"Efectivo USD")</f>
        <v>Efectivo USD</v>
      </c>
      <c r="F114" s="1" t="str">
        <f>IFERROR(__xludf.DUMMYFUNCTION("""COMPUTED_VALUE"""),"Autoasesorio maxi motor")</f>
        <v>Autoasesorio maxi motor</v>
      </c>
      <c r="G114" s="70">
        <f>IFERROR(__xludf.DUMMYFUNCTION("""COMPUTED_VALUE"""),478.5811)</f>
        <v>478.5811</v>
      </c>
      <c r="H114" s="1"/>
      <c r="I114" s="71">
        <f>IFERROR(__xludf.DUMMYFUNCTION("""COMPUTED_VALUE"""),20.0)</f>
        <v>20</v>
      </c>
      <c r="J114" s="69">
        <f>IFERROR(__xludf.DUMMYFUNCTION("""COMPUTED_VALUE"""),20.0)</f>
        <v>20</v>
      </c>
      <c r="K114" s="4">
        <f>IFERROR(__xludf.DUMMYFUNCTION("""COMPUTED_VALUE"""),20.0)</f>
        <v>20</v>
      </c>
      <c r="N114" s="67"/>
      <c r="R114" s="4"/>
    </row>
    <row r="115">
      <c r="A115" s="66">
        <f>IFERROR(__xludf.DUMMYFUNCTION("""COMPUTED_VALUE"""),46127.0)</f>
        <v>46127</v>
      </c>
      <c r="B115" s="67">
        <f>IFERROR(__xludf.DUMMYFUNCTION("""COMPUTED_VALUE"""),144.0)</f>
        <v>144</v>
      </c>
      <c r="C115" s="69">
        <f>IFERROR(__xludf.DUMMYFUNCTION("""COMPUTED_VALUE"""),68.0)</f>
        <v>68</v>
      </c>
      <c r="D115" s="1" t="str">
        <f>IFERROR(__xludf.DUMMYFUNCTION("""COMPUTED_VALUE"""),"USD")</f>
        <v>USD</v>
      </c>
      <c r="E115" s="1" t="str">
        <f>IFERROR(__xludf.DUMMYFUNCTION("""COMPUTED_VALUE"""),"Efectivo USD")</f>
        <v>Efectivo USD</v>
      </c>
      <c r="F115" s="1" t="str">
        <f>IFERROR(__xludf.DUMMYFUNCTION("""COMPUTED_VALUE"""),"HIDRAULICAS CAICEDO C.A.")</f>
        <v>HIDRAULICAS CAICEDO C.A.</v>
      </c>
      <c r="G115" s="70">
        <f>IFERROR(__xludf.DUMMYFUNCTION("""COMPUTED_VALUE"""),478.5811)</f>
        <v>478.5811</v>
      </c>
      <c r="H115" s="1"/>
      <c r="I115" s="71">
        <f>IFERROR(__xludf.DUMMYFUNCTION("""COMPUTED_VALUE"""),68.0)</f>
        <v>68</v>
      </c>
      <c r="J115" s="69">
        <f>IFERROR(__xludf.DUMMYFUNCTION("""COMPUTED_VALUE"""),68.0)</f>
        <v>68</v>
      </c>
      <c r="K115" s="4">
        <f>IFERROR(__xludf.DUMMYFUNCTION("""COMPUTED_VALUE"""),68.0)</f>
        <v>68</v>
      </c>
      <c r="N115" s="67"/>
      <c r="R115" s="4"/>
    </row>
    <row r="116">
      <c r="A116" s="66">
        <f>IFERROR(__xludf.DUMMYFUNCTION("""COMPUTED_VALUE"""),46127.0)</f>
        <v>46127</v>
      </c>
      <c r="B116" s="67">
        <f>IFERROR(__xludf.DUMMYFUNCTION("""COMPUTED_VALUE"""),90.0)</f>
        <v>90</v>
      </c>
      <c r="C116" s="69">
        <f>IFERROR(__xludf.DUMMYFUNCTION("""COMPUTED_VALUE"""),71.0)</f>
        <v>71</v>
      </c>
      <c r="D116" s="1" t="str">
        <f>IFERROR(__xludf.DUMMYFUNCTION("""COMPUTED_VALUE"""),"USD")</f>
        <v>USD</v>
      </c>
      <c r="E116" s="1" t="str">
        <f>IFERROR(__xludf.DUMMYFUNCTION("""COMPUTED_VALUE"""),"Efectivo USD")</f>
        <v>Efectivo USD</v>
      </c>
      <c r="F116" s="1" t="str">
        <f>IFERROR(__xludf.DUMMYFUNCTION("""COMPUTED_VALUE"""),"ACCESORIOS Y REPUESTOS MOTO CAR 20-11-C.A")</f>
        <v>ACCESORIOS Y REPUESTOS MOTO CAR 20-11-C.A</v>
      </c>
      <c r="G116" s="70">
        <f>IFERROR(__xludf.DUMMYFUNCTION("""COMPUTED_VALUE"""),478.5811)</f>
        <v>478.5811</v>
      </c>
      <c r="H116" s="1"/>
      <c r="I116" s="71">
        <f>IFERROR(__xludf.DUMMYFUNCTION("""COMPUTED_VALUE"""),71.0)</f>
        <v>71</v>
      </c>
      <c r="J116" s="69">
        <f>IFERROR(__xludf.DUMMYFUNCTION("""COMPUTED_VALUE"""),71.0)</f>
        <v>71</v>
      </c>
      <c r="K116" s="4">
        <f>IFERROR(__xludf.DUMMYFUNCTION("""COMPUTED_VALUE"""),71.0)</f>
        <v>71</v>
      </c>
      <c r="N116" s="67"/>
      <c r="R116" s="4"/>
    </row>
    <row r="117">
      <c r="A117" s="66">
        <f>IFERROR(__xludf.DUMMYFUNCTION("""COMPUTED_VALUE"""),46127.0)</f>
        <v>46127</v>
      </c>
      <c r="B117" s="67">
        <f>IFERROR(__xludf.DUMMYFUNCTION("""COMPUTED_VALUE"""),219.0)</f>
        <v>219</v>
      </c>
      <c r="C117" s="69">
        <f>IFERROR(__xludf.DUMMYFUNCTION("""COMPUTED_VALUE"""),200.0)</f>
        <v>200</v>
      </c>
      <c r="D117" s="1" t="str">
        <f>IFERROR(__xludf.DUMMYFUNCTION("""COMPUTED_VALUE"""),"USD")</f>
        <v>USD</v>
      </c>
      <c r="E117" s="1" t="str">
        <f>IFERROR(__xludf.DUMMYFUNCTION("""COMPUTED_VALUE"""),"Efectivo USD")</f>
        <v>Efectivo USD</v>
      </c>
      <c r="F117" s="1" t="str">
        <f>IFERROR(__xludf.DUMMYFUNCTION("""COMPUTED_VALUE"""),"Montura de Cauchos Biondo,c.a.")</f>
        <v>Montura de Cauchos Biondo,c.a.</v>
      </c>
      <c r="G117" s="70">
        <f>IFERROR(__xludf.DUMMYFUNCTION("""COMPUTED_VALUE"""),478.5811)</f>
        <v>478.5811</v>
      </c>
      <c r="H117" s="1"/>
      <c r="I117" s="71">
        <f>IFERROR(__xludf.DUMMYFUNCTION("""COMPUTED_VALUE"""),200.0)</f>
        <v>200</v>
      </c>
      <c r="J117" s="69">
        <f>IFERROR(__xludf.DUMMYFUNCTION("""COMPUTED_VALUE"""),200.0)</f>
        <v>200</v>
      </c>
      <c r="K117" s="4">
        <f>IFERROR(__xludf.DUMMYFUNCTION("""COMPUTED_VALUE"""),200.0)</f>
        <v>200</v>
      </c>
      <c r="N117" s="67"/>
      <c r="R117" s="4"/>
    </row>
    <row r="118">
      <c r="A118" s="66">
        <f>IFERROR(__xludf.DUMMYFUNCTION("""COMPUTED_VALUE"""),46127.0)</f>
        <v>46127</v>
      </c>
      <c r="B118" s="67">
        <f>IFERROR(__xludf.DUMMYFUNCTION("""COMPUTED_VALUE"""),211.0)</f>
        <v>211</v>
      </c>
      <c r="C118" s="69">
        <f>IFERROR(__xludf.DUMMYFUNCTION("""COMPUTED_VALUE"""),47379.54)</f>
        <v>47379.54</v>
      </c>
      <c r="D118" s="1" t="str">
        <f>IFERROR(__xludf.DUMMYFUNCTION("""COMPUTED_VALUE"""),"VES")</f>
        <v>VES</v>
      </c>
      <c r="E118" s="1" t="str">
        <f>IFERROR(__xludf.DUMMYFUNCTION("""COMPUTED_VALUE"""),"Bancamiga")</f>
        <v>Bancamiga</v>
      </c>
      <c r="F118" s="1" t="str">
        <f>IFERROR(__xludf.DUMMYFUNCTION("""COMPUTED_VALUE"""),"ZIP MARKET, CA")</f>
        <v>ZIP MARKET, CA</v>
      </c>
      <c r="G118" s="70">
        <f>IFERROR(__xludf.DUMMYFUNCTION("""COMPUTED_VALUE"""),478.5811)</f>
        <v>478.5811</v>
      </c>
      <c r="H118" s="1"/>
      <c r="I118" s="71">
        <f>IFERROR(__xludf.DUMMYFUNCTION("""COMPUTED_VALUE"""),99.00002319356113)</f>
        <v>99.00002319</v>
      </c>
      <c r="J118" s="69">
        <f>IFERROR(__xludf.DUMMYFUNCTION("""COMPUTED_VALUE"""),0.0)</f>
        <v>0</v>
      </c>
      <c r="K118" s="4">
        <f>IFERROR(__xludf.DUMMYFUNCTION("""COMPUTED_VALUE"""),99.00002319356113)</f>
        <v>99.00002319</v>
      </c>
      <c r="N118" s="67"/>
      <c r="R118" s="4"/>
    </row>
    <row r="119">
      <c r="A119" s="66">
        <f>IFERROR(__xludf.DUMMYFUNCTION("""COMPUTED_VALUE"""),46127.0)</f>
        <v>46127</v>
      </c>
      <c r="B119" s="67">
        <f>IFERROR(__xludf.DUMMYFUNCTION("""COMPUTED_VALUE"""),64.0)</f>
        <v>64</v>
      </c>
      <c r="C119" s="69">
        <f>IFERROR(__xludf.DUMMYFUNCTION("""COMPUTED_VALUE"""),10200.18)</f>
        <v>10200.18</v>
      </c>
      <c r="D119" s="1" t="str">
        <f>IFERROR(__xludf.DUMMYFUNCTION("""COMPUTED_VALUE"""),"VES")</f>
        <v>VES</v>
      </c>
      <c r="E119" s="1" t="str">
        <f>IFERROR(__xludf.DUMMYFUNCTION("""COMPUTED_VALUE"""),"Bancamiga")</f>
        <v>Bancamiga</v>
      </c>
      <c r="F119" s="1" t="str">
        <f>IFERROR(__xludf.DUMMYFUNCTION("""COMPUTED_VALUE"""),"VAL VAL 16 C.A")</f>
        <v>VAL VAL 16 C.A</v>
      </c>
      <c r="G119" s="70">
        <f>IFERROR(__xludf.DUMMYFUNCTION("""COMPUTED_VALUE"""),479.7775)</f>
        <v>479.7775</v>
      </c>
      <c r="H119" s="1"/>
      <c r="I119" s="71">
        <f>IFERROR(__xludf.DUMMYFUNCTION("""COMPUTED_VALUE"""),21.260230002449052)</f>
        <v>21.26023</v>
      </c>
      <c r="J119" s="69">
        <f>IFERROR(__xludf.DUMMYFUNCTION("""COMPUTED_VALUE"""),0.0)</f>
        <v>0</v>
      </c>
      <c r="K119" s="4">
        <f>IFERROR(__xludf.DUMMYFUNCTION("""COMPUTED_VALUE"""),21.260230002449052)</f>
        <v>21.26023</v>
      </c>
      <c r="N119" s="67"/>
      <c r="R119" s="4"/>
    </row>
    <row r="120">
      <c r="A120" s="66">
        <f>IFERROR(__xludf.DUMMYFUNCTION("""COMPUTED_VALUE"""),46128.0)</f>
        <v>46128</v>
      </c>
      <c r="B120" s="67">
        <f>IFERROR(__xludf.DUMMYFUNCTION("""COMPUTED_VALUE"""),159.0)</f>
        <v>159</v>
      </c>
      <c r="C120" s="69">
        <f>IFERROR(__xludf.DUMMYFUNCTION("""COMPUTED_VALUE"""),200.0)</f>
        <v>200</v>
      </c>
      <c r="D120" s="1" t="str">
        <f>IFERROR(__xludf.DUMMYFUNCTION("""COMPUTED_VALUE"""),"USD")</f>
        <v>USD</v>
      </c>
      <c r="E120" s="1" t="str">
        <f>IFERROR(__xludf.DUMMYFUNCTION("""COMPUTED_VALUE"""),"Efectivo USD")</f>
        <v>Efectivo USD</v>
      </c>
      <c r="F120" s="1" t="str">
        <f>IFERROR(__xludf.DUMMYFUNCTION("""COMPUTED_VALUE"""),"Grupo 3030, C.A")</f>
        <v>Grupo 3030, C.A</v>
      </c>
      <c r="G120" s="70">
        <f>IFERROR(__xludf.DUMMYFUNCTION("""COMPUTED_VALUE"""),479.7775)</f>
        <v>479.7775</v>
      </c>
      <c r="H120" s="1"/>
      <c r="I120" s="71">
        <f>IFERROR(__xludf.DUMMYFUNCTION("""COMPUTED_VALUE"""),200.0)</f>
        <v>200</v>
      </c>
      <c r="J120" s="69">
        <f>IFERROR(__xludf.DUMMYFUNCTION("""COMPUTED_VALUE"""),200.0)</f>
        <v>200</v>
      </c>
      <c r="K120" s="4">
        <f>IFERROR(__xludf.DUMMYFUNCTION("""COMPUTED_VALUE"""),200.0)</f>
        <v>200</v>
      </c>
      <c r="N120" s="67"/>
      <c r="R120" s="4"/>
    </row>
    <row r="121">
      <c r="A121" s="66">
        <f>IFERROR(__xludf.DUMMYFUNCTION("""COMPUTED_VALUE"""),46128.0)</f>
        <v>46128</v>
      </c>
      <c r="B121" s="67">
        <f>IFERROR(__xludf.DUMMYFUNCTION("""COMPUTED_VALUE"""),121.0)</f>
        <v>121</v>
      </c>
      <c r="C121" s="69">
        <f>IFERROR(__xludf.DUMMYFUNCTION("""COMPUTED_VALUE"""),47977.75)</f>
        <v>47977.75</v>
      </c>
      <c r="D121" s="1" t="str">
        <f>IFERROR(__xludf.DUMMYFUNCTION("""COMPUTED_VALUE"""),"VES")</f>
        <v>VES</v>
      </c>
      <c r="E121" s="1" t="str">
        <f>IFERROR(__xludf.DUMMYFUNCTION("""COMPUTED_VALUE"""),"Bancamiga")</f>
        <v>Bancamiga</v>
      </c>
      <c r="F121" s="1" t="str">
        <f>IFERROR(__xludf.DUMMYFUNCTION("""COMPUTED_VALUE"""),"Jose Lopez Espinoza")</f>
        <v>Jose Lopez Espinoza</v>
      </c>
      <c r="G121" s="70">
        <f>IFERROR(__xludf.DUMMYFUNCTION("""COMPUTED_VALUE"""),479.7775)</f>
        <v>479.7775</v>
      </c>
      <c r="H121" s="1"/>
      <c r="I121" s="71">
        <f>IFERROR(__xludf.DUMMYFUNCTION("""COMPUTED_VALUE"""),100.0)</f>
        <v>100</v>
      </c>
      <c r="J121" s="69">
        <f>IFERROR(__xludf.DUMMYFUNCTION("""COMPUTED_VALUE"""),0.0)</f>
        <v>0</v>
      </c>
      <c r="K121" s="4">
        <f>IFERROR(__xludf.DUMMYFUNCTION("""COMPUTED_VALUE"""),100.0)</f>
        <v>100</v>
      </c>
      <c r="N121" s="67"/>
      <c r="R121" s="4"/>
    </row>
    <row r="122">
      <c r="A122" s="66">
        <f>IFERROR(__xludf.DUMMYFUNCTION("""COMPUTED_VALUE"""),46129.0)</f>
        <v>46129</v>
      </c>
      <c r="B122" s="67">
        <f>IFERROR(__xludf.DUMMYFUNCTION("""COMPUTED_VALUE"""),141.0)</f>
        <v>141</v>
      </c>
      <c r="C122" s="69">
        <f>IFERROR(__xludf.DUMMYFUNCTION("""COMPUTED_VALUE"""),50.0)</f>
        <v>50</v>
      </c>
      <c r="D122" s="1" t="str">
        <f>IFERROR(__xludf.DUMMYFUNCTION("""COMPUTED_VALUE"""),"USD")</f>
        <v>USD</v>
      </c>
      <c r="E122" s="1" t="str">
        <f>IFERROR(__xludf.DUMMYFUNCTION("""COMPUTED_VALUE"""),"Efectivo USD")</f>
        <v>Efectivo USD</v>
      </c>
      <c r="F122" s="1" t="str">
        <f>IFERROR(__xludf.DUMMYFUNCTION("""COMPUTED_VALUE"""),"Yulendri Carolina Pineda Blanco")</f>
        <v>Yulendri Carolina Pineda Blanco</v>
      </c>
      <c r="G122" s="70">
        <f>IFERROR(__xludf.DUMMYFUNCTION("""COMPUTED_VALUE"""),480.2572)</f>
        <v>480.2572</v>
      </c>
      <c r="H122" s="1"/>
      <c r="I122" s="71">
        <f>IFERROR(__xludf.DUMMYFUNCTION("""COMPUTED_VALUE"""),50.0)</f>
        <v>50</v>
      </c>
      <c r="J122" s="69">
        <f>IFERROR(__xludf.DUMMYFUNCTION("""COMPUTED_VALUE"""),50.0)</f>
        <v>50</v>
      </c>
      <c r="K122" s="4">
        <f>IFERROR(__xludf.DUMMYFUNCTION("""COMPUTED_VALUE"""),50.0)</f>
        <v>50</v>
      </c>
      <c r="N122" s="67"/>
      <c r="R122" s="4"/>
    </row>
    <row r="123">
      <c r="A123" s="66">
        <f>IFERROR(__xludf.DUMMYFUNCTION("""COMPUTED_VALUE"""),46129.0)</f>
        <v>46129</v>
      </c>
      <c r="B123" s="67">
        <f>IFERROR(__xludf.DUMMYFUNCTION("""COMPUTED_VALUE"""),62.0)</f>
        <v>62</v>
      </c>
      <c r="C123" s="69">
        <f>IFERROR(__xludf.DUMMYFUNCTION("""COMPUTED_VALUE"""),210.0)</f>
        <v>210</v>
      </c>
      <c r="D123" s="1" t="str">
        <f>IFERROR(__xludf.DUMMYFUNCTION("""COMPUTED_VALUE"""),"USD")</f>
        <v>USD</v>
      </c>
      <c r="E123" s="1" t="str">
        <f>IFERROR(__xludf.DUMMYFUNCTION("""COMPUTED_VALUE"""),"Zelle")</f>
        <v>Zelle</v>
      </c>
      <c r="F123" s="1" t="str">
        <f>IFERROR(__xludf.DUMMYFUNCTION("""COMPUTED_VALUE"""),"SJMG 2012 C.A")</f>
        <v>SJMG 2012 C.A</v>
      </c>
      <c r="G123" s="70">
        <f>IFERROR(__xludf.DUMMYFUNCTION("""COMPUTED_VALUE"""),480.2572)</f>
        <v>480.2572</v>
      </c>
      <c r="H123" s="1"/>
      <c r="I123" s="71">
        <f>IFERROR(__xludf.DUMMYFUNCTION("""COMPUTED_VALUE"""),210.0)</f>
        <v>210</v>
      </c>
      <c r="J123" s="69">
        <f>IFERROR(__xludf.DUMMYFUNCTION("""COMPUTED_VALUE"""),210.0)</f>
        <v>210</v>
      </c>
      <c r="K123" s="4">
        <f>IFERROR(__xludf.DUMMYFUNCTION("""COMPUTED_VALUE"""),210.0)</f>
        <v>210</v>
      </c>
      <c r="N123" s="67"/>
      <c r="R123" s="4"/>
    </row>
    <row r="124">
      <c r="A124" s="66">
        <f>IFERROR(__xludf.DUMMYFUNCTION("""COMPUTED_VALUE"""),46129.0)</f>
        <v>46129</v>
      </c>
      <c r="B124" s="67">
        <f>IFERROR(__xludf.DUMMYFUNCTION("""COMPUTED_VALUE"""),229.0)</f>
        <v>229</v>
      </c>
      <c r="C124" s="69">
        <f>IFERROR(__xludf.DUMMYFUNCTION("""COMPUTED_VALUE"""),514.93)</f>
        <v>514.93</v>
      </c>
      <c r="D124" s="1" t="str">
        <f>IFERROR(__xludf.DUMMYFUNCTION("""COMPUTED_VALUE"""),"USD")</f>
        <v>USD</v>
      </c>
      <c r="E124" s="1" t="str">
        <f>IFERROR(__xludf.DUMMYFUNCTION("""COMPUTED_VALUE"""),"Zelle")</f>
        <v>Zelle</v>
      </c>
      <c r="F124" s="1" t="str">
        <f>IFERROR(__xludf.DUMMYFUNCTION("""COMPUTED_VALUE"""),"Devenalsa Deshidratadora Venezolana de Alimentos, S.A.")</f>
        <v>Devenalsa Deshidratadora Venezolana de Alimentos, S.A.</v>
      </c>
      <c r="G124" s="70">
        <f>IFERROR(__xludf.DUMMYFUNCTION("""COMPUTED_VALUE"""),480.2572)</f>
        <v>480.2572</v>
      </c>
      <c r="H124" s="1"/>
      <c r="I124" s="71">
        <f>IFERROR(__xludf.DUMMYFUNCTION("""COMPUTED_VALUE"""),514.93)</f>
        <v>514.93</v>
      </c>
      <c r="J124" s="69">
        <f>IFERROR(__xludf.DUMMYFUNCTION("""COMPUTED_VALUE"""),514.93)</f>
        <v>514.93</v>
      </c>
      <c r="K124" s="4">
        <f>IFERROR(__xludf.DUMMYFUNCTION("""COMPUTED_VALUE"""),514.93)</f>
        <v>514.93</v>
      </c>
      <c r="N124" s="67"/>
      <c r="R124" s="4"/>
    </row>
    <row r="125">
      <c r="A125" s="66">
        <f>IFERROR(__xludf.DUMMYFUNCTION("""COMPUTED_VALUE"""),46129.0)</f>
        <v>46129</v>
      </c>
      <c r="B125" s="67">
        <f>IFERROR(__xludf.DUMMYFUNCTION("""COMPUTED_VALUE"""),93.0)</f>
        <v>93</v>
      </c>
      <c r="C125" s="69">
        <f>IFERROR(__xludf.DUMMYFUNCTION("""COMPUTED_VALUE"""),40.0)</f>
        <v>40</v>
      </c>
      <c r="D125" s="1" t="str">
        <f>IFERROR(__xludf.DUMMYFUNCTION("""COMPUTED_VALUE"""),"USD")</f>
        <v>USD</v>
      </c>
      <c r="E125" s="1" t="str">
        <f>IFERROR(__xludf.DUMMYFUNCTION("""COMPUTED_VALUE"""),"Efectivo USD")</f>
        <v>Efectivo USD</v>
      </c>
      <c r="F125" s="1" t="str">
        <f>IFERROR(__xludf.DUMMYFUNCTION("""COMPUTED_VALUE"""),"Emprendimiento YSKRA")</f>
        <v>Emprendimiento YSKRA</v>
      </c>
      <c r="G125" s="70">
        <f>IFERROR(__xludf.DUMMYFUNCTION("""COMPUTED_VALUE"""),480.2572)</f>
        <v>480.2572</v>
      </c>
      <c r="H125" s="1"/>
      <c r="I125" s="71">
        <f>IFERROR(__xludf.DUMMYFUNCTION("""COMPUTED_VALUE"""),40.0)</f>
        <v>40</v>
      </c>
      <c r="J125" s="69">
        <f>IFERROR(__xludf.DUMMYFUNCTION("""COMPUTED_VALUE"""),40.0)</f>
        <v>40</v>
      </c>
      <c r="K125" s="4">
        <f>IFERROR(__xludf.DUMMYFUNCTION("""COMPUTED_VALUE"""),40.0)</f>
        <v>40</v>
      </c>
      <c r="N125" s="67"/>
      <c r="R125" s="4"/>
    </row>
    <row r="126">
      <c r="A126" s="66">
        <f>IFERROR(__xludf.DUMMYFUNCTION("""COMPUTED_VALUE"""),46129.0)</f>
        <v>46129</v>
      </c>
      <c r="B126" s="67">
        <f>IFERROR(__xludf.DUMMYFUNCTION("""COMPUTED_VALUE"""),125.0)</f>
        <v>125</v>
      </c>
      <c r="C126" s="69">
        <f>IFERROR(__xludf.DUMMYFUNCTION("""COMPUTED_VALUE"""),30.0)</f>
        <v>30</v>
      </c>
      <c r="D126" s="1" t="str">
        <f>IFERROR(__xludf.DUMMYFUNCTION("""COMPUTED_VALUE"""),"USD")</f>
        <v>USD</v>
      </c>
      <c r="E126" s="1" t="str">
        <f>IFERROR(__xludf.DUMMYFUNCTION("""COMPUTED_VALUE"""),"Efectivo USD")</f>
        <v>Efectivo USD</v>
      </c>
      <c r="F126" s="1" t="str">
        <f>IFERROR(__xludf.DUMMYFUNCTION("""COMPUTED_VALUE"""),"Megacar2020.c.a")</f>
        <v>Megacar2020.c.a</v>
      </c>
      <c r="G126" s="70">
        <f>IFERROR(__xludf.DUMMYFUNCTION("""COMPUTED_VALUE"""),480.2572)</f>
        <v>480.2572</v>
      </c>
      <c r="H126" s="1"/>
      <c r="I126" s="71">
        <f>IFERROR(__xludf.DUMMYFUNCTION("""COMPUTED_VALUE"""),30.0)</f>
        <v>30</v>
      </c>
      <c r="J126" s="69">
        <f>IFERROR(__xludf.DUMMYFUNCTION("""COMPUTED_VALUE"""),30.0)</f>
        <v>30</v>
      </c>
      <c r="K126" s="4">
        <f>IFERROR(__xludf.DUMMYFUNCTION("""COMPUTED_VALUE"""),30.0)</f>
        <v>30</v>
      </c>
      <c r="N126" s="67"/>
      <c r="R126" s="4"/>
    </row>
    <row r="127">
      <c r="A127" s="66">
        <f>IFERROR(__xludf.DUMMYFUNCTION("""COMPUTED_VALUE"""),46129.0)</f>
        <v>46129</v>
      </c>
      <c r="B127" s="67">
        <f>IFERROR(__xludf.DUMMYFUNCTION("""COMPUTED_VALUE"""),38.0)</f>
        <v>38</v>
      </c>
      <c r="C127" s="69">
        <f>IFERROR(__xludf.DUMMYFUNCTION("""COMPUTED_VALUE"""),22.0)</f>
        <v>22</v>
      </c>
      <c r="D127" s="1" t="str">
        <f>IFERROR(__xludf.DUMMYFUNCTION("""COMPUTED_VALUE"""),"USD")</f>
        <v>USD</v>
      </c>
      <c r="E127" s="1" t="str">
        <f>IFERROR(__xludf.DUMMYFUNCTION("""COMPUTED_VALUE"""),"Efectivo USD")</f>
        <v>Efectivo USD</v>
      </c>
      <c r="F127" s="1" t="str">
        <f>IFERROR(__xludf.DUMMYFUNCTION("""COMPUTED_VALUE"""),"Auto repuestos Fontalvo")</f>
        <v>Auto repuestos Fontalvo</v>
      </c>
      <c r="G127" s="70">
        <f>IFERROR(__xludf.DUMMYFUNCTION("""COMPUTED_VALUE"""),480.2572)</f>
        <v>480.2572</v>
      </c>
      <c r="H127" s="1"/>
      <c r="I127" s="71">
        <f>IFERROR(__xludf.DUMMYFUNCTION("""COMPUTED_VALUE"""),22.0)</f>
        <v>22</v>
      </c>
      <c r="J127" s="69">
        <f>IFERROR(__xludf.DUMMYFUNCTION("""COMPUTED_VALUE"""),22.0)</f>
        <v>22</v>
      </c>
      <c r="K127" s="4">
        <f>IFERROR(__xludf.DUMMYFUNCTION("""COMPUTED_VALUE"""),22.0)</f>
        <v>22</v>
      </c>
      <c r="N127" s="67"/>
      <c r="R127" s="4"/>
    </row>
    <row r="128">
      <c r="A128" s="66">
        <f>IFERROR(__xludf.DUMMYFUNCTION("""COMPUTED_VALUE"""),46129.0)</f>
        <v>46129</v>
      </c>
      <c r="B128" s="67">
        <f>IFERROR(__xludf.DUMMYFUNCTION("""COMPUTED_VALUE"""),133.0)</f>
        <v>133</v>
      </c>
      <c r="C128" s="69">
        <f>IFERROR(__xludf.DUMMYFUNCTION("""COMPUTED_VALUE"""),250.0)</f>
        <v>250</v>
      </c>
      <c r="D128" s="1" t="str">
        <f>IFERROR(__xludf.DUMMYFUNCTION("""COMPUTED_VALUE"""),"USD")</f>
        <v>USD</v>
      </c>
      <c r="E128" s="1" t="str">
        <f>IFERROR(__xludf.DUMMYFUNCTION("""COMPUTED_VALUE"""),"Efectivo USD")</f>
        <v>Efectivo USD</v>
      </c>
      <c r="F128" s="1" t="str">
        <f>IFERROR(__xludf.DUMMYFUNCTION("""COMPUTED_VALUE"""),"Inversiones La Bendición del Nazareno, C.A")</f>
        <v>Inversiones La Bendición del Nazareno, C.A</v>
      </c>
      <c r="G128" s="70">
        <f>IFERROR(__xludf.DUMMYFUNCTION("""COMPUTED_VALUE"""),480.2572)</f>
        <v>480.2572</v>
      </c>
      <c r="H128" s="1"/>
      <c r="I128" s="71">
        <f>IFERROR(__xludf.DUMMYFUNCTION("""COMPUTED_VALUE"""),250.0)</f>
        <v>250</v>
      </c>
      <c r="J128" s="69">
        <f>IFERROR(__xludf.DUMMYFUNCTION("""COMPUTED_VALUE"""),250.0)</f>
        <v>250</v>
      </c>
      <c r="K128" s="4">
        <f>IFERROR(__xludf.DUMMYFUNCTION("""COMPUTED_VALUE"""),250.0)</f>
        <v>250</v>
      </c>
      <c r="N128" s="67"/>
      <c r="R128" s="4"/>
    </row>
    <row r="129">
      <c r="A129" s="66">
        <f>IFERROR(__xludf.DUMMYFUNCTION("""COMPUTED_VALUE"""),46132.0)</f>
        <v>46132</v>
      </c>
      <c r="B129" s="67">
        <f>IFERROR(__xludf.DUMMYFUNCTION("""COMPUTED_VALUE"""),169.0)</f>
        <v>169</v>
      </c>
      <c r="C129" s="69">
        <f>IFERROR(__xludf.DUMMYFUNCTION("""COMPUTED_VALUE"""),24.0)</f>
        <v>24</v>
      </c>
      <c r="D129" s="1" t="str">
        <f>IFERROR(__xludf.DUMMYFUNCTION("""COMPUTED_VALUE"""),"USD")</f>
        <v>USD</v>
      </c>
      <c r="E129" s="1" t="str">
        <f>IFERROR(__xludf.DUMMYFUNCTION("""COMPUTED_VALUE"""),"Efectivo USD")</f>
        <v>Efectivo USD</v>
      </c>
      <c r="F129" s="1" t="str">
        <f>IFERROR(__xludf.DUMMYFUNCTION("""COMPUTED_VALUE"""),"ALI ALEXANDER MORENO FIGUEREDO")</f>
        <v>ALI ALEXANDER MORENO FIGUEREDO</v>
      </c>
      <c r="G129" s="70">
        <f>IFERROR(__xludf.DUMMYFUNCTION("""COMPUTED_VALUE"""),481.2177)</f>
        <v>481.2177</v>
      </c>
      <c r="H129" s="1"/>
      <c r="I129" s="71">
        <f>IFERROR(__xludf.DUMMYFUNCTION("""COMPUTED_VALUE"""),24.0)</f>
        <v>24</v>
      </c>
      <c r="J129" s="69">
        <f>IFERROR(__xludf.DUMMYFUNCTION("""COMPUTED_VALUE"""),24.0)</f>
        <v>24</v>
      </c>
      <c r="K129" s="4">
        <f>IFERROR(__xludf.DUMMYFUNCTION("""COMPUTED_VALUE"""),24.0)</f>
        <v>24</v>
      </c>
      <c r="N129" s="67"/>
      <c r="R129" s="4"/>
    </row>
    <row r="130">
      <c r="A130" s="66">
        <f>IFERROR(__xludf.DUMMYFUNCTION("""COMPUTED_VALUE"""),46132.0)</f>
        <v>46132</v>
      </c>
      <c r="B130" s="67">
        <f>IFERROR(__xludf.DUMMYFUNCTION("""COMPUTED_VALUE"""),138.0)</f>
        <v>138</v>
      </c>
      <c r="C130" s="69">
        <f>IFERROR(__xludf.DUMMYFUNCTION("""COMPUTED_VALUE"""),60.0)</f>
        <v>60</v>
      </c>
      <c r="D130" s="1" t="str">
        <f>IFERROR(__xludf.DUMMYFUNCTION("""COMPUTED_VALUE"""),"USD")</f>
        <v>USD</v>
      </c>
      <c r="E130" s="1" t="str">
        <f>IFERROR(__xludf.DUMMYFUNCTION("""COMPUTED_VALUE"""),"Efectivo USD")</f>
        <v>Efectivo USD</v>
      </c>
      <c r="F130" s="1" t="str">
        <f>IFERROR(__xludf.DUMMYFUNCTION("""COMPUTED_VALUE"""),"Benefit c.a")</f>
        <v>Benefit c.a</v>
      </c>
      <c r="G130" s="70">
        <f>IFERROR(__xludf.DUMMYFUNCTION("""COMPUTED_VALUE"""),481.2177)</f>
        <v>481.2177</v>
      </c>
      <c r="H130" s="1"/>
      <c r="I130" s="71">
        <f>IFERROR(__xludf.DUMMYFUNCTION("""COMPUTED_VALUE"""),60.0)</f>
        <v>60</v>
      </c>
      <c r="J130" s="69">
        <f>IFERROR(__xludf.DUMMYFUNCTION("""COMPUTED_VALUE"""),60.0)</f>
        <v>60</v>
      </c>
      <c r="K130" s="4">
        <f>IFERROR(__xludf.DUMMYFUNCTION("""COMPUTED_VALUE"""),60.0)</f>
        <v>60</v>
      </c>
      <c r="N130" s="67"/>
      <c r="R130" s="4"/>
    </row>
    <row r="131">
      <c r="A131" s="66">
        <f>IFERROR(__xludf.DUMMYFUNCTION("""COMPUTED_VALUE"""),46132.0)</f>
        <v>46132</v>
      </c>
      <c r="B131" s="67">
        <f>IFERROR(__xludf.DUMMYFUNCTION("""COMPUTED_VALUE"""),62.0)</f>
        <v>62</v>
      </c>
      <c r="C131" s="69">
        <f>IFERROR(__xludf.DUMMYFUNCTION("""COMPUTED_VALUE"""),150.0)</f>
        <v>150</v>
      </c>
      <c r="D131" s="1" t="str">
        <f>IFERROR(__xludf.DUMMYFUNCTION("""COMPUTED_VALUE"""),"USD")</f>
        <v>USD</v>
      </c>
      <c r="E131" s="1" t="str">
        <f>IFERROR(__xludf.DUMMYFUNCTION("""COMPUTED_VALUE"""),"Efectivo USD")</f>
        <v>Efectivo USD</v>
      </c>
      <c r="F131" s="1" t="str">
        <f>IFERROR(__xludf.DUMMYFUNCTION("""COMPUTED_VALUE"""),"SJMG 2012 C.A")</f>
        <v>SJMG 2012 C.A</v>
      </c>
      <c r="G131" s="70">
        <f>IFERROR(__xludf.DUMMYFUNCTION("""COMPUTED_VALUE"""),481.2177)</f>
        <v>481.2177</v>
      </c>
      <c r="H131" s="1"/>
      <c r="I131" s="71">
        <f>IFERROR(__xludf.DUMMYFUNCTION("""COMPUTED_VALUE"""),150.0)</f>
        <v>150</v>
      </c>
      <c r="J131" s="69">
        <f>IFERROR(__xludf.DUMMYFUNCTION("""COMPUTED_VALUE"""),150.0)</f>
        <v>150</v>
      </c>
      <c r="K131" s="4">
        <f>IFERROR(__xludf.DUMMYFUNCTION("""COMPUTED_VALUE"""),150.0)</f>
        <v>150</v>
      </c>
      <c r="N131" s="67"/>
      <c r="R131" s="4"/>
    </row>
    <row r="132">
      <c r="A132" s="66">
        <f>IFERROR(__xludf.DUMMYFUNCTION("""COMPUTED_VALUE"""),46132.0)</f>
        <v>46132</v>
      </c>
      <c r="B132" s="67">
        <f>IFERROR(__xludf.DUMMYFUNCTION("""COMPUTED_VALUE"""),55.0)</f>
        <v>55</v>
      </c>
      <c r="C132" s="69">
        <f>IFERROR(__xludf.DUMMYFUNCTION("""COMPUTED_VALUE"""),72.0)</f>
        <v>72</v>
      </c>
      <c r="D132" s="1" t="str">
        <f>IFERROR(__xludf.DUMMYFUNCTION("""COMPUTED_VALUE"""),"USD")</f>
        <v>USD</v>
      </c>
      <c r="E132" s="1" t="str">
        <f>IFERROR(__xludf.DUMMYFUNCTION("""COMPUTED_VALUE"""),"Efectivo USD")</f>
        <v>Efectivo USD</v>
      </c>
      <c r="F132" s="1" t="str">
        <f>IFERROR(__xludf.DUMMYFUNCTION("""COMPUTED_VALUE"""),"Barrios Rodríguez Marlon Enrique")</f>
        <v>Barrios Rodríguez Marlon Enrique</v>
      </c>
      <c r="G132" s="70">
        <f>IFERROR(__xludf.DUMMYFUNCTION("""COMPUTED_VALUE"""),481.2177)</f>
        <v>481.2177</v>
      </c>
      <c r="H132" s="1"/>
      <c r="I132" s="71">
        <f>IFERROR(__xludf.DUMMYFUNCTION("""COMPUTED_VALUE"""),72.0)</f>
        <v>72</v>
      </c>
      <c r="J132" s="69">
        <f>IFERROR(__xludf.DUMMYFUNCTION("""COMPUTED_VALUE"""),72.0)</f>
        <v>72</v>
      </c>
      <c r="K132" s="4">
        <f>IFERROR(__xludf.DUMMYFUNCTION("""COMPUTED_VALUE"""),72.0)</f>
        <v>72</v>
      </c>
      <c r="N132" s="67"/>
      <c r="R132" s="4"/>
    </row>
    <row r="133">
      <c r="A133" s="66">
        <f>IFERROR(__xludf.DUMMYFUNCTION("""COMPUTED_VALUE"""),46132.0)</f>
        <v>46132</v>
      </c>
      <c r="B133" s="67">
        <f>IFERROR(__xludf.DUMMYFUNCTION("""COMPUTED_VALUE"""),234.0)</f>
        <v>234</v>
      </c>
      <c r="C133" s="69">
        <f>IFERROR(__xludf.DUMMYFUNCTION("""COMPUTED_VALUE"""),252.0)</f>
        <v>252</v>
      </c>
      <c r="D133" s="1" t="str">
        <f>IFERROR(__xludf.DUMMYFUNCTION("""COMPUTED_VALUE"""),"USD")</f>
        <v>USD</v>
      </c>
      <c r="E133" s="1" t="str">
        <f>IFERROR(__xludf.DUMMYFUNCTION("""COMPUTED_VALUE"""),"Efectivo USD")</f>
        <v>Efectivo USD</v>
      </c>
      <c r="F133" s="1" t="str">
        <f>IFERROR(__xludf.DUMMYFUNCTION("""COMPUTED_VALUE"""),"Cauchos California, C.A")</f>
        <v>Cauchos California, C.A</v>
      </c>
      <c r="G133" s="70">
        <f>IFERROR(__xludf.DUMMYFUNCTION("""COMPUTED_VALUE"""),481.2177)</f>
        <v>481.2177</v>
      </c>
      <c r="H133" s="1"/>
      <c r="I133" s="71">
        <f>IFERROR(__xludf.DUMMYFUNCTION("""COMPUTED_VALUE"""),252.0)</f>
        <v>252</v>
      </c>
      <c r="J133" s="69">
        <f>IFERROR(__xludf.DUMMYFUNCTION("""COMPUTED_VALUE"""),252.0)</f>
        <v>252</v>
      </c>
      <c r="K133" s="4">
        <f>IFERROR(__xludf.DUMMYFUNCTION("""COMPUTED_VALUE"""),252.0)</f>
        <v>252</v>
      </c>
      <c r="N133" s="67"/>
      <c r="R133" s="4"/>
    </row>
    <row r="134">
      <c r="A134" s="66">
        <f>IFERROR(__xludf.DUMMYFUNCTION("""COMPUTED_VALUE"""),46129.0)</f>
        <v>46129</v>
      </c>
      <c r="B134" s="67">
        <f>IFERROR(__xludf.DUMMYFUNCTION("""COMPUTED_VALUE"""),238.0)</f>
        <v>238</v>
      </c>
      <c r="C134" s="69">
        <f>IFERROR(__xludf.DUMMYFUNCTION("""COMPUTED_VALUE"""),75.0)</f>
        <v>75</v>
      </c>
      <c r="D134" s="1" t="str">
        <f>IFERROR(__xludf.DUMMYFUNCTION("""COMPUTED_VALUE"""),"USD")</f>
        <v>USD</v>
      </c>
      <c r="E134" s="1" t="str">
        <f>IFERROR(__xludf.DUMMYFUNCTION("""COMPUTED_VALUE"""),"Efectivo USD")</f>
        <v>Efectivo USD</v>
      </c>
      <c r="F134" s="1" t="str">
        <f>IFERROR(__xludf.DUMMYFUNCTION("""COMPUTED_VALUE"""),"Jose Brea")</f>
        <v>Jose Brea</v>
      </c>
      <c r="G134" s="70">
        <f>IFERROR(__xludf.DUMMYFUNCTION("""COMPUTED_VALUE"""),480.2572)</f>
        <v>480.2572</v>
      </c>
      <c r="H134" s="1"/>
      <c r="I134" s="71">
        <f>IFERROR(__xludf.DUMMYFUNCTION("""COMPUTED_VALUE"""),75.0)</f>
        <v>75</v>
      </c>
      <c r="J134" s="69">
        <f>IFERROR(__xludf.DUMMYFUNCTION("""COMPUTED_VALUE"""),75.0)</f>
        <v>75</v>
      </c>
      <c r="K134" s="4">
        <f>IFERROR(__xludf.DUMMYFUNCTION("""COMPUTED_VALUE"""),75.0)</f>
        <v>75</v>
      </c>
      <c r="N134" s="67"/>
      <c r="R134" s="4"/>
    </row>
    <row r="135">
      <c r="A135" s="66">
        <f>IFERROR(__xludf.DUMMYFUNCTION("""COMPUTED_VALUE"""),46127.0)</f>
        <v>46127</v>
      </c>
      <c r="B135" s="67">
        <f>IFERROR(__xludf.DUMMYFUNCTION("""COMPUTED_VALUE"""),225.0)</f>
        <v>225</v>
      </c>
      <c r="C135" s="69">
        <f>IFERROR(__xludf.DUMMYFUNCTION("""COMPUTED_VALUE"""),1910285.18)</f>
        <v>1910285.18</v>
      </c>
      <c r="D135" s="1" t="str">
        <f>IFERROR(__xludf.DUMMYFUNCTION("""COMPUTED_VALUE"""),"VES")</f>
        <v>VES</v>
      </c>
      <c r="E135" s="1" t="str">
        <f>IFERROR(__xludf.DUMMYFUNCTION("""COMPUTED_VALUE"""),"Bancamiga")</f>
        <v>Bancamiga</v>
      </c>
      <c r="F135" s="1" t="str">
        <f>IFERROR(__xludf.DUMMYFUNCTION("""COMPUTED_VALUE"""),"CONSTRUCTORA GRANO AGREGADO, C.A")</f>
        <v>CONSTRUCTORA GRANO AGREGADO, C.A</v>
      </c>
      <c r="G135" s="70">
        <f>IFERROR(__xludf.DUMMYFUNCTION("""COMPUTED_VALUE"""),478.5811)</f>
        <v>478.5811</v>
      </c>
      <c r="H135" s="1"/>
      <c r="I135" s="71">
        <f>IFERROR(__xludf.DUMMYFUNCTION("""COMPUTED_VALUE"""),3991.560009369363)</f>
        <v>3991.560009</v>
      </c>
      <c r="J135" s="69">
        <f>IFERROR(__xludf.DUMMYFUNCTION("""COMPUTED_VALUE"""),0.0)</f>
        <v>0</v>
      </c>
      <c r="K135" s="4">
        <f>IFERROR(__xludf.DUMMYFUNCTION("""COMPUTED_VALUE"""),3991.560009369363)</f>
        <v>3991.560009</v>
      </c>
      <c r="N135" s="67"/>
      <c r="R135" s="4"/>
    </row>
    <row r="136">
      <c r="A136" s="66">
        <f>IFERROR(__xludf.DUMMYFUNCTION("""COMPUTED_VALUE"""),46133.0)</f>
        <v>46133</v>
      </c>
      <c r="B136" s="67">
        <f>IFERROR(__xludf.DUMMYFUNCTION("""COMPUTED_VALUE"""),143.0)</f>
        <v>143</v>
      </c>
      <c r="C136" s="69">
        <f>IFERROR(__xludf.DUMMYFUNCTION("""COMPUTED_VALUE"""),100.0)</f>
        <v>100</v>
      </c>
      <c r="D136" s="1" t="str">
        <f>IFERROR(__xludf.DUMMYFUNCTION("""COMPUTED_VALUE"""),"USD")</f>
        <v>USD</v>
      </c>
      <c r="E136" s="1" t="str">
        <f>IFERROR(__xludf.DUMMYFUNCTION("""COMPUTED_VALUE"""),"Efectivo USD")</f>
        <v>Efectivo USD</v>
      </c>
      <c r="F136" s="1" t="str">
        <f>IFERROR(__xludf.DUMMYFUNCTION("""COMPUTED_VALUE"""),"MOTOREPUESTOS EL GUANÁBANO YRM C.A.")</f>
        <v>MOTOREPUESTOS EL GUANÁBANO YRM C.A.</v>
      </c>
      <c r="G136" s="70">
        <f>IFERROR(__xludf.DUMMYFUNCTION("""COMPUTED_VALUE"""),481.6989)</f>
        <v>481.6989</v>
      </c>
      <c r="H136" s="1"/>
      <c r="I136" s="71">
        <f>IFERROR(__xludf.DUMMYFUNCTION("""COMPUTED_VALUE"""),100.0)</f>
        <v>100</v>
      </c>
      <c r="J136" s="69">
        <f>IFERROR(__xludf.DUMMYFUNCTION("""COMPUTED_VALUE"""),100.0)</f>
        <v>100</v>
      </c>
      <c r="K136" s="4">
        <f>IFERROR(__xludf.DUMMYFUNCTION("""COMPUTED_VALUE"""),100.0)</f>
        <v>100</v>
      </c>
      <c r="N136" s="67"/>
      <c r="R136" s="4"/>
    </row>
    <row r="137">
      <c r="A137" s="66">
        <f>IFERROR(__xludf.DUMMYFUNCTION("""COMPUTED_VALUE"""),46133.0)</f>
        <v>46133</v>
      </c>
      <c r="B137" s="67">
        <f>IFERROR(__xludf.DUMMYFUNCTION("""COMPUTED_VALUE"""),95.0)</f>
        <v>95</v>
      </c>
      <c r="C137" s="69">
        <f>IFERROR(__xludf.DUMMYFUNCTION("""COMPUTED_VALUE"""),153023.28)</f>
        <v>153023.28</v>
      </c>
      <c r="D137" s="1" t="str">
        <f>IFERROR(__xludf.DUMMYFUNCTION("""COMPUTED_VALUE"""),"VES")</f>
        <v>VES</v>
      </c>
      <c r="E137" s="1" t="str">
        <f>IFERROR(__xludf.DUMMYFUNCTION("""COMPUTED_VALUE"""),"Venezuela")</f>
        <v>Venezuela</v>
      </c>
      <c r="F137" s="1" t="str">
        <f>IFERROR(__xludf.DUMMYFUNCTION("""COMPUTED_VALUE"""),"Multiservicios Arizona, C.A.")</f>
        <v>Multiservicios Arizona, C.A.</v>
      </c>
      <c r="G137" s="70">
        <f>IFERROR(__xludf.DUMMYFUNCTION("""COMPUTED_VALUE"""),481.6989)</f>
        <v>481.6989</v>
      </c>
      <c r="H137" s="1"/>
      <c r="I137" s="71">
        <f>IFERROR(__xludf.DUMMYFUNCTION("""COMPUTED_VALUE"""),317.6741321186326)</f>
        <v>317.6741321</v>
      </c>
      <c r="J137" s="69">
        <f>IFERROR(__xludf.DUMMYFUNCTION("""COMPUTED_VALUE"""),0.0)</f>
        <v>0</v>
      </c>
      <c r="K137" s="4">
        <f>IFERROR(__xludf.DUMMYFUNCTION("""COMPUTED_VALUE"""),317.6741321186326)</f>
        <v>317.6741321</v>
      </c>
      <c r="N137" s="67"/>
      <c r="R137" s="4"/>
    </row>
    <row r="138">
      <c r="A138" s="66">
        <f>IFERROR(__xludf.DUMMYFUNCTION("""COMPUTED_VALUE"""),46133.0)</f>
        <v>46133</v>
      </c>
      <c r="B138" s="67">
        <f>IFERROR(__xludf.DUMMYFUNCTION("""COMPUTED_VALUE"""),145.0)</f>
        <v>145</v>
      </c>
      <c r="C138" s="69">
        <f>IFERROR(__xludf.DUMMYFUNCTION("""COMPUTED_VALUE"""),100.0)</f>
        <v>100</v>
      </c>
      <c r="D138" s="1" t="str">
        <f>IFERROR(__xludf.DUMMYFUNCTION("""COMPUTED_VALUE"""),"USD")</f>
        <v>USD</v>
      </c>
      <c r="E138" s="1" t="str">
        <f>IFERROR(__xludf.DUMMYFUNCTION("""COMPUTED_VALUE"""),"Efectivo USD")</f>
        <v>Efectivo USD</v>
      </c>
      <c r="F138" s="1" t="str">
        <f>IFERROR(__xludf.DUMMYFUNCTION("""COMPUTED_VALUE"""),"La cámara perfecta")</f>
        <v>La cámara perfecta</v>
      </c>
      <c r="G138" s="70">
        <f>IFERROR(__xludf.DUMMYFUNCTION("""COMPUTED_VALUE"""),481.6989)</f>
        <v>481.6989</v>
      </c>
      <c r="H138" s="1"/>
      <c r="I138" s="71">
        <f>IFERROR(__xludf.DUMMYFUNCTION("""COMPUTED_VALUE"""),100.0)</f>
        <v>100</v>
      </c>
      <c r="J138" s="69">
        <f>IFERROR(__xludf.DUMMYFUNCTION("""COMPUTED_VALUE"""),100.0)</f>
        <v>100</v>
      </c>
      <c r="K138" s="4">
        <f>IFERROR(__xludf.DUMMYFUNCTION("""COMPUTED_VALUE"""),100.0)</f>
        <v>100</v>
      </c>
      <c r="N138" s="67"/>
      <c r="R138" s="4"/>
    </row>
    <row r="139">
      <c r="A139" s="66">
        <f>IFERROR(__xludf.DUMMYFUNCTION("""COMPUTED_VALUE"""),46133.0)</f>
        <v>46133</v>
      </c>
      <c r="B139" s="67">
        <f>IFERROR(__xludf.DUMMYFUNCTION("""COMPUTED_VALUE"""),104.0)</f>
        <v>104</v>
      </c>
      <c r="C139" s="69">
        <f>IFERROR(__xludf.DUMMYFUNCTION("""COMPUTED_VALUE"""),50.0)</f>
        <v>50</v>
      </c>
      <c r="D139" s="1" t="str">
        <f>IFERROR(__xludf.DUMMYFUNCTION("""COMPUTED_VALUE"""),"USD")</f>
        <v>USD</v>
      </c>
      <c r="E139" s="1" t="str">
        <f>IFERROR(__xludf.DUMMYFUNCTION("""COMPUTED_VALUE"""),"Efectivo USD")</f>
        <v>Efectivo USD</v>
      </c>
      <c r="F139" s="1" t="str">
        <f>IFERROR(__xludf.DUMMYFUNCTION("""COMPUTED_VALUE"""),"Inversiones Brayan CT C.A")</f>
        <v>Inversiones Brayan CT C.A</v>
      </c>
      <c r="G139" s="70">
        <f>IFERROR(__xludf.DUMMYFUNCTION("""COMPUTED_VALUE"""),481.6989)</f>
        <v>481.6989</v>
      </c>
      <c r="H139" s="1"/>
      <c r="I139" s="71">
        <f>IFERROR(__xludf.DUMMYFUNCTION("""COMPUTED_VALUE"""),50.0)</f>
        <v>50</v>
      </c>
      <c r="J139" s="69">
        <f>IFERROR(__xludf.DUMMYFUNCTION("""COMPUTED_VALUE"""),50.0)</f>
        <v>50</v>
      </c>
      <c r="K139" s="4">
        <f>IFERROR(__xludf.DUMMYFUNCTION("""COMPUTED_VALUE"""),50.0)</f>
        <v>50</v>
      </c>
      <c r="N139" s="67"/>
      <c r="R139" s="4"/>
    </row>
    <row r="140">
      <c r="A140" s="66">
        <f>IFERROR(__xludf.DUMMYFUNCTION("""COMPUTED_VALUE"""),46133.0)</f>
        <v>46133</v>
      </c>
      <c r="B140" s="67">
        <f>IFERROR(__xludf.DUMMYFUNCTION("""COMPUTED_VALUE"""),27.0)</f>
        <v>27</v>
      </c>
      <c r="C140" s="69">
        <f>IFERROR(__xludf.DUMMYFUNCTION("""COMPUTED_VALUE"""),20.0)</f>
        <v>20</v>
      </c>
      <c r="D140" s="1" t="str">
        <f>IFERROR(__xludf.DUMMYFUNCTION("""COMPUTED_VALUE"""),"USD")</f>
        <v>USD</v>
      </c>
      <c r="E140" s="1" t="str">
        <f>IFERROR(__xludf.DUMMYFUNCTION("""COMPUTED_VALUE"""),"Efectivo USD")</f>
        <v>Efectivo USD</v>
      </c>
      <c r="F140" s="1" t="str">
        <f>IFERROR(__xludf.DUMMYFUNCTION("""COMPUTED_VALUE"""),"Moises Alejandro Mares")</f>
        <v>Moises Alejandro Mares</v>
      </c>
      <c r="G140" s="70">
        <f>IFERROR(__xludf.DUMMYFUNCTION("""COMPUTED_VALUE"""),481.6989)</f>
        <v>481.6989</v>
      </c>
      <c r="H140" s="1"/>
      <c r="I140" s="71">
        <f>IFERROR(__xludf.DUMMYFUNCTION("""COMPUTED_VALUE"""),20.0)</f>
        <v>20</v>
      </c>
      <c r="J140" s="69">
        <f>IFERROR(__xludf.DUMMYFUNCTION("""COMPUTED_VALUE"""),20.0)</f>
        <v>20</v>
      </c>
      <c r="K140" s="4">
        <f>IFERROR(__xludf.DUMMYFUNCTION("""COMPUTED_VALUE"""),20.0)</f>
        <v>20</v>
      </c>
      <c r="N140" s="67"/>
      <c r="R140" s="4"/>
    </row>
    <row r="141">
      <c r="A141" s="66">
        <f>IFERROR(__xludf.DUMMYFUNCTION("""COMPUTED_VALUE"""),46133.0)</f>
        <v>46133</v>
      </c>
      <c r="B141" s="67">
        <f>IFERROR(__xludf.DUMMYFUNCTION("""COMPUTED_VALUE"""),24.0)</f>
        <v>24</v>
      </c>
      <c r="C141" s="69">
        <f>IFERROR(__xludf.DUMMYFUNCTION("""COMPUTED_VALUE"""),48767.0)</f>
        <v>48767</v>
      </c>
      <c r="D141" s="1" t="str">
        <f>IFERROR(__xludf.DUMMYFUNCTION("""COMPUTED_VALUE"""),"VES")</f>
        <v>VES</v>
      </c>
      <c r="E141" s="1" t="str">
        <f>IFERROR(__xludf.DUMMYFUNCTION("""COMPUTED_VALUE"""),"Bancamiga")</f>
        <v>Bancamiga</v>
      </c>
      <c r="F141" s="1" t="str">
        <f>IFERROR(__xludf.DUMMYFUNCTION("""COMPUTED_VALUE"""),"Encamotors Catia C.A")</f>
        <v>Encamotors Catia C.A</v>
      </c>
      <c r="G141" s="70">
        <f>IFERROR(__xludf.DUMMYFUNCTION("""COMPUTED_VALUE"""),481.6989)</f>
        <v>481.6989</v>
      </c>
      <c r="H141" s="1"/>
      <c r="I141" s="71">
        <f>IFERROR(__xludf.DUMMYFUNCTION("""COMPUTED_VALUE"""),101.23959178648737)</f>
        <v>101.2395918</v>
      </c>
      <c r="J141" s="69">
        <f>IFERROR(__xludf.DUMMYFUNCTION("""COMPUTED_VALUE"""),0.0)</f>
        <v>0</v>
      </c>
      <c r="K141" s="4">
        <f>IFERROR(__xludf.DUMMYFUNCTION("""COMPUTED_VALUE"""),101.23959178648737)</f>
        <v>101.2395918</v>
      </c>
      <c r="N141" s="67"/>
      <c r="R141" s="4"/>
    </row>
    <row r="142">
      <c r="A142" s="66">
        <f>IFERROR(__xludf.DUMMYFUNCTION("""COMPUTED_VALUE"""),46133.0)</f>
        <v>46133</v>
      </c>
      <c r="B142" s="67">
        <f>IFERROR(__xludf.DUMMYFUNCTION("""COMPUTED_VALUE"""),34.0)</f>
        <v>34</v>
      </c>
      <c r="C142" s="69">
        <f>IFERROR(__xludf.DUMMYFUNCTION("""COMPUTED_VALUE"""),48245.0)</f>
        <v>48245</v>
      </c>
      <c r="D142" s="1" t="str">
        <f>IFERROR(__xludf.DUMMYFUNCTION("""COMPUTED_VALUE"""),"VES")</f>
        <v>VES</v>
      </c>
      <c r="E142" s="1" t="str">
        <f>IFERROR(__xludf.DUMMYFUNCTION("""COMPUTED_VALUE"""),"Bancamiga")</f>
        <v>Bancamiga</v>
      </c>
      <c r="F142" s="1" t="str">
        <f>IFERROR(__xludf.DUMMYFUNCTION("""COMPUTED_VALUE"""),"Miguel Antonio Chacon")</f>
        <v>Miguel Antonio Chacon</v>
      </c>
      <c r="G142" s="70">
        <f>IFERROR(__xludf.DUMMYFUNCTION("""COMPUTED_VALUE"""),481.6989)</f>
        <v>481.6989</v>
      </c>
      <c r="H142" s="1"/>
      <c r="I142" s="71">
        <f>IFERROR(__xludf.DUMMYFUNCTION("""COMPUTED_VALUE"""),100.15592728154455)</f>
        <v>100.1559273</v>
      </c>
      <c r="J142" s="69">
        <f>IFERROR(__xludf.DUMMYFUNCTION("""COMPUTED_VALUE"""),0.0)</f>
        <v>0</v>
      </c>
      <c r="K142" s="4">
        <f>IFERROR(__xludf.DUMMYFUNCTION("""COMPUTED_VALUE"""),100.15592728154455)</f>
        <v>100.1559273</v>
      </c>
      <c r="N142" s="67"/>
      <c r="R142" s="4"/>
    </row>
    <row r="143">
      <c r="A143" s="66">
        <f>IFERROR(__xludf.DUMMYFUNCTION("""COMPUTED_VALUE"""),46133.0)</f>
        <v>46133</v>
      </c>
      <c r="B143" s="67">
        <f>IFERROR(__xludf.DUMMYFUNCTION("""COMPUTED_VALUE"""),17.0)</f>
        <v>17</v>
      </c>
      <c r="C143" s="69">
        <f>IFERROR(__xludf.DUMMYFUNCTION("""COMPUTED_VALUE"""),56271.01)</f>
        <v>56271.01</v>
      </c>
      <c r="D143" s="1" t="str">
        <f>IFERROR(__xludf.DUMMYFUNCTION("""COMPUTED_VALUE"""),"VES")</f>
        <v>VES</v>
      </c>
      <c r="E143" s="1" t="str">
        <f>IFERROR(__xludf.DUMMYFUNCTION("""COMPUTED_VALUE"""),"Bancamiga")</f>
        <v>Bancamiga</v>
      </c>
      <c r="F143" s="1" t="str">
        <f>IFERROR(__xludf.DUMMYFUNCTION("""COMPUTED_VALUE"""),"MOTO REPUESTOS LA FLECHA, C.A.")</f>
        <v>MOTO REPUESTOS LA FLECHA, C.A.</v>
      </c>
      <c r="G143" s="70">
        <f>IFERROR(__xludf.DUMMYFUNCTION("""COMPUTED_VALUE"""),481.6989)</f>
        <v>481.6989</v>
      </c>
      <c r="H143" s="1"/>
      <c r="I143" s="71">
        <f>IFERROR(__xludf.DUMMYFUNCTION("""COMPUTED_VALUE"""),116.81780880130722)</f>
        <v>116.8178088</v>
      </c>
      <c r="J143" s="69">
        <f>IFERROR(__xludf.DUMMYFUNCTION("""COMPUTED_VALUE"""),0.0)</f>
        <v>0</v>
      </c>
      <c r="K143" s="4">
        <f>IFERROR(__xludf.DUMMYFUNCTION("""COMPUTED_VALUE"""),116.81780880130722)</f>
        <v>116.8178088</v>
      </c>
      <c r="N143" s="67"/>
      <c r="R143" s="4"/>
    </row>
    <row r="144">
      <c r="A144" s="66">
        <f>IFERROR(__xludf.DUMMYFUNCTION("""COMPUTED_VALUE"""),46134.0)</f>
        <v>46134</v>
      </c>
      <c r="B144" s="67">
        <f>IFERROR(__xludf.DUMMYFUNCTION("""COMPUTED_VALUE"""),41.0)</f>
        <v>41</v>
      </c>
      <c r="C144" s="69">
        <f>IFERROR(__xludf.DUMMYFUNCTION("""COMPUTED_VALUE"""),160.0)</f>
        <v>160</v>
      </c>
      <c r="D144" s="1" t="str">
        <f>IFERROR(__xludf.DUMMYFUNCTION("""COMPUTED_VALUE"""),"USD")</f>
        <v>USD</v>
      </c>
      <c r="E144" s="1" t="str">
        <f>IFERROR(__xludf.DUMMYFUNCTION("""COMPUTED_VALUE"""),"Efectivo USD")</f>
        <v>Efectivo USD</v>
      </c>
      <c r="F144" s="1" t="str">
        <f>IFERROR(__xludf.DUMMYFUNCTION("""COMPUTED_VALUE"""),"Inversiones Trip K, c.a.")</f>
        <v>Inversiones Trip K, c.a.</v>
      </c>
      <c r="G144" s="70">
        <f>IFERROR(__xludf.DUMMYFUNCTION("""COMPUTED_VALUE"""),481.6989)</f>
        <v>481.6989</v>
      </c>
      <c r="H144" s="1"/>
      <c r="I144" s="71">
        <f>IFERROR(__xludf.DUMMYFUNCTION("""COMPUTED_VALUE"""),160.0)</f>
        <v>160</v>
      </c>
      <c r="J144" s="69">
        <f>IFERROR(__xludf.DUMMYFUNCTION("""COMPUTED_VALUE"""),160.0)</f>
        <v>160</v>
      </c>
      <c r="K144" s="4">
        <f>IFERROR(__xludf.DUMMYFUNCTION("""COMPUTED_VALUE"""),160.0)</f>
        <v>160</v>
      </c>
      <c r="N144" s="67"/>
      <c r="R144" s="4"/>
    </row>
    <row r="145">
      <c r="A145" s="66">
        <f>IFERROR(__xludf.DUMMYFUNCTION("""COMPUTED_VALUE"""),46134.0)</f>
        <v>46134</v>
      </c>
      <c r="B145" s="67">
        <f>IFERROR(__xludf.DUMMYFUNCTION("""COMPUTED_VALUE"""),41.0)</f>
        <v>41</v>
      </c>
      <c r="C145" s="69">
        <f>IFERROR(__xludf.DUMMYFUNCTION("""COMPUTED_VALUE"""),483.0)</f>
        <v>483</v>
      </c>
      <c r="D145" s="1" t="str">
        <f>IFERROR(__xludf.DUMMYFUNCTION("""COMPUTED_VALUE"""),"VES")</f>
        <v>VES</v>
      </c>
      <c r="E145" s="1" t="str">
        <f>IFERROR(__xludf.DUMMYFUNCTION("""COMPUTED_VALUE"""),"Bancamiga")</f>
        <v>Bancamiga</v>
      </c>
      <c r="F145" s="1" t="str">
        <f>IFERROR(__xludf.DUMMYFUNCTION("""COMPUTED_VALUE"""),"Inversiones Trip K, c.a.")</f>
        <v>Inversiones Trip K, c.a.</v>
      </c>
      <c r="G145" s="70">
        <f>IFERROR(__xludf.DUMMYFUNCTION("""COMPUTED_VALUE"""),482.7586)</f>
        <v>482.7586</v>
      </c>
      <c r="H145" s="1"/>
      <c r="I145" s="71">
        <f>IFERROR(__xludf.DUMMYFUNCTION("""COMPUTED_VALUE"""),1.0005000428785733)</f>
        <v>1.000500043</v>
      </c>
      <c r="J145" s="69">
        <f>IFERROR(__xludf.DUMMYFUNCTION("""COMPUTED_VALUE"""),0.0)</f>
        <v>0</v>
      </c>
      <c r="K145" s="4">
        <f>IFERROR(__xludf.DUMMYFUNCTION("""COMPUTED_VALUE"""),1.0005000428785733)</f>
        <v>1.000500043</v>
      </c>
      <c r="N145" s="67"/>
      <c r="R145" s="4"/>
    </row>
    <row r="146">
      <c r="A146" s="66">
        <f>IFERROR(__xludf.DUMMYFUNCTION("""COMPUTED_VALUE"""),46134.0)</f>
        <v>46134</v>
      </c>
      <c r="B146" s="67">
        <f>IFERROR(__xludf.DUMMYFUNCTION("""COMPUTED_VALUE"""),241.0)</f>
        <v>241</v>
      </c>
      <c r="C146" s="69">
        <f>IFERROR(__xludf.DUMMYFUNCTION("""COMPUTED_VALUE"""),161.0)</f>
        <v>161</v>
      </c>
      <c r="D146" s="1" t="str">
        <f>IFERROR(__xludf.DUMMYFUNCTION("""COMPUTED_VALUE"""),"USD")</f>
        <v>USD</v>
      </c>
      <c r="E146" s="1" t="str">
        <f>IFERROR(__xludf.DUMMYFUNCTION("""COMPUTED_VALUE"""),"Efectivo USD")</f>
        <v>Efectivo USD</v>
      </c>
      <c r="F146" s="1" t="str">
        <f>IFERROR(__xludf.DUMMYFUNCTION("""COMPUTED_VALUE"""),"EMPRENDIMIENTO IRMA RODRIGUEZ 6")</f>
        <v>EMPRENDIMIENTO IRMA RODRIGUEZ 6</v>
      </c>
      <c r="G146" s="70">
        <f>IFERROR(__xludf.DUMMYFUNCTION("""COMPUTED_VALUE"""),482.7586)</f>
        <v>482.7586</v>
      </c>
      <c r="H146" s="1"/>
      <c r="I146" s="71">
        <f>IFERROR(__xludf.DUMMYFUNCTION("""COMPUTED_VALUE"""),161.0)</f>
        <v>161</v>
      </c>
      <c r="J146" s="69">
        <f>IFERROR(__xludf.DUMMYFUNCTION("""COMPUTED_VALUE"""),161.0)</f>
        <v>161</v>
      </c>
      <c r="K146" s="4">
        <f>IFERROR(__xludf.DUMMYFUNCTION("""COMPUTED_VALUE"""),161.0)</f>
        <v>161</v>
      </c>
      <c r="N146" s="67"/>
      <c r="R146" s="4"/>
    </row>
    <row r="147">
      <c r="A147" s="66">
        <f>IFERROR(__xludf.DUMMYFUNCTION("""COMPUTED_VALUE"""),46134.0)</f>
        <v>46134</v>
      </c>
      <c r="B147" s="67">
        <f>IFERROR(__xludf.DUMMYFUNCTION("""COMPUTED_VALUE"""),114.0)</f>
        <v>114</v>
      </c>
      <c r="C147" s="69">
        <f>IFERROR(__xludf.DUMMYFUNCTION("""COMPUTED_VALUE"""),50.0)</f>
        <v>50</v>
      </c>
      <c r="D147" s="1" t="str">
        <f>IFERROR(__xludf.DUMMYFUNCTION("""COMPUTED_VALUE"""),"USD")</f>
        <v>USD</v>
      </c>
      <c r="E147" s="1" t="str">
        <f>IFERROR(__xludf.DUMMYFUNCTION("""COMPUTED_VALUE"""),"Efectivo USD")</f>
        <v>Efectivo USD</v>
      </c>
      <c r="F147" s="1" t="str">
        <f>IFERROR(__xludf.DUMMYFUNCTION("""COMPUTED_VALUE"""),"Autoasesorio maxi motor")</f>
        <v>Autoasesorio maxi motor</v>
      </c>
      <c r="G147" s="70">
        <f>IFERROR(__xludf.DUMMYFUNCTION("""COMPUTED_VALUE"""),482.7586)</f>
        <v>482.7586</v>
      </c>
      <c r="H147" s="1"/>
      <c r="I147" s="71">
        <f>IFERROR(__xludf.DUMMYFUNCTION("""COMPUTED_VALUE"""),50.0)</f>
        <v>50</v>
      </c>
      <c r="J147" s="69">
        <f>IFERROR(__xludf.DUMMYFUNCTION("""COMPUTED_VALUE"""),50.0)</f>
        <v>50</v>
      </c>
      <c r="K147" s="4">
        <f>IFERROR(__xludf.DUMMYFUNCTION("""COMPUTED_VALUE"""),50.0)</f>
        <v>50</v>
      </c>
      <c r="N147" s="67"/>
      <c r="R147" s="4"/>
    </row>
    <row r="148">
      <c r="A148" s="66">
        <f>IFERROR(__xludf.DUMMYFUNCTION("""COMPUTED_VALUE"""),46134.0)</f>
        <v>46134</v>
      </c>
      <c r="B148" s="67">
        <f>IFERROR(__xludf.DUMMYFUNCTION("""COMPUTED_VALUE"""),29.0)</f>
        <v>29</v>
      </c>
      <c r="C148" s="69">
        <f>IFERROR(__xludf.DUMMYFUNCTION("""COMPUTED_VALUE"""),98.0)</f>
        <v>98</v>
      </c>
      <c r="D148" s="1" t="str">
        <f>IFERROR(__xludf.DUMMYFUNCTION("""COMPUTED_VALUE"""),"USD")</f>
        <v>USD</v>
      </c>
      <c r="E148" s="1" t="str">
        <f>IFERROR(__xludf.DUMMYFUNCTION("""COMPUTED_VALUE"""),"Efectivo USD")</f>
        <v>Efectivo USD</v>
      </c>
      <c r="F148" s="1" t="str">
        <f>IFERROR(__xludf.DUMMYFUNCTION("""COMPUTED_VALUE"""),"AUTOREPUESTOS SION C.A.")</f>
        <v>AUTOREPUESTOS SION C.A.</v>
      </c>
      <c r="G148" s="70">
        <f>IFERROR(__xludf.DUMMYFUNCTION("""COMPUTED_VALUE"""),482.7586)</f>
        <v>482.7586</v>
      </c>
      <c r="H148" s="1"/>
      <c r="I148" s="71">
        <f>IFERROR(__xludf.DUMMYFUNCTION("""COMPUTED_VALUE"""),98.0)</f>
        <v>98</v>
      </c>
      <c r="J148" s="69">
        <f>IFERROR(__xludf.DUMMYFUNCTION("""COMPUTED_VALUE"""),98.0)</f>
        <v>98</v>
      </c>
      <c r="K148" s="4">
        <f>IFERROR(__xludf.DUMMYFUNCTION("""COMPUTED_VALUE"""),98.0)</f>
        <v>98</v>
      </c>
      <c r="N148" s="67"/>
      <c r="R148" s="4"/>
    </row>
    <row r="149">
      <c r="A149" s="66">
        <f>IFERROR(__xludf.DUMMYFUNCTION("""COMPUTED_VALUE"""),46134.0)</f>
        <v>46134</v>
      </c>
      <c r="B149" s="67">
        <f>IFERROR(__xludf.DUMMYFUNCTION("""COMPUTED_VALUE"""),83.0)</f>
        <v>83</v>
      </c>
      <c r="C149" s="69">
        <f>IFERROR(__xludf.DUMMYFUNCTION("""COMPUTED_VALUE"""),100.0)</f>
        <v>100</v>
      </c>
      <c r="D149" s="1" t="str">
        <f>IFERROR(__xludf.DUMMYFUNCTION("""COMPUTED_VALUE"""),"USD")</f>
        <v>USD</v>
      </c>
      <c r="E149" s="1" t="str">
        <f>IFERROR(__xludf.DUMMYFUNCTION("""COMPUTED_VALUE"""),"Efectivo USD")</f>
        <v>Efectivo USD</v>
      </c>
      <c r="F149" s="1" t="str">
        <f>IFERROR(__xludf.DUMMYFUNCTION("""COMPUTED_VALUE"""),"Inversiones Famasa, C.A")</f>
        <v>Inversiones Famasa, C.A</v>
      </c>
      <c r="G149" s="70">
        <f>IFERROR(__xludf.DUMMYFUNCTION("""COMPUTED_VALUE"""),482.7586)</f>
        <v>482.7586</v>
      </c>
      <c r="H149" s="1"/>
      <c r="I149" s="71">
        <f>IFERROR(__xludf.DUMMYFUNCTION("""COMPUTED_VALUE"""),100.0)</f>
        <v>100</v>
      </c>
      <c r="J149" s="69">
        <f>IFERROR(__xludf.DUMMYFUNCTION("""COMPUTED_VALUE"""),100.0)</f>
        <v>100</v>
      </c>
      <c r="K149" s="4">
        <f>IFERROR(__xludf.DUMMYFUNCTION("""COMPUTED_VALUE"""),100.0)</f>
        <v>100</v>
      </c>
      <c r="N149" s="67"/>
      <c r="R149" s="4"/>
    </row>
    <row r="150">
      <c r="A150" s="66">
        <f>IFERROR(__xludf.DUMMYFUNCTION("""COMPUTED_VALUE"""),46134.0)</f>
        <v>46134</v>
      </c>
      <c r="B150" s="67">
        <f>IFERROR(__xludf.DUMMYFUNCTION("""COMPUTED_VALUE"""),121.0)</f>
        <v>121</v>
      </c>
      <c r="C150" s="69">
        <f>IFERROR(__xludf.DUMMYFUNCTION("""COMPUTED_VALUE"""),34386.9)</f>
        <v>34386.9</v>
      </c>
      <c r="D150" s="1" t="str">
        <f>IFERROR(__xludf.DUMMYFUNCTION("""COMPUTED_VALUE"""),"VES")</f>
        <v>VES</v>
      </c>
      <c r="E150" s="1" t="str">
        <f>IFERROR(__xludf.DUMMYFUNCTION("""COMPUTED_VALUE"""),"Bancamiga")</f>
        <v>Bancamiga</v>
      </c>
      <c r="F150" s="1" t="str">
        <f>IFERROR(__xludf.DUMMYFUNCTION("""COMPUTED_VALUE"""),"Jose Lopez Espinoza")</f>
        <v>Jose Lopez Espinoza</v>
      </c>
      <c r="G150" s="70">
        <f>IFERROR(__xludf.DUMMYFUNCTION("""COMPUTED_VALUE"""),482.7586)</f>
        <v>482.7586</v>
      </c>
      <c r="H150" s="1"/>
      <c r="I150" s="71">
        <f>IFERROR(__xludf.DUMMYFUNCTION("""COMPUTED_VALUE"""),71.23001019557186)</f>
        <v>71.2300102</v>
      </c>
      <c r="J150" s="69">
        <f>IFERROR(__xludf.DUMMYFUNCTION("""COMPUTED_VALUE"""),0.0)</f>
        <v>0</v>
      </c>
      <c r="K150" s="4">
        <f>IFERROR(__xludf.DUMMYFUNCTION("""COMPUTED_VALUE"""),71.23001019557186)</f>
        <v>71.2300102</v>
      </c>
      <c r="N150" s="67"/>
      <c r="R150" s="4"/>
    </row>
    <row r="151">
      <c r="A151" s="66">
        <f>IFERROR(__xludf.DUMMYFUNCTION("""COMPUTED_VALUE"""),46135.0)</f>
        <v>46135</v>
      </c>
      <c r="B151" s="67">
        <f>IFERROR(__xludf.DUMMYFUNCTION("""COMPUTED_VALUE"""),110.0)</f>
        <v>110</v>
      </c>
      <c r="C151" s="69">
        <f>IFERROR(__xludf.DUMMYFUNCTION("""COMPUTED_VALUE"""),85.0)</f>
        <v>85</v>
      </c>
      <c r="D151" s="1" t="str">
        <f>IFERROR(__xludf.DUMMYFUNCTION("""COMPUTED_VALUE"""),"USD")</f>
        <v>USD</v>
      </c>
      <c r="E151" s="1" t="str">
        <f>IFERROR(__xludf.DUMMYFUNCTION("""COMPUTED_VALUE"""),"Efectivo USD")</f>
        <v>Efectivo USD</v>
      </c>
      <c r="F151" s="1" t="str">
        <f>IFERROR(__xludf.DUMMYFUNCTION("""COMPUTED_VALUE"""),"Emprendimiento José Sánchez 203 c.a")</f>
        <v>Emprendimiento José Sánchez 203 c.a</v>
      </c>
      <c r="G151" s="70">
        <f>IFERROR(__xludf.DUMMYFUNCTION("""COMPUTED_VALUE"""),482.7586)</f>
        <v>482.7586</v>
      </c>
      <c r="H151" s="1"/>
      <c r="I151" s="71">
        <f>IFERROR(__xludf.DUMMYFUNCTION("""COMPUTED_VALUE"""),85.0)</f>
        <v>85</v>
      </c>
      <c r="J151" s="69">
        <f>IFERROR(__xludf.DUMMYFUNCTION("""COMPUTED_VALUE"""),85.0)</f>
        <v>85</v>
      </c>
      <c r="K151" s="4">
        <f>IFERROR(__xludf.DUMMYFUNCTION("""COMPUTED_VALUE"""),85.0)</f>
        <v>85</v>
      </c>
      <c r="N151" s="67"/>
      <c r="R151" s="4"/>
    </row>
    <row r="152">
      <c r="A152" s="66">
        <f>IFERROR(__xludf.DUMMYFUNCTION("""COMPUTED_VALUE"""),46135.0)</f>
        <v>46135</v>
      </c>
      <c r="B152" s="67">
        <f>IFERROR(__xludf.DUMMYFUNCTION("""COMPUTED_VALUE"""),62.0)</f>
        <v>62</v>
      </c>
      <c r="C152" s="69">
        <f>IFERROR(__xludf.DUMMYFUNCTION("""COMPUTED_VALUE"""),500.0)</f>
        <v>500</v>
      </c>
      <c r="D152" s="1" t="str">
        <f>IFERROR(__xludf.DUMMYFUNCTION("""COMPUTED_VALUE"""),"USD")</f>
        <v>USD</v>
      </c>
      <c r="E152" s="1" t="str">
        <f>IFERROR(__xludf.DUMMYFUNCTION("""COMPUTED_VALUE"""),"Zelle")</f>
        <v>Zelle</v>
      </c>
      <c r="F152" s="1" t="str">
        <f>IFERROR(__xludf.DUMMYFUNCTION("""COMPUTED_VALUE"""),"SJMG 2012 C.A")</f>
        <v>SJMG 2012 C.A</v>
      </c>
      <c r="G152" s="70">
        <f>IFERROR(__xludf.DUMMYFUNCTION("""COMPUTED_VALUE"""),483.3379)</f>
        <v>483.3379</v>
      </c>
      <c r="H152" s="1"/>
      <c r="I152" s="71">
        <f>IFERROR(__xludf.DUMMYFUNCTION("""COMPUTED_VALUE"""),500.0)</f>
        <v>500</v>
      </c>
      <c r="J152" s="69">
        <f>IFERROR(__xludf.DUMMYFUNCTION("""COMPUTED_VALUE"""),500.0)</f>
        <v>500</v>
      </c>
      <c r="K152" s="4">
        <f>IFERROR(__xludf.DUMMYFUNCTION("""COMPUTED_VALUE"""),500.0)</f>
        <v>500</v>
      </c>
      <c r="N152" s="67"/>
      <c r="R152" s="4"/>
    </row>
    <row r="153">
      <c r="A153" s="66">
        <f>IFERROR(__xludf.DUMMYFUNCTION("""COMPUTED_VALUE"""),46135.0)</f>
        <v>46135</v>
      </c>
      <c r="B153" s="67">
        <f>IFERROR(__xludf.DUMMYFUNCTION("""COMPUTED_VALUE"""),181.0)</f>
        <v>181</v>
      </c>
      <c r="C153" s="69">
        <f>IFERROR(__xludf.DUMMYFUNCTION("""COMPUTED_VALUE"""),141.0)</f>
        <v>141</v>
      </c>
      <c r="D153" s="1" t="str">
        <f>IFERROR(__xludf.DUMMYFUNCTION("""COMPUTED_VALUE"""),"USD")</f>
        <v>USD</v>
      </c>
      <c r="E153" s="1" t="str">
        <f>IFERROR(__xludf.DUMMYFUNCTION("""COMPUTED_VALUE"""),"Efectivo USD")</f>
        <v>Efectivo USD</v>
      </c>
      <c r="F153" s="1" t="str">
        <f>IFERROR(__xludf.DUMMYFUNCTION("""COMPUTED_VALUE"""),"Multiservicios Sanahuja 36 C.A")</f>
        <v>Multiservicios Sanahuja 36 C.A</v>
      </c>
      <c r="G153" s="70">
        <f>IFERROR(__xludf.DUMMYFUNCTION("""COMPUTED_VALUE"""),483.3379)</f>
        <v>483.3379</v>
      </c>
      <c r="H153" s="1"/>
      <c r="I153" s="71">
        <f>IFERROR(__xludf.DUMMYFUNCTION("""COMPUTED_VALUE"""),141.0)</f>
        <v>141</v>
      </c>
      <c r="J153" s="69">
        <f>IFERROR(__xludf.DUMMYFUNCTION("""COMPUTED_VALUE"""),141.0)</f>
        <v>141</v>
      </c>
      <c r="K153" s="4">
        <f>IFERROR(__xludf.DUMMYFUNCTION("""COMPUTED_VALUE"""),141.0)</f>
        <v>141</v>
      </c>
      <c r="N153" s="67"/>
      <c r="R153" s="4"/>
    </row>
    <row r="154">
      <c r="A154" s="66">
        <f>IFERROR(__xludf.DUMMYFUNCTION("""COMPUTED_VALUE"""),46135.0)</f>
        <v>46135</v>
      </c>
      <c r="B154" s="67">
        <f>IFERROR(__xludf.DUMMYFUNCTION("""COMPUTED_VALUE"""),168.0)</f>
        <v>168</v>
      </c>
      <c r="C154" s="69">
        <f>IFERROR(__xludf.DUMMYFUNCTION("""COMPUTED_VALUE"""),250.0)</f>
        <v>250</v>
      </c>
      <c r="D154" s="1" t="str">
        <f>IFERROR(__xludf.DUMMYFUNCTION("""COMPUTED_VALUE"""),"USD")</f>
        <v>USD</v>
      </c>
      <c r="E154" s="1" t="str">
        <f>IFERROR(__xludf.DUMMYFUNCTION("""COMPUTED_VALUE"""),"Efectivo USD")</f>
        <v>Efectivo USD</v>
      </c>
      <c r="F154" s="1" t="str">
        <f>IFERROR(__xludf.DUMMYFUNCTION("""COMPUTED_VALUE"""),"ADS SERVICE C.A")</f>
        <v>ADS SERVICE C.A</v>
      </c>
      <c r="G154" s="70">
        <f>IFERROR(__xludf.DUMMYFUNCTION("""COMPUTED_VALUE"""),483.3379)</f>
        <v>483.3379</v>
      </c>
      <c r="H154" s="1"/>
      <c r="I154" s="71">
        <f>IFERROR(__xludf.DUMMYFUNCTION("""COMPUTED_VALUE"""),250.0)</f>
        <v>250</v>
      </c>
      <c r="J154" s="69">
        <f>IFERROR(__xludf.DUMMYFUNCTION("""COMPUTED_VALUE"""),250.0)</f>
        <v>250</v>
      </c>
      <c r="K154" s="4">
        <f>IFERROR(__xludf.DUMMYFUNCTION("""COMPUTED_VALUE"""),250.0)</f>
        <v>250</v>
      </c>
      <c r="N154" s="67"/>
      <c r="R154" s="4"/>
    </row>
    <row r="155">
      <c r="A155" s="66">
        <f>IFERROR(__xludf.DUMMYFUNCTION("""COMPUTED_VALUE"""),46135.0)</f>
        <v>46135</v>
      </c>
      <c r="B155" s="67">
        <f>IFERROR(__xludf.DUMMYFUNCTION("""COMPUTED_VALUE"""),86.0)</f>
        <v>86</v>
      </c>
      <c r="C155" s="69">
        <f>IFERROR(__xludf.DUMMYFUNCTION("""COMPUTED_VALUE"""),30000.0)</f>
        <v>30000</v>
      </c>
      <c r="D155" s="1" t="str">
        <f>IFERROR(__xludf.DUMMYFUNCTION("""COMPUTED_VALUE"""),"VES")</f>
        <v>VES</v>
      </c>
      <c r="E155" s="1" t="str">
        <f>IFERROR(__xludf.DUMMYFUNCTION("""COMPUTED_VALUE"""),"Bancamiga")</f>
        <v>Bancamiga</v>
      </c>
      <c r="F155" s="1" t="str">
        <f>IFERROR(__xludf.DUMMYFUNCTION("""COMPUTED_VALUE"""),"Wuilliams bastidas")</f>
        <v>Wuilliams bastidas</v>
      </c>
      <c r="G155" s="70">
        <f>IFERROR(__xludf.DUMMYFUNCTION("""COMPUTED_VALUE"""),483.3379)</f>
        <v>483.3379</v>
      </c>
      <c r="H155" s="1"/>
      <c r="I155" s="71">
        <f>IFERROR(__xludf.DUMMYFUNCTION("""COMPUTED_VALUE"""),62.06837907807354)</f>
        <v>62.06837908</v>
      </c>
      <c r="J155" s="69">
        <f>IFERROR(__xludf.DUMMYFUNCTION("""COMPUTED_VALUE"""),0.0)</f>
        <v>0</v>
      </c>
      <c r="K155" s="4">
        <f>IFERROR(__xludf.DUMMYFUNCTION("""COMPUTED_VALUE"""),62.06837907807354)</f>
        <v>62.06837908</v>
      </c>
      <c r="N155" s="67"/>
      <c r="R155" s="4"/>
    </row>
    <row r="156">
      <c r="A156" s="66">
        <f>IFERROR(__xludf.DUMMYFUNCTION("""COMPUTED_VALUE"""),46135.0)</f>
        <v>46135</v>
      </c>
      <c r="B156" s="67">
        <f>IFERROR(__xludf.DUMMYFUNCTION("""COMPUTED_VALUE"""),197.0)</f>
        <v>197</v>
      </c>
      <c r="C156" s="69">
        <f>IFERROR(__xludf.DUMMYFUNCTION("""COMPUTED_VALUE"""),50.0)</f>
        <v>50</v>
      </c>
      <c r="D156" s="1" t="str">
        <f>IFERROR(__xludf.DUMMYFUNCTION("""COMPUTED_VALUE"""),"USD")</f>
        <v>USD</v>
      </c>
      <c r="E156" s="1" t="str">
        <f>IFERROR(__xludf.DUMMYFUNCTION("""COMPUTED_VALUE"""),"Efectivo USD")</f>
        <v>Efectivo USD</v>
      </c>
      <c r="F156" s="1" t="str">
        <f>IFERROR(__xludf.DUMMYFUNCTION("""COMPUTED_VALUE"""),"Auto Repuestos Acal C.A")</f>
        <v>Auto Repuestos Acal C.A</v>
      </c>
      <c r="G156" s="70">
        <f>IFERROR(__xludf.DUMMYFUNCTION("""COMPUTED_VALUE"""),483.3379)</f>
        <v>483.3379</v>
      </c>
      <c r="H156" s="1"/>
      <c r="I156" s="71">
        <f>IFERROR(__xludf.DUMMYFUNCTION("""COMPUTED_VALUE"""),50.0)</f>
        <v>50</v>
      </c>
      <c r="J156" s="69">
        <f>IFERROR(__xludf.DUMMYFUNCTION("""COMPUTED_VALUE"""),50.0)</f>
        <v>50</v>
      </c>
      <c r="K156" s="4">
        <f>IFERROR(__xludf.DUMMYFUNCTION("""COMPUTED_VALUE"""),50.0)</f>
        <v>50</v>
      </c>
      <c r="N156" s="67"/>
      <c r="R156" s="4"/>
    </row>
    <row r="157">
      <c r="A157" s="66">
        <f>IFERROR(__xludf.DUMMYFUNCTION("""COMPUTED_VALUE"""),46136.0)</f>
        <v>46136</v>
      </c>
      <c r="B157" s="67">
        <f>IFERROR(__xludf.DUMMYFUNCTION("""COMPUTED_VALUE"""),100.0)</f>
        <v>100</v>
      </c>
      <c r="C157" s="69">
        <f>IFERROR(__xludf.DUMMYFUNCTION("""COMPUTED_VALUE"""),45448.27)</f>
        <v>45448.27</v>
      </c>
      <c r="D157" s="1" t="str">
        <f>IFERROR(__xludf.DUMMYFUNCTION("""COMPUTED_VALUE"""),"VES")</f>
        <v>VES</v>
      </c>
      <c r="E157" s="1" t="str">
        <f>IFERROR(__xludf.DUMMYFUNCTION("""COMPUTED_VALUE"""),"Bancamiga")</f>
        <v>Bancamiga</v>
      </c>
      <c r="F157" s="1" t="str">
        <f>IFERROR(__xludf.DUMMYFUNCTION("""COMPUTED_VALUE"""),"Diana Carolina Torres")</f>
        <v>Diana Carolina Torres</v>
      </c>
      <c r="G157" s="70">
        <f>IFERROR(__xludf.DUMMYFUNCTION("""COMPUTED_VALUE"""),483.3379)</f>
        <v>483.3379</v>
      </c>
      <c r="H157" s="1"/>
      <c r="I157" s="71">
        <f>IFERROR(__xludf.DUMMYFUNCTION("""COMPUTED_VALUE"""),94.03001502675457)</f>
        <v>94.03001503</v>
      </c>
      <c r="J157" s="69">
        <f>IFERROR(__xludf.DUMMYFUNCTION("""COMPUTED_VALUE"""),0.0)</f>
        <v>0</v>
      </c>
      <c r="K157" s="4">
        <f>IFERROR(__xludf.DUMMYFUNCTION("""COMPUTED_VALUE"""),94.03001502675457)</f>
        <v>94.03001503</v>
      </c>
      <c r="N157" s="67"/>
      <c r="R157" s="4"/>
    </row>
    <row r="158">
      <c r="A158" s="66">
        <f>IFERROR(__xludf.DUMMYFUNCTION("""COMPUTED_VALUE"""),46136.0)</f>
        <v>46136</v>
      </c>
      <c r="B158" s="67">
        <f>IFERROR(__xludf.DUMMYFUNCTION("""COMPUTED_VALUE"""),82.0)</f>
        <v>82</v>
      </c>
      <c r="C158" s="69">
        <f>IFERROR(__xludf.DUMMYFUNCTION("""COMPUTED_VALUE"""),300.0)</f>
        <v>300</v>
      </c>
      <c r="D158" s="1" t="str">
        <f>IFERROR(__xludf.DUMMYFUNCTION("""COMPUTED_VALUE"""),"USD")</f>
        <v>USD</v>
      </c>
      <c r="E158" s="1" t="str">
        <f>IFERROR(__xludf.DUMMYFUNCTION("""COMPUTED_VALUE"""),"Efectivo USD")</f>
        <v>Efectivo USD</v>
      </c>
      <c r="F158" s="1" t="str">
        <f>IFERROR(__xludf.DUMMYFUNCTION("""COMPUTED_VALUE"""),"Pedro Castro")</f>
        <v>Pedro Castro</v>
      </c>
      <c r="G158" s="70">
        <f>IFERROR(__xludf.DUMMYFUNCTION("""COMPUTED_VALUE"""),483.8695)</f>
        <v>483.8695</v>
      </c>
      <c r="H158" s="1"/>
      <c r="I158" s="71">
        <f>IFERROR(__xludf.DUMMYFUNCTION("""COMPUTED_VALUE"""),300.0)</f>
        <v>300</v>
      </c>
      <c r="J158" s="69">
        <f>IFERROR(__xludf.DUMMYFUNCTION("""COMPUTED_VALUE"""),300.0)</f>
        <v>300</v>
      </c>
      <c r="K158" s="4">
        <f>IFERROR(__xludf.DUMMYFUNCTION("""COMPUTED_VALUE"""),300.0)</f>
        <v>300</v>
      </c>
      <c r="N158" s="67"/>
      <c r="R158" s="4"/>
    </row>
    <row r="159">
      <c r="A159" s="66">
        <f>IFERROR(__xludf.DUMMYFUNCTION("""COMPUTED_VALUE"""),46136.0)</f>
        <v>46136</v>
      </c>
      <c r="B159" s="67">
        <f>IFERROR(__xludf.DUMMYFUNCTION("""COMPUTED_VALUE"""),126.0)</f>
        <v>126</v>
      </c>
      <c r="C159" s="69">
        <f>IFERROR(__xludf.DUMMYFUNCTION("""COMPUTED_VALUE"""),200.0)</f>
        <v>200</v>
      </c>
      <c r="D159" s="1" t="str">
        <f>IFERROR(__xludf.DUMMYFUNCTION("""COMPUTED_VALUE"""),"USD")</f>
        <v>USD</v>
      </c>
      <c r="E159" s="1" t="str">
        <f>IFERROR(__xludf.DUMMYFUNCTION("""COMPUTED_VALUE"""),"Efectivo USD")</f>
        <v>Efectivo USD</v>
      </c>
      <c r="F159" s="1" t="str">
        <f>IFERROR(__xludf.DUMMYFUNCTION("""COMPUTED_VALUE"""),"Victor Ordaz")</f>
        <v>Victor Ordaz</v>
      </c>
      <c r="G159" s="70">
        <f>IFERROR(__xludf.DUMMYFUNCTION("""COMPUTED_VALUE"""),483.8695)</f>
        <v>483.8695</v>
      </c>
      <c r="H159" s="1"/>
      <c r="I159" s="71">
        <f>IFERROR(__xludf.DUMMYFUNCTION("""COMPUTED_VALUE"""),200.0)</f>
        <v>200</v>
      </c>
      <c r="J159" s="69">
        <f>IFERROR(__xludf.DUMMYFUNCTION("""COMPUTED_VALUE"""),200.0)</f>
        <v>200</v>
      </c>
      <c r="K159" s="4">
        <f>IFERROR(__xludf.DUMMYFUNCTION("""COMPUTED_VALUE"""),200.0)</f>
        <v>200</v>
      </c>
      <c r="N159" s="67"/>
      <c r="R159" s="4"/>
    </row>
    <row r="160">
      <c r="A160" s="66">
        <f>IFERROR(__xludf.DUMMYFUNCTION("""COMPUTED_VALUE"""),46136.0)</f>
        <v>46136</v>
      </c>
      <c r="B160" s="67">
        <f>IFERROR(__xludf.DUMMYFUNCTION("""COMPUTED_VALUE"""),210.0)</f>
        <v>210</v>
      </c>
      <c r="C160" s="69">
        <f>IFERROR(__xludf.DUMMYFUNCTION("""COMPUTED_VALUE"""),119.0)</f>
        <v>119</v>
      </c>
      <c r="D160" s="1" t="str">
        <f>IFERROR(__xludf.DUMMYFUNCTION("""COMPUTED_VALUE"""),"USD")</f>
        <v>USD</v>
      </c>
      <c r="E160" s="1" t="str">
        <f>IFERROR(__xludf.DUMMYFUNCTION("""COMPUTED_VALUE"""),"Binance")</f>
        <v>Binance</v>
      </c>
      <c r="F160" s="1" t="str">
        <f>IFERROR(__xludf.DUMMYFUNCTION("""COMPUTED_VALUE"""),"AREA58 2022, C.A.")</f>
        <v>AREA58 2022, C.A.</v>
      </c>
      <c r="G160" s="70">
        <f>IFERROR(__xludf.DUMMYFUNCTION("""COMPUTED_VALUE"""),483.8695)</f>
        <v>483.8695</v>
      </c>
      <c r="H160" s="1"/>
      <c r="I160" s="71">
        <f>IFERROR(__xludf.DUMMYFUNCTION("""COMPUTED_VALUE"""),119.0)</f>
        <v>119</v>
      </c>
      <c r="J160" s="69">
        <f>IFERROR(__xludf.DUMMYFUNCTION("""COMPUTED_VALUE"""),119.0)</f>
        <v>119</v>
      </c>
      <c r="K160" s="4">
        <f>IFERROR(__xludf.DUMMYFUNCTION("""COMPUTED_VALUE"""),119.0)</f>
        <v>119</v>
      </c>
      <c r="N160" s="67"/>
      <c r="R160" s="4"/>
    </row>
    <row r="161">
      <c r="A161" s="66">
        <f>IFERROR(__xludf.DUMMYFUNCTION("""COMPUTED_VALUE"""),46136.0)</f>
        <v>46136</v>
      </c>
      <c r="B161" s="67">
        <f>IFERROR(__xludf.DUMMYFUNCTION("""COMPUTED_VALUE"""),93.0)</f>
        <v>93</v>
      </c>
      <c r="C161" s="69">
        <f>IFERROR(__xludf.DUMMYFUNCTION("""COMPUTED_VALUE"""),50.0)</f>
        <v>50</v>
      </c>
      <c r="D161" s="1" t="str">
        <f>IFERROR(__xludf.DUMMYFUNCTION("""COMPUTED_VALUE"""),"USD")</f>
        <v>USD</v>
      </c>
      <c r="E161" s="1" t="str">
        <f>IFERROR(__xludf.DUMMYFUNCTION("""COMPUTED_VALUE"""),"Efectivo USD")</f>
        <v>Efectivo USD</v>
      </c>
      <c r="F161" s="1" t="str">
        <f>IFERROR(__xludf.DUMMYFUNCTION("""COMPUTED_VALUE"""),"Emprendimiento YSKRA")</f>
        <v>Emprendimiento YSKRA</v>
      </c>
      <c r="G161" s="70">
        <f>IFERROR(__xludf.DUMMYFUNCTION("""COMPUTED_VALUE"""),483.8695)</f>
        <v>483.8695</v>
      </c>
      <c r="H161" s="1"/>
      <c r="I161" s="71">
        <f>IFERROR(__xludf.DUMMYFUNCTION("""COMPUTED_VALUE"""),50.0)</f>
        <v>50</v>
      </c>
      <c r="J161" s="69">
        <f>IFERROR(__xludf.DUMMYFUNCTION("""COMPUTED_VALUE"""),50.0)</f>
        <v>50</v>
      </c>
      <c r="K161" s="4">
        <f>IFERROR(__xludf.DUMMYFUNCTION("""COMPUTED_VALUE"""),50.0)</f>
        <v>50</v>
      </c>
      <c r="N161" s="67"/>
      <c r="R161" s="4"/>
    </row>
    <row r="162">
      <c r="A162" s="66">
        <f>IFERROR(__xludf.DUMMYFUNCTION("""COMPUTED_VALUE"""),46136.0)</f>
        <v>46136</v>
      </c>
      <c r="B162" s="67">
        <f>IFERROR(__xludf.DUMMYFUNCTION("""COMPUTED_VALUE"""),196.0)</f>
        <v>196</v>
      </c>
      <c r="C162" s="69">
        <f>IFERROR(__xludf.DUMMYFUNCTION("""COMPUTED_VALUE"""),105483.55)</f>
        <v>105483.55</v>
      </c>
      <c r="D162" s="1" t="str">
        <f>IFERROR(__xludf.DUMMYFUNCTION("""COMPUTED_VALUE"""),"VES")</f>
        <v>VES</v>
      </c>
      <c r="E162" s="1" t="str">
        <f>IFERROR(__xludf.DUMMYFUNCTION("""COMPUTED_VALUE"""),"Bancamiga")</f>
        <v>Bancamiga</v>
      </c>
      <c r="F162" s="1" t="str">
        <f>IFERROR(__xludf.DUMMYFUNCTION("""COMPUTED_VALUE"""),"Comercial los de faria,c.a.")</f>
        <v>Comercial los de faria,c.a.</v>
      </c>
      <c r="G162" s="70">
        <f>IFERROR(__xludf.DUMMYFUNCTION("""COMPUTED_VALUE"""),483.8695)</f>
        <v>483.8695</v>
      </c>
      <c r="H162" s="1"/>
      <c r="I162" s="71">
        <f>IFERROR(__xludf.DUMMYFUNCTION("""COMPUTED_VALUE"""),217.99999793332705)</f>
        <v>217.9999979</v>
      </c>
      <c r="J162" s="69">
        <f>IFERROR(__xludf.DUMMYFUNCTION("""COMPUTED_VALUE"""),0.0)</f>
        <v>0</v>
      </c>
      <c r="K162" s="4">
        <f>IFERROR(__xludf.DUMMYFUNCTION("""COMPUTED_VALUE"""),217.99999793332705)</f>
        <v>217.9999979</v>
      </c>
      <c r="N162" s="67"/>
      <c r="R162" s="4"/>
    </row>
    <row r="163">
      <c r="A163" s="66">
        <f>IFERROR(__xludf.DUMMYFUNCTION("""COMPUTED_VALUE"""),46136.0)</f>
        <v>46136</v>
      </c>
      <c r="B163" s="67">
        <f>IFERROR(__xludf.DUMMYFUNCTION("""COMPUTED_VALUE"""),117.0)</f>
        <v>117</v>
      </c>
      <c r="C163" s="69">
        <f>IFERROR(__xludf.DUMMYFUNCTION("""COMPUTED_VALUE"""),140.0)</f>
        <v>140</v>
      </c>
      <c r="D163" s="1" t="str">
        <f>IFERROR(__xludf.DUMMYFUNCTION("""COMPUTED_VALUE"""),"USD")</f>
        <v>USD</v>
      </c>
      <c r="E163" s="1" t="str">
        <f>IFERROR(__xludf.DUMMYFUNCTION("""COMPUTED_VALUE"""),"Efectivo USD")</f>
        <v>Efectivo USD</v>
      </c>
      <c r="F163" s="1" t="str">
        <f>IFERROR(__xludf.DUMMYFUNCTION("""COMPUTED_VALUE"""),"Jose Becerra")</f>
        <v>Jose Becerra</v>
      </c>
      <c r="G163" s="70">
        <f>IFERROR(__xludf.DUMMYFUNCTION("""COMPUTED_VALUE"""),483.8695)</f>
        <v>483.8695</v>
      </c>
      <c r="H163" s="1"/>
      <c r="I163" s="71">
        <f>IFERROR(__xludf.DUMMYFUNCTION("""COMPUTED_VALUE"""),140.0)</f>
        <v>140</v>
      </c>
      <c r="J163" s="69">
        <f>IFERROR(__xludf.DUMMYFUNCTION("""COMPUTED_VALUE"""),140.0)</f>
        <v>140</v>
      </c>
      <c r="K163" s="4">
        <f>IFERROR(__xludf.DUMMYFUNCTION("""COMPUTED_VALUE"""),140.0)</f>
        <v>140</v>
      </c>
      <c r="N163" s="67"/>
      <c r="R163" s="4"/>
    </row>
    <row r="164">
      <c r="A164" s="66">
        <f>IFERROR(__xludf.DUMMYFUNCTION("""COMPUTED_VALUE"""),46136.0)</f>
        <v>46136</v>
      </c>
      <c r="B164" s="67">
        <f>IFERROR(__xludf.DUMMYFUNCTION("""COMPUTED_VALUE"""),65.0)</f>
        <v>65</v>
      </c>
      <c r="C164" s="69">
        <f>IFERROR(__xludf.DUMMYFUNCTION("""COMPUTED_VALUE"""),82257.9)</f>
        <v>82257.9</v>
      </c>
      <c r="D164" s="1" t="str">
        <f>IFERROR(__xludf.DUMMYFUNCTION("""COMPUTED_VALUE"""),"VES")</f>
        <v>VES</v>
      </c>
      <c r="E164" s="1" t="str">
        <f>IFERROR(__xludf.DUMMYFUNCTION("""COMPUTED_VALUE"""),"Bancamiga")</f>
        <v>Bancamiga</v>
      </c>
      <c r="F164" s="1" t="str">
        <f>IFERROR(__xludf.DUMMYFUNCTION("""COMPUTED_VALUE"""),"Auto Servicios HN 6972, C.A")</f>
        <v>Auto Servicios HN 6972, C.A</v>
      </c>
      <c r="G164" s="70">
        <f>IFERROR(__xludf.DUMMYFUNCTION("""COMPUTED_VALUE"""),483.8695)</f>
        <v>483.8695</v>
      </c>
      <c r="H164" s="1"/>
      <c r="I164" s="71">
        <f>IFERROR(__xludf.DUMMYFUNCTION("""COMPUTED_VALUE"""),170.0001756671995)</f>
        <v>170.0001757</v>
      </c>
      <c r="J164" s="69">
        <f>IFERROR(__xludf.DUMMYFUNCTION("""COMPUTED_VALUE"""),0.0)</f>
        <v>0</v>
      </c>
      <c r="K164" s="4">
        <f>IFERROR(__xludf.DUMMYFUNCTION("""COMPUTED_VALUE"""),170.0001756671995)</f>
        <v>170.0001757</v>
      </c>
      <c r="N164" s="67"/>
      <c r="R164" s="4"/>
    </row>
    <row r="165">
      <c r="A165" s="66">
        <f>IFERROR(__xludf.DUMMYFUNCTION("""COMPUTED_VALUE"""),46136.0)</f>
        <v>46136</v>
      </c>
      <c r="B165" s="67">
        <f>IFERROR(__xludf.DUMMYFUNCTION("""COMPUTED_VALUE"""),263.0)</f>
        <v>263</v>
      </c>
      <c r="C165" s="69">
        <f>IFERROR(__xludf.DUMMYFUNCTION("""COMPUTED_VALUE"""),255.0)</f>
        <v>255</v>
      </c>
      <c r="D165" s="1" t="str">
        <f>IFERROR(__xludf.DUMMYFUNCTION("""COMPUTED_VALUE"""),"USD")</f>
        <v>USD</v>
      </c>
      <c r="E165" s="1" t="str">
        <f>IFERROR(__xludf.DUMMYFUNCTION("""COMPUTED_VALUE"""),"Efectivo USD")</f>
        <v>Efectivo USD</v>
      </c>
      <c r="F165" s="1" t="str">
        <f>IFERROR(__xludf.DUMMYFUNCTION("""COMPUTED_VALUE"""),"Katiuska Alejandra Curvelo")</f>
        <v>Katiuska Alejandra Curvelo</v>
      </c>
      <c r="G165" s="70">
        <f>IFERROR(__xludf.DUMMYFUNCTION("""COMPUTED_VALUE"""),483.8695)</f>
        <v>483.8695</v>
      </c>
      <c r="H165" s="1"/>
      <c r="I165" s="71">
        <f>IFERROR(__xludf.DUMMYFUNCTION("""COMPUTED_VALUE"""),255.0)</f>
        <v>255</v>
      </c>
      <c r="J165" s="69">
        <f>IFERROR(__xludf.DUMMYFUNCTION("""COMPUTED_VALUE"""),255.0)</f>
        <v>255</v>
      </c>
      <c r="K165" s="4">
        <f>IFERROR(__xludf.DUMMYFUNCTION("""COMPUTED_VALUE"""),255.0)</f>
        <v>255</v>
      </c>
      <c r="N165" s="67"/>
      <c r="R165" s="4"/>
    </row>
    <row r="166">
      <c r="A166" s="66">
        <f>IFERROR(__xludf.DUMMYFUNCTION("""COMPUTED_VALUE"""),46136.0)</f>
        <v>46136</v>
      </c>
      <c r="B166" s="67">
        <f>IFERROR(__xludf.DUMMYFUNCTION("""COMPUTED_VALUE"""),83.0)</f>
        <v>83</v>
      </c>
      <c r="C166" s="69">
        <f>IFERROR(__xludf.DUMMYFUNCTION("""COMPUTED_VALUE"""),100.0)</f>
        <v>100</v>
      </c>
      <c r="D166" s="1" t="str">
        <f>IFERROR(__xludf.DUMMYFUNCTION("""COMPUTED_VALUE"""),"USD")</f>
        <v>USD</v>
      </c>
      <c r="E166" s="1" t="str">
        <f>IFERROR(__xludf.DUMMYFUNCTION("""COMPUTED_VALUE"""),"Efectivo USD")</f>
        <v>Efectivo USD</v>
      </c>
      <c r="F166" s="1" t="str">
        <f>IFERROR(__xludf.DUMMYFUNCTION("""COMPUTED_VALUE"""),"Inversiones Famasa, C.A")</f>
        <v>Inversiones Famasa, C.A</v>
      </c>
      <c r="G166" s="70">
        <f>IFERROR(__xludf.DUMMYFUNCTION("""COMPUTED_VALUE"""),483.8695)</f>
        <v>483.8695</v>
      </c>
      <c r="H166" s="1"/>
      <c r="I166" s="71">
        <f>IFERROR(__xludf.DUMMYFUNCTION("""COMPUTED_VALUE"""),100.0)</f>
        <v>100</v>
      </c>
      <c r="J166" s="69">
        <f>IFERROR(__xludf.DUMMYFUNCTION("""COMPUTED_VALUE"""),100.0)</f>
        <v>100</v>
      </c>
      <c r="K166" s="4">
        <f>IFERROR(__xludf.DUMMYFUNCTION("""COMPUTED_VALUE"""),100.0)</f>
        <v>100</v>
      </c>
      <c r="N166" s="67"/>
      <c r="R166" s="4"/>
    </row>
    <row r="167">
      <c r="A167" s="66">
        <f>IFERROR(__xludf.DUMMYFUNCTION("""COMPUTED_VALUE"""),46136.0)</f>
        <v>46136</v>
      </c>
      <c r="B167" s="67">
        <f>IFERROR(__xludf.DUMMYFUNCTION("""COMPUTED_VALUE"""),74.0)</f>
        <v>74</v>
      </c>
      <c r="C167" s="69">
        <f>IFERROR(__xludf.DUMMYFUNCTION("""COMPUTED_VALUE"""),39678.8)</f>
        <v>39678.8</v>
      </c>
      <c r="D167" s="1" t="str">
        <f>IFERROR(__xludf.DUMMYFUNCTION("""COMPUTED_VALUE"""),"VES")</f>
        <v>VES</v>
      </c>
      <c r="E167" s="1" t="str">
        <f>IFERROR(__xludf.DUMMYFUNCTION("""COMPUTED_VALUE"""),"Bancamiga")</f>
        <v>Bancamiga</v>
      </c>
      <c r="F167" s="1" t="str">
        <f>IFERROR(__xludf.DUMMYFUNCTION("""COMPUTED_VALUE"""),"Servicios Nicolazzo 97, C.A")</f>
        <v>Servicios Nicolazzo 97, C.A</v>
      </c>
      <c r="G167" s="70">
        <f>IFERROR(__xludf.DUMMYFUNCTION("""COMPUTED_VALUE"""),483.8695)</f>
        <v>483.8695</v>
      </c>
      <c r="H167" s="1"/>
      <c r="I167" s="71">
        <f>IFERROR(__xludf.DUMMYFUNCTION("""COMPUTED_VALUE"""),82.0031020760763)</f>
        <v>82.00310208</v>
      </c>
      <c r="J167" s="69">
        <f>IFERROR(__xludf.DUMMYFUNCTION("""COMPUTED_VALUE"""),0.0)</f>
        <v>0</v>
      </c>
      <c r="K167" s="4">
        <f>IFERROR(__xludf.DUMMYFUNCTION("""COMPUTED_VALUE"""),82.0031020760763)</f>
        <v>82.00310208</v>
      </c>
      <c r="N167" s="67"/>
      <c r="R167" s="4"/>
    </row>
    <row r="168">
      <c r="A168" s="66">
        <f>IFERROR(__xludf.DUMMYFUNCTION("""COMPUTED_VALUE"""),46136.0)</f>
        <v>46136</v>
      </c>
      <c r="B168" s="67">
        <f>IFERROR(__xludf.DUMMYFUNCTION("""COMPUTED_VALUE"""),279.0)</f>
        <v>279</v>
      </c>
      <c r="C168" s="69">
        <f>IFERROR(__xludf.DUMMYFUNCTION("""COMPUTED_VALUE"""),134.0)</f>
        <v>134</v>
      </c>
      <c r="D168" s="1" t="str">
        <f>IFERROR(__xludf.DUMMYFUNCTION("""COMPUTED_VALUE"""),"USD")</f>
        <v>USD</v>
      </c>
      <c r="E168" s="1" t="str">
        <f>IFERROR(__xludf.DUMMYFUNCTION("""COMPUTED_VALUE"""),"Efectivo USD")</f>
        <v>Efectivo USD</v>
      </c>
      <c r="F168" s="1" t="str">
        <f>IFERROR(__xludf.DUMMYFUNCTION("""COMPUTED_VALUE"""),"Anthony Jose Quijada Diaz.")</f>
        <v>Anthony Jose Quijada Diaz.</v>
      </c>
      <c r="G168" s="70">
        <f>IFERROR(__xludf.DUMMYFUNCTION("""COMPUTED_VALUE"""),483.8695)</f>
        <v>483.8695</v>
      </c>
      <c r="H168" s="1"/>
      <c r="I168" s="71">
        <f>IFERROR(__xludf.DUMMYFUNCTION("""COMPUTED_VALUE"""),134.0)</f>
        <v>134</v>
      </c>
      <c r="J168" s="69">
        <f>IFERROR(__xludf.DUMMYFUNCTION("""COMPUTED_VALUE"""),134.0)</f>
        <v>134</v>
      </c>
      <c r="K168" s="4">
        <f>IFERROR(__xludf.DUMMYFUNCTION("""COMPUTED_VALUE"""),134.0)</f>
        <v>134</v>
      </c>
      <c r="N168" s="67"/>
      <c r="R168" s="4"/>
    </row>
    <row r="169">
      <c r="A169" s="66">
        <f>IFERROR(__xludf.DUMMYFUNCTION("""COMPUTED_VALUE"""),46136.0)</f>
        <v>46136</v>
      </c>
      <c r="B169" s="67">
        <f>IFERROR(__xludf.DUMMYFUNCTION("""COMPUTED_VALUE"""),289.0)</f>
        <v>289</v>
      </c>
      <c r="C169" s="69">
        <f>IFERROR(__xludf.DUMMYFUNCTION("""COMPUTED_VALUE"""),81.0)</f>
        <v>81</v>
      </c>
      <c r="D169" s="1" t="str">
        <f>IFERROR(__xludf.DUMMYFUNCTION("""COMPUTED_VALUE"""),"USD")</f>
        <v>USD</v>
      </c>
      <c r="E169" s="1" t="str">
        <f>IFERROR(__xludf.DUMMYFUNCTION("""COMPUTED_VALUE"""),"Efectivo USD")</f>
        <v>Efectivo USD</v>
      </c>
      <c r="F169" s="1" t="str">
        <f>IFERROR(__xludf.DUMMYFUNCTION("""COMPUTED_VALUE"""),"Paola M. Aguilera Z.")</f>
        <v>Paola M. Aguilera Z.</v>
      </c>
      <c r="G169" s="70">
        <f>IFERROR(__xludf.DUMMYFUNCTION("""COMPUTED_VALUE"""),483.8695)</f>
        <v>483.8695</v>
      </c>
      <c r="H169" s="1"/>
      <c r="I169" s="71">
        <f>IFERROR(__xludf.DUMMYFUNCTION("""COMPUTED_VALUE"""),81.0)</f>
        <v>81</v>
      </c>
      <c r="J169" s="69">
        <f>IFERROR(__xludf.DUMMYFUNCTION("""COMPUTED_VALUE"""),81.0)</f>
        <v>81</v>
      </c>
      <c r="K169" s="4">
        <f>IFERROR(__xludf.DUMMYFUNCTION("""COMPUTED_VALUE"""),81.0)</f>
        <v>81</v>
      </c>
      <c r="N169" s="67"/>
      <c r="R169" s="4"/>
    </row>
    <row r="170">
      <c r="A170" s="66">
        <f>IFERROR(__xludf.DUMMYFUNCTION("""COMPUTED_VALUE"""),46139.0)</f>
        <v>46139</v>
      </c>
      <c r="B170" s="67">
        <f>IFERROR(__xludf.DUMMYFUNCTION("""COMPUTED_VALUE"""),65.0)</f>
        <v>65</v>
      </c>
      <c r="C170" s="69">
        <f>IFERROR(__xludf.DUMMYFUNCTION("""COMPUTED_VALUE"""),128940.84)</f>
        <v>128940.84</v>
      </c>
      <c r="D170" s="1" t="str">
        <f>IFERROR(__xludf.DUMMYFUNCTION("""COMPUTED_VALUE"""),"VES")</f>
        <v>VES</v>
      </c>
      <c r="E170" s="1" t="str">
        <f>IFERROR(__xludf.DUMMYFUNCTION("""COMPUTED_VALUE"""),"Bancamiga")</f>
        <v>Bancamiga</v>
      </c>
      <c r="F170" s="1" t="str">
        <f>IFERROR(__xludf.DUMMYFUNCTION("""COMPUTED_VALUE"""),"Auto Servicios HN 6972, C.A")</f>
        <v>Auto Servicios HN 6972, C.A</v>
      </c>
      <c r="G170" s="70">
        <f>IFERROR(__xludf.DUMMYFUNCTION("""COMPUTED_VALUE"""),483.8695)</f>
        <v>483.8695</v>
      </c>
      <c r="H170" s="1"/>
      <c r="I170" s="71">
        <f>IFERROR(__xludf.DUMMYFUNCTION("""COMPUTED_VALUE"""),266.47854431825107)</f>
        <v>266.4785443</v>
      </c>
      <c r="J170" s="69">
        <f>IFERROR(__xludf.DUMMYFUNCTION("""COMPUTED_VALUE"""),0.0)</f>
        <v>0</v>
      </c>
      <c r="K170" s="4">
        <f>IFERROR(__xludf.DUMMYFUNCTION("""COMPUTED_VALUE"""),266.47854431825107)</f>
        <v>266.4785443</v>
      </c>
      <c r="N170" s="67"/>
      <c r="R170" s="4"/>
    </row>
    <row r="171">
      <c r="A171" s="66">
        <f>IFERROR(__xludf.DUMMYFUNCTION("""COMPUTED_VALUE"""),46139.0)</f>
        <v>46139</v>
      </c>
      <c r="B171" s="67">
        <f>IFERROR(__xludf.DUMMYFUNCTION("""COMPUTED_VALUE"""),167.0)</f>
        <v>167</v>
      </c>
      <c r="C171" s="69">
        <f>IFERROR(__xludf.DUMMYFUNCTION("""COMPUTED_VALUE"""),24237.0)</f>
        <v>24237</v>
      </c>
      <c r="D171" s="1" t="str">
        <f>IFERROR(__xludf.DUMMYFUNCTION("""COMPUTED_VALUE"""),"VES")</f>
        <v>VES</v>
      </c>
      <c r="E171" s="1" t="str">
        <f>IFERROR(__xludf.DUMMYFUNCTION("""COMPUTED_VALUE"""),"Bancamiga")</f>
        <v>Bancamiga</v>
      </c>
      <c r="F171" s="1" t="str">
        <f>IFERROR(__xludf.DUMMYFUNCTION("""COMPUTED_VALUE"""),"Frenos Elite, C.A")</f>
        <v>Frenos Elite, C.A</v>
      </c>
      <c r="G171" s="70">
        <f>IFERROR(__xludf.DUMMYFUNCTION("""COMPUTED_VALUE"""),484.7404)</f>
        <v>484.7404</v>
      </c>
      <c r="H171" s="1"/>
      <c r="I171" s="71">
        <f>IFERROR(__xludf.DUMMYFUNCTION("""COMPUTED_VALUE"""),49.99995874080229)</f>
        <v>49.99995874</v>
      </c>
      <c r="J171" s="69">
        <f>IFERROR(__xludf.DUMMYFUNCTION("""COMPUTED_VALUE"""),0.0)</f>
        <v>0</v>
      </c>
      <c r="K171" s="4">
        <f>IFERROR(__xludf.DUMMYFUNCTION("""COMPUTED_VALUE"""),49.99995874080229)</f>
        <v>49.99995874</v>
      </c>
      <c r="N171" s="67"/>
      <c r="R171" s="4"/>
    </row>
    <row r="172">
      <c r="A172" s="66">
        <f>IFERROR(__xludf.DUMMYFUNCTION("""COMPUTED_VALUE"""),46139.0)</f>
        <v>46139</v>
      </c>
      <c r="B172" s="67">
        <f>IFERROR(__xludf.DUMMYFUNCTION("""COMPUTED_VALUE"""),165.0)</f>
        <v>165</v>
      </c>
      <c r="C172" s="69">
        <f>IFERROR(__xludf.DUMMYFUNCTION("""COMPUTED_VALUE"""),72711.06)</f>
        <v>72711.06</v>
      </c>
      <c r="D172" s="1" t="str">
        <f>IFERROR(__xludf.DUMMYFUNCTION("""COMPUTED_VALUE"""),"VES")</f>
        <v>VES</v>
      </c>
      <c r="E172" s="1" t="str">
        <f>IFERROR(__xludf.DUMMYFUNCTION("""COMPUTED_VALUE"""),"Bancamiga")</f>
        <v>Bancamiga</v>
      </c>
      <c r="F172" s="1" t="str">
        <f>IFERROR(__xludf.DUMMYFUNCTION("""COMPUTED_VALUE"""),"EMPRENDIMIENTO HECTOR LLAMOZA")</f>
        <v>EMPRENDIMIENTO HECTOR LLAMOZA</v>
      </c>
      <c r="G172" s="70">
        <f>IFERROR(__xludf.DUMMYFUNCTION("""COMPUTED_VALUE"""),484.7404)</f>
        <v>484.7404</v>
      </c>
      <c r="H172" s="1"/>
      <c r="I172" s="71">
        <f>IFERROR(__xludf.DUMMYFUNCTION("""COMPUTED_VALUE"""),150.0)</f>
        <v>150</v>
      </c>
      <c r="J172" s="69">
        <f>IFERROR(__xludf.DUMMYFUNCTION("""COMPUTED_VALUE"""),0.0)</f>
        <v>0</v>
      </c>
      <c r="K172" s="4">
        <f>IFERROR(__xludf.DUMMYFUNCTION("""COMPUTED_VALUE"""),150.0)</f>
        <v>150</v>
      </c>
      <c r="N172" s="67"/>
      <c r="R172" s="4"/>
    </row>
    <row r="173">
      <c r="A173" s="66">
        <f>IFERROR(__xludf.DUMMYFUNCTION("""COMPUTED_VALUE"""),46139.0)</f>
        <v>46139</v>
      </c>
      <c r="B173" s="67">
        <f>IFERROR(__xludf.DUMMYFUNCTION("""COMPUTED_VALUE"""),44.0)</f>
        <v>44</v>
      </c>
      <c r="C173" s="69">
        <f>IFERROR(__xludf.DUMMYFUNCTION("""COMPUTED_VALUE"""),100.0)</f>
        <v>100</v>
      </c>
      <c r="D173" s="1" t="str">
        <f>IFERROR(__xludf.DUMMYFUNCTION("""COMPUTED_VALUE"""),"USD")</f>
        <v>USD</v>
      </c>
      <c r="E173" s="1" t="str">
        <f>IFERROR(__xludf.DUMMYFUNCTION("""COMPUTED_VALUE"""),"Efectivo USD")</f>
        <v>Efectivo USD</v>
      </c>
      <c r="F173" s="1" t="str">
        <f>IFERROR(__xludf.DUMMYFUNCTION("""COMPUTED_VALUE"""),"Comercializadora Garabote")</f>
        <v>Comercializadora Garabote</v>
      </c>
      <c r="G173" s="70">
        <f>IFERROR(__xludf.DUMMYFUNCTION("""COMPUTED_VALUE"""),484.7404)</f>
        <v>484.7404</v>
      </c>
      <c r="H173" s="1"/>
      <c r="I173" s="71">
        <f>IFERROR(__xludf.DUMMYFUNCTION("""COMPUTED_VALUE"""),100.0)</f>
        <v>100</v>
      </c>
      <c r="J173" s="69">
        <f>IFERROR(__xludf.DUMMYFUNCTION("""COMPUTED_VALUE"""),100.0)</f>
        <v>100</v>
      </c>
      <c r="K173" s="4">
        <f>IFERROR(__xludf.DUMMYFUNCTION("""COMPUTED_VALUE"""),100.0)</f>
        <v>100</v>
      </c>
      <c r="N173" s="67"/>
      <c r="R173" s="4"/>
    </row>
    <row r="174">
      <c r="A174" s="66">
        <f>IFERROR(__xludf.DUMMYFUNCTION("""COMPUTED_VALUE"""),46139.0)</f>
        <v>46139</v>
      </c>
      <c r="B174" s="67">
        <f>IFERROR(__xludf.DUMMYFUNCTION("""COMPUTED_VALUE"""),227.0)</f>
        <v>227</v>
      </c>
      <c r="C174" s="69">
        <f>IFERROR(__xludf.DUMMYFUNCTION("""COMPUTED_VALUE"""),293907.53)</f>
        <v>293907.53</v>
      </c>
      <c r="D174" s="1" t="str">
        <f>IFERROR(__xludf.DUMMYFUNCTION("""COMPUTED_VALUE"""),"VES")</f>
        <v>VES</v>
      </c>
      <c r="E174" s="1" t="str">
        <f>IFERROR(__xludf.DUMMYFUNCTION("""COMPUTED_VALUE"""),"Efectivo VES")</f>
        <v>Efectivo VES</v>
      </c>
      <c r="F174" s="1" t="str">
        <f>IFERROR(__xludf.DUMMYFUNCTION("""COMPUTED_VALUE"""),"EN LA VIA 2023 C.A")</f>
        <v>EN LA VIA 2023 C.A</v>
      </c>
      <c r="G174" s="70">
        <f>IFERROR(__xludf.DUMMYFUNCTION("""COMPUTED_VALUE"""),484.7404)</f>
        <v>484.7404</v>
      </c>
      <c r="H174" s="1"/>
      <c r="I174" s="71">
        <f>IFERROR(__xludf.DUMMYFUNCTION("""COMPUTED_VALUE"""),606.31944438714)</f>
        <v>606.3194444</v>
      </c>
      <c r="J174" s="69">
        <f>IFERROR(__xludf.DUMMYFUNCTION("""COMPUTED_VALUE"""),0.0)</f>
        <v>0</v>
      </c>
      <c r="K174" s="4">
        <f>IFERROR(__xludf.DUMMYFUNCTION("""COMPUTED_VALUE"""),606.31944438714)</f>
        <v>606.3194444</v>
      </c>
      <c r="N174" s="67"/>
      <c r="R174" s="4"/>
    </row>
    <row r="175">
      <c r="A175" s="66">
        <f>IFERROR(__xludf.DUMMYFUNCTION("""COMPUTED_VALUE"""),46139.0)</f>
        <v>46139</v>
      </c>
      <c r="B175" s="67">
        <f>IFERROR(__xludf.DUMMYFUNCTION("""COMPUTED_VALUE"""),284.0)</f>
        <v>284</v>
      </c>
      <c r="C175" s="69">
        <f>IFERROR(__xludf.DUMMYFUNCTION("""COMPUTED_VALUE"""),25092.97)</f>
        <v>25092.97</v>
      </c>
      <c r="D175" s="1" t="str">
        <f>IFERROR(__xludf.DUMMYFUNCTION("""COMPUTED_VALUE"""),"VES")</f>
        <v>VES</v>
      </c>
      <c r="E175" s="1" t="str">
        <f>IFERROR(__xludf.DUMMYFUNCTION("""COMPUTED_VALUE"""),"Bancamiga")</f>
        <v>Bancamiga</v>
      </c>
      <c r="F175" s="1" t="str">
        <f>IFERROR(__xludf.DUMMYFUNCTION("""COMPUTED_VALUE"""),"SUPLIPARTES PARAISO, C.A")</f>
        <v>SUPLIPARTES PARAISO, C.A</v>
      </c>
      <c r="G175" s="70">
        <f>IFERROR(__xludf.DUMMYFUNCTION("""COMPUTED_VALUE"""),484.7404)</f>
        <v>484.7404</v>
      </c>
      <c r="H175" s="1"/>
      <c r="I175" s="71">
        <f>IFERROR(__xludf.DUMMYFUNCTION("""COMPUTED_VALUE"""),51.7657905138503)</f>
        <v>51.76579051</v>
      </c>
      <c r="J175" s="69">
        <f>IFERROR(__xludf.DUMMYFUNCTION("""COMPUTED_VALUE"""),0.0)</f>
        <v>0</v>
      </c>
      <c r="K175" s="4">
        <f>IFERROR(__xludf.DUMMYFUNCTION("""COMPUTED_VALUE"""),51.7657905138503)</f>
        <v>51.76579051</v>
      </c>
      <c r="N175" s="67"/>
      <c r="R175" s="4"/>
    </row>
    <row r="176">
      <c r="A176" s="66">
        <f>IFERROR(__xludf.DUMMYFUNCTION("""COMPUTED_VALUE"""),46139.0)</f>
        <v>46139</v>
      </c>
      <c r="B176" s="67">
        <f>IFERROR(__xludf.DUMMYFUNCTION("""COMPUTED_VALUE"""),87.0)</f>
        <v>87</v>
      </c>
      <c r="C176" s="69">
        <f>IFERROR(__xludf.DUMMYFUNCTION("""COMPUTED_VALUE"""),150.0)</f>
        <v>150</v>
      </c>
      <c r="D176" s="1" t="str">
        <f>IFERROR(__xludf.DUMMYFUNCTION("""COMPUTED_VALUE"""),"USD")</f>
        <v>USD</v>
      </c>
      <c r="E176" s="1" t="str">
        <f>IFERROR(__xludf.DUMMYFUNCTION("""COMPUTED_VALUE"""),"Efectivo USD")</f>
        <v>Efectivo USD</v>
      </c>
      <c r="F176" s="1" t="str">
        <f>IFERROR(__xludf.DUMMYFUNCTION("""COMPUTED_VALUE"""),"Javier Cardenas Prato.")</f>
        <v>Javier Cardenas Prato.</v>
      </c>
      <c r="G176" s="70">
        <f>IFERROR(__xludf.DUMMYFUNCTION("""COMPUTED_VALUE"""),484.7404)</f>
        <v>484.7404</v>
      </c>
      <c r="H176" s="1"/>
      <c r="I176" s="71">
        <f>IFERROR(__xludf.DUMMYFUNCTION("""COMPUTED_VALUE"""),150.0)</f>
        <v>150</v>
      </c>
      <c r="J176" s="69">
        <f>IFERROR(__xludf.DUMMYFUNCTION("""COMPUTED_VALUE"""),150.0)</f>
        <v>150</v>
      </c>
      <c r="K176" s="4">
        <f>IFERROR(__xludf.DUMMYFUNCTION("""COMPUTED_VALUE"""),150.0)</f>
        <v>150</v>
      </c>
      <c r="N176" s="67"/>
      <c r="R176" s="4"/>
    </row>
    <row r="177">
      <c r="A177" s="66">
        <f>IFERROR(__xludf.DUMMYFUNCTION("""COMPUTED_VALUE"""),46140.0)</f>
        <v>46140</v>
      </c>
      <c r="B177" s="67">
        <f>IFERROR(__xludf.DUMMYFUNCTION("""COMPUTED_VALUE"""),19.0)</f>
        <v>19</v>
      </c>
      <c r="C177" s="69">
        <f>IFERROR(__xludf.DUMMYFUNCTION("""COMPUTED_VALUE"""),44546.94)</f>
        <v>44546.94</v>
      </c>
      <c r="D177" s="1" t="str">
        <f>IFERROR(__xludf.DUMMYFUNCTION("""COMPUTED_VALUE"""),"VES")</f>
        <v>VES</v>
      </c>
      <c r="E177" s="1" t="str">
        <f>IFERROR(__xludf.DUMMYFUNCTION("""COMPUTED_VALUE"""),"Bancamiga")</f>
        <v>Bancamiga</v>
      </c>
      <c r="F177" s="1" t="str">
        <f>IFERROR(__xludf.DUMMYFUNCTION("""COMPUTED_VALUE"""),"Ruta 8 Autopartes,c.a.")</f>
        <v>Ruta 8 Autopartes,c.a.</v>
      </c>
      <c r="G177" s="70">
        <f>IFERROR(__xludf.DUMMYFUNCTION("""COMPUTED_VALUE"""),484.7404)</f>
        <v>484.7404</v>
      </c>
      <c r="H177" s="1"/>
      <c r="I177" s="71">
        <f>IFERROR(__xludf.DUMMYFUNCTION("""COMPUTED_VALUE"""),91.89855023431099)</f>
        <v>91.89855023</v>
      </c>
      <c r="J177" s="69">
        <f>IFERROR(__xludf.DUMMYFUNCTION("""COMPUTED_VALUE"""),0.0)</f>
        <v>0</v>
      </c>
      <c r="K177" s="4">
        <f>IFERROR(__xludf.DUMMYFUNCTION("""COMPUTED_VALUE"""),91.89855023431099)</f>
        <v>91.89855023</v>
      </c>
      <c r="N177" s="67"/>
      <c r="R177" s="4"/>
    </row>
    <row r="178">
      <c r="A178" s="66">
        <f>IFERROR(__xludf.DUMMYFUNCTION("""COMPUTED_VALUE"""),46140.0)</f>
        <v>46140</v>
      </c>
      <c r="B178" s="67">
        <f>IFERROR(__xludf.DUMMYFUNCTION("""COMPUTED_VALUE"""),145.0)</f>
        <v>145</v>
      </c>
      <c r="C178" s="69">
        <f>IFERROR(__xludf.DUMMYFUNCTION("""COMPUTED_VALUE"""),150000.0)</f>
        <v>150000</v>
      </c>
      <c r="D178" s="1" t="str">
        <f>IFERROR(__xludf.DUMMYFUNCTION("""COMPUTED_VALUE"""),"VES")</f>
        <v>VES</v>
      </c>
      <c r="E178" s="1" t="str">
        <f>IFERROR(__xludf.DUMMYFUNCTION("""COMPUTED_VALUE"""),"Bancamiga")</f>
        <v>Bancamiga</v>
      </c>
      <c r="F178" s="1" t="str">
        <f>IFERROR(__xludf.DUMMYFUNCTION("""COMPUTED_VALUE"""),"La cámara perfecta")</f>
        <v>La cámara perfecta</v>
      </c>
      <c r="G178" s="70">
        <f>IFERROR(__xludf.DUMMYFUNCTION("""COMPUTED_VALUE"""),485.2251)</f>
        <v>485.2251</v>
      </c>
      <c r="H178" s="1"/>
      <c r="I178" s="71">
        <f>IFERROR(__xludf.DUMMYFUNCTION("""COMPUTED_VALUE"""),309.13487369058197)</f>
        <v>309.1348737</v>
      </c>
      <c r="J178" s="69">
        <f>IFERROR(__xludf.DUMMYFUNCTION("""COMPUTED_VALUE"""),0.0)</f>
        <v>0</v>
      </c>
      <c r="K178" s="4">
        <f>IFERROR(__xludf.DUMMYFUNCTION("""COMPUTED_VALUE"""),309.13487369058197)</f>
        <v>309.1348737</v>
      </c>
      <c r="N178" s="67"/>
      <c r="R178" s="4"/>
    </row>
    <row r="179">
      <c r="A179" s="66">
        <f>IFERROR(__xludf.DUMMYFUNCTION("""COMPUTED_VALUE"""),46140.0)</f>
        <v>46140</v>
      </c>
      <c r="B179" s="67">
        <f>IFERROR(__xludf.DUMMYFUNCTION("""COMPUTED_VALUE"""),300.0)</f>
        <v>300</v>
      </c>
      <c r="C179" s="69">
        <f>IFERROR(__xludf.DUMMYFUNCTION("""COMPUTED_VALUE"""),61739.4)</f>
        <v>61739.4</v>
      </c>
      <c r="D179" s="1" t="str">
        <f>IFERROR(__xludf.DUMMYFUNCTION("""COMPUTED_VALUE"""),"VES")</f>
        <v>VES</v>
      </c>
      <c r="E179" s="1" t="str">
        <f>IFERROR(__xludf.DUMMYFUNCTION("""COMPUTED_VALUE"""),"Bancamiga")</f>
        <v>Bancamiga</v>
      </c>
      <c r="F179" s="1" t="str">
        <f>IFERROR(__xludf.DUMMYFUNCTION("""COMPUTED_VALUE"""),"INVERSIONES ARCOSOL 21, C.A.")</f>
        <v>INVERSIONES ARCOSOL 21, C.A.</v>
      </c>
      <c r="G179" s="70">
        <f>IFERROR(__xludf.DUMMYFUNCTION("""COMPUTED_VALUE"""),485.2251)</f>
        <v>485.2251</v>
      </c>
      <c r="H179" s="1"/>
      <c r="I179" s="71">
        <f>IFERROR(__xludf.DUMMYFUNCTION("""COMPUTED_VALUE"""),127.23867747154877)</f>
        <v>127.2386775</v>
      </c>
      <c r="J179" s="69">
        <f>IFERROR(__xludf.DUMMYFUNCTION("""COMPUTED_VALUE"""),0.0)</f>
        <v>0</v>
      </c>
      <c r="K179" s="4">
        <f>IFERROR(__xludf.DUMMYFUNCTION("""COMPUTED_VALUE"""),127.23867747154877)</f>
        <v>127.2386775</v>
      </c>
      <c r="N179" s="67"/>
      <c r="R179" s="4"/>
    </row>
    <row r="180">
      <c r="A180" s="66">
        <f>IFERROR(__xludf.DUMMYFUNCTION("""COMPUTED_VALUE"""),46140.0)</f>
        <v>46140</v>
      </c>
      <c r="B180" s="67">
        <f>IFERROR(__xludf.DUMMYFUNCTION("""COMPUTED_VALUE"""),34.0)</f>
        <v>34</v>
      </c>
      <c r="C180" s="69">
        <f>IFERROR(__xludf.DUMMYFUNCTION("""COMPUTED_VALUE"""),50867.0)</f>
        <v>50867</v>
      </c>
      <c r="D180" s="1" t="str">
        <f>IFERROR(__xludf.DUMMYFUNCTION("""COMPUTED_VALUE"""),"VES")</f>
        <v>VES</v>
      </c>
      <c r="E180" s="1" t="str">
        <f>IFERROR(__xludf.DUMMYFUNCTION("""COMPUTED_VALUE"""),"Bancamiga")</f>
        <v>Bancamiga</v>
      </c>
      <c r="F180" s="1" t="str">
        <f>IFERROR(__xludf.DUMMYFUNCTION("""COMPUTED_VALUE"""),"Miguel Antonio Chacon")</f>
        <v>Miguel Antonio Chacon</v>
      </c>
      <c r="G180" s="70">
        <f>IFERROR(__xludf.DUMMYFUNCTION("""COMPUTED_VALUE"""),485.2251)</f>
        <v>485.2251</v>
      </c>
      <c r="H180" s="1"/>
      <c r="I180" s="71">
        <f>IFERROR(__xludf.DUMMYFUNCTION("""COMPUTED_VALUE"""),104.83175746679221)</f>
        <v>104.8317575</v>
      </c>
      <c r="J180" s="69">
        <f>IFERROR(__xludf.DUMMYFUNCTION("""COMPUTED_VALUE"""),0.0)</f>
        <v>0</v>
      </c>
      <c r="K180" s="4">
        <f>IFERROR(__xludf.DUMMYFUNCTION("""COMPUTED_VALUE"""),104.83175746679221)</f>
        <v>104.8317575</v>
      </c>
      <c r="N180" s="67"/>
      <c r="R180" s="4"/>
    </row>
    <row r="181">
      <c r="A181" s="66">
        <f>IFERROR(__xludf.DUMMYFUNCTION("""COMPUTED_VALUE"""),46140.0)</f>
        <v>46140</v>
      </c>
      <c r="B181" s="67">
        <f>IFERROR(__xludf.DUMMYFUNCTION("""COMPUTED_VALUE"""),79.0)</f>
        <v>79</v>
      </c>
      <c r="C181" s="69">
        <f>IFERROR(__xludf.DUMMYFUNCTION("""COMPUTED_VALUE"""),60.0)</f>
        <v>60</v>
      </c>
      <c r="D181" s="1" t="str">
        <f>IFERROR(__xludf.DUMMYFUNCTION("""COMPUTED_VALUE"""),"USD")</f>
        <v>USD</v>
      </c>
      <c r="E181" s="1" t="str">
        <f>IFERROR(__xludf.DUMMYFUNCTION("""COMPUTED_VALUE"""),"Efectivo USD")</f>
        <v>Efectivo USD</v>
      </c>
      <c r="F181" s="1" t="str">
        <f>IFERROR(__xludf.DUMMYFUNCTION("""COMPUTED_VALUE"""),"Inversiones Vercris 17 C.A")</f>
        <v>Inversiones Vercris 17 C.A</v>
      </c>
      <c r="G181" s="70">
        <f>IFERROR(__xludf.DUMMYFUNCTION("""COMPUTED_VALUE"""),485.2251)</f>
        <v>485.2251</v>
      </c>
      <c r="H181" s="1"/>
      <c r="I181" s="71">
        <f>IFERROR(__xludf.DUMMYFUNCTION("""COMPUTED_VALUE"""),60.0)</f>
        <v>60</v>
      </c>
      <c r="J181" s="69">
        <f>IFERROR(__xludf.DUMMYFUNCTION("""COMPUTED_VALUE"""),60.0)</f>
        <v>60</v>
      </c>
      <c r="K181" s="4">
        <f>IFERROR(__xludf.DUMMYFUNCTION("""COMPUTED_VALUE"""),60.0)</f>
        <v>60</v>
      </c>
      <c r="N181" s="67"/>
      <c r="R181" s="4"/>
    </row>
    <row r="182">
      <c r="A182" s="66">
        <f>IFERROR(__xludf.DUMMYFUNCTION("""COMPUTED_VALUE"""),46140.0)</f>
        <v>46140</v>
      </c>
      <c r="B182" s="67">
        <f>IFERROR(__xludf.DUMMYFUNCTION("""COMPUTED_VALUE"""),204.0)</f>
        <v>204</v>
      </c>
      <c r="C182" s="69">
        <f>IFERROR(__xludf.DUMMYFUNCTION("""COMPUTED_VALUE"""),100.0)</f>
        <v>100</v>
      </c>
      <c r="D182" s="1" t="str">
        <f>IFERROR(__xludf.DUMMYFUNCTION("""COMPUTED_VALUE"""),"USD")</f>
        <v>USD</v>
      </c>
      <c r="E182" s="1" t="str">
        <f>IFERROR(__xludf.DUMMYFUNCTION("""COMPUTED_VALUE"""),"Efectivo USD")</f>
        <v>Efectivo USD</v>
      </c>
      <c r="F182" s="1" t="str">
        <f>IFERROR(__xludf.DUMMYFUNCTION("""COMPUTED_VALUE"""),"Motolavado Yahir")</f>
        <v>Motolavado Yahir</v>
      </c>
      <c r="G182" s="70">
        <f>IFERROR(__xludf.DUMMYFUNCTION("""COMPUTED_VALUE"""),485.2251)</f>
        <v>485.2251</v>
      </c>
      <c r="H182" s="1"/>
      <c r="I182" s="71">
        <f>IFERROR(__xludf.DUMMYFUNCTION("""COMPUTED_VALUE"""),100.0)</f>
        <v>100</v>
      </c>
      <c r="J182" s="69">
        <f>IFERROR(__xludf.DUMMYFUNCTION("""COMPUTED_VALUE"""),100.0)</f>
        <v>100</v>
      </c>
      <c r="K182" s="4">
        <f>IFERROR(__xludf.DUMMYFUNCTION("""COMPUTED_VALUE"""),100.0)</f>
        <v>100</v>
      </c>
      <c r="N182" s="67"/>
      <c r="R182" s="4"/>
    </row>
    <row r="183">
      <c r="A183" s="66">
        <f>IFERROR(__xludf.DUMMYFUNCTION("""COMPUTED_VALUE"""),46140.0)</f>
        <v>46140</v>
      </c>
      <c r="B183" s="67">
        <f>IFERROR(__xludf.DUMMYFUNCTION("""COMPUTED_VALUE"""),104.0)</f>
        <v>104</v>
      </c>
      <c r="C183" s="69">
        <f>IFERROR(__xludf.DUMMYFUNCTION("""COMPUTED_VALUE"""),48.0)</f>
        <v>48</v>
      </c>
      <c r="D183" s="1" t="str">
        <f>IFERROR(__xludf.DUMMYFUNCTION("""COMPUTED_VALUE"""),"USD")</f>
        <v>USD</v>
      </c>
      <c r="E183" s="1" t="str">
        <f>IFERROR(__xludf.DUMMYFUNCTION("""COMPUTED_VALUE"""),"Efectivo USD")</f>
        <v>Efectivo USD</v>
      </c>
      <c r="F183" s="1" t="str">
        <f>IFERROR(__xludf.DUMMYFUNCTION("""COMPUTED_VALUE"""),"Inversiones Brayan CT C.A")</f>
        <v>Inversiones Brayan CT C.A</v>
      </c>
      <c r="G183" s="70">
        <f>IFERROR(__xludf.DUMMYFUNCTION("""COMPUTED_VALUE"""),485.2251)</f>
        <v>485.2251</v>
      </c>
      <c r="H183" s="1"/>
      <c r="I183" s="71">
        <f>IFERROR(__xludf.DUMMYFUNCTION("""COMPUTED_VALUE"""),48.0)</f>
        <v>48</v>
      </c>
      <c r="J183" s="69">
        <f>IFERROR(__xludf.DUMMYFUNCTION("""COMPUTED_VALUE"""),48.0)</f>
        <v>48</v>
      </c>
      <c r="K183" s="4">
        <f>IFERROR(__xludf.DUMMYFUNCTION("""COMPUTED_VALUE"""),48.0)</f>
        <v>48</v>
      </c>
      <c r="N183" s="67"/>
      <c r="R183" s="4"/>
    </row>
    <row r="184">
      <c r="A184" s="66">
        <f>IFERROR(__xludf.DUMMYFUNCTION("""COMPUTED_VALUE"""),46141.0)</f>
        <v>46141</v>
      </c>
      <c r="B184" s="67">
        <f>IFERROR(__xludf.DUMMYFUNCTION("""COMPUTED_VALUE"""),149.0)</f>
        <v>149</v>
      </c>
      <c r="C184" s="69">
        <f>IFERROR(__xludf.DUMMYFUNCTION("""COMPUTED_VALUE"""),300.0)</f>
        <v>300</v>
      </c>
      <c r="D184" s="1" t="str">
        <f>IFERROR(__xludf.DUMMYFUNCTION("""COMPUTED_VALUE"""),"USD")</f>
        <v>USD</v>
      </c>
      <c r="E184" s="1" t="str">
        <f>IFERROR(__xludf.DUMMYFUNCTION("""COMPUTED_VALUE"""),"Binance")</f>
        <v>Binance</v>
      </c>
      <c r="F184" s="1">
        <f>IFERROR(__xludf.DUMMYFUNCTION("""COMPUTED_VALUE"""),8.0)</f>
        <v>8</v>
      </c>
      <c r="G184" s="70">
        <f>IFERROR(__xludf.DUMMYFUNCTION("""COMPUTED_VALUE"""),485.2251)</f>
        <v>485.2251</v>
      </c>
      <c r="H184" s="1"/>
      <c r="I184" s="71">
        <f>IFERROR(__xludf.DUMMYFUNCTION("""COMPUTED_VALUE"""),300.0)</f>
        <v>300</v>
      </c>
      <c r="J184" s="69">
        <f>IFERROR(__xludf.DUMMYFUNCTION("""COMPUTED_VALUE"""),300.0)</f>
        <v>300</v>
      </c>
      <c r="K184" s="4">
        <f>IFERROR(__xludf.DUMMYFUNCTION("""COMPUTED_VALUE"""),300.0)</f>
        <v>300</v>
      </c>
      <c r="N184" s="67"/>
      <c r="R184" s="4"/>
    </row>
    <row r="185">
      <c r="A185" s="66">
        <f>IFERROR(__xludf.DUMMYFUNCTION("""COMPUTED_VALUE"""),46141.0)</f>
        <v>46141</v>
      </c>
      <c r="B185" s="67">
        <f>IFERROR(__xludf.DUMMYFUNCTION("""COMPUTED_VALUE"""),62.0)</f>
        <v>62</v>
      </c>
      <c r="C185" s="69">
        <f>IFERROR(__xludf.DUMMYFUNCTION("""COMPUTED_VALUE"""),300.0)</f>
        <v>300</v>
      </c>
      <c r="D185" s="1" t="str">
        <f>IFERROR(__xludf.DUMMYFUNCTION("""COMPUTED_VALUE"""),"USD")</f>
        <v>USD</v>
      </c>
      <c r="E185" s="1" t="str">
        <f>IFERROR(__xludf.DUMMYFUNCTION("""COMPUTED_VALUE"""),"Zelle")</f>
        <v>Zelle</v>
      </c>
      <c r="F185" s="1" t="str">
        <f>IFERROR(__xludf.DUMMYFUNCTION("""COMPUTED_VALUE"""),"SJMG 2012 C.A")</f>
        <v>SJMG 2012 C.A</v>
      </c>
      <c r="G185" s="70">
        <f>IFERROR(__xludf.DUMMYFUNCTION("""COMPUTED_VALUE"""),486.1955)</f>
        <v>486.1955</v>
      </c>
      <c r="H185" s="1"/>
      <c r="I185" s="71">
        <f>IFERROR(__xludf.DUMMYFUNCTION("""COMPUTED_VALUE"""),300.0)</f>
        <v>300</v>
      </c>
      <c r="J185" s="69">
        <f>IFERROR(__xludf.DUMMYFUNCTION("""COMPUTED_VALUE"""),300.0)</f>
        <v>300</v>
      </c>
      <c r="K185" s="4">
        <f>IFERROR(__xludf.DUMMYFUNCTION("""COMPUTED_VALUE"""),300.0)</f>
        <v>300</v>
      </c>
      <c r="N185" s="67"/>
      <c r="R185" s="4"/>
    </row>
    <row r="186">
      <c r="A186" s="66">
        <f>IFERROR(__xludf.DUMMYFUNCTION("""COMPUTED_VALUE"""),46135.0)</f>
        <v>46135</v>
      </c>
      <c r="B186" s="67">
        <f>IFERROR(__xludf.DUMMYFUNCTION("""COMPUTED_VALUE"""),86.0)</f>
        <v>86</v>
      </c>
      <c r="C186" s="69">
        <f>IFERROR(__xludf.DUMMYFUNCTION("""COMPUTED_VALUE"""),30000.0)</f>
        <v>30000</v>
      </c>
      <c r="D186" s="1" t="str">
        <f>IFERROR(__xludf.DUMMYFUNCTION("""COMPUTED_VALUE"""),"VES")</f>
        <v>VES</v>
      </c>
      <c r="E186" s="1" t="str">
        <f>IFERROR(__xludf.DUMMYFUNCTION("""COMPUTED_VALUE"""),"Bancamiga")</f>
        <v>Bancamiga</v>
      </c>
      <c r="F186" s="1" t="str">
        <f>IFERROR(__xludf.DUMMYFUNCTION("""COMPUTED_VALUE"""),"Wuilliams bastidas")</f>
        <v>Wuilliams bastidas</v>
      </c>
      <c r="G186" s="70">
        <f>IFERROR(__xludf.DUMMYFUNCTION("""COMPUTED_VALUE"""),486.1955)</f>
        <v>486.1955</v>
      </c>
      <c r="H186" s="1"/>
      <c r="I186" s="71">
        <f>IFERROR(__xludf.DUMMYFUNCTION("""COMPUTED_VALUE"""),61.70357397384386)</f>
        <v>61.70357397</v>
      </c>
      <c r="J186" s="69">
        <f>IFERROR(__xludf.DUMMYFUNCTION("""COMPUTED_VALUE"""),0.0)</f>
        <v>0</v>
      </c>
      <c r="K186" s="4">
        <f>IFERROR(__xludf.DUMMYFUNCTION("""COMPUTED_VALUE"""),61.70357397384386)</f>
        <v>61.70357397</v>
      </c>
      <c r="N186" s="67"/>
      <c r="R186" s="4"/>
    </row>
    <row r="187">
      <c r="A187" s="66">
        <f>IFERROR(__xludf.DUMMYFUNCTION("""COMPUTED_VALUE"""),46141.0)</f>
        <v>46141</v>
      </c>
      <c r="B187" s="67">
        <f>IFERROR(__xludf.DUMMYFUNCTION("""COMPUTED_VALUE"""),230.0)</f>
        <v>230</v>
      </c>
      <c r="C187" s="69">
        <f>IFERROR(__xludf.DUMMYFUNCTION("""COMPUTED_VALUE"""),260112.0)</f>
        <v>260112</v>
      </c>
      <c r="D187" s="1" t="str">
        <f>IFERROR(__xludf.DUMMYFUNCTION("""COMPUTED_VALUE"""),"VES")</f>
        <v>VES</v>
      </c>
      <c r="E187" s="1" t="str">
        <f>IFERROR(__xludf.DUMMYFUNCTION("""COMPUTED_VALUE"""),"Bancamiga")</f>
        <v>Bancamiga</v>
      </c>
      <c r="F187" s="1" t="str">
        <f>IFERROR(__xludf.DUMMYFUNCTION("""COMPUTED_VALUE"""),"E&amp;M CAR SHOP C.A")</f>
        <v>E&amp;M CAR SHOP C.A</v>
      </c>
      <c r="G187" s="70">
        <f>IFERROR(__xludf.DUMMYFUNCTION("""COMPUTED_VALUE"""),483.3397)</f>
        <v>483.3397</v>
      </c>
      <c r="H187" s="1"/>
      <c r="I187" s="71">
        <f>IFERROR(__xludf.DUMMYFUNCTION("""COMPUTED_VALUE"""),538.1556698115218)</f>
        <v>538.1556698</v>
      </c>
      <c r="J187" s="69">
        <f>IFERROR(__xludf.DUMMYFUNCTION("""COMPUTED_VALUE"""),0.0)</f>
        <v>0</v>
      </c>
      <c r="K187" s="4">
        <f>IFERROR(__xludf.DUMMYFUNCTION("""COMPUTED_VALUE"""),538.1556698115218)</f>
        <v>538.1556698</v>
      </c>
      <c r="N187" s="67"/>
      <c r="R187" s="4"/>
    </row>
    <row r="188">
      <c r="A188" s="66">
        <f>IFERROR(__xludf.DUMMYFUNCTION("""COMPUTED_VALUE"""),46141.0)</f>
        <v>46141</v>
      </c>
      <c r="B188" s="67">
        <f>IFERROR(__xludf.DUMMYFUNCTION("""COMPUTED_VALUE"""),164.0)</f>
        <v>164</v>
      </c>
      <c r="C188" s="69">
        <f>IFERROR(__xludf.DUMMYFUNCTION("""COMPUTED_VALUE"""),180.0)</f>
        <v>180</v>
      </c>
      <c r="D188" s="1" t="str">
        <f>IFERROR(__xludf.DUMMYFUNCTION("""COMPUTED_VALUE"""),"USD")</f>
        <v>USD</v>
      </c>
      <c r="E188" s="1" t="str">
        <f>IFERROR(__xludf.DUMMYFUNCTION("""COMPUTED_VALUE"""),"Efectivo USD")</f>
        <v>Efectivo USD</v>
      </c>
      <c r="F188" s="1" t="str">
        <f>IFERROR(__xludf.DUMMYFUNCTION("""COMPUTED_VALUE"""),"INVERSIONES IRETE SUKA, C.A")</f>
        <v>INVERSIONES IRETE SUKA, C.A</v>
      </c>
      <c r="G188" s="70">
        <f>IFERROR(__xludf.DUMMYFUNCTION("""COMPUTED_VALUE"""),486.1955)</f>
        <v>486.1955</v>
      </c>
      <c r="H188" s="1"/>
      <c r="I188" s="71">
        <f>IFERROR(__xludf.DUMMYFUNCTION("""COMPUTED_VALUE"""),180.0)</f>
        <v>180</v>
      </c>
      <c r="J188" s="69">
        <f>IFERROR(__xludf.DUMMYFUNCTION("""COMPUTED_VALUE"""),180.0)</f>
        <v>180</v>
      </c>
      <c r="K188" s="4">
        <f>IFERROR(__xludf.DUMMYFUNCTION("""COMPUTED_VALUE"""),180.0)</f>
        <v>180</v>
      </c>
      <c r="N188" s="67"/>
      <c r="R188" s="4"/>
    </row>
    <row r="189">
      <c r="A189" s="66">
        <f>IFERROR(__xludf.DUMMYFUNCTION("""COMPUTED_VALUE"""),46141.0)</f>
        <v>46141</v>
      </c>
      <c r="B189" s="67">
        <f>IFERROR(__xludf.DUMMYFUNCTION("""COMPUTED_VALUE"""),130.0)</f>
        <v>130</v>
      </c>
      <c r="C189" s="69">
        <f>IFERROR(__xludf.DUMMYFUNCTION("""COMPUTED_VALUE"""),565.0)</f>
        <v>565</v>
      </c>
      <c r="D189" s="1" t="str">
        <f>IFERROR(__xludf.DUMMYFUNCTION("""COMPUTED_VALUE"""),"USD")</f>
        <v>USD</v>
      </c>
      <c r="E189" s="1" t="str">
        <f>IFERROR(__xludf.DUMMYFUNCTION("""COMPUTED_VALUE"""),"Efectivo USD")</f>
        <v>Efectivo USD</v>
      </c>
      <c r="F189" s="1" t="str">
        <f>IFERROR(__xludf.DUMMYFUNCTION("""COMPUTED_VALUE"""),"TALLER TNMCAR, C.A")</f>
        <v>TALLER TNMCAR, C.A</v>
      </c>
      <c r="G189" s="70">
        <f>IFERROR(__xludf.DUMMYFUNCTION("""COMPUTED_VALUE"""),486.1955)</f>
        <v>486.1955</v>
      </c>
      <c r="H189" s="1"/>
      <c r="I189" s="71">
        <f>IFERROR(__xludf.DUMMYFUNCTION("""COMPUTED_VALUE"""),565.0)</f>
        <v>565</v>
      </c>
      <c r="J189" s="69">
        <f>IFERROR(__xludf.DUMMYFUNCTION("""COMPUTED_VALUE"""),565.0)</f>
        <v>565</v>
      </c>
      <c r="K189" s="4">
        <f>IFERROR(__xludf.DUMMYFUNCTION("""COMPUTED_VALUE"""),565.0)</f>
        <v>565</v>
      </c>
      <c r="N189" s="67"/>
      <c r="R189" s="4"/>
    </row>
    <row r="190">
      <c r="A190" s="66">
        <f>IFERROR(__xludf.DUMMYFUNCTION("""COMPUTED_VALUE"""),46141.0)</f>
        <v>46141</v>
      </c>
      <c r="B190" s="67">
        <f>IFERROR(__xludf.DUMMYFUNCTION("""COMPUTED_VALUE"""),141.0)</f>
        <v>141</v>
      </c>
      <c r="C190" s="69">
        <f>IFERROR(__xludf.DUMMYFUNCTION("""COMPUTED_VALUE"""),50.0)</f>
        <v>50</v>
      </c>
      <c r="D190" s="1" t="str">
        <f>IFERROR(__xludf.DUMMYFUNCTION("""COMPUTED_VALUE"""),"USD")</f>
        <v>USD</v>
      </c>
      <c r="E190" s="1" t="str">
        <f>IFERROR(__xludf.DUMMYFUNCTION("""COMPUTED_VALUE"""),"Efectivo USD")</f>
        <v>Efectivo USD</v>
      </c>
      <c r="F190" s="1" t="str">
        <f>IFERROR(__xludf.DUMMYFUNCTION("""COMPUTED_VALUE"""),"Yulendri Carolina Pineda Blanco")</f>
        <v>Yulendri Carolina Pineda Blanco</v>
      </c>
      <c r="G190" s="70">
        <f>IFERROR(__xludf.DUMMYFUNCTION("""COMPUTED_VALUE"""),486.1955)</f>
        <v>486.1955</v>
      </c>
      <c r="H190" s="1"/>
      <c r="I190" s="71">
        <f>IFERROR(__xludf.DUMMYFUNCTION("""COMPUTED_VALUE"""),50.0)</f>
        <v>50</v>
      </c>
      <c r="J190" s="69">
        <f>IFERROR(__xludf.DUMMYFUNCTION("""COMPUTED_VALUE"""),50.0)</f>
        <v>50</v>
      </c>
      <c r="K190" s="4">
        <f>IFERROR(__xludf.DUMMYFUNCTION("""COMPUTED_VALUE"""),50.0)</f>
        <v>50</v>
      </c>
      <c r="N190" s="67"/>
      <c r="R190" s="4"/>
    </row>
    <row r="191">
      <c r="A191" s="66">
        <f>IFERROR(__xludf.DUMMYFUNCTION("""COMPUTED_VALUE"""),46141.0)</f>
        <v>46141</v>
      </c>
      <c r="B191" s="67">
        <f>IFERROR(__xludf.DUMMYFUNCTION("""COMPUTED_VALUE"""),153.0)</f>
        <v>153</v>
      </c>
      <c r="C191" s="69">
        <f>IFERROR(__xludf.DUMMYFUNCTION("""COMPUTED_VALUE"""),26.0)</f>
        <v>26</v>
      </c>
      <c r="D191" s="1" t="str">
        <f>IFERROR(__xludf.DUMMYFUNCTION("""COMPUTED_VALUE"""),"USD")</f>
        <v>USD</v>
      </c>
      <c r="E191" s="1" t="str">
        <f>IFERROR(__xludf.DUMMYFUNCTION("""COMPUTED_VALUE"""),"Efectivo USD")</f>
        <v>Efectivo USD</v>
      </c>
      <c r="F191" s="1" t="str">
        <f>IFERROR(__xludf.DUMMYFUNCTION("""COMPUTED_VALUE"""),"Emprendimiento Yeizon Villaroel")</f>
        <v>Emprendimiento Yeizon Villaroel</v>
      </c>
      <c r="G191" s="70">
        <f>IFERROR(__xludf.DUMMYFUNCTION("""COMPUTED_VALUE"""),486.1955)</f>
        <v>486.1955</v>
      </c>
      <c r="H191" s="1"/>
      <c r="I191" s="71">
        <f>IFERROR(__xludf.DUMMYFUNCTION("""COMPUTED_VALUE"""),26.0)</f>
        <v>26</v>
      </c>
      <c r="J191" s="69">
        <f>IFERROR(__xludf.DUMMYFUNCTION("""COMPUTED_VALUE"""),26.0)</f>
        <v>26</v>
      </c>
      <c r="K191" s="4">
        <f>IFERROR(__xludf.DUMMYFUNCTION("""COMPUTED_VALUE"""),26.0)</f>
        <v>26</v>
      </c>
      <c r="N191" s="67"/>
      <c r="R191" s="4"/>
    </row>
    <row r="192">
      <c r="A192" s="66">
        <f>IFERROR(__xludf.DUMMYFUNCTION("""COMPUTED_VALUE"""),46141.0)</f>
        <v>46141</v>
      </c>
      <c r="B192" s="67">
        <f>IFERROR(__xludf.DUMMYFUNCTION("""COMPUTED_VALUE"""),101.0)</f>
        <v>101</v>
      </c>
      <c r="C192" s="69">
        <f>IFERROR(__xludf.DUMMYFUNCTION("""COMPUTED_VALUE"""),20.0)</f>
        <v>20</v>
      </c>
      <c r="D192" s="1" t="str">
        <f>IFERROR(__xludf.DUMMYFUNCTION("""COMPUTED_VALUE"""),"USD")</f>
        <v>USD</v>
      </c>
      <c r="E192" s="1" t="str">
        <f>IFERROR(__xludf.DUMMYFUNCTION("""COMPUTED_VALUE"""),"Efectivo USD")</f>
        <v>Efectivo USD</v>
      </c>
      <c r="F192" s="1" t="str">
        <f>IFERROR(__xludf.DUMMYFUNCTION("""COMPUTED_VALUE"""),"INVERSIONES JOSCAR XXI, S.A.")</f>
        <v>INVERSIONES JOSCAR XXI, S.A.</v>
      </c>
      <c r="G192" s="70">
        <f>IFERROR(__xludf.DUMMYFUNCTION("""COMPUTED_VALUE"""),486.1955)</f>
        <v>486.1955</v>
      </c>
      <c r="H192" s="1"/>
      <c r="I192" s="71">
        <f>IFERROR(__xludf.DUMMYFUNCTION("""COMPUTED_VALUE"""),20.0)</f>
        <v>20</v>
      </c>
      <c r="J192" s="69">
        <f>IFERROR(__xludf.DUMMYFUNCTION("""COMPUTED_VALUE"""),20.0)</f>
        <v>20</v>
      </c>
      <c r="K192" s="4">
        <f>IFERROR(__xludf.DUMMYFUNCTION("""COMPUTED_VALUE"""),20.0)</f>
        <v>20</v>
      </c>
      <c r="N192" s="67"/>
      <c r="R192" s="4"/>
    </row>
    <row r="193">
      <c r="A193" s="66">
        <f>IFERROR(__xludf.DUMMYFUNCTION("""COMPUTED_VALUE"""),46141.0)</f>
        <v>46141</v>
      </c>
      <c r="B193" s="67">
        <f>IFERROR(__xludf.DUMMYFUNCTION("""COMPUTED_VALUE"""),126.0)</f>
        <v>126</v>
      </c>
      <c r="C193" s="69">
        <f>IFERROR(__xludf.DUMMYFUNCTION("""COMPUTED_VALUE"""),250.0)</f>
        <v>250</v>
      </c>
      <c r="D193" s="1" t="str">
        <f>IFERROR(__xludf.DUMMYFUNCTION("""COMPUTED_VALUE"""),"USD")</f>
        <v>USD</v>
      </c>
      <c r="E193" s="1" t="str">
        <f>IFERROR(__xludf.DUMMYFUNCTION("""COMPUTED_VALUE"""),"Efectivo USD")</f>
        <v>Efectivo USD</v>
      </c>
      <c r="F193" s="1" t="str">
        <f>IFERROR(__xludf.DUMMYFUNCTION("""COMPUTED_VALUE"""),"Victor Ordaz")</f>
        <v>Victor Ordaz</v>
      </c>
      <c r="G193" s="70">
        <f>IFERROR(__xludf.DUMMYFUNCTION("""COMPUTED_VALUE"""),486.1955)</f>
        <v>486.1955</v>
      </c>
      <c r="H193" s="1"/>
      <c r="I193" s="71">
        <f>IFERROR(__xludf.DUMMYFUNCTION("""COMPUTED_VALUE"""),250.0)</f>
        <v>250</v>
      </c>
      <c r="J193" s="69">
        <f>IFERROR(__xludf.DUMMYFUNCTION("""COMPUTED_VALUE"""),250.0)</f>
        <v>250</v>
      </c>
      <c r="K193" s="4">
        <f>IFERROR(__xludf.DUMMYFUNCTION("""COMPUTED_VALUE"""),250.0)</f>
        <v>250</v>
      </c>
      <c r="N193" s="67"/>
      <c r="R193" s="4"/>
    </row>
    <row r="194">
      <c r="A194" s="66">
        <f>IFERROR(__xludf.DUMMYFUNCTION("""COMPUTED_VALUE"""),46141.0)</f>
        <v>46141</v>
      </c>
      <c r="B194" s="67">
        <f>IFERROR(__xludf.DUMMYFUNCTION("""COMPUTED_VALUE"""),82.0)</f>
        <v>82</v>
      </c>
      <c r="C194" s="69">
        <f>IFERROR(__xludf.DUMMYFUNCTION("""COMPUTED_VALUE"""),140.0)</f>
        <v>140</v>
      </c>
      <c r="D194" s="1" t="str">
        <f>IFERROR(__xludf.DUMMYFUNCTION("""COMPUTED_VALUE"""),"USD")</f>
        <v>USD</v>
      </c>
      <c r="E194" s="1" t="str">
        <f>IFERROR(__xludf.DUMMYFUNCTION("""COMPUTED_VALUE"""),"Efectivo USD")</f>
        <v>Efectivo USD</v>
      </c>
      <c r="F194" s="1" t="str">
        <f>IFERROR(__xludf.DUMMYFUNCTION("""COMPUTED_VALUE"""),"Pedro Castro")</f>
        <v>Pedro Castro</v>
      </c>
      <c r="G194" s="70">
        <f>IFERROR(__xludf.DUMMYFUNCTION("""COMPUTED_VALUE"""),486.1955)</f>
        <v>486.1955</v>
      </c>
      <c r="H194" s="1"/>
      <c r="I194" s="71">
        <f>IFERROR(__xludf.DUMMYFUNCTION("""COMPUTED_VALUE"""),140.0)</f>
        <v>140</v>
      </c>
      <c r="J194" s="69">
        <f>IFERROR(__xludf.DUMMYFUNCTION("""COMPUTED_VALUE"""),140.0)</f>
        <v>140</v>
      </c>
      <c r="K194" s="4">
        <f>IFERROR(__xludf.DUMMYFUNCTION("""COMPUTED_VALUE"""),140.0)</f>
        <v>140</v>
      </c>
      <c r="N194" s="67"/>
      <c r="R194" s="4"/>
    </row>
    <row r="195">
      <c r="A195" s="66">
        <f>IFERROR(__xludf.DUMMYFUNCTION("""COMPUTED_VALUE"""),46129.0)</f>
        <v>46129</v>
      </c>
      <c r="B195" s="67">
        <f>IFERROR(__xludf.DUMMYFUNCTION("""COMPUTED_VALUE"""),15.0)</f>
        <v>15</v>
      </c>
      <c r="C195" s="69">
        <f>IFERROR(__xludf.DUMMYFUNCTION("""COMPUTED_VALUE"""),346682.53)</f>
        <v>346682.53</v>
      </c>
      <c r="D195" s="1" t="str">
        <f>IFERROR(__xludf.DUMMYFUNCTION("""COMPUTED_VALUE"""),"VES")</f>
        <v>VES</v>
      </c>
      <c r="E195" s="1" t="str">
        <f>IFERROR(__xludf.DUMMYFUNCTION("""COMPUTED_VALUE"""),"Bancamiga")</f>
        <v>Bancamiga</v>
      </c>
      <c r="F195" s="1" t="str">
        <f>IFERROR(__xludf.DUMMYFUNCTION("""COMPUTED_VALUE"""),"SERVICIOS Y MANTENIMIENTO SPACARS, C.A")</f>
        <v>SERVICIOS Y MANTENIMIENTO SPACARS, C.A</v>
      </c>
      <c r="G195" s="70">
        <f>IFERROR(__xludf.DUMMYFUNCTION("""COMPUTED_VALUE"""),486.1955)</f>
        <v>486.1955</v>
      </c>
      <c r="H195" s="1"/>
      <c r="I195" s="71">
        <f>IFERROR(__xludf.DUMMYFUNCTION("""COMPUTED_VALUE"""),713.0517045098114)</f>
        <v>713.0517045</v>
      </c>
      <c r="J195" s="69">
        <f>IFERROR(__xludf.DUMMYFUNCTION("""COMPUTED_VALUE"""),0.0)</f>
        <v>0</v>
      </c>
      <c r="K195" s="4">
        <f>IFERROR(__xludf.DUMMYFUNCTION("""COMPUTED_VALUE"""),713.0517045098114)</f>
        <v>713.0517045</v>
      </c>
      <c r="N195" s="67"/>
      <c r="R195" s="4"/>
    </row>
    <row r="196">
      <c r="A196" s="66">
        <f>IFERROR(__xludf.DUMMYFUNCTION("""COMPUTED_VALUE"""),46142.0)</f>
        <v>46142</v>
      </c>
      <c r="B196" s="67">
        <f>IFERROR(__xludf.DUMMYFUNCTION("""COMPUTED_VALUE"""),54.0)</f>
        <v>54</v>
      </c>
      <c r="C196" s="69">
        <f>IFERROR(__xludf.DUMMYFUNCTION("""COMPUTED_VALUE"""),22790.4)</f>
        <v>22790.4</v>
      </c>
      <c r="D196" s="1" t="str">
        <f>IFERROR(__xludf.DUMMYFUNCTION("""COMPUTED_VALUE"""),"VES")</f>
        <v>VES</v>
      </c>
      <c r="E196" s="1" t="str">
        <f>IFERROR(__xludf.DUMMYFUNCTION("""COMPUTED_VALUE"""),"Bancamiga")</f>
        <v>Bancamiga</v>
      </c>
      <c r="F196" s="1" t="str">
        <f>IFERROR(__xludf.DUMMYFUNCTION("""COMPUTED_VALUE"""),"Corporación Lubricantes 7ma Av.C.A")</f>
        <v>Corporación Lubricantes 7ma Av.C.A</v>
      </c>
      <c r="G196" s="70">
        <f>IFERROR(__xludf.DUMMYFUNCTION("""COMPUTED_VALUE"""),480.2572)</f>
        <v>480.2572</v>
      </c>
      <c r="H196" s="1"/>
      <c r="I196" s="71">
        <f>IFERROR(__xludf.DUMMYFUNCTION("""COMPUTED_VALUE"""),47.4545722583649)</f>
        <v>47.45457226</v>
      </c>
      <c r="J196" s="69">
        <f>IFERROR(__xludf.DUMMYFUNCTION("""COMPUTED_VALUE"""),0.0)</f>
        <v>0</v>
      </c>
      <c r="K196" s="4">
        <f>IFERROR(__xludf.DUMMYFUNCTION("""COMPUTED_VALUE"""),47.4545722583649)</f>
        <v>47.45457226</v>
      </c>
      <c r="N196" s="67"/>
      <c r="R196" s="4"/>
    </row>
    <row r="197">
      <c r="A197" s="66">
        <f>IFERROR(__xludf.DUMMYFUNCTION("""COMPUTED_VALUE"""),46142.0)</f>
        <v>46142</v>
      </c>
      <c r="B197" s="67">
        <f>IFERROR(__xludf.DUMMYFUNCTION("""COMPUTED_VALUE"""),53.0)</f>
        <v>53</v>
      </c>
      <c r="C197" s="69">
        <f>IFERROR(__xludf.DUMMYFUNCTION("""COMPUTED_VALUE"""),56976.38)</f>
        <v>56976.38</v>
      </c>
      <c r="D197" s="1" t="str">
        <f>IFERROR(__xludf.DUMMYFUNCTION("""COMPUTED_VALUE"""),"VES")</f>
        <v>VES</v>
      </c>
      <c r="E197" s="1" t="str">
        <f>IFERROR(__xludf.DUMMYFUNCTION("""COMPUTED_VALUE"""),"Bancamiga")</f>
        <v>Bancamiga</v>
      </c>
      <c r="F197" s="1" t="str">
        <f>IFERROR(__xludf.DUMMYFUNCTION("""COMPUTED_VALUE"""),"INVERSIONES MI 'LINDA YEMAIRE 2019, C.A")</f>
        <v>INVERSIONES MI 'LINDA YEMAIRE 2019, C.A</v>
      </c>
      <c r="G197" s="70">
        <f>IFERROR(__xludf.DUMMYFUNCTION("""COMPUTED_VALUE"""),487.1192)</f>
        <v>487.1192</v>
      </c>
      <c r="H197" s="1"/>
      <c r="I197" s="71">
        <f>IFERROR(__xludf.DUMMYFUNCTION("""COMPUTED_VALUE"""),116.96599107569564)</f>
        <v>116.9659911</v>
      </c>
      <c r="J197" s="69">
        <f>IFERROR(__xludf.DUMMYFUNCTION("""COMPUTED_VALUE"""),0.0)</f>
        <v>0</v>
      </c>
      <c r="K197" s="4">
        <f>IFERROR(__xludf.DUMMYFUNCTION("""COMPUTED_VALUE"""),116.96599107569564)</f>
        <v>116.9659911</v>
      </c>
      <c r="N197" s="67"/>
      <c r="R197" s="4"/>
    </row>
    <row r="198">
      <c r="A198" s="66">
        <f>IFERROR(__xludf.DUMMYFUNCTION("""COMPUTED_VALUE"""),46142.0)</f>
        <v>46142</v>
      </c>
      <c r="B198" s="67">
        <f>IFERROR(__xludf.DUMMYFUNCTION("""COMPUTED_VALUE"""),101.0)</f>
        <v>101</v>
      </c>
      <c r="C198" s="69">
        <f>IFERROR(__xludf.DUMMYFUNCTION("""COMPUTED_VALUE"""),35.0)</f>
        <v>35</v>
      </c>
      <c r="D198" s="1" t="str">
        <f>IFERROR(__xludf.DUMMYFUNCTION("""COMPUTED_VALUE"""),"USD")</f>
        <v>USD</v>
      </c>
      <c r="E198" s="1" t="str">
        <f>IFERROR(__xludf.DUMMYFUNCTION("""COMPUTED_VALUE"""),"Efectivo USD")</f>
        <v>Efectivo USD</v>
      </c>
      <c r="F198" s="1" t="str">
        <f>IFERROR(__xludf.DUMMYFUNCTION("""COMPUTED_VALUE"""),"INVERSIONES JOSCAR XXI, S.A.")</f>
        <v>INVERSIONES JOSCAR XXI, S.A.</v>
      </c>
      <c r="G198" s="70">
        <f>IFERROR(__xludf.DUMMYFUNCTION("""COMPUTED_VALUE"""),487.1192)</f>
        <v>487.1192</v>
      </c>
      <c r="H198" s="1"/>
      <c r="I198" s="71">
        <f>IFERROR(__xludf.DUMMYFUNCTION("""COMPUTED_VALUE"""),35.0)</f>
        <v>35</v>
      </c>
      <c r="J198" s="69">
        <f>IFERROR(__xludf.DUMMYFUNCTION("""COMPUTED_VALUE"""),35.0)</f>
        <v>35</v>
      </c>
      <c r="K198" s="4">
        <f>IFERROR(__xludf.DUMMYFUNCTION("""COMPUTED_VALUE"""),35.0)</f>
        <v>35</v>
      </c>
      <c r="N198" s="67"/>
      <c r="R198" s="4"/>
    </row>
    <row r="199">
      <c r="A199" s="66">
        <f>IFERROR(__xludf.DUMMYFUNCTION("""COMPUTED_VALUE"""),46142.0)</f>
        <v>46142</v>
      </c>
      <c r="B199" s="67">
        <f>IFERROR(__xludf.DUMMYFUNCTION("""COMPUTED_VALUE"""),303.0)</f>
        <v>303</v>
      </c>
      <c r="C199" s="69">
        <f>IFERROR(__xludf.DUMMYFUNCTION("""COMPUTED_VALUE"""),188.0)</f>
        <v>188</v>
      </c>
      <c r="D199" s="1" t="str">
        <f>IFERROR(__xludf.DUMMYFUNCTION("""COMPUTED_VALUE"""),"USD")</f>
        <v>USD</v>
      </c>
      <c r="E199" s="1" t="str">
        <f>IFERROR(__xludf.DUMMYFUNCTION("""COMPUTED_VALUE"""),"Efectivo USD")</f>
        <v>Efectivo USD</v>
      </c>
      <c r="F199" s="1" t="str">
        <f>IFERROR(__xludf.DUMMYFUNCTION("""COMPUTED_VALUE"""),"EMPRENDIMIENTO IRMA RODRIGUEZ 6")</f>
        <v>EMPRENDIMIENTO IRMA RODRIGUEZ 6</v>
      </c>
      <c r="G199" s="70">
        <f>IFERROR(__xludf.DUMMYFUNCTION("""COMPUTED_VALUE"""),569.7638)</f>
        <v>569.7638</v>
      </c>
      <c r="H199" s="1"/>
      <c r="I199" s="71">
        <f>IFERROR(__xludf.DUMMYFUNCTION("""COMPUTED_VALUE"""),188.0)</f>
        <v>188</v>
      </c>
      <c r="J199" s="69">
        <f>IFERROR(__xludf.DUMMYFUNCTION("""COMPUTED_VALUE"""),188.0)</f>
        <v>188</v>
      </c>
      <c r="K199" s="4">
        <f>IFERROR(__xludf.DUMMYFUNCTION("""COMPUTED_VALUE"""),188.0)</f>
        <v>188</v>
      </c>
      <c r="N199" s="67"/>
      <c r="R199" s="4"/>
    </row>
    <row r="200">
      <c r="A200" s="66">
        <f>IFERROR(__xludf.DUMMYFUNCTION("""COMPUTED_VALUE"""),46142.0)</f>
        <v>46142</v>
      </c>
      <c r="B200" s="67">
        <f>IFERROR(__xludf.DUMMYFUNCTION("""COMPUTED_VALUE"""),220.0)</f>
        <v>220</v>
      </c>
      <c r="C200" s="69">
        <f>IFERROR(__xludf.DUMMYFUNCTION("""COMPUTED_VALUE"""),111.0)</f>
        <v>111</v>
      </c>
      <c r="D200" s="1" t="str">
        <f>IFERROR(__xludf.DUMMYFUNCTION("""COMPUTED_VALUE"""),"USD")</f>
        <v>USD</v>
      </c>
      <c r="E200" s="1" t="str">
        <f>IFERROR(__xludf.DUMMYFUNCTION("""COMPUTED_VALUE"""),"Efectivo USD")</f>
        <v>Efectivo USD</v>
      </c>
      <c r="F200" s="1" t="str">
        <f>IFERROR(__xludf.DUMMYFUNCTION("""COMPUTED_VALUE"""),"HIDRAULICAS CAICEDO C.A.")</f>
        <v>HIDRAULICAS CAICEDO C.A.</v>
      </c>
      <c r="G200" s="70">
        <f>IFERROR(__xludf.DUMMYFUNCTION("""COMPUTED_VALUE"""),487.1192)</f>
        <v>487.1192</v>
      </c>
      <c r="H200" s="1"/>
      <c r="I200" s="71">
        <f>IFERROR(__xludf.DUMMYFUNCTION("""COMPUTED_VALUE"""),111.0)</f>
        <v>111</v>
      </c>
      <c r="J200" s="69">
        <f>IFERROR(__xludf.DUMMYFUNCTION("""COMPUTED_VALUE"""),111.0)</f>
        <v>111</v>
      </c>
      <c r="K200" s="4">
        <f>IFERROR(__xludf.DUMMYFUNCTION("""COMPUTED_VALUE"""),111.0)</f>
        <v>111</v>
      </c>
      <c r="N200" s="67"/>
      <c r="R200" s="4"/>
    </row>
    <row r="201">
      <c r="A201" s="66">
        <f>IFERROR(__xludf.DUMMYFUNCTION("""COMPUTED_VALUE"""),46142.0)</f>
        <v>46142</v>
      </c>
      <c r="B201" s="67">
        <f>IFERROR(__xludf.DUMMYFUNCTION("""COMPUTED_VALUE"""),156.0)</f>
        <v>156</v>
      </c>
      <c r="C201" s="69">
        <f>IFERROR(__xludf.DUMMYFUNCTION("""COMPUTED_VALUE"""),39.0)</f>
        <v>39</v>
      </c>
      <c r="D201" s="1" t="str">
        <f>IFERROR(__xludf.DUMMYFUNCTION("""COMPUTED_VALUE"""),"USD")</f>
        <v>USD</v>
      </c>
      <c r="E201" s="1" t="str">
        <f>IFERROR(__xludf.DUMMYFUNCTION("""COMPUTED_VALUE"""),"Efectivo USD")</f>
        <v>Efectivo USD</v>
      </c>
      <c r="F201" s="1" t="str">
        <f>IFERROR(__xludf.DUMMYFUNCTION("""COMPUTED_VALUE"""),"EMPRENDIMIENTO MARTIN BASTIDAS 2")</f>
        <v>EMPRENDIMIENTO MARTIN BASTIDAS 2</v>
      </c>
      <c r="G201" s="70">
        <f>IFERROR(__xludf.DUMMYFUNCTION("""COMPUTED_VALUE"""),487.1192)</f>
        <v>487.1192</v>
      </c>
      <c r="H201" s="1"/>
      <c r="I201" s="71">
        <f>IFERROR(__xludf.DUMMYFUNCTION("""COMPUTED_VALUE"""),39.0)</f>
        <v>39</v>
      </c>
      <c r="J201" s="69">
        <f>IFERROR(__xludf.DUMMYFUNCTION("""COMPUTED_VALUE"""),39.0)</f>
        <v>39</v>
      </c>
      <c r="K201" s="4">
        <f>IFERROR(__xludf.DUMMYFUNCTION("""COMPUTED_VALUE"""),39.0)</f>
        <v>39</v>
      </c>
      <c r="N201" s="67"/>
      <c r="R201" s="4"/>
    </row>
    <row r="202">
      <c r="A202" s="66">
        <f>IFERROR(__xludf.DUMMYFUNCTION("""COMPUTED_VALUE"""),46142.0)</f>
        <v>46142</v>
      </c>
      <c r="B202" s="67">
        <f>IFERROR(__xludf.DUMMYFUNCTION("""COMPUTED_VALUE"""),163.0)</f>
        <v>163</v>
      </c>
      <c r="C202" s="69">
        <f>IFERROR(__xludf.DUMMYFUNCTION("""COMPUTED_VALUE"""),226.0)</f>
        <v>226</v>
      </c>
      <c r="D202" s="1" t="str">
        <f>IFERROR(__xludf.DUMMYFUNCTION("""COMPUTED_VALUE"""),"USD")</f>
        <v>USD</v>
      </c>
      <c r="E202" s="1" t="str">
        <f>IFERROR(__xludf.DUMMYFUNCTION("""COMPUTED_VALUE"""),"Efectivo USD")</f>
        <v>Efectivo USD</v>
      </c>
      <c r="F202" s="1" t="str">
        <f>IFERROR(__xludf.DUMMYFUNCTION("""COMPUTED_VALUE"""),"DISTRIBUIDORA MULTIAHORRO C.A.")</f>
        <v>DISTRIBUIDORA MULTIAHORRO C.A.</v>
      </c>
      <c r="G202" s="70">
        <f>IFERROR(__xludf.DUMMYFUNCTION("""COMPUTED_VALUE"""),487.1192)</f>
        <v>487.1192</v>
      </c>
      <c r="H202" s="1"/>
      <c r="I202" s="71">
        <f>IFERROR(__xludf.DUMMYFUNCTION("""COMPUTED_VALUE"""),226.0)</f>
        <v>226</v>
      </c>
      <c r="J202" s="69">
        <f>IFERROR(__xludf.DUMMYFUNCTION("""COMPUTED_VALUE"""),226.0)</f>
        <v>226</v>
      </c>
      <c r="K202" s="4">
        <f>IFERROR(__xludf.DUMMYFUNCTION("""COMPUTED_VALUE"""),226.0)</f>
        <v>226</v>
      </c>
      <c r="N202" s="67"/>
      <c r="R202" s="4"/>
    </row>
    <row r="203">
      <c r="A203" s="66">
        <f>IFERROR(__xludf.DUMMYFUNCTION("""COMPUTED_VALUE"""),46142.0)</f>
        <v>46142</v>
      </c>
      <c r="B203" s="67">
        <f>IFERROR(__xludf.DUMMYFUNCTION("""COMPUTED_VALUE"""),62.0)</f>
        <v>62</v>
      </c>
      <c r="C203" s="69">
        <f>IFERROR(__xludf.DUMMYFUNCTION("""COMPUTED_VALUE"""),360.0)</f>
        <v>360</v>
      </c>
      <c r="D203" s="1" t="str">
        <f>IFERROR(__xludf.DUMMYFUNCTION("""COMPUTED_VALUE"""),"USD")</f>
        <v>USD</v>
      </c>
      <c r="E203" s="1" t="str">
        <f>IFERROR(__xludf.DUMMYFUNCTION("""COMPUTED_VALUE"""),"Efectivo USD")</f>
        <v>Efectivo USD</v>
      </c>
      <c r="F203" s="1" t="str">
        <f>IFERROR(__xludf.DUMMYFUNCTION("""COMPUTED_VALUE"""),"SJMG 2012 C.A")</f>
        <v>SJMG 2012 C.A</v>
      </c>
      <c r="G203" s="70">
        <f>IFERROR(__xludf.DUMMYFUNCTION("""COMPUTED_VALUE"""),487.1192)</f>
        <v>487.1192</v>
      </c>
      <c r="H203" s="1"/>
      <c r="I203" s="71">
        <f>IFERROR(__xludf.DUMMYFUNCTION("""COMPUTED_VALUE"""),360.0)</f>
        <v>360</v>
      </c>
      <c r="J203" s="69">
        <f>IFERROR(__xludf.DUMMYFUNCTION("""COMPUTED_VALUE"""),360.0)</f>
        <v>360</v>
      </c>
      <c r="K203" s="4">
        <f>IFERROR(__xludf.DUMMYFUNCTION("""COMPUTED_VALUE"""),360.0)</f>
        <v>360</v>
      </c>
      <c r="N203" s="67"/>
      <c r="R203" s="4"/>
    </row>
    <row r="204">
      <c r="A204" s="66">
        <f>IFERROR(__xludf.DUMMYFUNCTION("""COMPUTED_VALUE"""),46142.0)</f>
        <v>46142</v>
      </c>
      <c r="B204" s="67">
        <f>IFERROR(__xludf.DUMMYFUNCTION("""COMPUTED_VALUE"""),203.0)</f>
        <v>203</v>
      </c>
      <c r="C204" s="69">
        <f>IFERROR(__xludf.DUMMYFUNCTION("""COMPUTED_VALUE"""),150.0)</f>
        <v>150</v>
      </c>
      <c r="D204" s="1" t="str">
        <f>IFERROR(__xludf.DUMMYFUNCTION("""COMPUTED_VALUE"""),"USD")</f>
        <v>USD</v>
      </c>
      <c r="E204" s="1" t="str">
        <f>IFERROR(__xludf.DUMMYFUNCTION("""COMPUTED_VALUE"""),"Efectivo USD")</f>
        <v>Efectivo USD</v>
      </c>
      <c r="F204" s="1" t="str">
        <f>IFERROR(__xludf.DUMMYFUNCTION("""COMPUTED_VALUE"""),"Emprendimiento José Sánchez 203 c.a")</f>
        <v>Emprendimiento José Sánchez 203 c.a</v>
      </c>
      <c r="G204" s="70">
        <f>IFERROR(__xludf.DUMMYFUNCTION("""COMPUTED_VALUE"""),487.1192)</f>
        <v>487.1192</v>
      </c>
      <c r="H204" s="1"/>
      <c r="I204" s="71">
        <f>IFERROR(__xludf.DUMMYFUNCTION("""COMPUTED_VALUE"""),150.0)</f>
        <v>150</v>
      </c>
      <c r="J204" s="69">
        <f>IFERROR(__xludf.DUMMYFUNCTION("""COMPUTED_VALUE"""),150.0)</f>
        <v>150</v>
      </c>
      <c r="K204" s="4">
        <f>IFERROR(__xludf.DUMMYFUNCTION("""COMPUTED_VALUE"""),150.0)</f>
        <v>150</v>
      </c>
      <c r="N204" s="67"/>
      <c r="R204" s="4"/>
    </row>
    <row r="205">
      <c r="A205" s="66">
        <f>IFERROR(__xludf.DUMMYFUNCTION("""COMPUTED_VALUE"""),46142.0)</f>
        <v>46142</v>
      </c>
      <c r="B205" s="67">
        <f>IFERROR(__xludf.DUMMYFUNCTION("""COMPUTED_VALUE"""),178.0)</f>
        <v>178</v>
      </c>
      <c r="C205" s="69">
        <f>IFERROR(__xludf.DUMMYFUNCTION("""COMPUTED_VALUE"""),30000.0)</f>
        <v>30000</v>
      </c>
      <c r="D205" s="1" t="str">
        <f>IFERROR(__xludf.DUMMYFUNCTION("""COMPUTED_VALUE"""),"VES")</f>
        <v>VES</v>
      </c>
      <c r="E205" s="1" t="str">
        <f>IFERROR(__xludf.DUMMYFUNCTION("""COMPUTED_VALUE"""),"Bancamiga")</f>
        <v>Bancamiga</v>
      </c>
      <c r="F205" s="1" t="str">
        <f>IFERROR(__xludf.DUMMYFUNCTION("""COMPUTED_VALUE"""),"Distribuidora Nesmari 2050 c.a")</f>
        <v>Distribuidora Nesmari 2050 c.a</v>
      </c>
      <c r="G205" s="70">
        <f>IFERROR(__xludf.DUMMYFUNCTION("""COMPUTED_VALUE"""),487.1192)</f>
        <v>487.1192</v>
      </c>
      <c r="H205" s="1"/>
      <c r="I205" s="71">
        <f>IFERROR(__xludf.DUMMYFUNCTION("""COMPUTED_VALUE"""),61.58656854420848)</f>
        <v>61.58656854</v>
      </c>
      <c r="J205" s="69">
        <f>IFERROR(__xludf.DUMMYFUNCTION("""COMPUTED_VALUE"""),0.0)</f>
        <v>0</v>
      </c>
      <c r="K205" s="4">
        <f>IFERROR(__xludf.DUMMYFUNCTION("""COMPUTED_VALUE"""),61.58656854420848)</f>
        <v>61.58656854</v>
      </c>
      <c r="N205" s="67"/>
      <c r="R205" s="4"/>
    </row>
    <row r="206">
      <c r="A206" s="66">
        <f>IFERROR(__xludf.DUMMYFUNCTION("""COMPUTED_VALUE"""),46142.0)</f>
        <v>46142</v>
      </c>
      <c r="B206" s="67">
        <f>IFERROR(__xludf.DUMMYFUNCTION("""COMPUTED_VALUE"""),53.0)</f>
        <v>53</v>
      </c>
      <c r="C206" s="69">
        <f>IFERROR(__xludf.DUMMYFUNCTION("""COMPUTED_VALUE"""),56976.38)</f>
        <v>56976.38</v>
      </c>
      <c r="D206" s="1" t="str">
        <f>IFERROR(__xludf.DUMMYFUNCTION("""COMPUTED_VALUE"""),"VES")</f>
        <v>VES</v>
      </c>
      <c r="E206" s="1" t="str">
        <f>IFERROR(__xludf.DUMMYFUNCTION("""COMPUTED_VALUE"""),"Bancamiga")</f>
        <v>Bancamiga</v>
      </c>
      <c r="F206" s="1" t="str">
        <f>IFERROR(__xludf.DUMMYFUNCTION("""COMPUTED_VALUE"""),"INVERSIONES MI 'LINDA YEMAIRE 2019, C.A")</f>
        <v>INVERSIONES MI 'LINDA YEMAIRE 2019, C.A</v>
      </c>
      <c r="G206" s="70">
        <f>IFERROR(__xludf.DUMMYFUNCTION("""COMPUTED_VALUE"""),487.1192)</f>
        <v>487.1192</v>
      </c>
      <c r="H206" s="1"/>
      <c r="I206" s="71">
        <f>IFERROR(__xludf.DUMMYFUNCTION("""COMPUTED_VALUE"""),116.96599107569564)</f>
        <v>116.9659911</v>
      </c>
      <c r="J206" s="69">
        <f>IFERROR(__xludf.DUMMYFUNCTION("""COMPUTED_VALUE"""),0.0)</f>
        <v>0</v>
      </c>
      <c r="K206" s="4">
        <f>IFERROR(__xludf.DUMMYFUNCTION("""COMPUTED_VALUE"""),116.96599107569564)</f>
        <v>116.9659911</v>
      </c>
      <c r="N206" s="67"/>
      <c r="R206" s="4"/>
    </row>
    <row r="207">
      <c r="A207" s="66">
        <f>IFERROR(__xludf.DUMMYFUNCTION("""COMPUTED_VALUE"""),46146.0)</f>
        <v>46146</v>
      </c>
      <c r="B207" s="67">
        <f>IFERROR(__xludf.DUMMYFUNCTION("""COMPUTED_VALUE"""),53.0)</f>
        <v>53</v>
      </c>
      <c r="C207" s="69">
        <f>IFERROR(__xludf.DUMMYFUNCTION("""COMPUTED_VALUE"""),126322.64)</f>
        <v>126322.64</v>
      </c>
      <c r="D207" s="1" t="str">
        <f>IFERROR(__xludf.DUMMYFUNCTION("""COMPUTED_VALUE"""),"VES")</f>
        <v>VES</v>
      </c>
      <c r="E207" s="1" t="str">
        <f>IFERROR(__xludf.DUMMYFUNCTION("""COMPUTED_VALUE"""),"Bancamiga")</f>
        <v>Bancamiga</v>
      </c>
      <c r="F207" s="1" t="str">
        <f>IFERROR(__xludf.DUMMYFUNCTION("""COMPUTED_VALUE"""),"INVERSIONES MI  'LINDA YEMAIRE 2019, C.A")</f>
        <v>INVERSIONES MI  'LINDA YEMAIRE 2019, C.A</v>
      </c>
      <c r="G207" s="70">
        <f>IFERROR(__xludf.DUMMYFUNCTION("""COMPUTED_VALUE"""),487.1192)</f>
        <v>487.1192</v>
      </c>
      <c r="H207" s="1"/>
      <c r="I207" s="71">
        <f>IFERROR(__xludf.DUMMYFUNCTION("""COMPUTED_VALUE"""),259.32593090151244)</f>
        <v>259.3259309</v>
      </c>
      <c r="J207" s="69">
        <f>IFERROR(__xludf.DUMMYFUNCTION("""COMPUTED_VALUE"""),0.0)</f>
        <v>0</v>
      </c>
      <c r="K207" s="4">
        <f>IFERROR(__xludf.DUMMYFUNCTION("""COMPUTED_VALUE"""),259.32593090151244)</f>
        <v>259.3259309</v>
      </c>
      <c r="N207" s="67"/>
      <c r="R207" s="4"/>
    </row>
    <row r="208">
      <c r="A208" s="66">
        <f>IFERROR(__xludf.DUMMYFUNCTION("""COMPUTED_VALUE"""),46146.0)</f>
        <v>46146</v>
      </c>
      <c r="B208" s="67">
        <f>IFERROR(__xludf.DUMMYFUNCTION("""COMPUTED_VALUE"""),20.0)</f>
        <v>20</v>
      </c>
      <c r="C208" s="69">
        <f>IFERROR(__xludf.DUMMYFUNCTION("""COMPUTED_VALUE"""),11396.0)</f>
        <v>11396</v>
      </c>
      <c r="D208" s="1" t="str">
        <f>IFERROR(__xludf.DUMMYFUNCTION("""COMPUTED_VALUE"""),"VES")</f>
        <v>VES</v>
      </c>
      <c r="E208" s="1" t="str">
        <f>IFERROR(__xludf.DUMMYFUNCTION("""COMPUTED_VALUE"""),"Bancamiga")</f>
        <v>Bancamiga</v>
      </c>
      <c r="F208" s="1" t="str">
        <f>IFERROR(__xludf.DUMMYFUNCTION("""COMPUTED_VALUE"""),"EMPRENDIMIENTO TOMAS MARCANO 5")</f>
        <v>EMPRENDIMIENTO TOMAS MARCANO 5</v>
      </c>
      <c r="G208" s="70">
        <f>IFERROR(__xludf.DUMMYFUNCTION("""COMPUTED_VALUE"""),569.7638)</f>
        <v>569.7638</v>
      </c>
      <c r="H208" s="1"/>
      <c r="I208" s="71">
        <f>IFERROR(__xludf.DUMMYFUNCTION("""COMPUTED_VALUE"""),20.001270701999672)</f>
        <v>20.0012707</v>
      </c>
      <c r="J208" s="69">
        <f>IFERROR(__xludf.DUMMYFUNCTION("""COMPUTED_VALUE"""),0.0)</f>
        <v>0</v>
      </c>
      <c r="K208" s="4">
        <f>IFERROR(__xludf.DUMMYFUNCTION("""COMPUTED_VALUE"""),20.001270701999672)</f>
        <v>20.0012707</v>
      </c>
      <c r="N208" s="67"/>
      <c r="R208" s="4"/>
    </row>
    <row r="209">
      <c r="A209" s="66">
        <f>IFERROR(__xludf.DUMMYFUNCTION("""COMPUTED_VALUE"""),46146.0)</f>
        <v>46146</v>
      </c>
      <c r="B209" s="67">
        <f>IFERROR(__xludf.DUMMYFUNCTION("""COMPUTED_VALUE"""),221.0)</f>
        <v>221</v>
      </c>
      <c r="C209" s="69">
        <f>IFERROR(__xludf.DUMMYFUNCTION("""COMPUTED_VALUE"""),133.0)</f>
        <v>133</v>
      </c>
      <c r="D209" s="1" t="str">
        <f>IFERROR(__xludf.DUMMYFUNCTION("""COMPUTED_VALUE"""),"USD")</f>
        <v>USD</v>
      </c>
      <c r="E209" s="1" t="str">
        <f>IFERROR(__xludf.DUMMYFUNCTION("""COMPUTED_VALUE"""),"Efectivo USD")</f>
        <v>Efectivo USD</v>
      </c>
      <c r="F209" s="1" t="str">
        <f>IFERROR(__xludf.DUMMYFUNCTION("""COMPUTED_VALUE"""),"ACCESORIOS Y REPUESTOS MOTO CAR 20-11-C.A")</f>
        <v>ACCESORIOS Y REPUESTOS MOTO CAR 20-11-C.A</v>
      </c>
      <c r="G209" s="70">
        <f>IFERROR(__xludf.DUMMYFUNCTION("""COMPUTED_VALUE"""),574.0377)</f>
        <v>574.0377</v>
      </c>
      <c r="H209" s="1"/>
      <c r="I209" s="71">
        <f>IFERROR(__xludf.DUMMYFUNCTION("""COMPUTED_VALUE"""),133.0)</f>
        <v>133</v>
      </c>
      <c r="J209" s="69">
        <f>IFERROR(__xludf.DUMMYFUNCTION("""COMPUTED_VALUE"""),133.0)</f>
        <v>133</v>
      </c>
      <c r="K209" s="4">
        <f>IFERROR(__xludf.DUMMYFUNCTION("""COMPUTED_VALUE"""),133.0)</f>
        <v>133</v>
      </c>
      <c r="N209" s="67"/>
      <c r="R209" s="4"/>
    </row>
    <row r="210">
      <c r="A210" s="66">
        <f>IFERROR(__xludf.DUMMYFUNCTION("""COMPUTED_VALUE"""),46146.0)</f>
        <v>46146</v>
      </c>
      <c r="B210" s="67">
        <f>IFERROR(__xludf.DUMMYFUNCTION("""COMPUTED_VALUE"""),86.0)</f>
        <v>86</v>
      </c>
      <c r="C210" s="69">
        <f>IFERROR(__xludf.DUMMYFUNCTION("""COMPUTED_VALUE"""),25125.61)</f>
        <v>25125.61</v>
      </c>
      <c r="D210" s="1" t="str">
        <f>IFERROR(__xludf.DUMMYFUNCTION("""COMPUTED_VALUE"""),"VES")</f>
        <v>VES</v>
      </c>
      <c r="E210" s="1" t="str">
        <f>IFERROR(__xludf.DUMMYFUNCTION("""COMPUTED_VALUE"""),"Bancamiga")</f>
        <v>Bancamiga</v>
      </c>
      <c r="F210" s="1" t="str">
        <f>IFERROR(__xludf.DUMMYFUNCTION("""COMPUTED_VALUE"""),"Wuilliams bastidas")</f>
        <v>Wuilliams bastidas</v>
      </c>
      <c r="G210" s="70">
        <f>IFERROR(__xludf.DUMMYFUNCTION("""COMPUTED_VALUE"""),489.5547)</f>
        <v>489.5547</v>
      </c>
      <c r="H210" s="1"/>
      <c r="I210" s="71">
        <f>IFERROR(__xludf.DUMMYFUNCTION("""COMPUTED_VALUE"""),51.32339654792406)</f>
        <v>51.32339655</v>
      </c>
      <c r="J210" s="69">
        <f>IFERROR(__xludf.DUMMYFUNCTION("""COMPUTED_VALUE"""),0.0)</f>
        <v>0</v>
      </c>
      <c r="K210" s="4">
        <f>IFERROR(__xludf.DUMMYFUNCTION("""COMPUTED_VALUE"""),51.32339654792406)</f>
        <v>51.32339655</v>
      </c>
      <c r="N210" s="67"/>
      <c r="R210" s="4"/>
    </row>
    <row r="211">
      <c r="A211" s="66">
        <f>IFERROR(__xludf.DUMMYFUNCTION("""COMPUTED_VALUE"""),46146.0)</f>
        <v>46146</v>
      </c>
      <c r="B211" s="67">
        <f>IFERROR(__xludf.DUMMYFUNCTION("""COMPUTED_VALUE"""),78.0)</f>
        <v>78</v>
      </c>
      <c r="C211" s="69">
        <f>IFERROR(__xludf.DUMMYFUNCTION("""COMPUTED_VALUE"""),19582.0)</f>
        <v>19582</v>
      </c>
      <c r="D211" s="1" t="str">
        <f>IFERROR(__xludf.DUMMYFUNCTION("""COMPUTED_VALUE"""),"VES")</f>
        <v>VES</v>
      </c>
      <c r="E211" s="1" t="str">
        <f>IFERROR(__xludf.DUMMYFUNCTION("""COMPUTED_VALUE"""),"Bancamiga")</f>
        <v>Bancamiga</v>
      </c>
      <c r="F211" s="1" t="str">
        <f>IFERROR(__xludf.DUMMYFUNCTION("""COMPUTED_VALUE"""),"MULTISERVICIOS RECAM13, C.A.")</f>
        <v>MULTISERVICIOS RECAM13, C.A.</v>
      </c>
      <c r="G211" s="70">
        <f>IFERROR(__xludf.DUMMYFUNCTION("""COMPUTED_VALUE"""),489.5547)</f>
        <v>489.5547</v>
      </c>
      <c r="H211" s="1"/>
      <c r="I211" s="71">
        <f>IFERROR(__xludf.DUMMYFUNCTION("""COMPUTED_VALUE"""),39.9996159775404)</f>
        <v>39.99961598</v>
      </c>
      <c r="J211" s="69">
        <f>IFERROR(__xludf.DUMMYFUNCTION("""COMPUTED_VALUE"""),0.0)</f>
        <v>0</v>
      </c>
      <c r="K211" s="4">
        <f>IFERROR(__xludf.DUMMYFUNCTION("""COMPUTED_VALUE"""),39.9996159775404)</f>
        <v>39.99961598</v>
      </c>
      <c r="N211" s="67"/>
      <c r="R211" s="4"/>
    </row>
    <row r="212">
      <c r="A212" s="66">
        <f>IFERROR(__xludf.DUMMYFUNCTION("""COMPUTED_VALUE"""),46146.0)</f>
        <v>46146</v>
      </c>
      <c r="B212" s="67">
        <f>IFERROR(__xludf.DUMMYFUNCTION("""COMPUTED_VALUE"""),65.0)</f>
        <v>65</v>
      </c>
      <c r="C212" s="69">
        <f>IFERROR(__xludf.DUMMYFUNCTION("""COMPUTED_VALUE"""),128940.84)</f>
        <v>128940.84</v>
      </c>
      <c r="D212" s="1" t="str">
        <f>IFERROR(__xludf.DUMMYFUNCTION("""COMPUTED_VALUE"""),"VES")</f>
        <v>VES</v>
      </c>
      <c r="E212" s="1" t="str">
        <f>IFERROR(__xludf.DUMMYFUNCTION("""COMPUTED_VALUE"""),"Bancamiga")</f>
        <v>Bancamiga</v>
      </c>
      <c r="F212" s="1" t="str">
        <f>IFERROR(__xludf.DUMMYFUNCTION("""COMPUTED_VALUE"""),"Auto Servicios HN 6972, C.A")</f>
        <v>Auto Servicios HN 6972, C.A</v>
      </c>
      <c r="G212" s="70">
        <f>IFERROR(__xludf.DUMMYFUNCTION("""COMPUTED_VALUE"""),489.5547)</f>
        <v>489.5547</v>
      </c>
      <c r="H212" s="1"/>
      <c r="I212" s="71">
        <f>IFERROR(__xludf.DUMMYFUNCTION("""COMPUTED_VALUE"""),263.3839282923849)</f>
        <v>263.3839283</v>
      </c>
      <c r="J212" s="69">
        <f>IFERROR(__xludf.DUMMYFUNCTION("""COMPUTED_VALUE"""),0.0)</f>
        <v>0</v>
      </c>
      <c r="K212" s="4">
        <f>IFERROR(__xludf.DUMMYFUNCTION("""COMPUTED_VALUE"""),263.3839282923849)</f>
        <v>263.3839283</v>
      </c>
      <c r="N212" s="67"/>
      <c r="R212" s="4"/>
    </row>
    <row r="213">
      <c r="A213" s="66">
        <f>IFERROR(__xludf.DUMMYFUNCTION("""COMPUTED_VALUE"""),46146.0)</f>
        <v>46146</v>
      </c>
      <c r="B213" s="67">
        <f>IFERROR(__xludf.DUMMYFUNCTION("""COMPUTED_VALUE"""),294.0)</f>
        <v>294</v>
      </c>
      <c r="C213" s="69">
        <f>IFERROR(__xludf.DUMMYFUNCTION("""COMPUTED_VALUE"""),1000000.0)</f>
        <v>1000000</v>
      </c>
      <c r="D213" s="1" t="str">
        <f>IFERROR(__xludf.DUMMYFUNCTION("""COMPUTED_VALUE"""),"VES")</f>
        <v>VES</v>
      </c>
      <c r="E213" s="1" t="str">
        <f>IFERROR(__xludf.DUMMYFUNCTION("""COMPUTED_VALUE"""),"Bancamiga")</f>
        <v>Bancamiga</v>
      </c>
      <c r="F213" s="1" t="str">
        <f>IFERROR(__xludf.DUMMYFUNCTION("""COMPUTED_VALUE"""),"CONSTRUCTORA GRANO AGREGADO, C.A")</f>
        <v>CONSTRUCTORA GRANO AGREGADO, C.A</v>
      </c>
      <c r="G213" s="70">
        <f>IFERROR(__xludf.DUMMYFUNCTION("""COMPUTED_VALUE"""),489.5547)</f>
        <v>489.5547</v>
      </c>
      <c r="H213" s="1"/>
      <c r="I213" s="71">
        <f>IFERROR(__xludf.DUMMYFUNCTION("""COMPUTED_VALUE"""),2042.6726574170361)</f>
        <v>2042.672657</v>
      </c>
      <c r="J213" s="69">
        <f>IFERROR(__xludf.DUMMYFUNCTION("""COMPUTED_VALUE"""),0.0)</f>
        <v>0</v>
      </c>
      <c r="K213" s="4">
        <f>IFERROR(__xludf.DUMMYFUNCTION("""COMPUTED_VALUE"""),2042.6726574170361)</f>
        <v>2042.672657</v>
      </c>
      <c r="N213" s="67"/>
      <c r="R213" s="4"/>
    </row>
    <row r="214">
      <c r="A214" s="66">
        <f>IFERROR(__xludf.DUMMYFUNCTION("""COMPUTED_VALUE"""),46146.0)</f>
        <v>46146</v>
      </c>
      <c r="B214" s="67">
        <f>IFERROR(__xludf.DUMMYFUNCTION("""COMPUTED_VALUE"""),294.0)</f>
        <v>294</v>
      </c>
      <c r="C214" s="69">
        <f>IFERROR(__xludf.DUMMYFUNCTION("""COMPUTED_VALUE"""),621789.96)</f>
        <v>621789.96</v>
      </c>
      <c r="D214" s="1" t="str">
        <f>IFERROR(__xludf.DUMMYFUNCTION("""COMPUTED_VALUE"""),"VES")</f>
        <v>VES</v>
      </c>
      <c r="E214" s="1" t="str">
        <f>IFERROR(__xludf.DUMMYFUNCTION("""COMPUTED_VALUE"""),"Bancamiga")</f>
        <v>Bancamiga</v>
      </c>
      <c r="F214" s="1" t="str">
        <f>IFERROR(__xludf.DUMMYFUNCTION("""COMPUTED_VALUE"""),"CONSTRUCTORA GRANO AGREGADO, C.A")</f>
        <v>CONSTRUCTORA GRANO AGREGADO, C.A</v>
      </c>
      <c r="G214" s="70">
        <f>IFERROR(__xludf.DUMMYFUNCTION("""COMPUTED_VALUE"""),489.5547)</f>
        <v>489.5547</v>
      </c>
      <c r="H214" s="1"/>
      <c r="I214" s="71">
        <f>IFERROR(__xludf.DUMMYFUNCTION("""COMPUTED_VALUE"""),1270.1133499484326)</f>
        <v>1270.11335</v>
      </c>
      <c r="J214" s="69">
        <f>IFERROR(__xludf.DUMMYFUNCTION("""COMPUTED_VALUE"""),0.0)</f>
        <v>0</v>
      </c>
      <c r="K214" s="4">
        <f>IFERROR(__xludf.DUMMYFUNCTION("""COMPUTED_VALUE"""),1270.1133499484326)</f>
        <v>1270.11335</v>
      </c>
      <c r="N214" s="67"/>
      <c r="R214" s="4"/>
    </row>
    <row r="215">
      <c r="A215" s="66">
        <f>IFERROR(__xludf.DUMMYFUNCTION("""COMPUTED_VALUE"""),46146.0)</f>
        <v>46146</v>
      </c>
      <c r="B215" s="67">
        <f>IFERROR(__xludf.DUMMYFUNCTION("""COMPUTED_VALUE"""),62.0)</f>
        <v>62</v>
      </c>
      <c r="C215" s="69">
        <f>IFERROR(__xludf.DUMMYFUNCTION("""COMPUTED_VALUE"""),800.0)</f>
        <v>800</v>
      </c>
      <c r="D215" s="1" t="str">
        <f>IFERROR(__xludf.DUMMYFUNCTION("""COMPUTED_VALUE"""),"USD")</f>
        <v>USD</v>
      </c>
      <c r="E215" s="1" t="str">
        <f>IFERROR(__xludf.DUMMYFUNCTION("""COMPUTED_VALUE"""),"Zelle")</f>
        <v>Zelle</v>
      </c>
      <c r="F215" s="1" t="str">
        <f>IFERROR(__xludf.DUMMYFUNCTION("""COMPUTED_VALUE"""),"SJMG 2012 C.A")</f>
        <v>SJMG 2012 C.A</v>
      </c>
      <c r="G215" s="70">
        <f>IFERROR(__xludf.DUMMYFUNCTION("""COMPUTED_VALUE"""),489.5547)</f>
        <v>489.5547</v>
      </c>
      <c r="H215" s="1"/>
      <c r="I215" s="71">
        <f>IFERROR(__xludf.DUMMYFUNCTION("""COMPUTED_VALUE"""),800.0)</f>
        <v>800</v>
      </c>
      <c r="J215" s="69">
        <f>IFERROR(__xludf.DUMMYFUNCTION("""COMPUTED_VALUE"""),800.0)</f>
        <v>800</v>
      </c>
      <c r="K215" s="4">
        <f>IFERROR(__xludf.DUMMYFUNCTION("""COMPUTED_VALUE"""),800.0)</f>
        <v>800</v>
      </c>
      <c r="N215" s="67"/>
      <c r="R215" s="4"/>
    </row>
    <row r="216">
      <c r="A216" s="66">
        <f>IFERROR(__xludf.DUMMYFUNCTION("""COMPUTED_VALUE"""),46146.0)</f>
        <v>46146</v>
      </c>
      <c r="B216" s="67">
        <f>IFERROR(__xludf.DUMMYFUNCTION("""COMPUTED_VALUE"""),62.0)</f>
        <v>62</v>
      </c>
      <c r="C216" s="69">
        <f>IFERROR(__xludf.DUMMYFUNCTION("""COMPUTED_VALUE"""),172.0)</f>
        <v>172</v>
      </c>
      <c r="D216" s="1" t="str">
        <f>IFERROR(__xludf.DUMMYFUNCTION("""COMPUTED_VALUE"""),"USD")</f>
        <v>USD</v>
      </c>
      <c r="E216" s="1" t="str">
        <f>IFERROR(__xludf.DUMMYFUNCTION("""COMPUTED_VALUE"""),"Efectivo USD")</f>
        <v>Efectivo USD</v>
      </c>
      <c r="F216" s="1" t="str">
        <f>IFERROR(__xludf.DUMMYFUNCTION("""COMPUTED_VALUE"""),"SJMG 2012 C.A")</f>
        <v>SJMG 2012 C.A</v>
      </c>
      <c r="G216" s="70">
        <f>IFERROR(__xludf.DUMMYFUNCTION("""COMPUTED_VALUE"""),489.5547)</f>
        <v>489.5547</v>
      </c>
      <c r="H216" s="1"/>
      <c r="I216" s="71">
        <f>IFERROR(__xludf.DUMMYFUNCTION("""COMPUTED_VALUE"""),172.0)</f>
        <v>172</v>
      </c>
      <c r="J216" s="69">
        <f>IFERROR(__xludf.DUMMYFUNCTION("""COMPUTED_VALUE"""),172.0)</f>
        <v>172</v>
      </c>
      <c r="K216" s="4">
        <f>IFERROR(__xludf.DUMMYFUNCTION("""COMPUTED_VALUE"""),172.0)</f>
        <v>172</v>
      </c>
      <c r="N216" s="67"/>
      <c r="R216" s="4"/>
    </row>
    <row r="217">
      <c r="A217" s="66">
        <f>IFERROR(__xludf.DUMMYFUNCTION("""COMPUTED_VALUE"""),46146.0)</f>
        <v>46146</v>
      </c>
      <c r="B217" s="67">
        <f>IFERROR(__xludf.DUMMYFUNCTION("""COMPUTED_VALUE"""),61.0)</f>
        <v>61</v>
      </c>
      <c r="C217" s="69">
        <f>IFERROR(__xludf.DUMMYFUNCTION("""COMPUTED_VALUE"""),28.0)</f>
        <v>28</v>
      </c>
      <c r="D217" s="1" t="str">
        <f>IFERROR(__xludf.DUMMYFUNCTION("""COMPUTED_VALUE"""),"USD")</f>
        <v>USD</v>
      </c>
      <c r="E217" s="1" t="str">
        <f>IFERROR(__xludf.DUMMYFUNCTION("""COMPUTED_VALUE"""),"Efectivo USD")</f>
        <v>Efectivo USD</v>
      </c>
      <c r="F217" s="1" t="str">
        <f>IFERROR(__xludf.DUMMYFUNCTION("""COMPUTED_VALUE"""),"SJMG 2012 C.A")</f>
        <v>SJMG 2012 C.A</v>
      </c>
      <c r="G217" s="70">
        <f>IFERROR(__xludf.DUMMYFUNCTION("""COMPUTED_VALUE"""),489.5547)</f>
        <v>489.5547</v>
      </c>
      <c r="H217" s="1"/>
      <c r="I217" s="71">
        <f>IFERROR(__xludf.DUMMYFUNCTION("""COMPUTED_VALUE"""),28.0)</f>
        <v>28</v>
      </c>
      <c r="J217" s="69">
        <f>IFERROR(__xludf.DUMMYFUNCTION("""COMPUTED_VALUE"""),28.0)</f>
        <v>28</v>
      </c>
      <c r="K217" s="4">
        <f>IFERROR(__xludf.DUMMYFUNCTION("""COMPUTED_VALUE"""),28.0)</f>
        <v>28</v>
      </c>
      <c r="N217" s="67"/>
      <c r="R217" s="4"/>
    </row>
    <row r="218">
      <c r="A218" s="66">
        <f>IFERROR(__xludf.DUMMYFUNCTION("""COMPUTED_VALUE"""),46146.0)</f>
        <v>46146</v>
      </c>
      <c r="B218" s="67">
        <f>IFERROR(__xludf.DUMMYFUNCTION("""COMPUTED_VALUE"""),295.0)</f>
        <v>295</v>
      </c>
      <c r="C218" s="69">
        <f>IFERROR(__xludf.DUMMYFUNCTION("""COMPUTED_VALUE"""),76.0)</f>
        <v>76</v>
      </c>
      <c r="D218" s="1" t="str">
        <f>IFERROR(__xludf.DUMMYFUNCTION("""COMPUTED_VALUE"""),"USD")</f>
        <v>USD</v>
      </c>
      <c r="E218" s="1" t="str">
        <f>IFERROR(__xludf.DUMMYFUNCTION("""COMPUTED_VALUE"""),"Efectivo USD")</f>
        <v>Efectivo USD</v>
      </c>
      <c r="F218" s="1" t="str">
        <f>IFERROR(__xludf.DUMMYFUNCTION("""COMPUTED_VALUE"""),"MOTOS Y REPUESTOS DOS RUEDAS, C.A.")</f>
        <v>MOTOS Y REPUESTOS DOS RUEDAS, C.A.</v>
      </c>
      <c r="G218" s="70">
        <f>IFERROR(__xludf.DUMMYFUNCTION("""COMPUTED_VALUE"""),489.5547)</f>
        <v>489.5547</v>
      </c>
      <c r="H218" s="1"/>
      <c r="I218" s="71">
        <f>IFERROR(__xludf.DUMMYFUNCTION("""COMPUTED_VALUE"""),76.0)</f>
        <v>76</v>
      </c>
      <c r="J218" s="69">
        <f>IFERROR(__xludf.DUMMYFUNCTION("""COMPUTED_VALUE"""),76.0)</f>
        <v>76</v>
      </c>
      <c r="K218" s="4">
        <f>IFERROR(__xludf.DUMMYFUNCTION("""COMPUTED_VALUE"""),76.0)</f>
        <v>76</v>
      </c>
      <c r="N218" s="67"/>
      <c r="R218" s="4"/>
    </row>
    <row r="219">
      <c r="A219" s="66">
        <f>IFERROR(__xludf.DUMMYFUNCTION("""COMPUTED_VALUE"""),46146.0)</f>
        <v>46146</v>
      </c>
      <c r="B219" s="67">
        <f>IFERROR(__xludf.DUMMYFUNCTION("""COMPUTED_VALUE"""),208.0)</f>
        <v>208</v>
      </c>
      <c r="C219" s="69">
        <f>IFERROR(__xludf.DUMMYFUNCTION("""COMPUTED_VALUE"""),150.0)</f>
        <v>150</v>
      </c>
      <c r="D219" s="1" t="str">
        <f>IFERROR(__xludf.DUMMYFUNCTION("""COMPUTED_VALUE"""),"USD")</f>
        <v>USD</v>
      </c>
      <c r="E219" s="1" t="str">
        <f>IFERROR(__xludf.DUMMYFUNCTION("""COMPUTED_VALUE"""),"Efectivo USD")</f>
        <v>Efectivo USD</v>
      </c>
      <c r="F219" s="1" t="str">
        <f>IFERROR(__xludf.DUMMYFUNCTION("""COMPUTED_VALUE"""),"GARAJE Y TALLERES FRIDELBA, C.A")</f>
        <v>GARAJE Y TALLERES FRIDELBA, C.A</v>
      </c>
      <c r="G219" s="70">
        <f>IFERROR(__xludf.DUMMYFUNCTION("""COMPUTED_VALUE"""),489.5547)</f>
        <v>489.5547</v>
      </c>
      <c r="H219" s="1"/>
      <c r="I219" s="71">
        <f>IFERROR(__xludf.DUMMYFUNCTION("""COMPUTED_VALUE"""),150.0)</f>
        <v>150</v>
      </c>
      <c r="J219" s="69">
        <f>IFERROR(__xludf.DUMMYFUNCTION("""COMPUTED_VALUE"""),150.0)</f>
        <v>150</v>
      </c>
      <c r="K219" s="4">
        <f>IFERROR(__xludf.DUMMYFUNCTION("""COMPUTED_VALUE"""),150.0)</f>
        <v>150</v>
      </c>
      <c r="N219" s="67"/>
      <c r="R219" s="4"/>
    </row>
    <row r="220">
      <c r="A220" s="66">
        <f>IFERROR(__xludf.DUMMYFUNCTION("""COMPUTED_VALUE"""),46146.0)</f>
        <v>46146</v>
      </c>
      <c r="B220" s="67">
        <f>IFERROR(__xludf.DUMMYFUNCTION("""COMPUTED_VALUE"""),122.0)</f>
        <v>122</v>
      </c>
      <c r="C220" s="69">
        <f>IFERROR(__xludf.DUMMYFUNCTION("""COMPUTED_VALUE"""),20.0)</f>
        <v>20</v>
      </c>
      <c r="D220" s="1" t="str">
        <f>IFERROR(__xludf.DUMMYFUNCTION("""COMPUTED_VALUE"""),"USD")</f>
        <v>USD</v>
      </c>
      <c r="E220" s="1" t="str">
        <f>IFERROR(__xludf.DUMMYFUNCTION("""COMPUTED_VALUE"""),"Efectivo USD")</f>
        <v>Efectivo USD</v>
      </c>
      <c r="F220" s="1" t="str">
        <f>IFERROR(__xludf.DUMMYFUNCTION("""COMPUTED_VALUE"""),"Emprendimiento Tomas Paz")</f>
        <v>Emprendimiento Tomas Paz</v>
      </c>
      <c r="G220" s="70">
        <f>IFERROR(__xludf.DUMMYFUNCTION("""COMPUTED_VALUE"""),489.5547)</f>
        <v>489.5547</v>
      </c>
      <c r="H220" s="1"/>
      <c r="I220" s="71">
        <f>IFERROR(__xludf.DUMMYFUNCTION("""COMPUTED_VALUE"""),20.0)</f>
        <v>20</v>
      </c>
      <c r="J220" s="69">
        <f>IFERROR(__xludf.DUMMYFUNCTION("""COMPUTED_VALUE"""),20.0)</f>
        <v>20</v>
      </c>
      <c r="K220" s="4">
        <f>IFERROR(__xludf.DUMMYFUNCTION("""COMPUTED_VALUE"""),20.0)</f>
        <v>20</v>
      </c>
      <c r="N220" s="67"/>
      <c r="R220" s="4"/>
    </row>
    <row r="221">
      <c r="A221" s="66">
        <f>IFERROR(__xludf.DUMMYFUNCTION("""COMPUTED_VALUE"""),46146.0)</f>
        <v>46146</v>
      </c>
      <c r="B221" s="67">
        <f>IFERROR(__xludf.DUMMYFUNCTION("""COMPUTED_VALUE"""),129.0)</f>
        <v>129</v>
      </c>
      <c r="C221" s="69">
        <f>IFERROR(__xludf.DUMMYFUNCTION("""COMPUTED_VALUE"""),110.0)</f>
        <v>110</v>
      </c>
      <c r="D221" s="1" t="str">
        <f>IFERROR(__xludf.DUMMYFUNCTION("""COMPUTED_VALUE"""),"USD")</f>
        <v>USD</v>
      </c>
      <c r="E221" s="1" t="str">
        <f>IFERROR(__xludf.DUMMYFUNCTION("""COMPUTED_VALUE"""),"Efectivo USD")</f>
        <v>Efectivo USD</v>
      </c>
      <c r="F221" s="1" t="str">
        <f>IFERROR(__xludf.DUMMYFUNCTION("""COMPUTED_VALUE"""),"Emprendimiento Jordy Valencia")</f>
        <v>Emprendimiento Jordy Valencia</v>
      </c>
      <c r="G221" s="70">
        <f>IFERROR(__xludf.DUMMYFUNCTION("""COMPUTED_VALUE"""),489.5547)</f>
        <v>489.5547</v>
      </c>
      <c r="H221" s="1"/>
      <c r="I221" s="71">
        <f>IFERROR(__xludf.DUMMYFUNCTION("""COMPUTED_VALUE"""),110.0)</f>
        <v>110</v>
      </c>
      <c r="J221" s="69">
        <f>IFERROR(__xludf.DUMMYFUNCTION("""COMPUTED_VALUE"""),110.0)</f>
        <v>110</v>
      </c>
      <c r="K221" s="4">
        <f>IFERROR(__xludf.DUMMYFUNCTION("""COMPUTED_VALUE"""),110.0)</f>
        <v>110</v>
      </c>
      <c r="N221" s="67"/>
      <c r="R221" s="4"/>
    </row>
    <row r="222">
      <c r="A222" s="66">
        <f>IFERROR(__xludf.DUMMYFUNCTION("""COMPUTED_VALUE"""),46142.0)</f>
        <v>46142</v>
      </c>
      <c r="B222" s="67">
        <f>IFERROR(__xludf.DUMMYFUNCTION("""COMPUTED_VALUE"""),311.0)</f>
        <v>311</v>
      </c>
      <c r="C222" s="69">
        <f>IFERROR(__xludf.DUMMYFUNCTION("""COMPUTED_VALUE"""),65.0)</f>
        <v>65</v>
      </c>
      <c r="D222" s="1" t="str">
        <f>IFERROR(__xludf.DUMMYFUNCTION("""COMPUTED_VALUE"""),"USD")</f>
        <v>USD</v>
      </c>
      <c r="E222" s="1" t="str">
        <f>IFERROR(__xludf.DUMMYFUNCTION("""COMPUTED_VALUE"""),"Efectivo USD")</f>
        <v>Efectivo USD</v>
      </c>
      <c r="F222" s="1" t="str">
        <f>IFERROR(__xludf.DUMMYFUNCTION("""COMPUTED_VALUE"""),"Jose Alzolay")</f>
        <v>Jose Alzolay</v>
      </c>
      <c r="G222" s="70">
        <f>IFERROR(__xludf.DUMMYFUNCTION("""COMPUTED_VALUE"""),489.5547)</f>
        <v>489.5547</v>
      </c>
      <c r="H222" s="1"/>
      <c r="I222" s="71">
        <f>IFERROR(__xludf.DUMMYFUNCTION("""COMPUTED_VALUE"""),65.0)</f>
        <v>65</v>
      </c>
      <c r="J222" s="69">
        <f>IFERROR(__xludf.DUMMYFUNCTION("""COMPUTED_VALUE"""),65.0)</f>
        <v>65</v>
      </c>
      <c r="K222" s="4">
        <f>IFERROR(__xludf.DUMMYFUNCTION("""COMPUTED_VALUE"""),65.0)</f>
        <v>65</v>
      </c>
      <c r="N222" s="67"/>
      <c r="R222" s="4"/>
    </row>
    <row r="223">
      <c r="A223" s="66">
        <f>IFERROR(__xludf.DUMMYFUNCTION("""COMPUTED_VALUE"""),46142.0)</f>
        <v>46142</v>
      </c>
      <c r="B223" s="67">
        <f>IFERROR(__xludf.DUMMYFUNCTION("""COMPUTED_VALUE"""),311.0)</f>
        <v>311</v>
      </c>
      <c r="C223" s="69">
        <f>IFERROR(__xludf.DUMMYFUNCTION("""COMPUTED_VALUE"""),68.0)</f>
        <v>68</v>
      </c>
      <c r="D223" s="1" t="str">
        <f>IFERROR(__xludf.DUMMYFUNCTION("""COMPUTED_VALUE"""),"USD")</f>
        <v>USD</v>
      </c>
      <c r="E223" s="1" t="str">
        <f>IFERROR(__xludf.DUMMYFUNCTION("""COMPUTED_VALUE"""),"Efectivo USD")</f>
        <v>Efectivo USD</v>
      </c>
      <c r="F223" s="1" t="str">
        <f>IFERROR(__xludf.DUMMYFUNCTION("""COMPUTED_VALUE"""),"Carlos Bravo")</f>
        <v>Carlos Bravo</v>
      </c>
      <c r="G223" s="70">
        <f>IFERROR(__xludf.DUMMYFUNCTION("""COMPUTED_VALUE"""),487.1192)</f>
        <v>487.1192</v>
      </c>
      <c r="H223" s="1"/>
      <c r="I223" s="71">
        <f>IFERROR(__xludf.DUMMYFUNCTION("""COMPUTED_VALUE"""),68.0)</f>
        <v>68</v>
      </c>
      <c r="J223" s="69">
        <f>IFERROR(__xludf.DUMMYFUNCTION("""COMPUTED_VALUE"""),68.0)</f>
        <v>68</v>
      </c>
      <c r="K223" s="4">
        <f>IFERROR(__xludf.DUMMYFUNCTION("""COMPUTED_VALUE"""),68.0)</f>
        <v>68</v>
      </c>
      <c r="N223" s="67"/>
      <c r="R223" s="4"/>
    </row>
    <row r="224">
      <c r="A224" s="66">
        <f>IFERROR(__xludf.DUMMYFUNCTION("""COMPUTED_VALUE"""),46142.0)</f>
        <v>46142</v>
      </c>
      <c r="B224" s="67">
        <f>IFERROR(__xludf.DUMMYFUNCTION("""COMPUTED_VALUE"""),313.0)</f>
        <v>313</v>
      </c>
      <c r="C224" s="69">
        <f>IFERROR(__xludf.DUMMYFUNCTION("""COMPUTED_VALUE"""),40.0)</f>
        <v>40</v>
      </c>
      <c r="D224" s="1" t="str">
        <f>IFERROR(__xludf.DUMMYFUNCTION("""COMPUTED_VALUE"""),"USD")</f>
        <v>USD</v>
      </c>
      <c r="E224" s="1" t="str">
        <f>IFERROR(__xludf.DUMMYFUNCTION("""COMPUTED_VALUE"""),"Efectivo USD")</f>
        <v>Efectivo USD</v>
      </c>
      <c r="F224" s="1" t="str">
        <f>IFERROR(__xludf.DUMMYFUNCTION("""COMPUTED_VALUE"""),"Edgar salas")</f>
        <v>Edgar salas</v>
      </c>
      <c r="G224" s="70">
        <f>IFERROR(__xludf.DUMMYFUNCTION("""COMPUTED_VALUE"""),487.1192)</f>
        <v>487.1192</v>
      </c>
      <c r="H224" s="1"/>
      <c r="I224" s="71">
        <f>IFERROR(__xludf.DUMMYFUNCTION("""COMPUTED_VALUE"""),40.0)</f>
        <v>40</v>
      </c>
      <c r="J224" s="69">
        <f>IFERROR(__xludf.DUMMYFUNCTION("""COMPUTED_VALUE"""),40.0)</f>
        <v>40</v>
      </c>
      <c r="K224" s="4">
        <f>IFERROR(__xludf.DUMMYFUNCTION("""COMPUTED_VALUE"""),40.0)</f>
        <v>40</v>
      </c>
      <c r="N224" s="67"/>
      <c r="R224" s="4"/>
    </row>
    <row r="225">
      <c r="A225" s="66">
        <f>IFERROR(__xludf.DUMMYFUNCTION("""COMPUTED_VALUE"""),46147.0)</f>
        <v>46147</v>
      </c>
      <c r="B225" s="67">
        <f>IFERROR(__xludf.DUMMYFUNCTION("""COMPUTED_VALUE"""),323.0)</f>
        <v>323</v>
      </c>
      <c r="C225" s="69">
        <f>IFERROR(__xludf.DUMMYFUNCTION("""COMPUTED_VALUE"""),135.0)</f>
        <v>135</v>
      </c>
      <c r="D225" s="1" t="str">
        <f>IFERROR(__xludf.DUMMYFUNCTION("""COMPUTED_VALUE"""),"USD")</f>
        <v>USD</v>
      </c>
      <c r="E225" s="1" t="str">
        <f>IFERROR(__xludf.DUMMYFUNCTION("""COMPUTED_VALUE"""),"Efectivo USD")</f>
        <v>Efectivo USD</v>
      </c>
      <c r="F225" s="1" t="str">
        <f>IFERROR(__xludf.DUMMYFUNCTION("""COMPUTED_VALUE"""),"FREDI MARQUEZ")</f>
        <v>FREDI MARQUEZ</v>
      </c>
      <c r="G225" s="70">
        <f>IFERROR(__xludf.DUMMYFUNCTION("""COMPUTED_VALUE"""),487.1192)</f>
        <v>487.1192</v>
      </c>
      <c r="H225" s="1"/>
      <c r="I225" s="71">
        <f>IFERROR(__xludf.DUMMYFUNCTION("""COMPUTED_VALUE"""),135.0)</f>
        <v>135</v>
      </c>
      <c r="J225" s="69">
        <f>IFERROR(__xludf.DUMMYFUNCTION("""COMPUTED_VALUE"""),135.0)</f>
        <v>135</v>
      </c>
      <c r="K225" s="4">
        <f>IFERROR(__xludf.DUMMYFUNCTION("""COMPUTED_VALUE"""),135.0)</f>
        <v>135</v>
      </c>
      <c r="N225" s="67"/>
      <c r="R225" s="4"/>
    </row>
    <row r="226">
      <c r="A226" s="66">
        <f>IFERROR(__xludf.DUMMYFUNCTION("""COMPUTED_VALUE"""),46147.0)</f>
        <v>46147</v>
      </c>
      <c r="B226" s="67">
        <f>IFERROR(__xludf.DUMMYFUNCTION("""COMPUTED_VALUE"""),141.0)</f>
        <v>141</v>
      </c>
      <c r="C226" s="69">
        <f>IFERROR(__xludf.DUMMYFUNCTION("""COMPUTED_VALUE"""),100.0)</f>
        <v>100</v>
      </c>
      <c r="D226" s="1" t="str">
        <f>IFERROR(__xludf.DUMMYFUNCTION("""COMPUTED_VALUE"""),"USD")</f>
        <v>USD</v>
      </c>
      <c r="E226" s="1" t="str">
        <f>IFERROR(__xludf.DUMMYFUNCTION("""COMPUTED_VALUE"""),"Efectivo USD")</f>
        <v>Efectivo USD</v>
      </c>
      <c r="F226" s="1" t="str">
        <f>IFERROR(__xludf.DUMMYFUNCTION("""COMPUTED_VALUE"""),"Yulendri Carolina Pineda Blanco")</f>
        <v>Yulendri Carolina Pineda Blanco</v>
      </c>
      <c r="G226" s="70">
        <f>IFERROR(__xludf.DUMMYFUNCTION("""COMPUTED_VALUE"""),490.0442)</f>
        <v>490.0442</v>
      </c>
      <c r="H226" s="1"/>
      <c r="I226" s="71">
        <f>IFERROR(__xludf.DUMMYFUNCTION("""COMPUTED_VALUE"""),100.0)</f>
        <v>100</v>
      </c>
      <c r="J226" s="69">
        <f>IFERROR(__xludf.DUMMYFUNCTION("""COMPUTED_VALUE"""),100.0)</f>
        <v>100</v>
      </c>
      <c r="K226" s="4">
        <f>IFERROR(__xludf.DUMMYFUNCTION("""COMPUTED_VALUE"""),100.0)</f>
        <v>100</v>
      </c>
      <c r="N226" s="67"/>
      <c r="R226" s="4"/>
    </row>
    <row r="227">
      <c r="A227" s="66">
        <f>IFERROR(__xludf.DUMMYFUNCTION("""COMPUTED_VALUE"""),46147.0)</f>
        <v>46147</v>
      </c>
      <c r="B227" s="67">
        <f>IFERROR(__xludf.DUMMYFUNCTION("""COMPUTED_VALUE"""),69.0)</f>
        <v>69</v>
      </c>
      <c r="C227" s="69">
        <f>IFERROR(__xludf.DUMMYFUNCTION("""COMPUTED_VALUE"""),100.0)</f>
        <v>100</v>
      </c>
      <c r="D227" s="1" t="str">
        <f>IFERROR(__xludf.DUMMYFUNCTION("""COMPUTED_VALUE"""),"USD")</f>
        <v>USD</v>
      </c>
      <c r="E227" s="1" t="str">
        <f>IFERROR(__xludf.DUMMYFUNCTION("""COMPUTED_VALUE"""),"Efectivo USD")</f>
        <v>Efectivo USD</v>
      </c>
      <c r="F227" s="1" t="str">
        <f>IFERROR(__xludf.DUMMYFUNCTION("""COMPUTED_VALUE"""),"Katiuska Alejandra Curvelo")</f>
        <v>Katiuska Alejandra Curvelo</v>
      </c>
      <c r="G227" s="70">
        <f>IFERROR(__xludf.DUMMYFUNCTION("""COMPUTED_VALUE"""),490.0442)</f>
        <v>490.0442</v>
      </c>
      <c r="H227" s="1"/>
      <c r="I227" s="71">
        <f>IFERROR(__xludf.DUMMYFUNCTION("""COMPUTED_VALUE"""),100.0)</f>
        <v>100</v>
      </c>
      <c r="J227" s="69">
        <f>IFERROR(__xludf.DUMMYFUNCTION("""COMPUTED_VALUE"""),100.0)</f>
        <v>100</v>
      </c>
      <c r="K227" s="4">
        <f>IFERROR(__xludf.DUMMYFUNCTION("""COMPUTED_VALUE"""),100.0)</f>
        <v>100</v>
      </c>
      <c r="N227" s="67"/>
      <c r="R227" s="4"/>
    </row>
    <row r="228">
      <c r="A228" s="66">
        <f>IFERROR(__xludf.DUMMYFUNCTION("""COMPUTED_VALUE"""),46147.0)</f>
        <v>46147</v>
      </c>
      <c r="B228" s="67">
        <f>IFERROR(__xludf.DUMMYFUNCTION("""COMPUTED_VALUE"""),314.0)</f>
        <v>314</v>
      </c>
      <c r="C228" s="69">
        <f>IFERROR(__xludf.DUMMYFUNCTION("""COMPUTED_VALUE"""),226.0)</f>
        <v>226</v>
      </c>
      <c r="D228" s="1" t="str">
        <f>IFERROR(__xludf.DUMMYFUNCTION("""COMPUTED_VALUE"""),"USD")</f>
        <v>USD</v>
      </c>
      <c r="E228" s="1" t="str">
        <f>IFERROR(__xludf.DUMMYFUNCTION("""COMPUTED_VALUE"""),"Efectivo USD")</f>
        <v>Efectivo USD</v>
      </c>
      <c r="F228" s="1" t="str">
        <f>IFERROR(__xludf.DUMMYFUNCTION("""COMPUTED_VALUE"""),"EMPRENDIMIENTO IRMA RODRIGUEZ 6")</f>
        <v>EMPRENDIMIENTO IRMA RODRIGUEZ 6</v>
      </c>
      <c r="G228" s="70">
        <f>IFERROR(__xludf.DUMMYFUNCTION("""COMPUTED_VALUE"""),490.0442)</f>
        <v>490.0442</v>
      </c>
      <c r="H228" s="1"/>
      <c r="I228" s="71">
        <f>IFERROR(__xludf.DUMMYFUNCTION("""COMPUTED_VALUE"""),226.0)</f>
        <v>226</v>
      </c>
      <c r="J228" s="69">
        <f>IFERROR(__xludf.DUMMYFUNCTION("""COMPUTED_VALUE"""),226.0)</f>
        <v>226</v>
      </c>
      <c r="K228" s="4">
        <f>IFERROR(__xludf.DUMMYFUNCTION("""COMPUTED_VALUE"""),226.0)</f>
        <v>226</v>
      </c>
      <c r="N228" s="67"/>
      <c r="R228" s="4"/>
    </row>
    <row r="229">
      <c r="A229" s="66">
        <f>IFERROR(__xludf.DUMMYFUNCTION("""COMPUTED_VALUE"""),46147.0)</f>
        <v>46147</v>
      </c>
      <c r="B229" s="67">
        <f>IFERROR(__xludf.DUMMYFUNCTION("""COMPUTED_VALUE"""),142.0)</f>
        <v>142</v>
      </c>
      <c r="C229" s="69">
        <f>IFERROR(__xludf.DUMMYFUNCTION("""COMPUTED_VALUE"""),90.0)</f>
        <v>90</v>
      </c>
      <c r="D229" s="1" t="str">
        <f>IFERROR(__xludf.DUMMYFUNCTION("""COMPUTED_VALUE"""),"USD")</f>
        <v>USD</v>
      </c>
      <c r="E229" s="1" t="str">
        <f>IFERROR(__xludf.DUMMYFUNCTION("""COMPUTED_VALUE"""),"Zelle")</f>
        <v>Zelle</v>
      </c>
      <c r="F229" s="1" t="str">
        <f>IFERROR(__xludf.DUMMYFUNCTION("""COMPUTED_VALUE"""),"LOGISTICA Y CONSULTORIA VINCARS, C.A.")</f>
        <v>LOGISTICA Y CONSULTORIA VINCARS, C.A.</v>
      </c>
      <c r="G229" s="70">
        <f>IFERROR(__xludf.DUMMYFUNCTION("""COMPUTED_VALUE"""),490.0442)</f>
        <v>490.0442</v>
      </c>
      <c r="H229" s="1"/>
      <c r="I229" s="71">
        <f>IFERROR(__xludf.DUMMYFUNCTION("""COMPUTED_VALUE"""),90.0)</f>
        <v>90</v>
      </c>
      <c r="J229" s="69">
        <f>IFERROR(__xludf.DUMMYFUNCTION("""COMPUTED_VALUE"""),90.0)</f>
        <v>90</v>
      </c>
      <c r="K229" s="4">
        <f>IFERROR(__xludf.DUMMYFUNCTION("""COMPUTED_VALUE"""),90.0)</f>
        <v>90</v>
      </c>
      <c r="N229" s="67"/>
      <c r="R229" s="4"/>
    </row>
    <row r="230">
      <c r="A230" s="66">
        <f>IFERROR(__xludf.DUMMYFUNCTION("""COMPUTED_VALUE"""),46147.0)</f>
        <v>46147</v>
      </c>
      <c r="B230" s="67">
        <f>IFERROR(__xludf.DUMMYFUNCTION("""COMPUTED_VALUE"""),142.0)</f>
        <v>142</v>
      </c>
      <c r="C230" s="69">
        <f>IFERROR(__xludf.DUMMYFUNCTION("""COMPUTED_VALUE"""),49.0)</f>
        <v>49</v>
      </c>
      <c r="D230" s="1" t="str">
        <f>IFERROR(__xludf.DUMMYFUNCTION("""COMPUTED_VALUE"""),"USD")</f>
        <v>USD</v>
      </c>
      <c r="E230" s="1" t="str">
        <f>IFERROR(__xludf.DUMMYFUNCTION("""COMPUTED_VALUE"""),"Zelle")</f>
        <v>Zelle</v>
      </c>
      <c r="F230" s="1" t="str">
        <f>IFERROR(__xludf.DUMMYFUNCTION("""COMPUTED_VALUE"""),"LOGISTICA Y CONSULTORIA VINCARS, C.A.")</f>
        <v>LOGISTICA Y CONSULTORIA VINCARS, C.A.</v>
      </c>
      <c r="G230" s="70">
        <f>IFERROR(__xludf.DUMMYFUNCTION("""COMPUTED_VALUE"""),490.0442)</f>
        <v>490.0442</v>
      </c>
      <c r="H230" s="1"/>
      <c r="I230" s="71">
        <f>IFERROR(__xludf.DUMMYFUNCTION("""COMPUTED_VALUE"""),49.0)</f>
        <v>49</v>
      </c>
      <c r="J230" s="69">
        <f>IFERROR(__xludf.DUMMYFUNCTION("""COMPUTED_VALUE"""),49.0)</f>
        <v>49</v>
      </c>
      <c r="K230" s="4">
        <f>IFERROR(__xludf.DUMMYFUNCTION("""COMPUTED_VALUE"""),49.0)</f>
        <v>49</v>
      </c>
      <c r="N230" s="67"/>
      <c r="R230" s="4"/>
    </row>
    <row r="231">
      <c r="A231" s="66">
        <f>IFERROR(__xludf.DUMMYFUNCTION("""COMPUTED_VALUE"""),46147.0)</f>
        <v>46147</v>
      </c>
      <c r="B231" s="67">
        <f>IFERROR(__xludf.DUMMYFUNCTION("""COMPUTED_VALUE"""),60.0)</f>
        <v>60</v>
      </c>
      <c r="C231" s="69">
        <f>IFERROR(__xludf.DUMMYFUNCTION("""COMPUTED_VALUE"""),190.0)</f>
        <v>190</v>
      </c>
      <c r="D231" s="1" t="str">
        <f>IFERROR(__xludf.DUMMYFUNCTION("""COMPUTED_VALUE"""),"USD")</f>
        <v>USD</v>
      </c>
      <c r="E231" s="1" t="str">
        <f>IFERROR(__xludf.DUMMYFUNCTION("""COMPUTED_VALUE"""),"Efectivo USD")</f>
        <v>Efectivo USD</v>
      </c>
      <c r="F231" s="1" t="str">
        <f>IFERROR(__xludf.DUMMYFUNCTION("""COMPUTED_VALUE"""),"INVERSIONES R&amp;C 1817,  c.a.")</f>
        <v>INVERSIONES R&amp;C 1817,  c.a.</v>
      </c>
      <c r="G231" s="70">
        <f>IFERROR(__xludf.DUMMYFUNCTION("""COMPUTED_VALUE"""),490.0442)</f>
        <v>490.0442</v>
      </c>
      <c r="H231" s="1"/>
      <c r="I231" s="71">
        <f>IFERROR(__xludf.DUMMYFUNCTION("""COMPUTED_VALUE"""),190.0)</f>
        <v>190</v>
      </c>
      <c r="J231" s="69">
        <f>IFERROR(__xludf.DUMMYFUNCTION("""COMPUTED_VALUE"""),190.0)</f>
        <v>190</v>
      </c>
      <c r="K231" s="4">
        <f>IFERROR(__xludf.DUMMYFUNCTION("""COMPUTED_VALUE"""),190.0)</f>
        <v>190</v>
      </c>
      <c r="N231" s="67"/>
      <c r="R231" s="4"/>
    </row>
    <row r="232">
      <c r="A232" s="66">
        <f>IFERROR(__xludf.DUMMYFUNCTION("""COMPUTED_VALUE"""),46147.0)</f>
        <v>46147</v>
      </c>
      <c r="B232" s="67">
        <f>IFERROR(__xludf.DUMMYFUNCTION("""COMPUTED_VALUE"""),82.0)</f>
        <v>82</v>
      </c>
      <c r="C232" s="69">
        <f>IFERROR(__xludf.DUMMYFUNCTION("""COMPUTED_VALUE"""),100.0)</f>
        <v>100</v>
      </c>
      <c r="D232" s="1" t="str">
        <f>IFERROR(__xludf.DUMMYFUNCTION("""COMPUTED_VALUE"""),"USD")</f>
        <v>USD</v>
      </c>
      <c r="E232" s="1" t="str">
        <f>IFERROR(__xludf.DUMMYFUNCTION("""COMPUTED_VALUE"""),"Efectivo USD")</f>
        <v>Efectivo USD</v>
      </c>
      <c r="F232" s="1" t="str">
        <f>IFERROR(__xludf.DUMMYFUNCTION("""COMPUTED_VALUE"""),"Pedro Castro")</f>
        <v>Pedro Castro</v>
      </c>
      <c r="G232" s="70">
        <f>IFERROR(__xludf.DUMMYFUNCTION("""COMPUTED_VALUE"""),490.0442)</f>
        <v>490.0442</v>
      </c>
      <c r="H232" s="1"/>
      <c r="I232" s="71">
        <f>IFERROR(__xludf.DUMMYFUNCTION("""COMPUTED_VALUE"""),100.0)</f>
        <v>100</v>
      </c>
      <c r="J232" s="69">
        <f>IFERROR(__xludf.DUMMYFUNCTION("""COMPUTED_VALUE"""),100.0)</f>
        <v>100</v>
      </c>
      <c r="K232" s="4">
        <f>IFERROR(__xludf.DUMMYFUNCTION("""COMPUTED_VALUE"""),100.0)</f>
        <v>100</v>
      </c>
      <c r="N232" s="67"/>
      <c r="R232" s="4"/>
    </row>
    <row r="233">
      <c r="A233" s="66">
        <f>IFERROR(__xludf.DUMMYFUNCTION("""COMPUTED_VALUE"""),46148.0)</f>
        <v>46148</v>
      </c>
      <c r="B233" s="67">
        <f>IFERROR(__xludf.DUMMYFUNCTION("""COMPUTED_VALUE"""),186.0)</f>
        <v>186</v>
      </c>
      <c r="C233" s="69">
        <f>IFERROR(__xludf.DUMMYFUNCTION("""COMPUTED_VALUE"""),40.0)</f>
        <v>40</v>
      </c>
      <c r="D233" s="1" t="str">
        <f>IFERROR(__xludf.DUMMYFUNCTION("""COMPUTED_VALUE"""),"USD")</f>
        <v>USD</v>
      </c>
      <c r="E233" s="1" t="str">
        <f>IFERROR(__xludf.DUMMYFUNCTION("""COMPUTED_VALUE"""),"Efectivo USD")</f>
        <v>Efectivo USD</v>
      </c>
      <c r="F233" s="1" t="str">
        <f>IFERROR(__xludf.DUMMYFUNCTION("""COMPUTED_VALUE"""),"Cauchos y Suministros Camacho C.A")</f>
        <v>Cauchos y Suministros Camacho C.A</v>
      </c>
      <c r="G233" s="70">
        <f>IFERROR(__xludf.DUMMYFUNCTION("""COMPUTED_VALUE"""),490.0442)</f>
        <v>490.0442</v>
      </c>
      <c r="H233" s="1"/>
      <c r="I233" s="71">
        <f>IFERROR(__xludf.DUMMYFUNCTION("""COMPUTED_VALUE"""),40.0)</f>
        <v>40</v>
      </c>
      <c r="J233" s="69">
        <f>IFERROR(__xludf.DUMMYFUNCTION("""COMPUTED_VALUE"""),40.0)</f>
        <v>40</v>
      </c>
      <c r="K233" s="4">
        <f>IFERROR(__xludf.DUMMYFUNCTION("""COMPUTED_VALUE"""),40.0)</f>
        <v>40</v>
      </c>
      <c r="N233" s="67"/>
      <c r="R233" s="4"/>
    </row>
    <row r="234">
      <c r="A234" s="66">
        <f>IFERROR(__xludf.DUMMYFUNCTION("""COMPUTED_VALUE"""),46148.0)</f>
        <v>46148</v>
      </c>
      <c r="B234" s="67">
        <f>IFERROR(__xludf.DUMMYFUNCTION("""COMPUTED_VALUE"""),145.0)</f>
        <v>145</v>
      </c>
      <c r="C234" s="69">
        <f>IFERROR(__xludf.DUMMYFUNCTION("""COMPUTED_VALUE"""),100.0)</f>
        <v>100</v>
      </c>
      <c r="D234" s="1" t="str">
        <f>IFERROR(__xludf.DUMMYFUNCTION("""COMPUTED_VALUE"""),"USD")</f>
        <v>USD</v>
      </c>
      <c r="E234" s="1" t="str">
        <f>IFERROR(__xludf.DUMMYFUNCTION("""COMPUTED_VALUE"""),"Efectivo")</f>
        <v>Efectivo</v>
      </c>
      <c r="F234" s="1" t="str">
        <f>IFERROR(__xludf.DUMMYFUNCTION("""COMPUTED_VALUE"""),"La cámara perfecta")</f>
        <v>La cámara perfecta</v>
      </c>
      <c r="G234" s="70">
        <f>IFERROR(__xludf.DUMMYFUNCTION("""COMPUTED_VALUE"""),490.0442)</f>
        <v>490.0442</v>
      </c>
      <c r="H234" s="1"/>
      <c r="I234" s="71">
        <f>IFERROR(__xludf.DUMMYFUNCTION("""COMPUTED_VALUE"""),100.0)</f>
        <v>100</v>
      </c>
      <c r="J234" s="69">
        <f>IFERROR(__xludf.DUMMYFUNCTION("""COMPUTED_VALUE"""),100.0)</f>
        <v>100</v>
      </c>
      <c r="K234" s="4">
        <f>IFERROR(__xludf.DUMMYFUNCTION("""COMPUTED_VALUE"""),100.0)</f>
        <v>100</v>
      </c>
      <c r="N234" s="67"/>
      <c r="R234" s="4"/>
    </row>
    <row r="235">
      <c r="A235" s="66">
        <f>IFERROR(__xludf.DUMMYFUNCTION("""COMPUTED_VALUE"""),46148.0)</f>
        <v>46148</v>
      </c>
      <c r="B235" s="67">
        <f>IFERROR(__xludf.DUMMYFUNCTION("""COMPUTED_VALUE"""),146.0)</f>
        <v>146</v>
      </c>
      <c r="C235" s="69">
        <f>IFERROR(__xludf.DUMMYFUNCTION("""COMPUTED_VALUE"""),900.0)</f>
        <v>900</v>
      </c>
      <c r="D235" s="1" t="str">
        <f>IFERROR(__xludf.DUMMYFUNCTION("""COMPUTED_VALUE"""),"USD")</f>
        <v>USD</v>
      </c>
      <c r="E235" s="1" t="str">
        <f>IFERROR(__xludf.DUMMYFUNCTION("""COMPUTED_VALUE"""),"Efectivo USD")</f>
        <v>Efectivo USD</v>
      </c>
      <c r="F235" s="1" t="str">
        <f>IFERROR(__xludf.DUMMYFUNCTION("""COMPUTED_VALUE"""),"Alexander Quiroz")</f>
        <v>Alexander Quiroz</v>
      </c>
      <c r="G235" s="70">
        <f>IFERROR(__xludf.DUMMYFUNCTION("""COMPUTED_VALUE"""),493.3765)</f>
        <v>493.3765</v>
      </c>
      <c r="H235" s="1"/>
      <c r="I235" s="71">
        <f>IFERROR(__xludf.DUMMYFUNCTION("""COMPUTED_VALUE"""),900.0)</f>
        <v>900</v>
      </c>
      <c r="J235" s="69">
        <f>IFERROR(__xludf.DUMMYFUNCTION("""COMPUTED_VALUE"""),900.0)</f>
        <v>900</v>
      </c>
      <c r="K235" s="4">
        <f>IFERROR(__xludf.DUMMYFUNCTION("""COMPUTED_VALUE"""),900.0)</f>
        <v>900</v>
      </c>
      <c r="N235" s="67"/>
      <c r="R235" s="4"/>
    </row>
    <row r="236">
      <c r="A236" s="66">
        <f>IFERROR(__xludf.DUMMYFUNCTION("""COMPUTED_VALUE"""),46148.0)</f>
        <v>46148</v>
      </c>
      <c r="B236" s="67">
        <f>IFERROR(__xludf.DUMMYFUNCTION("""COMPUTED_VALUE"""),322.0)</f>
        <v>322</v>
      </c>
      <c r="C236" s="69">
        <f>IFERROR(__xludf.DUMMYFUNCTION("""COMPUTED_VALUE"""),48318.36)</f>
        <v>48318.36</v>
      </c>
      <c r="D236" s="1" t="str">
        <f>IFERROR(__xludf.DUMMYFUNCTION("""COMPUTED_VALUE"""),"VES")</f>
        <v>VES</v>
      </c>
      <c r="E236" s="1" t="str">
        <f>IFERROR(__xludf.DUMMYFUNCTION("""COMPUTED_VALUE"""),"Bancamiga")</f>
        <v>Bancamiga</v>
      </c>
      <c r="F236" s="1" t="str">
        <f>IFERROR(__xludf.DUMMYFUNCTION("""COMPUTED_VALUE"""),"ZIP MARKET, CA")</f>
        <v>ZIP MARKET, CA</v>
      </c>
      <c r="G236" s="70">
        <f>IFERROR(__xludf.DUMMYFUNCTION("""COMPUTED_VALUE"""),493.3765)</f>
        <v>493.3765</v>
      </c>
      <c r="H236" s="1"/>
      <c r="I236" s="71">
        <f>IFERROR(__xludf.DUMMYFUNCTION("""COMPUTED_VALUE"""),97.93405239203732)</f>
        <v>97.93405239</v>
      </c>
      <c r="J236" s="69">
        <f>IFERROR(__xludf.DUMMYFUNCTION("""COMPUTED_VALUE"""),0.0)</f>
        <v>0</v>
      </c>
      <c r="K236" s="4">
        <f>IFERROR(__xludf.DUMMYFUNCTION("""COMPUTED_VALUE"""),97.93405239203732)</f>
        <v>97.93405239</v>
      </c>
      <c r="N236" s="67"/>
      <c r="R236" s="4"/>
    </row>
    <row r="237">
      <c r="A237" s="66">
        <f>IFERROR(__xludf.DUMMYFUNCTION("""COMPUTED_VALUE"""),46149.0)</f>
        <v>46149</v>
      </c>
      <c r="B237" s="67">
        <f>IFERROR(__xludf.DUMMYFUNCTION("""COMPUTED_VALUE"""),231.0)</f>
        <v>231</v>
      </c>
      <c r="C237" s="69">
        <f>IFERROR(__xludf.DUMMYFUNCTION("""COMPUTED_VALUE"""),100.0)</f>
        <v>100</v>
      </c>
      <c r="D237" s="1" t="str">
        <f>IFERROR(__xludf.DUMMYFUNCTION("""COMPUTED_VALUE"""),"USD")</f>
        <v>USD</v>
      </c>
      <c r="E237" s="1" t="str">
        <f>IFERROR(__xludf.DUMMYFUNCTION("""COMPUTED_VALUE"""),"Efectivo USD")</f>
        <v>Efectivo USD</v>
      </c>
      <c r="F237" s="1" t="str">
        <f>IFERROR(__xludf.DUMMYFUNCTION("""COMPUTED_VALUE"""),"Constructora  Campo Urbano,c.a.")</f>
        <v>Constructora  Campo Urbano,c.a.</v>
      </c>
      <c r="G237" s="70">
        <f>IFERROR(__xludf.DUMMYFUNCTION("""COMPUTED_VALUE"""),493.3765)</f>
        <v>493.3765</v>
      </c>
      <c r="H237" s="1"/>
      <c r="I237" s="71">
        <f>IFERROR(__xludf.DUMMYFUNCTION("""COMPUTED_VALUE"""),100.0)</f>
        <v>100</v>
      </c>
      <c r="J237" s="69">
        <f>IFERROR(__xludf.DUMMYFUNCTION("""COMPUTED_VALUE"""),100.0)</f>
        <v>100</v>
      </c>
      <c r="K237" s="4">
        <f>IFERROR(__xludf.DUMMYFUNCTION("""COMPUTED_VALUE"""),100.0)</f>
        <v>100</v>
      </c>
      <c r="N237" s="67"/>
      <c r="R237" s="4"/>
    </row>
    <row r="238">
      <c r="A238" s="66">
        <f>IFERROR(__xludf.DUMMYFUNCTION("""COMPUTED_VALUE"""),46149.0)</f>
        <v>46149</v>
      </c>
      <c r="B238" s="67">
        <f>IFERROR(__xludf.DUMMYFUNCTION("""COMPUTED_VALUE"""),36.0)</f>
        <v>36</v>
      </c>
      <c r="C238" s="69">
        <f>IFERROR(__xludf.DUMMYFUNCTION("""COMPUTED_VALUE"""),2870.89)</f>
        <v>2870.89</v>
      </c>
      <c r="D238" s="1" t="str">
        <f>IFERROR(__xludf.DUMMYFUNCTION("""COMPUTED_VALUE"""),"VES")</f>
        <v>VES</v>
      </c>
      <c r="E238" s="1" t="str">
        <f>IFERROR(__xludf.DUMMYFUNCTION("""COMPUTED_VALUE"""),"Bancamiga")</f>
        <v>Bancamiga</v>
      </c>
      <c r="F238" s="1" t="str">
        <f>IFERROR(__xludf.DUMMYFUNCTION("""COMPUTED_VALUE"""),"inversiones El Gran Charles C.A")</f>
        <v>inversiones El Gran Charles C.A</v>
      </c>
      <c r="G238" s="70">
        <f>IFERROR(__xludf.DUMMYFUNCTION("""COMPUTED_VALUE"""),493.3765)</f>
        <v>493.3765</v>
      </c>
      <c r="H238" s="1"/>
      <c r="I238" s="71">
        <f>IFERROR(__xludf.DUMMYFUNCTION("""COMPUTED_VALUE"""),5.818862471155395)</f>
        <v>5.818862471</v>
      </c>
      <c r="J238" s="69">
        <f>IFERROR(__xludf.DUMMYFUNCTION("""COMPUTED_VALUE"""),0.0)</f>
        <v>0</v>
      </c>
      <c r="K238" s="4">
        <f>IFERROR(__xludf.DUMMYFUNCTION("""COMPUTED_VALUE"""),5.818862471155395)</f>
        <v>5.818862471</v>
      </c>
      <c r="N238" s="67"/>
      <c r="R238" s="4"/>
    </row>
    <row r="239">
      <c r="A239" s="66">
        <f>IFERROR(__xludf.DUMMYFUNCTION("""COMPUTED_VALUE"""),46149.0)</f>
        <v>46149</v>
      </c>
      <c r="B239" s="67">
        <f>IFERROR(__xludf.DUMMYFUNCTION("""COMPUTED_VALUE"""),36.0)</f>
        <v>36</v>
      </c>
      <c r="C239" s="69">
        <f>IFERROR(__xludf.DUMMYFUNCTION("""COMPUTED_VALUE"""),25831.0)</f>
        <v>25831</v>
      </c>
      <c r="D239" s="1" t="str">
        <f>IFERROR(__xludf.DUMMYFUNCTION("""COMPUTED_VALUE"""),"VES")</f>
        <v>VES</v>
      </c>
      <c r="E239" s="1" t="str">
        <f>IFERROR(__xludf.DUMMYFUNCTION("""COMPUTED_VALUE"""),"Bancamiga")</f>
        <v>Bancamiga</v>
      </c>
      <c r="F239" s="1" t="str">
        <f>IFERROR(__xludf.DUMMYFUNCTION("""COMPUTED_VALUE"""),"inversiones El Gran Charles C.A")</f>
        <v>inversiones El Gran Charles C.A</v>
      </c>
      <c r="G239" s="70">
        <f>IFERROR(__xludf.DUMMYFUNCTION("""COMPUTED_VALUE"""),496.8301)</f>
        <v>496.8301</v>
      </c>
      <c r="H239" s="1"/>
      <c r="I239" s="71">
        <f>IFERROR(__xludf.DUMMYFUNCTION("""COMPUTED_VALUE"""),51.99161644996951)</f>
        <v>51.99161645</v>
      </c>
      <c r="J239" s="69">
        <f>IFERROR(__xludf.DUMMYFUNCTION("""COMPUTED_VALUE"""),0.0)</f>
        <v>0</v>
      </c>
      <c r="K239" s="4">
        <f>IFERROR(__xludf.DUMMYFUNCTION("""COMPUTED_VALUE"""),51.99161644996951)</f>
        <v>51.99161645</v>
      </c>
      <c r="N239" s="67"/>
      <c r="R239" s="4"/>
    </row>
    <row r="240">
      <c r="A240" s="66">
        <f>IFERROR(__xludf.DUMMYFUNCTION("""COMPUTED_VALUE"""),46149.0)</f>
        <v>46149</v>
      </c>
      <c r="B240" s="67">
        <f>IFERROR(__xludf.DUMMYFUNCTION("""COMPUTED_VALUE"""),145.0)</f>
        <v>145</v>
      </c>
      <c r="C240" s="69">
        <f>IFERROR(__xludf.DUMMYFUNCTION("""COMPUTED_VALUE"""),131208.0)</f>
        <v>131208</v>
      </c>
      <c r="D240" s="1" t="str">
        <f>IFERROR(__xludf.DUMMYFUNCTION("""COMPUTED_VALUE"""),"VES")</f>
        <v>VES</v>
      </c>
      <c r="E240" s="1" t="str">
        <f>IFERROR(__xludf.DUMMYFUNCTION("""COMPUTED_VALUE"""),"Bancamiga")</f>
        <v>Bancamiga</v>
      </c>
      <c r="F240" s="1" t="str">
        <f>IFERROR(__xludf.DUMMYFUNCTION("""COMPUTED_VALUE"""),"La cámara perfecta")</f>
        <v>La cámara perfecta</v>
      </c>
      <c r="G240" s="70">
        <f>IFERROR(__xludf.DUMMYFUNCTION("""COMPUTED_VALUE"""),496.8301)</f>
        <v>496.8301</v>
      </c>
      <c r="H240" s="1"/>
      <c r="I240" s="71">
        <f>IFERROR(__xludf.DUMMYFUNCTION("""COMPUTED_VALUE"""),264.09027955431844)</f>
        <v>264.0902796</v>
      </c>
      <c r="J240" s="69">
        <f>IFERROR(__xludf.DUMMYFUNCTION("""COMPUTED_VALUE"""),0.0)</f>
        <v>0</v>
      </c>
      <c r="K240" s="4">
        <f>IFERROR(__xludf.DUMMYFUNCTION("""COMPUTED_VALUE"""),264.09027955431844)</f>
        <v>264.0902796</v>
      </c>
      <c r="N240" s="67"/>
      <c r="R240" s="4"/>
    </row>
    <row r="241">
      <c r="A241" s="66">
        <f>IFERROR(__xludf.DUMMYFUNCTION("""COMPUTED_VALUE"""),46149.0)</f>
        <v>46149</v>
      </c>
      <c r="B241" s="67">
        <f>IFERROR(__xludf.DUMMYFUNCTION("""COMPUTED_VALUE"""),128.0)</f>
        <v>128</v>
      </c>
      <c r="C241" s="69">
        <f>IFERROR(__xludf.DUMMYFUNCTION("""COMPUTED_VALUE"""),50.0)</f>
        <v>50</v>
      </c>
      <c r="D241" s="1" t="str">
        <f>IFERROR(__xludf.DUMMYFUNCTION("""COMPUTED_VALUE"""),"USD")</f>
        <v>USD</v>
      </c>
      <c r="E241" s="1" t="str">
        <f>IFERROR(__xludf.DUMMYFUNCTION("""COMPUTED_VALUE"""),"Efectivo USD")</f>
        <v>Efectivo USD</v>
      </c>
      <c r="F241" s="1" t="str">
        <f>IFERROR(__xludf.DUMMYFUNCTION("""COMPUTED_VALUE"""),"Multiservicios Gre-orio2022 c.a")</f>
        <v>Multiservicios Gre-orio2022 c.a</v>
      </c>
      <c r="G241" s="70">
        <f>IFERROR(__xludf.DUMMYFUNCTION("""COMPUTED_VALUE"""),496.8301)</f>
        <v>496.8301</v>
      </c>
      <c r="H241" s="1"/>
      <c r="I241" s="71">
        <f>IFERROR(__xludf.DUMMYFUNCTION("""COMPUTED_VALUE"""),50.0)</f>
        <v>50</v>
      </c>
      <c r="J241" s="69">
        <f>IFERROR(__xludf.DUMMYFUNCTION("""COMPUTED_VALUE"""),50.0)</f>
        <v>50</v>
      </c>
      <c r="K241" s="4">
        <f>IFERROR(__xludf.DUMMYFUNCTION("""COMPUTED_VALUE"""),50.0)</f>
        <v>50</v>
      </c>
      <c r="N241" s="67"/>
      <c r="R241" s="4"/>
    </row>
    <row r="242">
      <c r="A242" s="66">
        <f>IFERROR(__xludf.DUMMYFUNCTION("""COMPUTED_VALUE"""),46149.0)</f>
        <v>46149</v>
      </c>
      <c r="B242" s="67">
        <f>IFERROR(__xludf.DUMMYFUNCTION("""COMPUTED_VALUE"""),265.0)</f>
        <v>265</v>
      </c>
      <c r="C242" s="69">
        <f>IFERROR(__xludf.DUMMYFUNCTION("""COMPUTED_VALUE"""),30.0)</f>
        <v>30</v>
      </c>
      <c r="D242" s="1" t="str">
        <f>IFERROR(__xludf.DUMMYFUNCTION("""COMPUTED_VALUE"""),"USD")</f>
        <v>USD</v>
      </c>
      <c r="E242" s="1" t="str">
        <f>IFERROR(__xludf.DUMMYFUNCTION("""COMPUTED_VALUE"""),"Efectivo USD")</f>
        <v>Efectivo USD</v>
      </c>
      <c r="F242" s="1" t="str">
        <f>IFERROR(__xludf.DUMMYFUNCTION("""COMPUTED_VALUE"""),"Repuestos Guia Dios Nuestro Camino,c.a.")</f>
        <v>Repuestos Guia Dios Nuestro Camino,c.a.</v>
      </c>
      <c r="G242" s="70">
        <f>IFERROR(__xludf.DUMMYFUNCTION("""COMPUTED_VALUE"""),496.8301)</f>
        <v>496.8301</v>
      </c>
      <c r="H242" s="1"/>
      <c r="I242" s="71">
        <f>IFERROR(__xludf.DUMMYFUNCTION("""COMPUTED_VALUE"""),30.0)</f>
        <v>30</v>
      </c>
      <c r="J242" s="69">
        <f>IFERROR(__xludf.DUMMYFUNCTION("""COMPUTED_VALUE"""),30.0)</f>
        <v>30</v>
      </c>
      <c r="K242" s="4">
        <f>IFERROR(__xludf.DUMMYFUNCTION("""COMPUTED_VALUE"""),30.0)</f>
        <v>30</v>
      </c>
      <c r="N242" s="67"/>
      <c r="R242" s="4"/>
    </row>
    <row r="243">
      <c r="A243" s="66">
        <f>IFERROR(__xludf.DUMMYFUNCTION("""COMPUTED_VALUE"""),46149.0)</f>
        <v>46149</v>
      </c>
      <c r="B243" s="67">
        <f>IFERROR(__xludf.DUMMYFUNCTION("""COMPUTED_VALUE"""),143.0)</f>
        <v>143</v>
      </c>
      <c r="C243" s="69">
        <f>IFERROR(__xludf.DUMMYFUNCTION("""COMPUTED_VALUE"""),50.0)</f>
        <v>50</v>
      </c>
      <c r="D243" s="1" t="str">
        <f>IFERROR(__xludf.DUMMYFUNCTION("""COMPUTED_VALUE"""),"USD")</f>
        <v>USD</v>
      </c>
      <c r="E243" s="1" t="str">
        <f>IFERROR(__xludf.DUMMYFUNCTION("""COMPUTED_VALUE"""),"Efectivo USD")</f>
        <v>Efectivo USD</v>
      </c>
      <c r="F243" s="1" t="str">
        <f>IFERROR(__xludf.DUMMYFUNCTION("""COMPUTED_VALUE"""),"MOTOREPUESTOS EL GUANÁBANO YRM C.A.")</f>
        <v>MOTOREPUESTOS EL GUANÁBANO YRM C.A.</v>
      </c>
      <c r="G243" s="70">
        <f>IFERROR(__xludf.DUMMYFUNCTION("""COMPUTED_VALUE"""),496.8301)</f>
        <v>496.8301</v>
      </c>
      <c r="H243" s="1"/>
      <c r="I243" s="71">
        <f>IFERROR(__xludf.DUMMYFUNCTION("""COMPUTED_VALUE"""),50.0)</f>
        <v>50</v>
      </c>
      <c r="J243" s="69">
        <f>IFERROR(__xludf.DUMMYFUNCTION("""COMPUTED_VALUE"""),50.0)</f>
        <v>50</v>
      </c>
      <c r="K243" s="4">
        <f>IFERROR(__xludf.DUMMYFUNCTION("""COMPUTED_VALUE"""),50.0)</f>
        <v>50</v>
      </c>
      <c r="N243" s="67"/>
      <c r="R243" s="4"/>
    </row>
    <row r="244">
      <c r="A244" s="66">
        <f>IFERROR(__xludf.DUMMYFUNCTION("""COMPUTED_VALUE"""),46150.0)</f>
        <v>46150</v>
      </c>
      <c r="B244" s="67">
        <f>IFERROR(__xludf.DUMMYFUNCTION("""COMPUTED_VALUE"""),212.0)</f>
        <v>212</v>
      </c>
      <c r="C244" s="69">
        <f>IFERROR(__xludf.DUMMYFUNCTION("""COMPUTED_VALUE"""),14995.8)</f>
        <v>14995.8</v>
      </c>
      <c r="D244" s="1" t="str">
        <f>IFERROR(__xludf.DUMMYFUNCTION("""COMPUTED_VALUE"""),"VES")</f>
        <v>VES</v>
      </c>
      <c r="E244" s="1" t="str">
        <f>IFERROR(__xludf.DUMMYFUNCTION("""COMPUTED_VALUE"""),"Bancamiga")</f>
        <v>Bancamiga</v>
      </c>
      <c r="F244" s="1" t="str">
        <f>IFERROR(__xludf.DUMMYFUNCTION("""COMPUTED_VALUE"""),"Inversiones DSM 2706, c.a.")</f>
        <v>Inversiones DSM 2706, c.a.</v>
      </c>
      <c r="G244" s="70">
        <f>IFERROR(__xludf.DUMMYFUNCTION("""COMPUTED_VALUE"""),496.8301)</f>
        <v>496.8301</v>
      </c>
      <c r="H244" s="1"/>
      <c r="I244" s="71">
        <f>IFERROR(__xludf.DUMMYFUNCTION("""COMPUTED_VALUE"""),30.182953891078657)</f>
        <v>30.18295389</v>
      </c>
      <c r="J244" s="69">
        <f>IFERROR(__xludf.DUMMYFUNCTION("""COMPUTED_VALUE"""),0.0)</f>
        <v>0</v>
      </c>
      <c r="K244" s="4">
        <f>IFERROR(__xludf.DUMMYFUNCTION("""COMPUTED_VALUE"""),30.182953891078657)</f>
        <v>30.18295389</v>
      </c>
      <c r="N244" s="67"/>
      <c r="R244" s="4"/>
    </row>
    <row r="245">
      <c r="A245" s="66">
        <f>IFERROR(__xludf.DUMMYFUNCTION("""COMPUTED_VALUE"""),46150.0)</f>
        <v>46150</v>
      </c>
      <c r="B245" s="67">
        <f>IFERROR(__xludf.DUMMYFUNCTION("""COMPUTED_VALUE"""),118.0)</f>
        <v>118</v>
      </c>
      <c r="C245" s="69">
        <f>IFERROR(__xludf.DUMMYFUNCTION("""COMPUTED_VALUE"""),20.0)</f>
        <v>20</v>
      </c>
      <c r="D245" s="1" t="str">
        <f>IFERROR(__xludf.DUMMYFUNCTION("""COMPUTED_VALUE"""),"USD")</f>
        <v>USD</v>
      </c>
      <c r="E245" s="1" t="str">
        <f>IFERROR(__xludf.DUMMYFUNCTION("""COMPUTED_VALUE"""),"Efectivo USD")</f>
        <v>Efectivo USD</v>
      </c>
      <c r="F245" s="1" t="str">
        <f>IFERROR(__xludf.DUMMYFUNCTION("""COMPUTED_VALUE"""),"ELIVAN2025, C.A")</f>
        <v>ELIVAN2025, C.A</v>
      </c>
      <c r="G245" s="70">
        <f>IFERROR(__xludf.DUMMYFUNCTION("""COMPUTED_VALUE"""),496.8301)</f>
        <v>496.8301</v>
      </c>
      <c r="H245" s="1"/>
      <c r="I245" s="71">
        <f>IFERROR(__xludf.DUMMYFUNCTION("""COMPUTED_VALUE"""),20.0)</f>
        <v>20</v>
      </c>
      <c r="J245" s="69">
        <f>IFERROR(__xludf.DUMMYFUNCTION("""COMPUTED_VALUE"""),20.0)</f>
        <v>20</v>
      </c>
      <c r="K245" s="4">
        <f>IFERROR(__xludf.DUMMYFUNCTION("""COMPUTED_VALUE"""),20.0)</f>
        <v>20</v>
      </c>
      <c r="N245" s="67"/>
      <c r="R245" s="4"/>
    </row>
    <row r="246">
      <c r="A246" s="66">
        <f>IFERROR(__xludf.DUMMYFUNCTION("""COMPUTED_VALUE"""),46150.0)</f>
        <v>46150</v>
      </c>
      <c r="B246" s="67">
        <f>IFERROR(__xludf.DUMMYFUNCTION("""COMPUTED_VALUE"""),43.0)</f>
        <v>43</v>
      </c>
      <c r="C246" s="69">
        <f>IFERROR(__xludf.DUMMYFUNCTION("""COMPUTED_VALUE"""),213194.38)</f>
        <v>213194.38</v>
      </c>
      <c r="D246" s="1" t="str">
        <f>IFERROR(__xludf.DUMMYFUNCTION("""COMPUTED_VALUE"""),"VES")</f>
        <v>VES</v>
      </c>
      <c r="E246" s="1" t="str">
        <f>IFERROR(__xludf.DUMMYFUNCTION("""COMPUTED_VALUE"""),"Bancamiga")</f>
        <v>Bancamiga</v>
      </c>
      <c r="F246" s="1" t="str">
        <f>IFERROR(__xludf.DUMMYFUNCTION("""COMPUTED_VALUE"""),"Vianney García")</f>
        <v>Vianney García</v>
      </c>
      <c r="G246" s="70">
        <f>IFERROR(__xludf.DUMMYFUNCTION("""COMPUTED_VALUE"""),499.8608)</f>
        <v>499.8608</v>
      </c>
      <c r="H246" s="1"/>
      <c r="I246" s="71">
        <f>IFERROR(__xludf.DUMMYFUNCTION("""COMPUTED_VALUE"""),426.50749968791314)</f>
        <v>426.5074997</v>
      </c>
      <c r="J246" s="69">
        <f>IFERROR(__xludf.DUMMYFUNCTION("""COMPUTED_VALUE"""),0.0)</f>
        <v>0</v>
      </c>
      <c r="K246" s="4">
        <f>IFERROR(__xludf.DUMMYFUNCTION("""COMPUTED_VALUE"""),426.50749968791314)</f>
        <v>426.5074997</v>
      </c>
      <c r="N246" s="67"/>
      <c r="R246" s="4"/>
    </row>
    <row r="247">
      <c r="A247" s="66">
        <f>IFERROR(__xludf.DUMMYFUNCTION("""COMPUTED_VALUE"""),46150.0)</f>
        <v>46150</v>
      </c>
      <c r="B247" s="67">
        <f>IFERROR(__xludf.DUMMYFUNCTION("""COMPUTED_VALUE"""),197.0)</f>
        <v>197</v>
      </c>
      <c r="C247" s="69">
        <f>IFERROR(__xludf.DUMMYFUNCTION("""COMPUTED_VALUE"""),100.0)</f>
        <v>100</v>
      </c>
      <c r="D247" s="1" t="str">
        <f>IFERROR(__xludf.DUMMYFUNCTION("""COMPUTED_VALUE"""),"USD")</f>
        <v>USD</v>
      </c>
      <c r="E247" s="1" t="str">
        <f>IFERROR(__xludf.DUMMYFUNCTION("""COMPUTED_VALUE"""),"Efectivo USD")</f>
        <v>Efectivo USD</v>
      </c>
      <c r="F247" s="1" t="str">
        <f>IFERROR(__xludf.DUMMYFUNCTION("""COMPUTED_VALUE"""),"Auto Repuestos Acal C.A")</f>
        <v>Auto Repuestos Acal C.A</v>
      </c>
      <c r="G247" s="70">
        <f>IFERROR(__xludf.DUMMYFUNCTION("""COMPUTED_VALUE"""),499.8608)</f>
        <v>499.8608</v>
      </c>
      <c r="H247" s="1"/>
      <c r="I247" s="71">
        <f>IFERROR(__xludf.DUMMYFUNCTION("""COMPUTED_VALUE"""),100.0)</f>
        <v>100</v>
      </c>
      <c r="J247" s="69">
        <f>IFERROR(__xludf.DUMMYFUNCTION("""COMPUTED_VALUE"""),100.0)</f>
        <v>100</v>
      </c>
      <c r="K247" s="4">
        <f>IFERROR(__xludf.DUMMYFUNCTION("""COMPUTED_VALUE"""),100.0)</f>
        <v>100</v>
      </c>
      <c r="N247" s="67"/>
      <c r="R247" s="4"/>
    </row>
    <row r="248">
      <c r="A248" s="66">
        <f>IFERROR(__xludf.DUMMYFUNCTION("""COMPUTED_VALUE"""),46150.0)</f>
        <v>46150</v>
      </c>
      <c r="B248" s="67">
        <f>IFERROR(__xludf.DUMMYFUNCTION("""COMPUTED_VALUE"""),61.0)</f>
        <v>61</v>
      </c>
      <c r="C248" s="69">
        <f>IFERROR(__xludf.DUMMYFUNCTION("""COMPUTED_VALUE"""),250.0)</f>
        <v>250</v>
      </c>
      <c r="D248" s="1" t="str">
        <f>IFERROR(__xludf.DUMMYFUNCTION("""COMPUTED_VALUE"""),"USD")</f>
        <v>USD</v>
      </c>
      <c r="E248" s="1" t="str">
        <f>IFERROR(__xludf.DUMMYFUNCTION("""COMPUTED_VALUE"""),"Efectivo USD")</f>
        <v>Efectivo USD</v>
      </c>
      <c r="F248" s="1" t="str">
        <f>IFERROR(__xludf.DUMMYFUNCTION("""COMPUTED_VALUE"""),"SJMG 2012 C.A")</f>
        <v>SJMG 2012 C.A</v>
      </c>
      <c r="G248" s="70">
        <f>IFERROR(__xludf.DUMMYFUNCTION("""COMPUTED_VALUE"""),499.8608)</f>
        <v>499.8608</v>
      </c>
      <c r="H248" s="1"/>
      <c r="I248" s="71">
        <f>IFERROR(__xludf.DUMMYFUNCTION("""COMPUTED_VALUE"""),250.0)</f>
        <v>250</v>
      </c>
      <c r="J248" s="69">
        <f>IFERROR(__xludf.DUMMYFUNCTION("""COMPUTED_VALUE"""),250.0)</f>
        <v>250</v>
      </c>
      <c r="K248" s="4">
        <f>IFERROR(__xludf.DUMMYFUNCTION("""COMPUTED_VALUE"""),250.0)</f>
        <v>250</v>
      </c>
      <c r="N248" s="67"/>
      <c r="R248" s="4"/>
    </row>
    <row r="249">
      <c r="A249" s="66">
        <f>IFERROR(__xludf.DUMMYFUNCTION("""COMPUTED_VALUE"""),46150.0)</f>
        <v>46150</v>
      </c>
      <c r="B249" s="67">
        <f>IFERROR(__xludf.DUMMYFUNCTION("""COMPUTED_VALUE"""),222.0)</f>
        <v>222</v>
      </c>
      <c r="C249" s="69">
        <f>IFERROR(__xludf.DUMMYFUNCTION("""COMPUTED_VALUE"""),40.0)</f>
        <v>40</v>
      </c>
      <c r="D249" s="1" t="str">
        <f>IFERROR(__xludf.DUMMYFUNCTION("""COMPUTED_VALUE"""),"USD")</f>
        <v>USD</v>
      </c>
      <c r="E249" s="1" t="str">
        <f>IFERROR(__xludf.DUMMYFUNCTION("""COMPUTED_VALUE"""),"Efectivo USD")</f>
        <v>Efectivo USD</v>
      </c>
      <c r="F249" s="1" t="str">
        <f>IFERROR(__xludf.DUMMYFUNCTION("""COMPUTED_VALUE"""),"Braulio R. Cedeño Gonzalez.")</f>
        <v>Braulio R. Cedeño Gonzalez.</v>
      </c>
      <c r="G249" s="70">
        <f>IFERROR(__xludf.DUMMYFUNCTION("""COMPUTED_VALUE"""),499.8608)</f>
        <v>499.8608</v>
      </c>
      <c r="H249" s="1"/>
      <c r="I249" s="71">
        <f>IFERROR(__xludf.DUMMYFUNCTION("""COMPUTED_VALUE"""),40.0)</f>
        <v>40</v>
      </c>
      <c r="J249" s="69">
        <f>IFERROR(__xludf.DUMMYFUNCTION("""COMPUTED_VALUE"""),40.0)</f>
        <v>40</v>
      </c>
      <c r="K249" s="4">
        <f>IFERROR(__xludf.DUMMYFUNCTION("""COMPUTED_VALUE"""),40.0)</f>
        <v>40</v>
      </c>
      <c r="N249" s="67"/>
      <c r="R249" s="4"/>
    </row>
    <row r="250">
      <c r="A250" s="66">
        <f>IFERROR(__xludf.DUMMYFUNCTION("""COMPUTED_VALUE"""),46150.0)</f>
        <v>46150</v>
      </c>
      <c r="B250" s="67">
        <f>IFERROR(__xludf.DUMMYFUNCTION("""COMPUTED_VALUE"""),145.0)</f>
        <v>145</v>
      </c>
      <c r="C250" s="69">
        <f>IFERROR(__xludf.DUMMYFUNCTION("""COMPUTED_VALUE"""),100.0)</f>
        <v>100</v>
      </c>
      <c r="D250" s="1" t="str">
        <f>IFERROR(__xludf.DUMMYFUNCTION("""COMPUTED_VALUE"""),"USD")</f>
        <v>USD</v>
      </c>
      <c r="E250" s="1" t="str">
        <f>IFERROR(__xludf.DUMMYFUNCTION("""COMPUTED_VALUE"""),"Efectivo USD")</f>
        <v>Efectivo USD</v>
      </c>
      <c r="F250" s="1" t="str">
        <f>IFERROR(__xludf.DUMMYFUNCTION("""COMPUTED_VALUE"""),"La cámara perfecta")</f>
        <v>La cámara perfecta</v>
      </c>
      <c r="G250" s="70">
        <f>IFERROR(__xludf.DUMMYFUNCTION("""COMPUTED_VALUE"""),499.8608)</f>
        <v>499.8608</v>
      </c>
      <c r="H250" s="1"/>
      <c r="I250" s="71">
        <f>IFERROR(__xludf.DUMMYFUNCTION("""COMPUTED_VALUE"""),100.0)</f>
        <v>100</v>
      </c>
      <c r="J250" s="69">
        <f>IFERROR(__xludf.DUMMYFUNCTION("""COMPUTED_VALUE"""),100.0)</f>
        <v>100</v>
      </c>
      <c r="K250" s="4">
        <f>IFERROR(__xludf.DUMMYFUNCTION("""COMPUTED_VALUE"""),100.0)</f>
        <v>100</v>
      </c>
      <c r="N250" s="67"/>
      <c r="R250" s="4"/>
    </row>
    <row r="251">
      <c r="A251" s="66">
        <f>IFERROR(__xludf.DUMMYFUNCTION("""COMPUTED_VALUE"""),46150.0)</f>
        <v>46150</v>
      </c>
      <c r="B251" s="67">
        <f>IFERROR(__xludf.DUMMYFUNCTION("""COMPUTED_VALUE"""),44.0)</f>
        <v>44</v>
      </c>
      <c r="C251" s="69">
        <f>IFERROR(__xludf.DUMMYFUNCTION("""COMPUTED_VALUE"""),140.0)</f>
        <v>140</v>
      </c>
      <c r="D251" s="1" t="str">
        <f>IFERROR(__xludf.DUMMYFUNCTION("""COMPUTED_VALUE"""),"USD")</f>
        <v>USD</v>
      </c>
      <c r="E251" s="1" t="str">
        <f>IFERROR(__xludf.DUMMYFUNCTION("""COMPUTED_VALUE"""),"Efectivo USD")</f>
        <v>Efectivo USD</v>
      </c>
      <c r="F251" s="1" t="str">
        <f>IFERROR(__xludf.DUMMYFUNCTION("""COMPUTED_VALUE"""),"Comercializadora Garabote")</f>
        <v>Comercializadora Garabote</v>
      </c>
      <c r="G251" s="70">
        <f>IFERROR(__xludf.DUMMYFUNCTION("""COMPUTED_VALUE"""),499.8608)</f>
        <v>499.8608</v>
      </c>
      <c r="H251" s="1"/>
      <c r="I251" s="71">
        <f>IFERROR(__xludf.DUMMYFUNCTION("""COMPUTED_VALUE"""),140.0)</f>
        <v>140</v>
      </c>
      <c r="J251" s="69">
        <f>IFERROR(__xludf.DUMMYFUNCTION("""COMPUTED_VALUE"""),140.0)</f>
        <v>140</v>
      </c>
      <c r="K251" s="4">
        <f>IFERROR(__xludf.DUMMYFUNCTION("""COMPUTED_VALUE"""),140.0)</f>
        <v>140</v>
      </c>
      <c r="N251" s="67"/>
      <c r="R251" s="4"/>
    </row>
    <row r="252">
      <c r="A252" s="66">
        <f>IFERROR(__xludf.DUMMYFUNCTION("""COMPUTED_VALUE"""),46150.0)</f>
        <v>46150</v>
      </c>
      <c r="B252" s="67">
        <f>IFERROR(__xludf.DUMMYFUNCTION("""COMPUTED_VALUE"""),49.0)</f>
        <v>49</v>
      </c>
      <c r="C252" s="69">
        <f>IFERROR(__xludf.DUMMYFUNCTION("""COMPUTED_VALUE"""),100.0)</f>
        <v>100</v>
      </c>
      <c r="D252" s="1" t="str">
        <f>IFERROR(__xludf.DUMMYFUNCTION("""COMPUTED_VALUE"""),"USD")</f>
        <v>USD</v>
      </c>
      <c r="E252" s="1" t="str">
        <f>IFERROR(__xludf.DUMMYFUNCTION("""COMPUTED_VALUE"""),"Efectivo USD")</f>
        <v>Efectivo USD</v>
      </c>
      <c r="F252" s="1" t="str">
        <f>IFERROR(__xludf.DUMMYFUNCTION("""COMPUTED_VALUE"""),"Marlene Herrera")</f>
        <v>Marlene Herrera</v>
      </c>
      <c r="G252" s="70">
        <f>IFERROR(__xludf.DUMMYFUNCTION("""COMPUTED_VALUE"""),499.8608)</f>
        <v>499.8608</v>
      </c>
      <c r="H252" s="1"/>
      <c r="I252" s="71">
        <f>IFERROR(__xludf.DUMMYFUNCTION("""COMPUTED_VALUE"""),100.0)</f>
        <v>100</v>
      </c>
      <c r="J252" s="69">
        <f>IFERROR(__xludf.DUMMYFUNCTION("""COMPUTED_VALUE"""),100.0)</f>
        <v>100</v>
      </c>
      <c r="K252" s="4">
        <f>IFERROR(__xludf.DUMMYFUNCTION("""COMPUTED_VALUE"""),100.0)</f>
        <v>100</v>
      </c>
      <c r="N252" s="67"/>
      <c r="R252" s="4"/>
    </row>
    <row r="253">
      <c r="A253" s="66">
        <f>IFERROR(__xludf.DUMMYFUNCTION("""COMPUTED_VALUE"""),46150.0)</f>
        <v>46150</v>
      </c>
      <c r="B253" s="67">
        <f>IFERROR(__xludf.DUMMYFUNCTION("""COMPUTED_VALUE"""),133.0)</f>
        <v>133</v>
      </c>
      <c r="C253" s="69">
        <f>IFERROR(__xludf.DUMMYFUNCTION("""COMPUTED_VALUE"""),500.0)</f>
        <v>500</v>
      </c>
      <c r="D253" s="1" t="str">
        <f>IFERROR(__xludf.DUMMYFUNCTION("""COMPUTED_VALUE"""),"USD")</f>
        <v>USD</v>
      </c>
      <c r="E253" s="1" t="str">
        <f>IFERROR(__xludf.DUMMYFUNCTION("""COMPUTED_VALUE"""),"Efectivo USD")</f>
        <v>Efectivo USD</v>
      </c>
      <c r="F253" s="1" t="str">
        <f>IFERROR(__xludf.DUMMYFUNCTION("""COMPUTED_VALUE"""),"Inversiones La Bendición del Nazareno, C.A")</f>
        <v>Inversiones La Bendición del Nazareno, C.A</v>
      </c>
      <c r="G253" s="70">
        <f>IFERROR(__xludf.DUMMYFUNCTION("""COMPUTED_VALUE"""),499.8608)</f>
        <v>499.8608</v>
      </c>
      <c r="H253" s="1"/>
      <c r="I253" s="71">
        <f>IFERROR(__xludf.DUMMYFUNCTION("""COMPUTED_VALUE"""),500.0)</f>
        <v>500</v>
      </c>
      <c r="J253" s="69">
        <f>IFERROR(__xludf.DUMMYFUNCTION("""COMPUTED_VALUE"""),500.0)</f>
        <v>500</v>
      </c>
      <c r="K253" s="4">
        <f>IFERROR(__xludf.DUMMYFUNCTION("""COMPUTED_VALUE"""),500.0)</f>
        <v>500</v>
      </c>
      <c r="N253" s="67"/>
      <c r="R253" s="4"/>
    </row>
    <row r="254">
      <c r="A254" s="66">
        <f>IFERROR(__xludf.DUMMYFUNCTION("""COMPUTED_VALUE"""),46150.0)</f>
        <v>46150</v>
      </c>
      <c r="B254" s="67">
        <f>IFERROR(__xludf.DUMMYFUNCTION("""COMPUTED_VALUE"""),285.0)</f>
        <v>285</v>
      </c>
      <c r="C254" s="69">
        <f>IFERROR(__xludf.DUMMYFUNCTION("""COMPUTED_VALUE"""),75.0)</f>
        <v>75</v>
      </c>
      <c r="D254" s="1" t="str">
        <f>IFERROR(__xludf.DUMMYFUNCTION("""COMPUTED_VALUE"""),"USD")</f>
        <v>USD</v>
      </c>
      <c r="E254" s="1" t="str">
        <f>IFERROR(__xludf.DUMMYFUNCTION("""COMPUTED_VALUE"""),"Efectivo USD")</f>
        <v>Efectivo USD</v>
      </c>
      <c r="F254" s="1" t="str">
        <f>IFERROR(__xludf.DUMMYFUNCTION("""COMPUTED_VALUE"""),"Inversiones Air Brakes, C.A")</f>
        <v>Inversiones Air Brakes, C.A</v>
      </c>
      <c r="G254" s="70">
        <f>IFERROR(__xludf.DUMMYFUNCTION("""COMPUTED_VALUE"""),499.8608)</f>
        <v>499.8608</v>
      </c>
      <c r="H254" s="1"/>
      <c r="I254" s="71">
        <f>IFERROR(__xludf.DUMMYFUNCTION("""COMPUTED_VALUE"""),75.0)</f>
        <v>75</v>
      </c>
      <c r="J254" s="69">
        <f>IFERROR(__xludf.DUMMYFUNCTION("""COMPUTED_VALUE"""),75.0)</f>
        <v>75</v>
      </c>
      <c r="K254" s="4">
        <f>IFERROR(__xludf.DUMMYFUNCTION("""COMPUTED_VALUE"""),75.0)</f>
        <v>75</v>
      </c>
      <c r="N254" s="67"/>
      <c r="R254" s="4"/>
    </row>
    <row r="255">
      <c r="A255" s="66">
        <f>IFERROR(__xludf.DUMMYFUNCTION("""COMPUTED_VALUE"""),46150.0)</f>
        <v>46150</v>
      </c>
      <c r="B255" s="67">
        <f>IFERROR(__xludf.DUMMYFUNCTION("""COMPUTED_VALUE"""),124.0)</f>
        <v>124</v>
      </c>
      <c r="C255" s="69">
        <f>IFERROR(__xludf.DUMMYFUNCTION("""COMPUTED_VALUE"""),160.0)</f>
        <v>160</v>
      </c>
      <c r="D255" s="1" t="str">
        <f>IFERROR(__xludf.DUMMYFUNCTION("""COMPUTED_VALUE"""),"USD")</f>
        <v>USD</v>
      </c>
      <c r="E255" s="1" t="str">
        <f>IFERROR(__xludf.DUMMYFUNCTION("""COMPUTED_VALUE"""),"Efectivo USD")</f>
        <v>Efectivo USD</v>
      </c>
      <c r="F255" s="1" t="str">
        <f>IFERROR(__xludf.DUMMYFUNCTION("""COMPUTED_VALUE"""),"M.L.P Repuestos y Otros, C.A")</f>
        <v>M.L.P Repuestos y Otros, C.A</v>
      </c>
      <c r="G255" s="70">
        <f>IFERROR(__xludf.DUMMYFUNCTION("""COMPUTED_VALUE"""),499.8608)</f>
        <v>499.8608</v>
      </c>
      <c r="H255" s="1"/>
      <c r="I255" s="71">
        <f>IFERROR(__xludf.DUMMYFUNCTION("""COMPUTED_VALUE"""),160.0)</f>
        <v>160</v>
      </c>
      <c r="J255" s="69">
        <f>IFERROR(__xludf.DUMMYFUNCTION("""COMPUTED_VALUE"""),160.0)</f>
        <v>160</v>
      </c>
      <c r="K255" s="4">
        <f>IFERROR(__xludf.DUMMYFUNCTION("""COMPUTED_VALUE"""),160.0)</f>
        <v>160</v>
      </c>
      <c r="N255" s="67"/>
      <c r="R255" s="4"/>
    </row>
    <row r="256">
      <c r="A256" s="66">
        <f>IFERROR(__xludf.DUMMYFUNCTION("""COMPUTED_VALUE"""),46153.0)</f>
        <v>46153</v>
      </c>
      <c r="B256" s="67">
        <f>IFERROR(__xludf.DUMMYFUNCTION("""COMPUTED_VALUE"""),230.0)</f>
        <v>230</v>
      </c>
      <c r="C256" s="69">
        <f>IFERROR(__xludf.DUMMYFUNCTION("""COMPUTED_VALUE"""),391495.0)</f>
        <v>391495</v>
      </c>
      <c r="D256" s="1" t="str">
        <f>IFERROR(__xludf.DUMMYFUNCTION("""COMPUTED_VALUE"""),"VES")</f>
        <v>VES</v>
      </c>
      <c r="E256" s="1" t="str">
        <f>IFERROR(__xludf.DUMMYFUNCTION("""COMPUTED_VALUE"""),"Bancamiga")</f>
        <v>Bancamiga</v>
      </c>
      <c r="F256" s="1" t="str">
        <f>IFERROR(__xludf.DUMMYFUNCTION("""COMPUTED_VALUE"""),"E&amp;M CAR SHOP C.A")</f>
        <v>E&amp;M CAR SHOP C.A</v>
      </c>
      <c r="G256" s="70">
        <f>IFERROR(__xludf.DUMMYFUNCTION("""COMPUTED_VALUE"""),499.8608)</f>
        <v>499.8608</v>
      </c>
      <c r="H256" s="1"/>
      <c r="I256" s="71">
        <f>IFERROR(__xludf.DUMMYFUNCTION("""COMPUTED_VALUE"""),783.2080451197613)</f>
        <v>783.2080451</v>
      </c>
      <c r="J256" s="69">
        <f>IFERROR(__xludf.DUMMYFUNCTION("""COMPUTED_VALUE"""),0.0)</f>
        <v>0</v>
      </c>
      <c r="K256" s="4">
        <f>IFERROR(__xludf.DUMMYFUNCTION("""COMPUTED_VALUE"""),783.2080451197613)</f>
        <v>783.2080451</v>
      </c>
      <c r="N256" s="67"/>
      <c r="R256" s="4"/>
    </row>
    <row r="257">
      <c r="A257" s="66">
        <f>IFERROR(__xludf.DUMMYFUNCTION("""COMPUTED_VALUE"""),46153.0)</f>
        <v>46153</v>
      </c>
      <c r="B257" s="67">
        <f>IFERROR(__xludf.DUMMYFUNCTION("""COMPUTED_VALUE"""),150.0)</f>
        <v>150</v>
      </c>
      <c r="C257" s="69">
        <f>IFERROR(__xludf.DUMMYFUNCTION("""COMPUTED_VALUE"""),175.0)</f>
        <v>175</v>
      </c>
      <c r="D257" s="1" t="str">
        <f>IFERROR(__xludf.DUMMYFUNCTION("""COMPUTED_VALUE"""),"USD")</f>
        <v>USD</v>
      </c>
      <c r="E257" s="1" t="str">
        <f>IFERROR(__xludf.DUMMYFUNCTION("""COMPUTED_VALUE"""),"Zelle")</f>
        <v>Zelle</v>
      </c>
      <c r="F257" s="1" t="str">
        <f>IFERROR(__xludf.DUMMYFUNCTION("""COMPUTED_VALUE"""),"Inversiones Dekamalbaz, C.A")</f>
        <v>Inversiones Dekamalbaz, C.A</v>
      </c>
      <c r="G257" s="70">
        <f>IFERROR(__xludf.DUMMYFUNCTION("""COMPUTED_VALUE"""),499.8608)</f>
        <v>499.8608</v>
      </c>
      <c r="H257" s="1"/>
      <c r="I257" s="71">
        <f>IFERROR(__xludf.DUMMYFUNCTION("""COMPUTED_VALUE"""),175.0)</f>
        <v>175</v>
      </c>
      <c r="J257" s="69">
        <f>IFERROR(__xludf.DUMMYFUNCTION("""COMPUTED_VALUE"""),175.0)</f>
        <v>175</v>
      </c>
      <c r="K257" s="4">
        <f>IFERROR(__xludf.DUMMYFUNCTION("""COMPUTED_VALUE"""),175.0)</f>
        <v>175</v>
      </c>
      <c r="N257" s="67"/>
      <c r="R257" s="4"/>
    </row>
    <row r="258">
      <c r="A258" s="66">
        <f>IFERROR(__xludf.DUMMYFUNCTION("""COMPUTED_VALUE"""),46153.0)</f>
        <v>46153</v>
      </c>
      <c r="B258" s="67">
        <f>IFERROR(__xludf.DUMMYFUNCTION("""COMPUTED_VALUE"""),158.0)</f>
        <v>158</v>
      </c>
      <c r="C258" s="69">
        <f>IFERROR(__xludf.DUMMYFUNCTION("""COMPUTED_VALUE"""),230.0)</f>
        <v>230</v>
      </c>
      <c r="D258" s="1" t="str">
        <f>IFERROR(__xludf.DUMMYFUNCTION("""COMPUTED_VALUE"""),"USD")</f>
        <v>USD</v>
      </c>
      <c r="E258" s="1" t="str">
        <f>IFERROR(__xludf.DUMMYFUNCTION("""COMPUTED_VALUE"""),"Zelle")</f>
        <v>Zelle</v>
      </c>
      <c r="F258" s="1" t="str">
        <f>IFERROR(__xludf.DUMMYFUNCTION("""COMPUTED_VALUE"""),"Dimas Ortíz")</f>
        <v>Dimas Ortíz</v>
      </c>
      <c r="G258" s="70">
        <f>IFERROR(__xludf.DUMMYFUNCTION("""COMPUTED_VALUE"""),500.4606)</f>
        <v>500.4606</v>
      </c>
      <c r="H258" s="1"/>
      <c r="I258" s="71">
        <f>IFERROR(__xludf.DUMMYFUNCTION("""COMPUTED_VALUE"""),230.0)</f>
        <v>230</v>
      </c>
      <c r="J258" s="69">
        <f>IFERROR(__xludf.DUMMYFUNCTION("""COMPUTED_VALUE"""),230.0)</f>
        <v>230</v>
      </c>
      <c r="K258" s="4">
        <f>IFERROR(__xludf.DUMMYFUNCTION("""COMPUTED_VALUE"""),230.0)</f>
        <v>230</v>
      </c>
      <c r="N258" s="67"/>
      <c r="R258" s="4"/>
    </row>
    <row r="259">
      <c r="A259" s="66">
        <f>IFERROR(__xludf.DUMMYFUNCTION("""COMPUTED_VALUE"""),46153.0)</f>
        <v>46153</v>
      </c>
      <c r="B259" s="67">
        <f>IFERROR(__xludf.DUMMYFUNCTION("""COMPUTED_VALUE"""),260.0)</f>
        <v>260</v>
      </c>
      <c r="C259" s="69">
        <f>IFERROR(__xludf.DUMMYFUNCTION("""COMPUTED_VALUE"""),50046.06)</f>
        <v>50046.06</v>
      </c>
      <c r="D259" s="1" t="str">
        <f>IFERROR(__xludf.DUMMYFUNCTION("""COMPUTED_VALUE"""),"VES")</f>
        <v>VES</v>
      </c>
      <c r="E259" s="1" t="str">
        <f>IFERROR(__xludf.DUMMYFUNCTION("""COMPUTED_VALUE"""),"Bancamiga")</f>
        <v>Bancamiga</v>
      </c>
      <c r="F259" s="1" t="str">
        <f>IFERROR(__xludf.DUMMYFUNCTION("""COMPUTED_VALUE"""),"Jose Lopez Espinoza")</f>
        <v>Jose Lopez Espinoza</v>
      </c>
      <c r="G259" s="70">
        <f>IFERROR(__xludf.DUMMYFUNCTION("""COMPUTED_VALUE"""),500.4606)</f>
        <v>500.4606</v>
      </c>
      <c r="H259" s="1"/>
      <c r="I259" s="71">
        <f>IFERROR(__xludf.DUMMYFUNCTION("""COMPUTED_VALUE"""),100.0)</f>
        <v>100</v>
      </c>
      <c r="J259" s="69">
        <f>IFERROR(__xludf.DUMMYFUNCTION("""COMPUTED_VALUE"""),0.0)</f>
        <v>0</v>
      </c>
      <c r="K259" s="4">
        <f>IFERROR(__xludf.DUMMYFUNCTION("""COMPUTED_VALUE"""),100.0)</f>
        <v>100</v>
      </c>
      <c r="N259" s="67"/>
      <c r="R259" s="4"/>
    </row>
    <row r="260">
      <c r="A260" s="66">
        <f>IFERROR(__xludf.DUMMYFUNCTION("""COMPUTED_VALUE"""),46153.0)</f>
        <v>46153</v>
      </c>
      <c r="B260" s="67">
        <f>IFERROR(__xludf.DUMMYFUNCTION("""COMPUTED_VALUE"""),344.0)</f>
        <v>344</v>
      </c>
      <c r="C260" s="69">
        <f>IFERROR(__xludf.DUMMYFUNCTION("""COMPUTED_VALUE"""),91.0)</f>
        <v>91</v>
      </c>
      <c r="D260" s="1" t="str">
        <f>IFERROR(__xludf.DUMMYFUNCTION("""COMPUTED_VALUE"""),"USD")</f>
        <v>USD</v>
      </c>
      <c r="E260" s="1" t="str">
        <f>IFERROR(__xludf.DUMMYFUNCTION("""COMPUTED_VALUE"""),"Efectivo")</f>
        <v>Efectivo</v>
      </c>
      <c r="F260" s="1" t="str">
        <f>IFERROR(__xludf.DUMMYFUNCTION("""COMPUTED_VALUE"""),"EMPRENDIMIENTO IRMA RODRIGUEZ 6")</f>
        <v>EMPRENDIMIENTO IRMA RODRIGUEZ 6</v>
      </c>
      <c r="G260" s="70">
        <f>IFERROR(__xludf.DUMMYFUNCTION("""COMPUTED_VALUE"""),500.4606)</f>
        <v>500.4606</v>
      </c>
      <c r="H260" s="1"/>
      <c r="I260" s="71">
        <f>IFERROR(__xludf.DUMMYFUNCTION("""COMPUTED_VALUE"""),91.0)</f>
        <v>91</v>
      </c>
      <c r="J260" s="69">
        <f>IFERROR(__xludf.DUMMYFUNCTION("""COMPUTED_VALUE"""),91.0)</f>
        <v>91</v>
      </c>
      <c r="K260" s="4">
        <f>IFERROR(__xludf.DUMMYFUNCTION("""COMPUTED_VALUE"""),91.0)</f>
        <v>91</v>
      </c>
      <c r="N260" s="67"/>
      <c r="R260" s="4"/>
    </row>
    <row r="261">
      <c r="A261" s="66">
        <f>IFERROR(__xludf.DUMMYFUNCTION("""COMPUTED_VALUE"""),46153.0)</f>
        <v>46153</v>
      </c>
      <c r="B261" s="67">
        <f>IFERROR(__xludf.DUMMYFUNCTION("""COMPUTED_VALUE"""),21.0)</f>
        <v>21</v>
      </c>
      <c r="C261" s="69">
        <f>IFERROR(__xludf.DUMMYFUNCTION("""COMPUTED_VALUE"""),118845.6)</f>
        <v>118845.6</v>
      </c>
      <c r="D261" s="1" t="str">
        <f>IFERROR(__xludf.DUMMYFUNCTION("""COMPUTED_VALUE"""),"VES")</f>
        <v>VES</v>
      </c>
      <c r="E261" s="1" t="str">
        <f>IFERROR(__xludf.DUMMYFUNCTION("""COMPUTED_VALUE"""),"Bancamiga")</f>
        <v>Bancamiga</v>
      </c>
      <c r="F261" s="1" t="str">
        <f>IFERROR(__xludf.DUMMYFUNCTION("""COMPUTED_VALUE"""),"INVERSIONES SMALUM 21, C.A.")</f>
        <v>INVERSIONES SMALUM 21, C.A.</v>
      </c>
      <c r="G261" s="70">
        <f>IFERROR(__xludf.DUMMYFUNCTION("""COMPUTED_VALUE"""),500.4606)</f>
        <v>500.4606</v>
      </c>
      <c r="H261" s="1"/>
      <c r="I261" s="71">
        <f>IFERROR(__xludf.DUMMYFUNCTION("""COMPUTED_VALUE"""),237.47244038791467)</f>
        <v>237.4724404</v>
      </c>
      <c r="J261" s="69">
        <f>IFERROR(__xludf.DUMMYFUNCTION("""COMPUTED_VALUE"""),0.0)</f>
        <v>0</v>
      </c>
      <c r="K261" s="4">
        <f>IFERROR(__xludf.DUMMYFUNCTION("""COMPUTED_VALUE"""),237.47244038791467)</f>
        <v>237.4724404</v>
      </c>
      <c r="N261" s="67"/>
      <c r="R261" s="4"/>
    </row>
    <row r="262">
      <c r="A262" s="66">
        <f>IFERROR(__xludf.DUMMYFUNCTION("""COMPUTED_VALUE"""),46153.0)</f>
        <v>46153</v>
      </c>
      <c r="B262" s="67">
        <f>IFERROR(__xludf.DUMMYFUNCTION("""COMPUTED_VALUE"""),21.0)</f>
        <v>21</v>
      </c>
      <c r="C262" s="69">
        <f>IFERROR(__xludf.DUMMYFUNCTION("""COMPUTED_VALUE"""),589.27)</f>
        <v>589.27</v>
      </c>
      <c r="D262" s="1" t="str">
        <f>IFERROR(__xludf.DUMMYFUNCTION("""COMPUTED_VALUE"""),"VES")</f>
        <v>VES</v>
      </c>
      <c r="E262" s="1" t="str">
        <f>IFERROR(__xludf.DUMMYFUNCTION("""COMPUTED_VALUE"""),"Bancamiga")</f>
        <v>Bancamiga</v>
      </c>
      <c r="F262" s="1" t="str">
        <f>IFERROR(__xludf.DUMMYFUNCTION("""COMPUTED_VALUE"""),"INVERSIONES SMALUM 21, C.A.")</f>
        <v>INVERSIONES SMALUM 21, C.A.</v>
      </c>
      <c r="G262" s="70">
        <f>IFERROR(__xludf.DUMMYFUNCTION("""COMPUTED_VALUE"""),500.4606)</f>
        <v>500.4606</v>
      </c>
      <c r="H262" s="1"/>
      <c r="I262" s="71">
        <f>IFERROR(__xludf.DUMMYFUNCTION("""COMPUTED_VALUE"""),1.1774553281517066)</f>
        <v>1.177455328</v>
      </c>
      <c r="J262" s="69">
        <f>IFERROR(__xludf.DUMMYFUNCTION("""COMPUTED_VALUE"""),0.0)</f>
        <v>0</v>
      </c>
      <c r="K262" s="4">
        <f>IFERROR(__xludf.DUMMYFUNCTION("""COMPUTED_VALUE"""),1.1774553281517066)</f>
        <v>1.177455328</v>
      </c>
      <c r="N262" s="67"/>
      <c r="R262" s="4"/>
    </row>
    <row r="263">
      <c r="A263" s="66">
        <f>IFERROR(__xludf.DUMMYFUNCTION("""COMPUTED_VALUE"""),46153.0)</f>
        <v>46153</v>
      </c>
      <c r="B263" s="67">
        <f>IFERROR(__xludf.DUMMYFUNCTION("""COMPUTED_VALUE"""),192.0)</f>
        <v>192</v>
      </c>
      <c r="C263" s="69">
        <f>IFERROR(__xludf.DUMMYFUNCTION("""COMPUTED_VALUE"""),40.0)</f>
        <v>40</v>
      </c>
      <c r="D263" s="1" t="str">
        <f>IFERROR(__xludf.DUMMYFUNCTION("""COMPUTED_VALUE"""),"USD")</f>
        <v>USD</v>
      </c>
      <c r="E263" s="1" t="str">
        <f>IFERROR(__xludf.DUMMYFUNCTION("""COMPUTED_VALUE"""),"Efectivo USD")</f>
        <v>Efectivo USD</v>
      </c>
      <c r="F263" s="1" t="str">
        <f>IFERROR(__xludf.DUMMYFUNCTION("""COMPUTED_VALUE"""),"Global Ferre 888 C.A")</f>
        <v>Global Ferre 888 C.A</v>
      </c>
      <c r="G263" s="70">
        <f>IFERROR(__xludf.DUMMYFUNCTION("""COMPUTED_VALUE"""),500.4606)</f>
        <v>500.4606</v>
      </c>
      <c r="H263" s="1"/>
      <c r="I263" s="71">
        <f>IFERROR(__xludf.DUMMYFUNCTION("""COMPUTED_VALUE"""),40.0)</f>
        <v>40</v>
      </c>
      <c r="J263" s="69">
        <f>IFERROR(__xludf.DUMMYFUNCTION("""COMPUTED_VALUE"""),40.0)</f>
        <v>40</v>
      </c>
      <c r="K263" s="4">
        <f>IFERROR(__xludf.DUMMYFUNCTION("""COMPUTED_VALUE"""),40.0)</f>
        <v>40</v>
      </c>
      <c r="N263" s="67"/>
      <c r="R263" s="4"/>
    </row>
    <row r="264">
      <c r="A264" s="66">
        <f>IFERROR(__xludf.DUMMYFUNCTION("""COMPUTED_VALUE"""),46153.0)</f>
        <v>46153</v>
      </c>
      <c r="B264" s="67">
        <f>IFERROR(__xludf.DUMMYFUNCTION("""COMPUTED_VALUE"""),82.0)</f>
        <v>82</v>
      </c>
      <c r="C264" s="69">
        <f>IFERROR(__xludf.DUMMYFUNCTION("""COMPUTED_VALUE"""),185.0)</f>
        <v>185</v>
      </c>
      <c r="D264" s="1" t="str">
        <f>IFERROR(__xludf.DUMMYFUNCTION("""COMPUTED_VALUE"""),"USD")</f>
        <v>USD</v>
      </c>
      <c r="E264" s="1" t="str">
        <f>IFERROR(__xludf.DUMMYFUNCTION("""COMPUTED_VALUE"""),"Efectivo USD")</f>
        <v>Efectivo USD</v>
      </c>
      <c r="F264" s="1" t="str">
        <f>IFERROR(__xludf.DUMMYFUNCTION("""COMPUTED_VALUE"""),"Pedro Castro")</f>
        <v>Pedro Castro</v>
      </c>
      <c r="G264" s="70">
        <f>IFERROR(__xludf.DUMMYFUNCTION("""COMPUTED_VALUE"""),500.4606)</f>
        <v>500.4606</v>
      </c>
      <c r="H264" s="1"/>
      <c r="I264" s="71">
        <f>IFERROR(__xludf.DUMMYFUNCTION("""COMPUTED_VALUE"""),185.0)</f>
        <v>185</v>
      </c>
      <c r="J264" s="69">
        <f>IFERROR(__xludf.DUMMYFUNCTION("""COMPUTED_VALUE"""),185.0)</f>
        <v>185</v>
      </c>
      <c r="K264" s="4">
        <f>IFERROR(__xludf.DUMMYFUNCTION("""COMPUTED_VALUE"""),185.0)</f>
        <v>185</v>
      </c>
      <c r="N264" s="67"/>
      <c r="R264" s="4"/>
    </row>
    <row r="265">
      <c r="A265" s="66">
        <f>IFERROR(__xludf.DUMMYFUNCTION("""COMPUTED_VALUE"""),46154.0)</f>
        <v>46154</v>
      </c>
      <c r="B265" s="67">
        <f>IFERROR(__xludf.DUMMYFUNCTION("""COMPUTED_VALUE"""),53.0)</f>
        <v>53</v>
      </c>
      <c r="C265" s="69">
        <f>IFERROR(__xludf.DUMMYFUNCTION("""COMPUTED_VALUE"""),119010.4)</f>
        <v>119010.4</v>
      </c>
      <c r="D265" s="1" t="str">
        <f>IFERROR(__xludf.DUMMYFUNCTION("""COMPUTED_VALUE"""),"VES")</f>
        <v>VES</v>
      </c>
      <c r="E265" s="1" t="str">
        <f>IFERROR(__xludf.DUMMYFUNCTION("""COMPUTED_VALUE"""),"Bancamiga")</f>
        <v>Bancamiga</v>
      </c>
      <c r="F265" s="1" t="str">
        <f>IFERROR(__xludf.DUMMYFUNCTION("""COMPUTED_VALUE"""),"INVERSIONES MI  'LINDA YEMAIRE 2019, C.A")</f>
        <v>INVERSIONES MI  'LINDA YEMAIRE 2019, C.A</v>
      </c>
      <c r="G265" s="70">
        <f>IFERROR(__xludf.DUMMYFUNCTION("""COMPUTED_VALUE"""),500.4606)</f>
        <v>500.4606</v>
      </c>
      <c r="H265" s="1"/>
      <c r="I265" s="71">
        <f>IFERROR(__xludf.DUMMYFUNCTION("""COMPUTED_VALUE"""),237.80173703983888)</f>
        <v>237.801737</v>
      </c>
      <c r="J265" s="69">
        <f>IFERROR(__xludf.DUMMYFUNCTION("""COMPUTED_VALUE"""),0.0)</f>
        <v>0</v>
      </c>
      <c r="K265" s="4">
        <f>IFERROR(__xludf.DUMMYFUNCTION("""COMPUTED_VALUE"""),237.80173703983888)</f>
        <v>237.801737</v>
      </c>
      <c r="N265" s="67"/>
      <c r="R265" s="4"/>
    </row>
    <row r="266">
      <c r="A266" s="66">
        <f>IFERROR(__xludf.DUMMYFUNCTION("""COMPUTED_VALUE"""),46154.0)</f>
        <v>46154</v>
      </c>
      <c r="B266" s="67">
        <f>IFERROR(__xludf.DUMMYFUNCTION("""COMPUTED_VALUE"""),189.0)</f>
        <v>189</v>
      </c>
      <c r="C266" s="69">
        <f>IFERROR(__xludf.DUMMYFUNCTION("""COMPUTED_VALUE"""),140.0)</f>
        <v>140</v>
      </c>
      <c r="D266" s="1" t="str">
        <f>IFERROR(__xludf.DUMMYFUNCTION("""COMPUTED_VALUE"""),"USD")</f>
        <v>USD</v>
      </c>
      <c r="E266" s="1" t="str">
        <f>IFERROR(__xludf.DUMMYFUNCTION("""COMPUTED_VALUE"""),"Efectivo USD")</f>
        <v>Efectivo USD</v>
      </c>
      <c r="F266" s="1" t="str">
        <f>IFERROR(__xludf.DUMMYFUNCTION("""COMPUTED_VALUE"""),"Manuel Emilio Reyes")</f>
        <v>Manuel Emilio Reyes</v>
      </c>
      <c r="G266" s="70">
        <f>IFERROR(__xludf.DUMMYFUNCTION("""COMPUTED_VALUE"""),500.4606)</f>
        <v>500.4606</v>
      </c>
      <c r="H266" s="1"/>
      <c r="I266" s="71">
        <f>IFERROR(__xludf.DUMMYFUNCTION("""COMPUTED_VALUE"""),140.0)</f>
        <v>140</v>
      </c>
      <c r="J266" s="69">
        <f>IFERROR(__xludf.DUMMYFUNCTION("""COMPUTED_VALUE"""),140.0)</f>
        <v>140</v>
      </c>
      <c r="K266" s="4">
        <f>IFERROR(__xludf.DUMMYFUNCTION("""COMPUTED_VALUE"""),140.0)</f>
        <v>140</v>
      </c>
      <c r="N266" s="67"/>
      <c r="R266" s="4"/>
    </row>
    <row r="267">
      <c r="A267" s="66">
        <f>IFERROR(__xludf.DUMMYFUNCTION("""COMPUTED_VALUE"""),46154.0)</f>
        <v>46154</v>
      </c>
      <c r="B267" s="67">
        <f>IFERROR(__xludf.DUMMYFUNCTION("""COMPUTED_VALUE"""),96.0)</f>
        <v>96</v>
      </c>
      <c r="C267" s="69">
        <f>IFERROR(__xludf.DUMMYFUNCTION("""COMPUTED_VALUE"""),220223.55)</f>
        <v>220223.55</v>
      </c>
      <c r="D267" s="1" t="str">
        <f>IFERROR(__xludf.DUMMYFUNCTION("""COMPUTED_VALUE"""),"VES")</f>
        <v>VES</v>
      </c>
      <c r="E267" s="1" t="str">
        <f>IFERROR(__xludf.DUMMYFUNCTION("""COMPUTED_VALUE"""),"Bancamiga")</f>
        <v>Bancamiga</v>
      </c>
      <c r="F267" s="1" t="str">
        <f>IFERROR(__xludf.DUMMYFUNCTION("""COMPUTED_VALUE"""),"CONSTRUCTORA GRANO AGREGADO, C.A")</f>
        <v>CONSTRUCTORA GRANO AGREGADO, C.A</v>
      </c>
      <c r="G267" s="70">
        <f>IFERROR(__xludf.DUMMYFUNCTION("""COMPUTED_VALUE"""),504.9146)</f>
        <v>504.9146</v>
      </c>
      <c r="H267" s="1"/>
      <c r="I267" s="71">
        <f>IFERROR(__xludf.DUMMYFUNCTION("""COMPUTED_VALUE"""),436.1599961656882)</f>
        <v>436.1599962</v>
      </c>
      <c r="J267" s="69">
        <f>IFERROR(__xludf.DUMMYFUNCTION("""COMPUTED_VALUE"""),0.0)</f>
        <v>0</v>
      </c>
      <c r="K267" s="4">
        <f>IFERROR(__xludf.DUMMYFUNCTION("""COMPUTED_VALUE"""),436.1599961656882)</f>
        <v>436.1599962</v>
      </c>
      <c r="N267" s="67"/>
      <c r="R267" s="4"/>
    </row>
    <row r="268">
      <c r="A268" s="66">
        <f>IFERROR(__xludf.DUMMYFUNCTION("""COMPUTED_VALUE"""),46150.0)</f>
        <v>46150</v>
      </c>
      <c r="B268" s="67">
        <f>IFERROR(__xludf.DUMMYFUNCTION("""COMPUTED_VALUE"""),150.0)</f>
        <v>150</v>
      </c>
      <c r="C268" s="69">
        <f>IFERROR(__xludf.DUMMYFUNCTION("""COMPUTED_VALUE"""),175.0)</f>
        <v>175</v>
      </c>
      <c r="D268" s="1" t="str">
        <f>IFERROR(__xludf.DUMMYFUNCTION("""COMPUTED_VALUE"""),"USD")</f>
        <v>USD</v>
      </c>
      <c r="E268" s="1" t="str">
        <f>IFERROR(__xludf.DUMMYFUNCTION("""COMPUTED_VALUE"""),"Binance")</f>
        <v>Binance</v>
      </c>
      <c r="F268" s="1" t="str">
        <f>IFERROR(__xludf.DUMMYFUNCTION("""COMPUTED_VALUE"""),"Inversiones Dekamalbaz, C.A")</f>
        <v>Inversiones Dekamalbaz, C.A</v>
      </c>
      <c r="G268" s="70">
        <f>IFERROR(__xludf.DUMMYFUNCTION("""COMPUTED_VALUE"""),504.9146)</f>
        <v>504.9146</v>
      </c>
      <c r="H268" s="1"/>
      <c r="I268" s="71">
        <f>IFERROR(__xludf.DUMMYFUNCTION("""COMPUTED_VALUE"""),175.0)</f>
        <v>175</v>
      </c>
      <c r="J268" s="69">
        <f>IFERROR(__xludf.DUMMYFUNCTION("""COMPUTED_VALUE"""),175.0)</f>
        <v>175</v>
      </c>
      <c r="K268" s="4">
        <f>IFERROR(__xludf.DUMMYFUNCTION("""COMPUTED_VALUE"""),175.0)</f>
        <v>175</v>
      </c>
      <c r="N268" s="67"/>
      <c r="R268" s="4"/>
    </row>
    <row r="269">
      <c r="A269" s="66">
        <f>IFERROR(__xludf.DUMMYFUNCTION("""COMPUTED_VALUE"""),46154.0)</f>
        <v>46154</v>
      </c>
      <c r="B269" s="67">
        <f>IFERROR(__xludf.DUMMYFUNCTION("""COMPUTED_VALUE"""),87.0)</f>
        <v>87</v>
      </c>
      <c r="C269" s="69">
        <f>IFERROR(__xludf.DUMMYFUNCTION("""COMPUTED_VALUE"""),70.0)</f>
        <v>70</v>
      </c>
      <c r="D269" s="1" t="str">
        <f>IFERROR(__xludf.DUMMYFUNCTION("""COMPUTED_VALUE"""),"USD")</f>
        <v>USD</v>
      </c>
      <c r="E269" s="1" t="str">
        <f>IFERROR(__xludf.DUMMYFUNCTION("""COMPUTED_VALUE"""),"Efectivo USD")</f>
        <v>Efectivo USD</v>
      </c>
      <c r="F269" s="1" t="str">
        <f>IFERROR(__xludf.DUMMYFUNCTION("""COMPUTED_VALUE"""),"Javier Cardenas Prato.")</f>
        <v>Javier Cardenas Prato.</v>
      </c>
      <c r="G269" s="70">
        <f>IFERROR(__xludf.DUMMYFUNCTION("""COMPUTED_VALUE"""),504.9146)</f>
        <v>504.9146</v>
      </c>
      <c r="H269" s="1"/>
      <c r="I269" s="71">
        <f>IFERROR(__xludf.DUMMYFUNCTION("""COMPUTED_VALUE"""),70.0)</f>
        <v>70</v>
      </c>
      <c r="J269" s="69">
        <f>IFERROR(__xludf.DUMMYFUNCTION("""COMPUTED_VALUE"""),70.0)</f>
        <v>70</v>
      </c>
      <c r="K269" s="4">
        <f>IFERROR(__xludf.DUMMYFUNCTION("""COMPUTED_VALUE"""),70.0)</f>
        <v>70</v>
      </c>
      <c r="N269" s="67"/>
      <c r="R269" s="4"/>
    </row>
    <row r="270">
      <c r="A270" s="66">
        <f>IFERROR(__xludf.DUMMYFUNCTION("""COMPUTED_VALUE"""),46154.0)</f>
        <v>46154</v>
      </c>
      <c r="B270" s="67">
        <f>IFERROR(__xludf.DUMMYFUNCTION("""COMPUTED_VALUE"""),240.0)</f>
        <v>240</v>
      </c>
      <c r="C270" s="69">
        <f>IFERROR(__xludf.DUMMYFUNCTION("""COMPUTED_VALUE"""),76.0)</f>
        <v>76</v>
      </c>
      <c r="D270" s="1" t="str">
        <f>IFERROR(__xludf.DUMMYFUNCTION("""COMPUTED_VALUE"""),"USD")</f>
        <v>USD</v>
      </c>
      <c r="E270" s="1" t="str">
        <f>IFERROR(__xludf.DUMMYFUNCTION("""COMPUTED_VALUE"""),"Efectivo USD")</f>
        <v>Efectivo USD</v>
      </c>
      <c r="F270" s="1" t="str">
        <f>IFERROR(__xludf.DUMMYFUNCTION("""COMPUTED_VALUE"""),"Auto repuestos Fontalvo")</f>
        <v>Auto repuestos Fontalvo</v>
      </c>
      <c r="G270" s="70">
        <f>IFERROR(__xludf.DUMMYFUNCTION("""COMPUTED_VALUE"""),499.8608)</f>
        <v>499.8608</v>
      </c>
      <c r="H270" s="1"/>
      <c r="I270" s="71">
        <f>IFERROR(__xludf.DUMMYFUNCTION("""COMPUTED_VALUE"""),76.0)</f>
        <v>76</v>
      </c>
      <c r="J270" s="69">
        <f>IFERROR(__xludf.DUMMYFUNCTION("""COMPUTED_VALUE"""),76.0)</f>
        <v>76</v>
      </c>
      <c r="K270" s="4">
        <f>IFERROR(__xludf.DUMMYFUNCTION("""COMPUTED_VALUE"""),76.0)</f>
        <v>76</v>
      </c>
      <c r="N270" s="67"/>
      <c r="R270" s="4"/>
    </row>
    <row r="271">
      <c r="A271" s="66">
        <f>IFERROR(__xludf.DUMMYFUNCTION("""COMPUTED_VALUE"""),46154.0)</f>
        <v>46154</v>
      </c>
      <c r="B271" s="67">
        <f>IFERROR(__xludf.DUMMYFUNCTION("""COMPUTED_VALUE"""),123.0)</f>
        <v>123</v>
      </c>
      <c r="C271" s="69">
        <f>IFERROR(__xludf.DUMMYFUNCTION("""COMPUTED_VALUE"""),40.0)</f>
        <v>40</v>
      </c>
      <c r="D271" s="1" t="str">
        <f>IFERROR(__xludf.DUMMYFUNCTION("""COMPUTED_VALUE"""),"USD")</f>
        <v>USD</v>
      </c>
      <c r="E271" s="1" t="str">
        <f>IFERROR(__xludf.DUMMYFUNCTION("""COMPUTED_VALUE"""),"Efectivo USD")</f>
        <v>Efectivo USD</v>
      </c>
      <c r="F271" s="1" t="str">
        <f>IFERROR(__xludf.DUMMYFUNCTION("""COMPUTED_VALUE"""),"Ramon Alvarez Mota")</f>
        <v>Ramon Alvarez Mota</v>
      </c>
      <c r="G271" s="70">
        <f>IFERROR(__xludf.DUMMYFUNCTION("""COMPUTED_VALUE"""),504.9146)</f>
        <v>504.9146</v>
      </c>
      <c r="H271" s="1"/>
      <c r="I271" s="71">
        <f>IFERROR(__xludf.DUMMYFUNCTION("""COMPUTED_VALUE"""),40.0)</f>
        <v>40</v>
      </c>
      <c r="J271" s="69">
        <f>IFERROR(__xludf.DUMMYFUNCTION("""COMPUTED_VALUE"""),40.0)</f>
        <v>40</v>
      </c>
      <c r="K271" s="4">
        <f>IFERROR(__xludf.DUMMYFUNCTION("""COMPUTED_VALUE"""),40.0)</f>
        <v>40</v>
      </c>
      <c r="N271" s="67"/>
      <c r="R271" s="4"/>
    </row>
    <row r="272">
      <c r="A272" s="66">
        <f>IFERROR(__xludf.DUMMYFUNCTION("""COMPUTED_VALUE"""),46154.0)</f>
        <v>46154</v>
      </c>
      <c r="B272" s="67">
        <f>IFERROR(__xludf.DUMMYFUNCTION("""COMPUTED_VALUE"""),187.0)</f>
        <v>187</v>
      </c>
      <c r="C272" s="69">
        <f>IFERROR(__xludf.DUMMYFUNCTION("""COMPUTED_VALUE"""),117.0)</f>
        <v>117</v>
      </c>
      <c r="D272" s="1" t="str">
        <f>IFERROR(__xludf.DUMMYFUNCTION("""COMPUTED_VALUE"""),"USD")</f>
        <v>USD</v>
      </c>
      <c r="E272" s="1" t="str">
        <f>IFERROR(__xludf.DUMMYFUNCTION("""COMPUTED_VALUE"""),"Efectivo USD")</f>
        <v>Efectivo USD</v>
      </c>
      <c r="F272" s="1" t="str">
        <f>IFERROR(__xludf.DUMMYFUNCTION("""COMPUTED_VALUE"""),"HP Repuestos 2007 C.A")</f>
        <v>HP Repuestos 2007 C.A</v>
      </c>
      <c r="G272" s="70">
        <f>IFERROR(__xludf.DUMMYFUNCTION("""COMPUTED_VALUE"""),504.9146)</f>
        <v>504.9146</v>
      </c>
      <c r="H272" s="1"/>
      <c r="I272" s="71">
        <f>IFERROR(__xludf.DUMMYFUNCTION("""COMPUTED_VALUE"""),117.0)</f>
        <v>117</v>
      </c>
      <c r="J272" s="69">
        <f>IFERROR(__xludf.DUMMYFUNCTION("""COMPUTED_VALUE"""),117.0)</f>
        <v>117</v>
      </c>
      <c r="K272" s="4">
        <f>IFERROR(__xludf.DUMMYFUNCTION("""COMPUTED_VALUE"""),117.0)</f>
        <v>117</v>
      </c>
      <c r="N272" s="67"/>
      <c r="R272" s="4"/>
    </row>
    <row r="273">
      <c r="A273" s="66">
        <f>IFERROR(__xludf.DUMMYFUNCTION("""COMPUTED_VALUE"""),46154.0)</f>
        <v>46154</v>
      </c>
      <c r="B273" s="67">
        <f>IFERROR(__xludf.DUMMYFUNCTION("""COMPUTED_VALUE"""),204.0)</f>
        <v>204</v>
      </c>
      <c r="C273" s="69">
        <f>IFERROR(__xludf.DUMMYFUNCTION("""COMPUTED_VALUE"""),40.0)</f>
        <v>40</v>
      </c>
      <c r="D273" s="1" t="str">
        <f>IFERROR(__xludf.DUMMYFUNCTION("""COMPUTED_VALUE"""),"USD")</f>
        <v>USD</v>
      </c>
      <c r="E273" s="1" t="str">
        <f>IFERROR(__xludf.DUMMYFUNCTION("""COMPUTED_VALUE"""),"Efectivo USD")</f>
        <v>Efectivo USD</v>
      </c>
      <c r="F273" s="1" t="str">
        <f>IFERROR(__xludf.DUMMYFUNCTION("""COMPUTED_VALUE"""),"Motolavado Yahir")</f>
        <v>Motolavado Yahir</v>
      </c>
      <c r="G273" s="70">
        <f>IFERROR(__xludf.DUMMYFUNCTION("""COMPUTED_VALUE"""),504.9146)</f>
        <v>504.9146</v>
      </c>
      <c r="H273" s="1"/>
      <c r="I273" s="71">
        <f>IFERROR(__xludf.DUMMYFUNCTION("""COMPUTED_VALUE"""),40.0)</f>
        <v>40</v>
      </c>
      <c r="J273" s="69">
        <f>IFERROR(__xludf.DUMMYFUNCTION("""COMPUTED_VALUE"""),40.0)</f>
        <v>40</v>
      </c>
      <c r="K273" s="4">
        <f>IFERROR(__xludf.DUMMYFUNCTION("""COMPUTED_VALUE"""),40.0)</f>
        <v>40</v>
      </c>
      <c r="N273" s="67"/>
      <c r="R273" s="4"/>
    </row>
    <row r="274">
      <c r="A274" s="66">
        <f>IFERROR(__xludf.DUMMYFUNCTION("""COMPUTED_VALUE"""),46154.0)</f>
        <v>46154</v>
      </c>
      <c r="B274" s="67">
        <f>IFERROR(__xludf.DUMMYFUNCTION("""COMPUTED_VALUE"""),103.0)</f>
        <v>103</v>
      </c>
      <c r="C274" s="69">
        <f>IFERROR(__xludf.DUMMYFUNCTION("""COMPUTED_VALUE"""),100.0)</f>
        <v>100</v>
      </c>
      <c r="D274" s="1" t="str">
        <f>IFERROR(__xludf.DUMMYFUNCTION("""COMPUTED_VALUE"""),"USD")</f>
        <v>USD</v>
      </c>
      <c r="E274" s="1" t="str">
        <f>IFERROR(__xludf.DUMMYFUNCTION("""COMPUTED_VALUE"""),"Efectivo USD")</f>
        <v>Efectivo USD</v>
      </c>
      <c r="F274" s="1" t="str">
        <f>IFERROR(__xludf.DUMMYFUNCTION("""COMPUTED_VALUE"""),"Alexis Rodríguez Fernández")</f>
        <v>Alexis Rodríguez Fernández</v>
      </c>
      <c r="G274" s="70">
        <f>IFERROR(__xludf.DUMMYFUNCTION("""COMPUTED_VALUE"""),504.9146)</f>
        <v>504.9146</v>
      </c>
      <c r="H274" s="1"/>
      <c r="I274" s="71">
        <f>IFERROR(__xludf.DUMMYFUNCTION("""COMPUTED_VALUE"""),100.0)</f>
        <v>100</v>
      </c>
      <c r="J274" s="69">
        <f>IFERROR(__xludf.DUMMYFUNCTION("""COMPUTED_VALUE"""),100.0)</f>
        <v>100</v>
      </c>
      <c r="K274" s="4">
        <f>IFERROR(__xludf.DUMMYFUNCTION("""COMPUTED_VALUE"""),100.0)</f>
        <v>100</v>
      </c>
      <c r="N274" s="67"/>
      <c r="R274" s="4"/>
    </row>
    <row r="275">
      <c r="A275" s="66">
        <f>IFERROR(__xludf.DUMMYFUNCTION("""COMPUTED_VALUE"""),46154.0)</f>
        <v>46154</v>
      </c>
      <c r="B275" s="67">
        <f>IFERROR(__xludf.DUMMYFUNCTION("""COMPUTED_VALUE"""),199.0)</f>
        <v>199</v>
      </c>
      <c r="C275" s="69">
        <f>IFERROR(__xludf.DUMMYFUNCTION("""COMPUTED_VALUE"""),140.0)</f>
        <v>140</v>
      </c>
      <c r="D275" s="1" t="str">
        <f>IFERROR(__xludf.DUMMYFUNCTION("""COMPUTED_VALUE"""),"USD")</f>
        <v>USD</v>
      </c>
      <c r="E275" s="1" t="str">
        <f>IFERROR(__xludf.DUMMYFUNCTION("""COMPUTED_VALUE"""),"Efectivo USD")</f>
        <v>Efectivo USD</v>
      </c>
      <c r="F275" s="1" t="str">
        <f>IFERROR(__xludf.DUMMYFUNCTION("""COMPUTED_VALUE"""),"PROYECTO MAQUIVEIRO 21 C.A.")</f>
        <v>PROYECTO MAQUIVEIRO 21 C.A.</v>
      </c>
      <c r="G275" s="70">
        <f>IFERROR(__xludf.DUMMYFUNCTION("""COMPUTED_VALUE"""),504.9146)</f>
        <v>504.9146</v>
      </c>
      <c r="H275" s="1"/>
      <c r="I275" s="71">
        <f>IFERROR(__xludf.DUMMYFUNCTION("""COMPUTED_VALUE"""),140.0)</f>
        <v>140</v>
      </c>
      <c r="J275" s="69">
        <f>IFERROR(__xludf.DUMMYFUNCTION("""COMPUTED_VALUE"""),140.0)</f>
        <v>140</v>
      </c>
      <c r="K275" s="4">
        <f>IFERROR(__xludf.DUMMYFUNCTION("""COMPUTED_VALUE"""),140.0)</f>
        <v>140</v>
      </c>
      <c r="N275" s="67"/>
      <c r="R275" s="4"/>
    </row>
    <row r="276">
      <c r="A276" s="66">
        <f>IFERROR(__xludf.DUMMYFUNCTION("""COMPUTED_VALUE"""),46154.0)</f>
        <v>46154</v>
      </c>
      <c r="B276" s="67">
        <f>IFERROR(__xludf.DUMMYFUNCTION("""COMPUTED_VALUE"""),297.0)</f>
        <v>297</v>
      </c>
      <c r="C276" s="69">
        <f>IFERROR(__xludf.DUMMYFUNCTION("""COMPUTED_VALUE"""),20.0)</f>
        <v>20</v>
      </c>
      <c r="D276" s="1" t="str">
        <f>IFERROR(__xludf.DUMMYFUNCTION("""COMPUTED_VALUE"""),"USD")</f>
        <v>USD</v>
      </c>
      <c r="E276" s="1" t="str">
        <f>IFERROR(__xludf.DUMMYFUNCTION("""COMPUTED_VALUE"""),"Efectivo USD")</f>
        <v>Efectivo USD</v>
      </c>
      <c r="F276" s="1" t="str">
        <f>IFERROR(__xludf.DUMMYFUNCTION("""COMPUTED_VALUE"""),"Javier gregorio Espinoza")</f>
        <v>Javier gregorio Espinoza</v>
      </c>
      <c r="G276" s="70">
        <f>IFERROR(__xludf.DUMMYFUNCTION("""COMPUTED_VALUE"""),504.9146)</f>
        <v>504.9146</v>
      </c>
      <c r="H276" s="1"/>
      <c r="I276" s="71">
        <f>IFERROR(__xludf.DUMMYFUNCTION("""COMPUTED_VALUE"""),20.0)</f>
        <v>20</v>
      </c>
      <c r="J276" s="69">
        <f>IFERROR(__xludf.DUMMYFUNCTION("""COMPUTED_VALUE"""),20.0)</f>
        <v>20</v>
      </c>
      <c r="K276" s="4">
        <f>IFERROR(__xludf.DUMMYFUNCTION("""COMPUTED_VALUE"""),20.0)</f>
        <v>20</v>
      </c>
      <c r="N276" s="67"/>
      <c r="R276" s="4"/>
    </row>
    <row r="277">
      <c r="A277" s="66">
        <f>IFERROR(__xludf.DUMMYFUNCTION("""COMPUTED_VALUE"""),46155.0)</f>
        <v>46155</v>
      </c>
      <c r="B277" s="67">
        <f>IFERROR(__xludf.DUMMYFUNCTION("""COMPUTED_VALUE"""),61.0)</f>
        <v>61</v>
      </c>
      <c r="C277" s="69">
        <f>IFERROR(__xludf.DUMMYFUNCTION("""COMPUTED_VALUE"""),600.0)</f>
        <v>600</v>
      </c>
      <c r="D277" s="1" t="str">
        <f>IFERROR(__xludf.DUMMYFUNCTION("""COMPUTED_VALUE"""),"USD")</f>
        <v>USD</v>
      </c>
      <c r="E277" s="1" t="str">
        <f>IFERROR(__xludf.DUMMYFUNCTION("""COMPUTED_VALUE"""),"Efectivo USD")</f>
        <v>Efectivo USD</v>
      </c>
      <c r="F277" s="1" t="str">
        <f>IFERROR(__xludf.DUMMYFUNCTION("""COMPUTED_VALUE"""),"SJMG 2012 C.A")</f>
        <v>SJMG 2012 C.A</v>
      </c>
      <c r="G277" s="70">
        <f>IFERROR(__xludf.DUMMYFUNCTION("""COMPUTED_VALUE"""),504.9146)</f>
        <v>504.9146</v>
      </c>
      <c r="H277" s="1"/>
      <c r="I277" s="71">
        <f>IFERROR(__xludf.DUMMYFUNCTION("""COMPUTED_VALUE"""),600.0)</f>
        <v>600</v>
      </c>
      <c r="J277" s="69">
        <f>IFERROR(__xludf.DUMMYFUNCTION("""COMPUTED_VALUE"""),600.0)</f>
        <v>600</v>
      </c>
      <c r="K277" s="4">
        <f>IFERROR(__xludf.DUMMYFUNCTION("""COMPUTED_VALUE"""),600.0)</f>
        <v>600</v>
      </c>
      <c r="N277" s="67"/>
      <c r="R277" s="4"/>
    </row>
    <row r="278">
      <c r="A278" s="66">
        <f>IFERROR(__xludf.DUMMYFUNCTION("""COMPUTED_VALUE"""),46149.0)</f>
        <v>46149</v>
      </c>
      <c r="B278" s="67">
        <f>IFERROR(__xludf.DUMMYFUNCTION("""COMPUTED_VALUE"""),174.0)</f>
        <v>174</v>
      </c>
      <c r="C278" s="69">
        <f>IFERROR(__xludf.DUMMYFUNCTION("""COMPUTED_VALUE"""),50860.0)</f>
        <v>50860</v>
      </c>
      <c r="D278" s="1" t="str">
        <f>IFERROR(__xludf.DUMMYFUNCTION("""COMPUTED_VALUE"""),"VES")</f>
        <v>VES</v>
      </c>
      <c r="E278" s="1" t="str">
        <f>IFERROR(__xludf.DUMMYFUNCTION("""COMPUTED_VALUE"""),"Bancamiga")</f>
        <v>Bancamiga</v>
      </c>
      <c r="F278" s="1" t="str">
        <f>IFERROR(__xludf.DUMMYFUNCTION("""COMPUTED_VALUE"""),"DISTRIBUIDORA E.P.L.C  2017, c.a.")</f>
        <v>DISTRIBUIDORA E.P.L.C  2017, c.a.</v>
      </c>
      <c r="G278" s="70">
        <f>IFERROR(__xludf.DUMMYFUNCTION("""COMPUTED_VALUE"""),504.9146)</f>
        <v>504.9146</v>
      </c>
      <c r="H278" s="1"/>
      <c r="I278" s="71">
        <f>IFERROR(__xludf.DUMMYFUNCTION("""COMPUTED_VALUE"""),100.72990561176088)</f>
        <v>100.7299056</v>
      </c>
      <c r="J278" s="69">
        <f>IFERROR(__xludf.DUMMYFUNCTION("""COMPUTED_VALUE"""),0.0)</f>
        <v>0</v>
      </c>
      <c r="K278" s="4">
        <f>IFERROR(__xludf.DUMMYFUNCTION("""COMPUTED_VALUE"""),100.72990561176088)</f>
        <v>100.7299056</v>
      </c>
      <c r="N278" s="67"/>
      <c r="R278" s="4"/>
    </row>
    <row r="279">
      <c r="A279" s="66">
        <f>IFERROR(__xludf.DUMMYFUNCTION("""COMPUTED_VALUE"""),46155.0)</f>
        <v>46155</v>
      </c>
      <c r="B279" s="67">
        <f>IFERROR(__xludf.DUMMYFUNCTION("""COMPUTED_VALUE"""),380.0)</f>
        <v>380</v>
      </c>
      <c r="C279" s="69">
        <f>IFERROR(__xludf.DUMMYFUNCTION("""COMPUTED_VALUE"""),10.0)</f>
        <v>10</v>
      </c>
      <c r="D279" s="1" t="str">
        <f>IFERROR(__xludf.DUMMYFUNCTION("""COMPUTED_VALUE"""),"USD")</f>
        <v>USD</v>
      </c>
      <c r="E279" s="1" t="str">
        <f>IFERROR(__xludf.DUMMYFUNCTION("""COMPUTED_VALUE"""),"Efectivo USD")</f>
        <v>Efectivo USD</v>
      </c>
      <c r="F279" s="1" t="str">
        <f>IFERROR(__xludf.DUMMYFUNCTION("""COMPUTED_VALUE"""),"Junior Marco Antonio Vivas Navas")</f>
        <v>Junior Marco Antonio Vivas Navas</v>
      </c>
      <c r="G279" s="70">
        <f>IFERROR(__xludf.DUMMYFUNCTION("""COMPUTED_VALUE"""),504.9146)</f>
        <v>504.9146</v>
      </c>
      <c r="H279" s="1"/>
      <c r="I279" s="71">
        <f>IFERROR(__xludf.DUMMYFUNCTION("""COMPUTED_VALUE"""),10.0)</f>
        <v>10</v>
      </c>
      <c r="J279" s="69">
        <f>IFERROR(__xludf.DUMMYFUNCTION("""COMPUTED_VALUE"""),10.0)</f>
        <v>10</v>
      </c>
      <c r="K279" s="4">
        <f>IFERROR(__xludf.DUMMYFUNCTION("""COMPUTED_VALUE"""),10.0)</f>
        <v>10</v>
      </c>
      <c r="N279" s="67"/>
      <c r="R279" s="4"/>
    </row>
    <row r="280">
      <c r="A280" s="66">
        <f>IFERROR(__xludf.DUMMYFUNCTION("""COMPUTED_VALUE"""),46156.0)</f>
        <v>46156</v>
      </c>
      <c r="B280" s="67">
        <f>IFERROR(__xludf.DUMMYFUNCTION("""COMPUTED_VALUE"""),201.0)</f>
        <v>201</v>
      </c>
      <c r="C280" s="69">
        <f>IFERROR(__xludf.DUMMYFUNCTION("""COMPUTED_VALUE"""),130.0)</f>
        <v>130</v>
      </c>
      <c r="D280" s="1" t="str">
        <f>IFERROR(__xludf.DUMMYFUNCTION("""COMPUTED_VALUE"""),"USD")</f>
        <v>USD</v>
      </c>
      <c r="E280" s="1" t="str">
        <f>IFERROR(__xludf.DUMMYFUNCTION("""COMPUTED_VALUE"""),"Efectivo USD")</f>
        <v>Efectivo USD</v>
      </c>
      <c r="F280" s="1" t="str">
        <f>IFERROR(__xludf.DUMMYFUNCTION("""COMPUTED_VALUE"""),"Junior Marco Antonio Vivas Navas")</f>
        <v>Junior Marco Antonio Vivas Navas</v>
      </c>
      <c r="G280" s="70">
        <f>IFERROR(__xludf.DUMMYFUNCTION("""COMPUTED_VALUE"""),496.8301)</f>
        <v>496.8301</v>
      </c>
      <c r="H280" s="1"/>
      <c r="I280" s="71">
        <f>IFERROR(__xludf.DUMMYFUNCTION("""COMPUTED_VALUE"""),130.0)</f>
        <v>130</v>
      </c>
      <c r="J280" s="69">
        <f>IFERROR(__xludf.DUMMYFUNCTION("""COMPUTED_VALUE"""),130.0)</f>
        <v>130</v>
      </c>
      <c r="K280" s="4">
        <f>IFERROR(__xludf.DUMMYFUNCTION("""COMPUTED_VALUE"""),130.0)</f>
        <v>130</v>
      </c>
      <c r="N280" s="67"/>
      <c r="R280" s="4"/>
    </row>
    <row r="281">
      <c r="A281" s="66">
        <f>IFERROR(__xludf.DUMMYFUNCTION("""COMPUTED_VALUE"""),46155.0)</f>
        <v>46155</v>
      </c>
      <c r="B281" s="67">
        <f>IFERROR(__xludf.DUMMYFUNCTION("""COMPUTED_VALUE"""),203.0)</f>
        <v>203</v>
      </c>
      <c r="C281" s="69">
        <f>IFERROR(__xludf.DUMMYFUNCTION("""COMPUTED_VALUE"""),68.0)</f>
        <v>68</v>
      </c>
      <c r="D281" s="1" t="str">
        <f>IFERROR(__xludf.DUMMYFUNCTION("""COMPUTED_VALUE"""),"USD")</f>
        <v>USD</v>
      </c>
      <c r="E281" s="1" t="str">
        <f>IFERROR(__xludf.DUMMYFUNCTION("""COMPUTED_VALUE"""),"Efectivo USD")</f>
        <v>Efectivo USD</v>
      </c>
      <c r="F281" s="1" t="str">
        <f>IFERROR(__xludf.DUMMYFUNCTION("""COMPUTED_VALUE"""),"Moto Repuestos Sanz 11. C.A.")</f>
        <v>Moto Repuestos Sanz 11. C.A.</v>
      </c>
      <c r="G281" s="70">
        <f>IFERROR(__xludf.DUMMYFUNCTION("""COMPUTED_VALUE"""),508.6004)</f>
        <v>508.6004</v>
      </c>
      <c r="H281" s="1"/>
      <c r="I281" s="71">
        <f>IFERROR(__xludf.DUMMYFUNCTION("""COMPUTED_VALUE"""),68.0)</f>
        <v>68</v>
      </c>
      <c r="J281" s="69">
        <f>IFERROR(__xludf.DUMMYFUNCTION("""COMPUTED_VALUE"""),68.0)</f>
        <v>68</v>
      </c>
      <c r="K281" s="4">
        <f>IFERROR(__xludf.DUMMYFUNCTION("""COMPUTED_VALUE"""),68.0)</f>
        <v>68</v>
      </c>
      <c r="N281" s="67"/>
      <c r="R281" s="4"/>
    </row>
    <row r="282">
      <c r="A282" s="66">
        <f>IFERROR(__xludf.DUMMYFUNCTION("""COMPUTED_VALUE"""),46155.0)</f>
        <v>46155</v>
      </c>
      <c r="B282" s="67">
        <f>IFERROR(__xludf.DUMMYFUNCTION("""COMPUTED_VALUE"""),365.0)</f>
        <v>365</v>
      </c>
      <c r="C282" s="69">
        <f>IFERROR(__xludf.DUMMYFUNCTION("""COMPUTED_VALUE"""),51725.0)</f>
        <v>51725</v>
      </c>
      <c r="D282" s="1" t="str">
        <f>IFERROR(__xludf.DUMMYFUNCTION("""COMPUTED_VALUE"""),"VES")</f>
        <v>VES</v>
      </c>
      <c r="E282" s="1" t="str">
        <f>IFERROR(__xludf.DUMMYFUNCTION("""COMPUTED_VALUE"""),"Bancamiga")</f>
        <v>Bancamiga</v>
      </c>
      <c r="F282" s="1" t="str">
        <f>IFERROR(__xludf.DUMMYFUNCTION("""COMPUTED_VALUE"""),"Kiosco Willianny 1013, C.A")</f>
        <v>Kiosco Willianny 1013, C.A</v>
      </c>
      <c r="G282" s="70">
        <f>IFERROR(__xludf.DUMMYFUNCTION("""COMPUTED_VALUE"""),508.6004)</f>
        <v>508.6004</v>
      </c>
      <c r="H282" s="1"/>
      <c r="I282" s="71">
        <f>IFERROR(__xludf.DUMMYFUNCTION("""COMPUTED_VALUE"""),101.70066716424132)</f>
        <v>101.7006672</v>
      </c>
      <c r="J282" s="69">
        <f>IFERROR(__xludf.DUMMYFUNCTION("""COMPUTED_VALUE"""),0.0)</f>
        <v>0</v>
      </c>
      <c r="K282" s="4">
        <f>IFERROR(__xludf.DUMMYFUNCTION("""COMPUTED_VALUE"""),101.70066716424132)</f>
        <v>101.7006672</v>
      </c>
      <c r="N282" s="67"/>
      <c r="R282" s="4"/>
    </row>
    <row r="283">
      <c r="A283" s="66">
        <f>IFERROR(__xludf.DUMMYFUNCTION("""COMPUTED_VALUE"""),46155.0)</f>
        <v>46155</v>
      </c>
      <c r="B283" s="67">
        <f>IFERROR(__xludf.DUMMYFUNCTION("""COMPUTED_VALUE"""),242.0)</f>
        <v>242</v>
      </c>
      <c r="C283" s="69">
        <f>IFERROR(__xludf.DUMMYFUNCTION("""COMPUTED_VALUE"""),675.0)</f>
        <v>675</v>
      </c>
      <c r="D283" s="1" t="str">
        <f>IFERROR(__xludf.DUMMYFUNCTION("""COMPUTED_VALUE"""),"USD")</f>
        <v>USD</v>
      </c>
      <c r="E283" s="1" t="str">
        <f>IFERROR(__xludf.DUMMYFUNCTION("""COMPUTED_VALUE"""),"Efectivo USD")</f>
        <v>Efectivo USD</v>
      </c>
      <c r="F283" s="1" t="str">
        <f>IFERROR(__xludf.DUMMYFUNCTION("""COMPUTED_VALUE"""),"Servicios de Gruas Torgil 300, c.a.")</f>
        <v>Servicios de Gruas Torgil 300, c.a.</v>
      </c>
      <c r="G283" s="70">
        <f>IFERROR(__xludf.DUMMYFUNCTION("""COMPUTED_VALUE"""),508.6004)</f>
        <v>508.6004</v>
      </c>
      <c r="H283" s="1"/>
      <c r="I283" s="71">
        <f>IFERROR(__xludf.DUMMYFUNCTION("""COMPUTED_VALUE"""),675.0)</f>
        <v>675</v>
      </c>
      <c r="J283" s="69">
        <f>IFERROR(__xludf.DUMMYFUNCTION("""COMPUTED_VALUE"""),675.0)</f>
        <v>675</v>
      </c>
      <c r="K283" s="4">
        <f>IFERROR(__xludf.DUMMYFUNCTION("""COMPUTED_VALUE"""),675.0)</f>
        <v>675</v>
      </c>
      <c r="N283" s="67"/>
      <c r="R283" s="4"/>
    </row>
    <row r="284">
      <c r="A284" s="66">
        <f>IFERROR(__xludf.DUMMYFUNCTION("""COMPUTED_VALUE"""),46155.0)</f>
        <v>46155</v>
      </c>
      <c r="B284" s="67">
        <f>IFERROR(__xludf.DUMMYFUNCTION("""COMPUTED_VALUE"""),372.0)</f>
        <v>372</v>
      </c>
      <c r="C284" s="69">
        <f>IFERROR(__xludf.DUMMYFUNCTION("""COMPUTED_VALUE"""),282421.33)</f>
        <v>282421.33</v>
      </c>
      <c r="D284" s="1" t="str">
        <f>IFERROR(__xludf.DUMMYFUNCTION("""COMPUTED_VALUE"""),"VES")</f>
        <v>VES</v>
      </c>
      <c r="E284" s="1" t="str">
        <f>IFERROR(__xludf.DUMMYFUNCTION("""COMPUTED_VALUE"""),"Bancamiga")</f>
        <v>Bancamiga</v>
      </c>
      <c r="F284" s="1" t="str">
        <f>IFERROR(__xludf.DUMMYFUNCTION("""COMPUTED_VALUE"""),"En ascenso 2011,c.a.")</f>
        <v>En ascenso 2011,c.a.</v>
      </c>
      <c r="G284" s="70">
        <f>IFERROR(__xludf.DUMMYFUNCTION("""COMPUTED_VALUE"""),508.6004)</f>
        <v>508.6004</v>
      </c>
      <c r="H284" s="1"/>
      <c r="I284" s="71">
        <f>IFERROR(__xludf.DUMMYFUNCTION("""COMPUTED_VALUE"""),555.2912070065223)</f>
        <v>555.291207</v>
      </c>
      <c r="J284" s="69">
        <f>IFERROR(__xludf.DUMMYFUNCTION("""COMPUTED_VALUE"""),0.0)</f>
        <v>0</v>
      </c>
      <c r="K284" s="4">
        <f>IFERROR(__xludf.DUMMYFUNCTION("""COMPUTED_VALUE"""),555.2912070065223)</f>
        <v>555.291207</v>
      </c>
      <c r="N284" s="67"/>
      <c r="R284" s="4"/>
    </row>
    <row r="285">
      <c r="A285" s="66">
        <f>IFERROR(__xludf.DUMMYFUNCTION("""COMPUTED_VALUE"""),46156.0)</f>
        <v>46156</v>
      </c>
      <c r="B285" s="67">
        <f>IFERROR(__xludf.DUMMYFUNCTION("""COMPUTED_VALUE"""),14.0)</f>
        <v>14</v>
      </c>
      <c r="C285" s="69">
        <f>IFERROR(__xludf.DUMMYFUNCTION("""COMPUTED_VALUE"""),24594.69)</f>
        <v>24594.69</v>
      </c>
      <c r="D285" s="1" t="str">
        <f>IFERROR(__xludf.DUMMYFUNCTION("""COMPUTED_VALUE"""),"VES")</f>
        <v>VES</v>
      </c>
      <c r="E285" s="1" t="str">
        <f>IFERROR(__xludf.DUMMYFUNCTION("""COMPUTED_VALUE"""),"Bancamiga")</f>
        <v>Bancamiga</v>
      </c>
      <c r="F285" s="1" t="str">
        <f>IFERROR(__xludf.DUMMYFUNCTION("""COMPUTED_VALUE"""),"SPEED RACING, CA")</f>
        <v>SPEED RACING, CA</v>
      </c>
      <c r="G285" s="70">
        <f>IFERROR(__xludf.DUMMYFUNCTION("""COMPUTED_VALUE"""),508.6004)</f>
        <v>508.6004</v>
      </c>
      <c r="H285" s="1"/>
      <c r="I285" s="71">
        <f>IFERROR(__xludf.DUMMYFUNCTION("""COMPUTED_VALUE"""),48.35759075297621)</f>
        <v>48.35759075</v>
      </c>
      <c r="J285" s="69">
        <f>IFERROR(__xludf.DUMMYFUNCTION("""COMPUTED_VALUE"""),0.0)</f>
        <v>0</v>
      </c>
      <c r="K285" s="4">
        <f>IFERROR(__xludf.DUMMYFUNCTION("""COMPUTED_VALUE"""),48.35759075297621)</f>
        <v>48.35759075</v>
      </c>
      <c r="N285" s="67"/>
      <c r="R285" s="4"/>
    </row>
    <row r="286">
      <c r="A286" s="66">
        <f>IFERROR(__xludf.DUMMYFUNCTION("""COMPUTED_VALUE"""),46156.0)</f>
        <v>46156</v>
      </c>
      <c r="B286" s="67">
        <f>IFERROR(__xludf.DUMMYFUNCTION("""COMPUTED_VALUE"""),14.0)</f>
        <v>14</v>
      </c>
      <c r="C286" s="69">
        <f>IFERROR(__xludf.DUMMYFUNCTION("""COMPUTED_VALUE"""),9761.32)</f>
        <v>9761.32</v>
      </c>
      <c r="D286" s="1" t="str">
        <f>IFERROR(__xludf.DUMMYFUNCTION("""COMPUTED_VALUE"""),"VES")</f>
        <v>VES</v>
      </c>
      <c r="E286" s="1" t="str">
        <f>IFERROR(__xludf.DUMMYFUNCTION("""COMPUTED_VALUE"""),"Bancamiga")</f>
        <v>Bancamiga</v>
      </c>
      <c r="F286" s="1" t="str">
        <f>IFERROR(__xludf.DUMMYFUNCTION("""COMPUTED_VALUE"""),"SPEED RACING, CA")</f>
        <v>SPEED RACING, CA</v>
      </c>
      <c r="G286" s="70">
        <f>IFERROR(__xludf.DUMMYFUNCTION("""COMPUTED_VALUE"""),510.7873)</f>
        <v>510.7873</v>
      </c>
      <c r="H286" s="1"/>
      <c r="I286" s="71">
        <f>IFERROR(__xludf.DUMMYFUNCTION("""COMPUTED_VALUE"""),19.110342015159734)</f>
        <v>19.11034202</v>
      </c>
      <c r="J286" s="69">
        <f>IFERROR(__xludf.DUMMYFUNCTION("""COMPUTED_VALUE"""),0.0)</f>
        <v>0</v>
      </c>
      <c r="K286" s="4">
        <f>IFERROR(__xludf.DUMMYFUNCTION("""COMPUTED_VALUE"""),19.110342015159734)</f>
        <v>19.11034202</v>
      </c>
      <c r="N286" s="67"/>
      <c r="R286" s="4"/>
    </row>
    <row r="287">
      <c r="A287" s="66">
        <f>IFERROR(__xludf.DUMMYFUNCTION("""COMPUTED_VALUE"""),46156.0)</f>
        <v>46156</v>
      </c>
      <c r="B287" s="67">
        <f>IFERROR(__xludf.DUMMYFUNCTION("""COMPUTED_VALUE"""),113.0)</f>
        <v>113</v>
      </c>
      <c r="C287" s="69">
        <f>IFERROR(__xludf.DUMMYFUNCTION("""COMPUTED_VALUE"""),72.0)</f>
        <v>72</v>
      </c>
      <c r="D287" s="1" t="str">
        <f>IFERROR(__xludf.DUMMYFUNCTION("""COMPUTED_VALUE"""),"USD")</f>
        <v>USD</v>
      </c>
      <c r="E287" s="1" t="str">
        <f>IFERROR(__xludf.DUMMYFUNCTION("""COMPUTED_VALUE"""),"Efectivo USD")</f>
        <v>Efectivo USD</v>
      </c>
      <c r="F287" s="1" t="str">
        <f>IFERROR(__xludf.DUMMYFUNCTION("""COMPUTED_VALUE"""),"Franklin J. Mijares S.")</f>
        <v>Franklin J. Mijares S.</v>
      </c>
      <c r="G287" s="70">
        <f>IFERROR(__xludf.DUMMYFUNCTION("""COMPUTED_VALUE"""),510.7873)</f>
        <v>510.7873</v>
      </c>
      <c r="H287" s="1"/>
      <c r="I287" s="71">
        <f>IFERROR(__xludf.DUMMYFUNCTION("""COMPUTED_VALUE"""),72.0)</f>
        <v>72</v>
      </c>
      <c r="J287" s="69">
        <f>IFERROR(__xludf.DUMMYFUNCTION("""COMPUTED_VALUE"""),72.0)</f>
        <v>72</v>
      </c>
      <c r="K287" s="4">
        <f>IFERROR(__xludf.DUMMYFUNCTION("""COMPUTED_VALUE"""),72.0)</f>
        <v>72</v>
      </c>
      <c r="N287" s="67"/>
      <c r="R287" s="4"/>
    </row>
    <row r="288">
      <c r="A288" s="66">
        <f>IFERROR(__xludf.DUMMYFUNCTION("""COMPUTED_VALUE"""),46156.0)</f>
        <v>46156</v>
      </c>
      <c r="B288" s="67">
        <f>IFERROR(__xludf.DUMMYFUNCTION("""COMPUTED_VALUE"""),382.0)</f>
        <v>382</v>
      </c>
      <c r="C288" s="69">
        <f>IFERROR(__xludf.DUMMYFUNCTION("""COMPUTED_VALUE"""),103438.0)</f>
        <v>103438</v>
      </c>
      <c r="D288" s="1" t="str">
        <f>IFERROR(__xludf.DUMMYFUNCTION("""COMPUTED_VALUE"""),"VES")</f>
        <v>VES</v>
      </c>
      <c r="E288" s="1" t="str">
        <f>IFERROR(__xludf.DUMMYFUNCTION("""COMPUTED_VALUE"""),"Bancamiga")</f>
        <v>Bancamiga</v>
      </c>
      <c r="F288" s="1" t="str">
        <f>IFERROR(__xludf.DUMMYFUNCTION("""COMPUTED_VALUE"""),"Montura de Cauchos Biondo,c.a.")</f>
        <v>Montura de Cauchos Biondo,c.a.</v>
      </c>
      <c r="G288" s="70">
        <f>IFERROR(__xludf.DUMMYFUNCTION("""COMPUTED_VALUE"""),510.7873)</f>
        <v>510.7873</v>
      </c>
      <c r="H288" s="1"/>
      <c r="I288" s="71">
        <f>IFERROR(__xludf.DUMMYFUNCTION("""COMPUTED_VALUE"""),202.5069926366611)</f>
        <v>202.5069926</v>
      </c>
      <c r="J288" s="69">
        <f>IFERROR(__xludf.DUMMYFUNCTION("""COMPUTED_VALUE"""),0.0)</f>
        <v>0</v>
      </c>
      <c r="K288" s="4">
        <f>IFERROR(__xludf.DUMMYFUNCTION("""COMPUTED_VALUE"""),202.5069926366611)</f>
        <v>202.5069926</v>
      </c>
      <c r="N288" s="67"/>
      <c r="R288" s="4"/>
    </row>
    <row r="289">
      <c r="A289" s="66">
        <f>IFERROR(__xludf.DUMMYFUNCTION("""COMPUTED_VALUE"""),46156.0)</f>
        <v>46156</v>
      </c>
      <c r="B289" s="67">
        <f>IFERROR(__xludf.DUMMYFUNCTION("""COMPUTED_VALUE"""),40.0)</f>
        <v>40</v>
      </c>
      <c r="C289" s="69">
        <f>IFERROR(__xludf.DUMMYFUNCTION("""COMPUTED_VALUE"""),120.0)</f>
        <v>120</v>
      </c>
      <c r="D289" s="1" t="str">
        <f>IFERROR(__xludf.DUMMYFUNCTION("""COMPUTED_VALUE"""),"USD")</f>
        <v>USD</v>
      </c>
      <c r="E289" s="1" t="str">
        <f>IFERROR(__xludf.DUMMYFUNCTION("""COMPUTED_VALUE"""),"Efectivo USD")</f>
        <v>Efectivo USD</v>
      </c>
      <c r="F289" s="1" t="str">
        <f>IFERROR(__xludf.DUMMYFUNCTION("""COMPUTED_VALUE"""),"WILLY MOTOR CAR REPUESTOS Y SERVICIOS, C.A.")</f>
        <v>WILLY MOTOR CAR REPUESTOS Y SERVICIOS, C.A.</v>
      </c>
      <c r="G289" s="70">
        <f>IFERROR(__xludf.DUMMYFUNCTION("""COMPUTED_VALUE"""),510.7873)</f>
        <v>510.7873</v>
      </c>
      <c r="H289" s="1"/>
      <c r="I289" s="71">
        <f>IFERROR(__xludf.DUMMYFUNCTION("""COMPUTED_VALUE"""),120.0)</f>
        <v>120</v>
      </c>
      <c r="J289" s="69">
        <f>IFERROR(__xludf.DUMMYFUNCTION("""COMPUTED_VALUE"""),120.0)</f>
        <v>120</v>
      </c>
      <c r="K289" s="4">
        <f>IFERROR(__xludf.DUMMYFUNCTION("""COMPUTED_VALUE"""),120.0)</f>
        <v>120</v>
      </c>
      <c r="N289" s="67"/>
      <c r="R289" s="4"/>
    </row>
    <row r="290">
      <c r="A290" s="66">
        <f>IFERROR(__xludf.DUMMYFUNCTION("""COMPUTED_VALUE"""),46156.0)</f>
        <v>46156</v>
      </c>
      <c r="B290" s="67">
        <f>IFERROR(__xludf.DUMMYFUNCTION("""COMPUTED_VALUE"""),105.0)</f>
        <v>105</v>
      </c>
      <c r="C290" s="69">
        <f>IFERROR(__xludf.DUMMYFUNCTION("""COMPUTED_VALUE"""),53400.0)</f>
        <v>53400</v>
      </c>
      <c r="D290" s="1" t="str">
        <f>IFERROR(__xludf.DUMMYFUNCTION("""COMPUTED_VALUE"""),"VES")</f>
        <v>VES</v>
      </c>
      <c r="E290" s="1" t="str">
        <f>IFERROR(__xludf.DUMMYFUNCTION("""COMPUTED_VALUE"""),"Bancamiga")</f>
        <v>Bancamiga</v>
      </c>
      <c r="F290" s="1" t="str">
        <f>IFERROR(__xludf.DUMMYFUNCTION("""COMPUTED_VALUE"""),"Ricardo A. Fernandez.")</f>
        <v>Ricardo A. Fernandez.</v>
      </c>
      <c r="G290" s="70">
        <f>IFERROR(__xludf.DUMMYFUNCTION("""COMPUTED_VALUE"""),510.7873)</f>
        <v>510.7873</v>
      </c>
      <c r="H290" s="1"/>
      <c r="I290" s="71">
        <f>IFERROR(__xludf.DUMMYFUNCTION("""COMPUTED_VALUE"""),104.5444943521501)</f>
        <v>104.5444944</v>
      </c>
      <c r="J290" s="69">
        <f>IFERROR(__xludf.DUMMYFUNCTION("""COMPUTED_VALUE"""),0.0)</f>
        <v>0</v>
      </c>
      <c r="K290" s="4">
        <f>IFERROR(__xludf.DUMMYFUNCTION("""COMPUTED_VALUE"""),104.5444943521501)</f>
        <v>104.5444944</v>
      </c>
      <c r="N290" s="67"/>
      <c r="R290" s="4"/>
    </row>
    <row r="291">
      <c r="A291" s="66">
        <f>IFERROR(__xludf.DUMMYFUNCTION("""COMPUTED_VALUE"""),46156.0)</f>
        <v>46156</v>
      </c>
      <c r="B291" s="67">
        <f>IFERROR(__xludf.DUMMYFUNCTION("""COMPUTED_VALUE"""),44.0)</f>
        <v>44</v>
      </c>
      <c r="C291" s="69">
        <f>IFERROR(__xludf.DUMMYFUNCTION("""COMPUTED_VALUE"""),300.0)</f>
        <v>300</v>
      </c>
      <c r="D291" s="1" t="str">
        <f>IFERROR(__xludf.DUMMYFUNCTION("""COMPUTED_VALUE"""),"USD")</f>
        <v>USD</v>
      </c>
      <c r="E291" s="1" t="str">
        <f>IFERROR(__xludf.DUMMYFUNCTION("""COMPUTED_VALUE"""),"Efectivo USD")</f>
        <v>Efectivo USD</v>
      </c>
      <c r="F291" s="1" t="str">
        <f>IFERROR(__xludf.DUMMYFUNCTION("""COMPUTED_VALUE"""),"Comercializadora Garabote")</f>
        <v>Comercializadora Garabote</v>
      </c>
      <c r="G291" s="70">
        <f>IFERROR(__xludf.DUMMYFUNCTION("""COMPUTED_VALUE"""),510.7873)</f>
        <v>510.7873</v>
      </c>
      <c r="H291" s="1"/>
      <c r="I291" s="71">
        <f>IFERROR(__xludf.DUMMYFUNCTION("""COMPUTED_VALUE"""),300.0)</f>
        <v>300</v>
      </c>
      <c r="J291" s="69">
        <f>IFERROR(__xludf.DUMMYFUNCTION("""COMPUTED_VALUE"""),300.0)</f>
        <v>300</v>
      </c>
      <c r="K291" s="4">
        <f>IFERROR(__xludf.DUMMYFUNCTION("""COMPUTED_VALUE"""),300.0)</f>
        <v>300</v>
      </c>
      <c r="N291" s="67"/>
      <c r="R291" s="4"/>
    </row>
    <row r="292">
      <c r="A292" s="66">
        <f>IFERROR(__xludf.DUMMYFUNCTION("""COMPUTED_VALUE"""),46156.0)</f>
        <v>46156</v>
      </c>
      <c r="B292" s="67">
        <f>IFERROR(__xludf.DUMMYFUNCTION("""COMPUTED_VALUE"""),243.0)</f>
        <v>243</v>
      </c>
      <c r="C292" s="69">
        <f>IFERROR(__xludf.DUMMYFUNCTION("""COMPUTED_VALUE"""),15.0)</f>
        <v>15</v>
      </c>
      <c r="D292" s="1" t="str">
        <f>IFERROR(__xludf.DUMMYFUNCTION("""COMPUTED_VALUE"""),"USD")</f>
        <v>USD</v>
      </c>
      <c r="E292" s="1" t="str">
        <f>IFERROR(__xludf.DUMMYFUNCTION("""COMPUTED_VALUE"""),"Efectivo USD")</f>
        <v>Efectivo USD</v>
      </c>
      <c r="F292" s="1" t="str">
        <f>IFERROR(__xludf.DUMMYFUNCTION("""COMPUTED_VALUE"""),"Cauchera William 2018, C.A")</f>
        <v>Cauchera William 2018, C.A</v>
      </c>
      <c r="G292" s="70">
        <f>IFERROR(__xludf.DUMMYFUNCTION("""COMPUTED_VALUE"""),510.7873)</f>
        <v>510.7873</v>
      </c>
      <c r="H292" s="1"/>
      <c r="I292" s="71">
        <f>IFERROR(__xludf.DUMMYFUNCTION("""COMPUTED_VALUE"""),15.0)</f>
        <v>15</v>
      </c>
      <c r="J292" s="69">
        <f>IFERROR(__xludf.DUMMYFUNCTION("""COMPUTED_VALUE"""),15.0)</f>
        <v>15</v>
      </c>
      <c r="K292" s="4">
        <f>IFERROR(__xludf.DUMMYFUNCTION("""COMPUTED_VALUE"""),15.0)</f>
        <v>15</v>
      </c>
      <c r="N292" s="67"/>
      <c r="R292" s="4"/>
    </row>
    <row r="293">
      <c r="A293" s="66">
        <f>IFERROR(__xludf.DUMMYFUNCTION("""COMPUTED_VALUE"""),46156.0)</f>
        <v>46156</v>
      </c>
      <c r="B293" s="67">
        <f>IFERROR(__xludf.DUMMYFUNCTION("""COMPUTED_VALUE"""),39.0)</f>
        <v>39</v>
      </c>
      <c r="C293" s="69">
        <f>IFERROR(__xludf.DUMMYFUNCTION("""COMPUTED_VALUE"""),14893.18)</f>
        <v>14893.18</v>
      </c>
      <c r="D293" s="1" t="str">
        <f>IFERROR(__xludf.DUMMYFUNCTION("""COMPUTED_VALUE"""),"VES")</f>
        <v>VES</v>
      </c>
      <c r="E293" s="1" t="str">
        <f>IFERROR(__xludf.DUMMYFUNCTION("""COMPUTED_VALUE"""),"Bancamiga")</f>
        <v>Bancamiga</v>
      </c>
      <c r="F293" s="1" t="str">
        <f>IFERROR(__xludf.DUMMYFUNCTION("""COMPUTED_VALUE"""),"Moto Bestia, C.A")</f>
        <v>Moto Bestia, C.A</v>
      </c>
      <c r="G293" s="70">
        <f>IFERROR(__xludf.DUMMYFUNCTION("""COMPUTED_VALUE"""),510.7873)</f>
        <v>510.7873</v>
      </c>
      <c r="H293" s="1"/>
      <c r="I293" s="71">
        <f>IFERROR(__xludf.DUMMYFUNCTION("""COMPUTED_VALUE"""),29.15730285384934)</f>
        <v>29.15730285</v>
      </c>
      <c r="J293" s="69">
        <f>IFERROR(__xludf.DUMMYFUNCTION("""COMPUTED_VALUE"""),0.0)</f>
        <v>0</v>
      </c>
      <c r="K293" s="4">
        <f>IFERROR(__xludf.DUMMYFUNCTION("""COMPUTED_VALUE"""),29.15730285384934)</f>
        <v>29.15730285</v>
      </c>
      <c r="N293" s="67"/>
      <c r="R293" s="4"/>
    </row>
    <row r="294">
      <c r="A294" s="66">
        <f>IFERROR(__xludf.DUMMYFUNCTION("""COMPUTED_VALUE"""),46156.0)</f>
        <v>46156</v>
      </c>
      <c r="B294" s="67">
        <f>IFERROR(__xludf.DUMMYFUNCTION("""COMPUTED_VALUE"""),265.0)</f>
        <v>265</v>
      </c>
      <c r="C294" s="69">
        <f>IFERROR(__xludf.DUMMYFUNCTION("""COMPUTED_VALUE"""),20.0)</f>
        <v>20</v>
      </c>
      <c r="D294" s="1" t="str">
        <f>IFERROR(__xludf.DUMMYFUNCTION("""COMPUTED_VALUE"""),"USD")</f>
        <v>USD</v>
      </c>
      <c r="E294" s="1" t="str">
        <f>IFERROR(__xludf.DUMMYFUNCTION("""COMPUTED_VALUE"""),"Efectivo USD")</f>
        <v>Efectivo USD</v>
      </c>
      <c r="F294" s="1" t="str">
        <f>IFERROR(__xludf.DUMMYFUNCTION("""COMPUTED_VALUE"""),"Repuestos Guia Dios Nuestro Camino,c.a.")</f>
        <v>Repuestos Guia Dios Nuestro Camino,c.a.</v>
      </c>
      <c r="G294" s="70">
        <f>IFERROR(__xludf.DUMMYFUNCTION("""COMPUTED_VALUE"""),510.7873)</f>
        <v>510.7873</v>
      </c>
      <c r="H294" s="1"/>
      <c r="I294" s="71">
        <f>IFERROR(__xludf.DUMMYFUNCTION("""COMPUTED_VALUE"""),20.0)</f>
        <v>20</v>
      </c>
      <c r="J294" s="69">
        <f>IFERROR(__xludf.DUMMYFUNCTION("""COMPUTED_VALUE"""),20.0)</f>
        <v>20</v>
      </c>
      <c r="K294" s="4">
        <f>IFERROR(__xludf.DUMMYFUNCTION("""COMPUTED_VALUE"""),20.0)</f>
        <v>20</v>
      </c>
      <c r="N294" s="67"/>
      <c r="R294" s="4"/>
    </row>
    <row r="295">
      <c r="A295" s="66">
        <f>IFERROR(__xludf.DUMMYFUNCTION("""COMPUTED_VALUE"""),46156.0)</f>
        <v>46156</v>
      </c>
      <c r="B295" s="67">
        <f>IFERROR(__xludf.DUMMYFUNCTION("""COMPUTED_VALUE"""),198.0)</f>
        <v>198</v>
      </c>
      <c r="C295" s="69">
        <f>IFERROR(__xludf.DUMMYFUNCTION("""COMPUTED_VALUE"""),101.0)</f>
        <v>101</v>
      </c>
      <c r="D295" s="1" t="str">
        <f>IFERROR(__xludf.DUMMYFUNCTION("""COMPUTED_VALUE"""),"USD")</f>
        <v>USD</v>
      </c>
      <c r="E295" s="1" t="str">
        <f>IFERROR(__xludf.DUMMYFUNCTION("""COMPUTED_VALUE"""),"Efectivo USD")</f>
        <v>Efectivo USD</v>
      </c>
      <c r="F295" s="1" t="str">
        <f>IFERROR(__xludf.DUMMYFUNCTION("""COMPUTED_VALUE"""),"Autorepuestos Pitstop,c.a.")</f>
        <v>Autorepuestos Pitstop,c.a.</v>
      </c>
      <c r="G295" s="70">
        <f>IFERROR(__xludf.DUMMYFUNCTION("""COMPUTED_VALUE"""),510.7873)</f>
        <v>510.7873</v>
      </c>
      <c r="H295" s="1"/>
      <c r="I295" s="71">
        <f>IFERROR(__xludf.DUMMYFUNCTION("""COMPUTED_VALUE"""),101.0)</f>
        <v>101</v>
      </c>
      <c r="J295" s="69">
        <f>IFERROR(__xludf.DUMMYFUNCTION("""COMPUTED_VALUE"""),101.0)</f>
        <v>101</v>
      </c>
      <c r="K295" s="4">
        <f>IFERROR(__xludf.DUMMYFUNCTION("""COMPUTED_VALUE"""),101.0)</f>
        <v>101</v>
      </c>
      <c r="N295" s="67"/>
      <c r="R295" s="4"/>
    </row>
    <row r="296">
      <c r="A296" s="66">
        <f>IFERROR(__xludf.DUMMYFUNCTION("""COMPUTED_VALUE"""),46156.0)</f>
        <v>46156</v>
      </c>
      <c r="B296" s="67">
        <f>IFERROR(__xludf.DUMMYFUNCTION("""COMPUTED_VALUE"""),127.0)</f>
        <v>127</v>
      </c>
      <c r="C296" s="69">
        <f>IFERROR(__xludf.DUMMYFUNCTION("""COMPUTED_VALUE"""),100.0)</f>
        <v>100</v>
      </c>
      <c r="D296" s="1" t="str">
        <f>IFERROR(__xludf.DUMMYFUNCTION("""COMPUTED_VALUE"""),"USD")</f>
        <v>USD</v>
      </c>
      <c r="E296" s="1" t="str">
        <f>IFERROR(__xludf.DUMMYFUNCTION("""COMPUTED_VALUE"""),"Efectivo USD")</f>
        <v>Efectivo USD</v>
      </c>
      <c r="F296" s="1" t="str">
        <f>IFERROR(__xludf.DUMMYFUNCTION("""COMPUTED_VALUE"""),"Emprendimiento José Sánchez 203 c.a")</f>
        <v>Emprendimiento José Sánchez 203 c.a</v>
      </c>
      <c r="G296" s="70">
        <f>IFERROR(__xludf.DUMMYFUNCTION("""COMPUTED_VALUE"""),510.7873)</f>
        <v>510.7873</v>
      </c>
      <c r="H296" s="1"/>
      <c r="I296" s="71">
        <f>IFERROR(__xludf.DUMMYFUNCTION("""COMPUTED_VALUE"""),100.0)</f>
        <v>100</v>
      </c>
      <c r="J296" s="69">
        <f>IFERROR(__xludf.DUMMYFUNCTION("""COMPUTED_VALUE"""),100.0)</f>
        <v>100</v>
      </c>
      <c r="K296" s="4">
        <f>IFERROR(__xludf.DUMMYFUNCTION("""COMPUTED_VALUE"""),100.0)</f>
        <v>100</v>
      </c>
      <c r="N296" s="67"/>
      <c r="R296" s="4"/>
    </row>
    <row r="297">
      <c r="A297" s="66">
        <f>IFERROR(__xludf.DUMMYFUNCTION("""COMPUTED_VALUE"""),46156.0)</f>
        <v>46156</v>
      </c>
      <c r="B297" s="67">
        <f>IFERROR(__xludf.DUMMYFUNCTION("""COMPUTED_VALUE"""),14.0)</f>
        <v>14</v>
      </c>
      <c r="C297" s="69">
        <f>IFERROR(__xludf.DUMMYFUNCTION("""COMPUTED_VALUE"""),9761.32)</f>
        <v>9761.32</v>
      </c>
      <c r="D297" s="1" t="str">
        <f>IFERROR(__xludf.DUMMYFUNCTION("""COMPUTED_VALUE"""),"VES")</f>
        <v>VES</v>
      </c>
      <c r="E297" s="1" t="str">
        <f>IFERROR(__xludf.DUMMYFUNCTION("""COMPUTED_VALUE"""),"Bancamiga")</f>
        <v>Bancamiga</v>
      </c>
      <c r="F297" s="1" t="str">
        <f>IFERROR(__xludf.DUMMYFUNCTION("""COMPUTED_VALUE"""),"SPEED RACING, CA")</f>
        <v>SPEED RACING, CA</v>
      </c>
      <c r="G297" s="70">
        <f>IFERROR(__xludf.DUMMYFUNCTION("""COMPUTED_VALUE"""),510.7873)</f>
        <v>510.7873</v>
      </c>
      <c r="H297" s="1"/>
      <c r="I297" s="71">
        <f>IFERROR(__xludf.DUMMYFUNCTION("""COMPUTED_VALUE"""),19.110342015159734)</f>
        <v>19.11034202</v>
      </c>
      <c r="J297" s="69">
        <f>IFERROR(__xludf.DUMMYFUNCTION("""COMPUTED_VALUE"""),0.0)</f>
        <v>0</v>
      </c>
      <c r="K297" s="4">
        <f>IFERROR(__xludf.DUMMYFUNCTION("""COMPUTED_VALUE"""),19.110342015159734)</f>
        <v>19.11034202</v>
      </c>
      <c r="N297" s="67"/>
      <c r="R297" s="4"/>
    </row>
    <row r="298">
      <c r="A298" s="66">
        <f>IFERROR(__xludf.DUMMYFUNCTION("""COMPUTED_VALUE"""),46157.0)</f>
        <v>46157</v>
      </c>
      <c r="B298" s="67">
        <f>IFERROR(__xludf.DUMMYFUNCTION("""COMPUTED_VALUE"""),250.0)</f>
        <v>250</v>
      </c>
      <c r="C298" s="69">
        <f>IFERROR(__xludf.DUMMYFUNCTION("""COMPUTED_VALUE"""),20.0)</f>
        <v>20</v>
      </c>
      <c r="D298" s="1" t="str">
        <f>IFERROR(__xludf.DUMMYFUNCTION("""COMPUTED_VALUE"""),"USD")</f>
        <v>USD</v>
      </c>
      <c r="E298" s="1" t="str">
        <f>IFERROR(__xludf.DUMMYFUNCTION("""COMPUTED_VALUE"""),"Efectivo USD")</f>
        <v>Efectivo USD</v>
      </c>
      <c r="F298" s="1" t="str">
        <f>IFERROR(__xludf.DUMMYFUNCTION("""COMPUTED_VALUE"""),"EMPRENDIMIENTO MANUEL GÓMEZ 6")</f>
        <v>EMPRENDIMIENTO MANUEL GÓMEZ 6</v>
      </c>
      <c r="G298" s="70">
        <f>IFERROR(__xludf.DUMMYFUNCTION("""COMPUTED_VALUE"""),510.7873)</f>
        <v>510.7873</v>
      </c>
      <c r="H298" s="1"/>
      <c r="I298" s="71">
        <f>IFERROR(__xludf.DUMMYFUNCTION("""COMPUTED_VALUE"""),20.0)</f>
        <v>20</v>
      </c>
      <c r="J298" s="69">
        <f>IFERROR(__xludf.DUMMYFUNCTION("""COMPUTED_VALUE"""),20.0)</f>
        <v>20</v>
      </c>
      <c r="K298" s="4">
        <f>IFERROR(__xludf.DUMMYFUNCTION("""COMPUTED_VALUE"""),20.0)</f>
        <v>20</v>
      </c>
      <c r="N298" s="67"/>
      <c r="R298" s="4"/>
    </row>
    <row r="299">
      <c r="A299" s="66">
        <f>IFERROR(__xludf.DUMMYFUNCTION("""COMPUTED_VALUE"""),46157.0)</f>
        <v>46157</v>
      </c>
      <c r="B299" s="67">
        <f>IFERROR(__xludf.DUMMYFUNCTION("""COMPUTED_VALUE"""),207.0)</f>
        <v>207</v>
      </c>
      <c r="C299" s="69">
        <f>IFERROR(__xludf.DUMMYFUNCTION("""COMPUTED_VALUE"""),200.0)</f>
        <v>200</v>
      </c>
      <c r="D299" s="1" t="str">
        <f>IFERROR(__xludf.DUMMYFUNCTION("""COMPUTED_VALUE"""),"USD")</f>
        <v>USD</v>
      </c>
      <c r="E299" s="1" t="str">
        <f>IFERROR(__xludf.DUMMYFUNCTION("""COMPUTED_VALUE"""),"Efectivo USD")</f>
        <v>Efectivo USD</v>
      </c>
      <c r="F299" s="1" t="str">
        <f>IFERROR(__xludf.DUMMYFUNCTION("""COMPUTED_VALUE"""),"Ingrit Martinez")</f>
        <v>Ingrit Martinez</v>
      </c>
      <c r="G299" s="70">
        <f>IFERROR(__xludf.DUMMYFUNCTION("""COMPUTED_VALUE"""),515.18)</f>
        <v>515.18</v>
      </c>
      <c r="H299" s="1"/>
      <c r="I299" s="71">
        <f>IFERROR(__xludf.DUMMYFUNCTION("""COMPUTED_VALUE"""),200.0)</f>
        <v>200</v>
      </c>
      <c r="J299" s="69">
        <f>IFERROR(__xludf.DUMMYFUNCTION("""COMPUTED_VALUE"""),200.0)</f>
        <v>200</v>
      </c>
      <c r="K299" s="4">
        <f>IFERROR(__xludf.DUMMYFUNCTION("""COMPUTED_VALUE"""),200.0)</f>
        <v>200</v>
      </c>
      <c r="N299" s="67"/>
      <c r="R299" s="4"/>
    </row>
    <row r="300">
      <c r="A300" s="66">
        <f>IFERROR(__xludf.DUMMYFUNCTION("""COMPUTED_VALUE"""),46157.0)</f>
        <v>46157</v>
      </c>
      <c r="B300" s="67">
        <f>IFERROR(__xludf.DUMMYFUNCTION("""COMPUTED_VALUE"""),397.0)</f>
        <v>397</v>
      </c>
      <c r="C300" s="69">
        <f>IFERROR(__xludf.DUMMYFUNCTION("""COMPUTED_VALUE"""),85.0)</f>
        <v>85</v>
      </c>
      <c r="D300" s="1" t="str">
        <f>IFERROR(__xludf.DUMMYFUNCTION("""COMPUTED_VALUE"""),"USD")</f>
        <v>USD</v>
      </c>
      <c r="E300" s="1" t="str">
        <f>IFERROR(__xludf.DUMMYFUNCTION("""COMPUTED_VALUE"""),"Efectivo USD")</f>
        <v>Efectivo USD</v>
      </c>
      <c r="F300" s="1" t="str">
        <f>IFERROR(__xludf.DUMMYFUNCTION("""COMPUTED_VALUE"""),"Paola M. Aguilera Z.")</f>
        <v>Paola M. Aguilera Z.</v>
      </c>
      <c r="G300" s="70">
        <f>IFERROR(__xludf.DUMMYFUNCTION("""COMPUTED_VALUE"""),515.18)</f>
        <v>515.18</v>
      </c>
      <c r="H300" s="1"/>
      <c r="I300" s="71">
        <f>IFERROR(__xludf.DUMMYFUNCTION("""COMPUTED_VALUE"""),85.0)</f>
        <v>85</v>
      </c>
      <c r="J300" s="69">
        <f>IFERROR(__xludf.DUMMYFUNCTION("""COMPUTED_VALUE"""),85.0)</f>
        <v>85</v>
      </c>
      <c r="K300" s="4">
        <f>IFERROR(__xludf.DUMMYFUNCTION("""COMPUTED_VALUE"""),85.0)</f>
        <v>85</v>
      </c>
      <c r="N300" s="67"/>
      <c r="R300" s="4"/>
    </row>
    <row r="301">
      <c r="A301" s="66">
        <f>IFERROR(__xludf.DUMMYFUNCTION("""COMPUTED_VALUE"""),46157.0)</f>
        <v>46157</v>
      </c>
      <c r="B301" s="67">
        <f>IFERROR(__xludf.DUMMYFUNCTION("""COMPUTED_VALUE"""),36.0)</f>
        <v>36</v>
      </c>
      <c r="C301" s="69">
        <f>IFERROR(__xludf.DUMMYFUNCTION("""COMPUTED_VALUE"""),29906.09)</f>
        <v>29906.09</v>
      </c>
      <c r="D301" s="1" t="str">
        <f>IFERROR(__xludf.DUMMYFUNCTION("""COMPUTED_VALUE"""),"VES")</f>
        <v>VES</v>
      </c>
      <c r="E301" s="1" t="str">
        <f>IFERROR(__xludf.DUMMYFUNCTION("""COMPUTED_VALUE"""),"Bancamiga")</f>
        <v>Bancamiga</v>
      </c>
      <c r="F301" s="1" t="str">
        <f>IFERROR(__xludf.DUMMYFUNCTION("""COMPUTED_VALUE"""),"inversiones El Gran Charles C.A")</f>
        <v>inversiones El Gran Charles C.A</v>
      </c>
      <c r="G301" s="70">
        <f>IFERROR(__xludf.DUMMYFUNCTION("""COMPUTED_VALUE"""),515.18)</f>
        <v>515.18</v>
      </c>
      <c r="H301" s="1"/>
      <c r="I301" s="71">
        <f>IFERROR(__xludf.DUMMYFUNCTION("""COMPUTED_VALUE"""),58.04978842346365)</f>
        <v>58.04978842</v>
      </c>
      <c r="J301" s="69">
        <f>IFERROR(__xludf.DUMMYFUNCTION("""COMPUTED_VALUE"""),0.0)</f>
        <v>0</v>
      </c>
      <c r="K301" s="4">
        <f>IFERROR(__xludf.DUMMYFUNCTION("""COMPUTED_VALUE"""),58.04978842346365)</f>
        <v>58.04978842</v>
      </c>
      <c r="N301" s="67"/>
      <c r="R301" s="4"/>
    </row>
    <row r="302">
      <c r="A302" s="66">
        <f>IFERROR(__xludf.DUMMYFUNCTION("""COMPUTED_VALUE"""),46157.0)</f>
        <v>46157</v>
      </c>
      <c r="B302" s="67">
        <f>IFERROR(__xludf.DUMMYFUNCTION("""COMPUTED_VALUE"""),149.0)</f>
        <v>149</v>
      </c>
      <c r="C302" s="69">
        <f>IFERROR(__xludf.DUMMYFUNCTION("""COMPUTED_VALUE"""),200.0)</f>
        <v>200</v>
      </c>
      <c r="D302" s="1" t="str">
        <f>IFERROR(__xludf.DUMMYFUNCTION("""COMPUTED_VALUE"""),"USD")</f>
        <v>USD</v>
      </c>
      <c r="E302" s="1" t="str">
        <f>IFERROR(__xludf.DUMMYFUNCTION("""COMPUTED_VALUE"""),"Efectivo USD")</f>
        <v>Efectivo USD</v>
      </c>
      <c r="F302" s="1" t="str">
        <f>IFERROR(__xludf.DUMMYFUNCTION("""COMPUTED_VALUE"""),"Emprendimiento ilaris cancelo")</f>
        <v>Emprendimiento ilaris cancelo</v>
      </c>
      <c r="G302" s="70">
        <f>IFERROR(__xludf.DUMMYFUNCTION("""COMPUTED_VALUE"""),515.18)</f>
        <v>515.18</v>
      </c>
      <c r="H302" s="1"/>
      <c r="I302" s="71">
        <f>IFERROR(__xludf.DUMMYFUNCTION("""COMPUTED_VALUE"""),200.0)</f>
        <v>200</v>
      </c>
      <c r="J302" s="69">
        <f>IFERROR(__xludf.DUMMYFUNCTION("""COMPUTED_VALUE"""),200.0)</f>
        <v>200</v>
      </c>
      <c r="K302" s="4">
        <f>IFERROR(__xludf.DUMMYFUNCTION("""COMPUTED_VALUE"""),200.0)</f>
        <v>200</v>
      </c>
      <c r="N302" s="67"/>
      <c r="R302" s="4"/>
    </row>
    <row r="303">
      <c r="A303" s="66">
        <f>IFERROR(__xludf.DUMMYFUNCTION("""COMPUTED_VALUE"""),46157.0)</f>
        <v>46157</v>
      </c>
      <c r="B303" s="67">
        <f>IFERROR(__xludf.DUMMYFUNCTION("""COMPUTED_VALUE"""),222.0)</f>
        <v>222</v>
      </c>
      <c r="C303" s="69">
        <f>IFERROR(__xludf.DUMMYFUNCTION("""COMPUTED_VALUE"""),40.0)</f>
        <v>40</v>
      </c>
      <c r="D303" s="1" t="str">
        <f>IFERROR(__xludf.DUMMYFUNCTION("""COMPUTED_VALUE"""),"USD")</f>
        <v>USD</v>
      </c>
      <c r="E303" s="1" t="str">
        <f>IFERROR(__xludf.DUMMYFUNCTION("""COMPUTED_VALUE"""),"Efectivo USD")</f>
        <v>Efectivo USD</v>
      </c>
      <c r="F303" s="1" t="str">
        <f>IFERROR(__xludf.DUMMYFUNCTION("""COMPUTED_VALUE"""),"Braulio R. Cedeño Gonzalez.")</f>
        <v>Braulio R. Cedeño Gonzalez.</v>
      </c>
      <c r="G303" s="70">
        <f>IFERROR(__xludf.DUMMYFUNCTION("""COMPUTED_VALUE"""),515.18)</f>
        <v>515.18</v>
      </c>
      <c r="H303" s="1"/>
      <c r="I303" s="71">
        <f>IFERROR(__xludf.DUMMYFUNCTION("""COMPUTED_VALUE"""),40.0)</f>
        <v>40</v>
      </c>
      <c r="J303" s="69">
        <f>IFERROR(__xludf.DUMMYFUNCTION("""COMPUTED_VALUE"""),40.0)</f>
        <v>40</v>
      </c>
      <c r="K303" s="4">
        <f>IFERROR(__xludf.DUMMYFUNCTION("""COMPUTED_VALUE"""),40.0)</f>
        <v>40</v>
      </c>
      <c r="N303" s="67"/>
      <c r="R303" s="4"/>
    </row>
    <row r="304">
      <c r="A304" s="66">
        <f>IFERROR(__xludf.DUMMYFUNCTION("""COMPUTED_VALUE"""),46157.0)</f>
        <v>46157</v>
      </c>
      <c r="B304" s="67">
        <f>IFERROR(__xludf.DUMMYFUNCTION("""COMPUTED_VALUE"""),27.0)</f>
        <v>27</v>
      </c>
      <c r="C304" s="69">
        <f>IFERROR(__xludf.DUMMYFUNCTION("""COMPUTED_VALUE"""),10.0)</f>
        <v>10</v>
      </c>
      <c r="D304" s="1" t="str">
        <f>IFERROR(__xludf.DUMMYFUNCTION("""COMPUTED_VALUE"""),"USD")</f>
        <v>USD</v>
      </c>
      <c r="E304" s="1" t="str">
        <f>IFERROR(__xludf.DUMMYFUNCTION("""COMPUTED_VALUE"""),"Efectivo USD")</f>
        <v>Efectivo USD</v>
      </c>
      <c r="F304" s="1" t="str">
        <f>IFERROR(__xludf.DUMMYFUNCTION("""COMPUTED_VALUE"""),"Moises Alejandro Mares")</f>
        <v>Moises Alejandro Mares</v>
      </c>
      <c r="G304" s="70">
        <f>IFERROR(__xludf.DUMMYFUNCTION("""COMPUTED_VALUE"""),515.18)</f>
        <v>515.18</v>
      </c>
      <c r="H304" s="1"/>
      <c r="I304" s="71">
        <f>IFERROR(__xludf.DUMMYFUNCTION("""COMPUTED_VALUE"""),10.0)</f>
        <v>10</v>
      </c>
      <c r="J304" s="69">
        <f>IFERROR(__xludf.DUMMYFUNCTION("""COMPUTED_VALUE"""),10.0)</f>
        <v>10</v>
      </c>
      <c r="K304" s="4">
        <f>IFERROR(__xludf.DUMMYFUNCTION("""COMPUTED_VALUE"""),10.0)</f>
        <v>10</v>
      </c>
      <c r="N304" s="67"/>
      <c r="R304" s="4"/>
    </row>
    <row r="305">
      <c r="A305" s="66">
        <f>IFERROR(__xludf.DUMMYFUNCTION("""COMPUTED_VALUE"""),46157.0)</f>
        <v>46157</v>
      </c>
      <c r="B305" s="67">
        <f>IFERROR(__xludf.DUMMYFUNCTION("""COMPUTED_VALUE"""),209.0)</f>
        <v>209</v>
      </c>
      <c r="C305" s="69">
        <f>IFERROR(__xludf.DUMMYFUNCTION("""COMPUTED_VALUE"""),100.0)</f>
        <v>100</v>
      </c>
      <c r="D305" s="1" t="str">
        <f>IFERROR(__xludf.DUMMYFUNCTION("""COMPUTED_VALUE"""),"USD")</f>
        <v>USD</v>
      </c>
      <c r="E305" s="1" t="str">
        <f>IFERROR(__xludf.DUMMYFUNCTION("""COMPUTED_VALUE"""),"Efectivo USD")</f>
        <v>Efectivo USD</v>
      </c>
      <c r="F305" s="1" t="str">
        <f>IFERROR(__xludf.DUMMYFUNCTION("""COMPUTED_VALUE"""),"Inversiones Mirelkys C.A")</f>
        <v>Inversiones Mirelkys C.A</v>
      </c>
      <c r="G305" s="70">
        <f>IFERROR(__xludf.DUMMYFUNCTION("""COMPUTED_VALUE"""),515.18)</f>
        <v>515.18</v>
      </c>
      <c r="H305" s="1"/>
      <c r="I305" s="71">
        <f>IFERROR(__xludf.DUMMYFUNCTION("""COMPUTED_VALUE"""),100.0)</f>
        <v>100</v>
      </c>
      <c r="J305" s="69">
        <f>IFERROR(__xludf.DUMMYFUNCTION("""COMPUTED_VALUE"""),100.0)</f>
        <v>100</v>
      </c>
      <c r="K305" s="4">
        <f>IFERROR(__xludf.DUMMYFUNCTION("""COMPUTED_VALUE"""),100.0)</f>
        <v>100</v>
      </c>
      <c r="N305" s="67"/>
      <c r="R305" s="4"/>
    </row>
    <row r="306">
      <c r="A306" s="66">
        <f>IFERROR(__xludf.DUMMYFUNCTION("""COMPUTED_VALUE"""),46157.0)</f>
        <v>46157</v>
      </c>
      <c r="B306" s="67">
        <f>IFERROR(__xludf.DUMMYFUNCTION("""COMPUTED_VALUE"""),327.0)</f>
        <v>327</v>
      </c>
      <c r="C306" s="69">
        <f>IFERROR(__xludf.DUMMYFUNCTION("""COMPUTED_VALUE"""),300.0)</f>
        <v>300</v>
      </c>
      <c r="D306" s="1" t="str">
        <f>IFERROR(__xludf.DUMMYFUNCTION("""COMPUTED_VALUE"""),"USD")</f>
        <v>USD</v>
      </c>
      <c r="E306" s="1" t="str">
        <f>IFERROR(__xludf.DUMMYFUNCTION("""COMPUTED_VALUE"""),"Efectivo USD")</f>
        <v>Efectivo USD</v>
      </c>
      <c r="F306" s="1" t="str">
        <f>IFERROR(__xludf.DUMMYFUNCTION("""COMPUTED_VALUE"""),"Kervin baez")</f>
        <v>Kervin baez</v>
      </c>
      <c r="G306" s="70">
        <f>IFERROR(__xludf.DUMMYFUNCTION("""COMPUTED_VALUE"""),515.18)</f>
        <v>515.18</v>
      </c>
      <c r="H306" s="1"/>
      <c r="I306" s="71">
        <f>IFERROR(__xludf.DUMMYFUNCTION("""COMPUTED_VALUE"""),300.0)</f>
        <v>300</v>
      </c>
      <c r="J306" s="69">
        <f>IFERROR(__xludf.DUMMYFUNCTION("""COMPUTED_VALUE"""),300.0)</f>
        <v>300</v>
      </c>
      <c r="K306" s="4">
        <f>IFERROR(__xludf.DUMMYFUNCTION("""COMPUTED_VALUE"""),300.0)</f>
        <v>300</v>
      </c>
      <c r="N306" s="67"/>
      <c r="R306" s="4"/>
    </row>
    <row r="307">
      <c r="A307" s="66">
        <f>IFERROR(__xludf.DUMMYFUNCTION("""COMPUTED_VALUE"""),46157.0)</f>
        <v>46157</v>
      </c>
      <c r="B307" s="67">
        <f>IFERROR(__xludf.DUMMYFUNCTION("""COMPUTED_VALUE"""),178.0)</f>
        <v>178</v>
      </c>
      <c r="C307" s="69">
        <f>IFERROR(__xludf.DUMMYFUNCTION("""COMPUTED_VALUE"""),70.0)</f>
        <v>70</v>
      </c>
      <c r="D307" s="1" t="str">
        <f>IFERROR(__xludf.DUMMYFUNCTION("""COMPUTED_VALUE"""),"USD")</f>
        <v>USD</v>
      </c>
      <c r="E307" s="1" t="str">
        <f>IFERROR(__xludf.DUMMYFUNCTION("""COMPUTED_VALUE"""),"Efectivo USD")</f>
        <v>Efectivo USD</v>
      </c>
      <c r="F307" s="1" t="str">
        <f>IFERROR(__xludf.DUMMYFUNCTION("""COMPUTED_VALUE"""),"Distribuidora Nesmari 2050 c.a")</f>
        <v>Distribuidora Nesmari 2050 c.a</v>
      </c>
      <c r="G307" s="70">
        <f>IFERROR(__xludf.DUMMYFUNCTION("""COMPUTED_VALUE"""),515.18)</f>
        <v>515.18</v>
      </c>
      <c r="H307" s="1"/>
      <c r="I307" s="71">
        <f>IFERROR(__xludf.DUMMYFUNCTION("""COMPUTED_VALUE"""),70.0)</f>
        <v>70</v>
      </c>
      <c r="J307" s="69">
        <f>IFERROR(__xludf.DUMMYFUNCTION("""COMPUTED_VALUE"""),70.0)</f>
        <v>70</v>
      </c>
      <c r="K307" s="4">
        <f>IFERROR(__xludf.DUMMYFUNCTION("""COMPUTED_VALUE"""),70.0)</f>
        <v>70</v>
      </c>
      <c r="N307" s="67"/>
      <c r="R307" s="4"/>
    </row>
    <row r="308">
      <c r="A308" s="66">
        <f>IFERROR(__xludf.DUMMYFUNCTION("""COMPUTED_VALUE"""),46160.0)</f>
        <v>46160</v>
      </c>
      <c r="B308" s="67">
        <f>IFERROR(__xludf.DUMMYFUNCTION("""COMPUTED_VALUE"""),405.0)</f>
        <v>405</v>
      </c>
      <c r="C308" s="69">
        <f>IFERROR(__xludf.DUMMYFUNCTION("""COMPUTED_VALUE"""),68.0)</f>
        <v>68</v>
      </c>
      <c r="D308" s="1" t="str">
        <f>IFERROR(__xludf.DUMMYFUNCTION("""COMPUTED_VALUE"""),"USD")</f>
        <v>USD</v>
      </c>
      <c r="E308" s="1" t="str">
        <f>IFERROR(__xludf.DUMMYFUNCTION("""COMPUTED_VALUE"""),"Efectivo USD")</f>
        <v>Efectivo USD</v>
      </c>
      <c r="F308" s="1" t="str">
        <f>IFERROR(__xludf.DUMMYFUNCTION("""COMPUTED_VALUE"""),"Anthony Jose Quijada Diaz.")</f>
        <v>Anthony Jose Quijada Diaz.</v>
      </c>
      <c r="G308" s="70">
        <f>IFERROR(__xludf.DUMMYFUNCTION("""COMPUTED_VALUE"""),515.18)</f>
        <v>515.18</v>
      </c>
      <c r="H308" s="1"/>
      <c r="I308" s="71">
        <f>IFERROR(__xludf.DUMMYFUNCTION("""COMPUTED_VALUE"""),68.0)</f>
        <v>68</v>
      </c>
      <c r="J308" s="69">
        <f>IFERROR(__xludf.DUMMYFUNCTION("""COMPUTED_VALUE"""),68.0)</f>
        <v>68</v>
      </c>
      <c r="K308" s="4">
        <f>IFERROR(__xludf.DUMMYFUNCTION("""COMPUTED_VALUE"""),68.0)</f>
        <v>68</v>
      </c>
      <c r="N308" s="67"/>
      <c r="R308" s="4"/>
    </row>
    <row r="309">
      <c r="A309" s="66">
        <f>IFERROR(__xludf.DUMMYFUNCTION("""COMPUTED_VALUE"""),46160.0)</f>
        <v>46160</v>
      </c>
      <c r="B309" s="67">
        <f>IFERROR(__xludf.DUMMYFUNCTION("""COMPUTED_VALUE"""),61.0)</f>
        <v>61</v>
      </c>
      <c r="C309" s="69">
        <f>IFERROR(__xludf.DUMMYFUNCTION("""COMPUTED_VALUE"""),480.0)</f>
        <v>480</v>
      </c>
      <c r="D309" s="1" t="str">
        <f>IFERROR(__xludf.DUMMYFUNCTION("""COMPUTED_VALUE"""),"USD")</f>
        <v>USD</v>
      </c>
      <c r="E309" s="1" t="str">
        <f>IFERROR(__xludf.DUMMYFUNCTION("""COMPUTED_VALUE"""),"Efectivo USD")</f>
        <v>Efectivo USD</v>
      </c>
      <c r="F309" s="1" t="str">
        <f>IFERROR(__xludf.DUMMYFUNCTION("""COMPUTED_VALUE"""),"SJMG 2012 C.A")</f>
        <v>SJMG 2012 C.A</v>
      </c>
      <c r="G309" s="70">
        <f>IFERROR(__xludf.DUMMYFUNCTION("""COMPUTED_VALUE"""),517.9619)</f>
        <v>517.9619</v>
      </c>
      <c r="H309" s="1"/>
      <c r="I309" s="71">
        <f>IFERROR(__xludf.DUMMYFUNCTION("""COMPUTED_VALUE"""),480.0)</f>
        <v>480</v>
      </c>
      <c r="J309" s="69">
        <f>IFERROR(__xludf.DUMMYFUNCTION("""COMPUTED_VALUE"""),480.0)</f>
        <v>480</v>
      </c>
      <c r="K309" s="4">
        <f>IFERROR(__xludf.DUMMYFUNCTION("""COMPUTED_VALUE"""),480.0)</f>
        <v>480</v>
      </c>
      <c r="N309" s="67"/>
      <c r="R309" s="4"/>
    </row>
    <row r="310">
      <c r="A310" s="66">
        <f>IFERROR(__xludf.DUMMYFUNCTION("""COMPUTED_VALUE"""),46160.0)</f>
        <v>46160</v>
      </c>
      <c r="B310" s="67">
        <f>IFERROR(__xludf.DUMMYFUNCTION("""COMPUTED_VALUE"""),407.0)</f>
        <v>407</v>
      </c>
      <c r="C310" s="69">
        <f>IFERROR(__xludf.DUMMYFUNCTION("""COMPUTED_VALUE"""),135.0)</f>
        <v>135</v>
      </c>
      <c r="D310" s="1" t="str">
        <f>IFERROR(__xludf.DUMMYFUNCTION("""COMPUTED_VALUE"""),"USD")</f>
        <v>USD</v>
      </c>
      <c r="E310" s="1" t="str">
        <f>IFERROR(__xludf.DUMMYFUNCTION("""COMPUTED_VALUE"""),"Efectivo USD")</f>
        <v>Efectivo USD</v>
      </c>
      <c r="F310" s="1" t="str">
        <f>IFERROR(__xludf.DUMMYFUNCTION("""COMPUTED_VALUE"""),"FREDI MARQUEZ")</f>
        <v>FREDI MARQUEZ</v>
      </c>
      <c r="G310" s="70">
        <f>IFERROR(__xludf.DUMMYFUNCTION("""COMPUTED_VALUE"""),517.9619)</f>
        <v>517.9619</v>
      </c>
      <c r="H310" s="1"/>
      <c r="I310" s="71">
        <f>IFERROR(__xludf.DUMMYFUNCTION("""COMPUTED_VALUE"""),135.0)</f>
        <v>135</v>
      </c>
      <c r="J310" s="69">
        <f>IFERROR(__xludf.DUMMYFUNCTION("""COMPUTED_VALUE"""),135.0)</f>
        <v>135</v>
      </c>
      <c r="K310" s="4">
        <f>IFERROR(__xludf.DUMMYFUNCTION("""COMPUTED_VALUE"""),135.0)</f>
        <v>135</v>
      </c>
      <c r="N310" s="67"/>
      <c r="R310" s="4"/>
    </row>
    <row r="311">
      <c r="A311" s="66">
        <f>IFERROR(__xludf.DUMMYFUNCTION("""COMPUTED_VALUE"""),46160.0)</f>
        <v>46160</v>
      </c>
      <c r="B311" s="67">
        <f>IFERROR(__xludf.DUMMYFUNCTION("""COMPUTED_VALUE"""),248.0)</f>
        <v>248</v>
      </c>
      <c r="C311" s="69">
        <f>IFERROR(__xludf.DUMMYFUNCTION("""COMPUTED_VALUE"""),20.0)</f>
        <v>20</v>
      </c>
      <c r="D311" s="1" t="str">
        <f>IFERROR(__xludf.DUMMYFUNCTION("""COMPUTED_VALUE"""),"USD")</f>
        <v>USD</v>
      </c>
      <c r="E311" s="1" t="str">
        <f>IFERROR(__xludf.DUMMYFUNCTION("""COMPUTED_VALUE"""),"Efectivo USD")</f>
        <v>Efectivo USD</v>
      </c>
      <c r="F311" s="1" t="str">
        <f>IFERROR(__xludf.DUMMYFUNCTION("""COMPUTED_VALUE"""),"Abraham almenar")</f>
        <v>Abraham almenar</v>
      </c>
      <c r="G311" s="70">
        <f>IFERROR(__xludf.DUMMYFUNCTION("""COMPUTED_VALUE"""),517.9619)</f>
        <v>517.9619</v>
      </c>
      <c r="H311" s="1"/>
      <c r="I311" s="71">
        <f>IFERROR(__xludf.DUMMYFUNCTION("""COMPUTED_VALUE"""),20.0)</f>
        <v>20</v>
      </c>
      <c r="J311" s="69">
        <f>IFERROR(__xludf.DUMMYFUNCTION("""COMPUTED_VALUE"""),20.0)</f>
        <v>20</v>
      </c>
      <c r="K311" s="4">
        <f>IFERROR(__xludf.DUMMYFUNCTION("""COMPUTED_VALUE"""),20.0)</f>
        <v>20</v>
      </c>
      <c r="N311" s="67"/>
      <c r="R311" s="4"/>
    </row>
    <row r="312">
      <c r="A312" s="66">
        <f>IFERROR(__xludf.DUMMYFUNCTION("""COMPUTED_VALUE"""),46160.0)</f>
        <v>46160</v>
      </c>
      <c r="B312" s="67">
        <f>IFERROR(__xludf.DUMMYFUNCTION("""COMPUTED_VALUE"""),359.0)</f>
        <v>359</v>
      </c>
      <c r="C312" s="69">
        <f>IFERROR(__xludf.DUMMYFUNCTION("""COMPUTED_VALUE"""),150647.92)</f>
        <v>150647.92</v>
      </c>
      <c r="D312" s="1" t="str">
        <f>IFERROR(__xludf.DUMMYFUNCTION("""COMPUTED_VALUE"""),"VES")</f>
        <v>VES</v>
      </c>
      <c r="E312" s="1" t="str">
        <f>IFERROR(__xludf.DUMMYFUNCTION("""COMPUTED_VALUE"""),"Bancamiga")</f>
        <v>Bancamiga</v>
      </c>
      <c r="F312" s="1" t="str">
        <f>IFERROR(__xludf.DUMMYFUNCTION("""COMPUTED_VALUE"""),"EN LA VIA 2023 C.A")</f>
        <v>EN LA VIA 2023 C.A</v>
      </c>
      <c r="G312" s="70">
        <f>IFERROR(__xludf.DUMMYFUNCTION("""COMPUTED_VALUE"""),517.9619)</f>
        <v>517.9619</v>
      </c>
      <c r="H312" s="1"/>
      <c r="I312" s="71">
        <f>IFERROR(__xludf.DUMMYFUNCTION("""COMPUTED_VALUE"""),290.84749283682834)</f>
        <v>290.8474928</v>
      </c>
      <c r="J312" s="69">
        <f>IFERROR(__xludf.DUMMYFUNCTION("""COMPUTED_VALUE"""),0.0)</f>
        <v>0</v>
      </c>
      <c r="K312" s="4">
        <f>IFERROR(__xludf.DUMMYFUNCTION("""COMPUTED_VALUE"""),290.84749283682834)</f>
        <v>290.8474928</v>
      </c>
      <c r="N312" s="67"/>
      <c r="R312" s="4"/>
    </row>
    <row r="313">
      <c r="A313" s="66">
        <f>IFERROR(__xludf.DUMMYFUNCTION("""COMPUTED_VALUE"""),46160.0)</f>
        <v>46160</v>
      </c>
      <c r="B313" s="67">
        <f>IFERROR(__xludf.DUMMYFUNCTION("""COMPUTED_VALUE"""),124.0)</f>
        <v>124</v>
      </c>
      <c r="C313" s="69">
        <f>IFERROR(__xludf.DUMMYFUNCTION("""COMPUTED_VALUE"""),300.0)</f>
        <v>300</v>
      </c>
      <c r="D313" s="1" t="str">
        <f>IFERROR(__xludf.DUMMYFUNCTION("""COMPUTED_VALUE"""),"USD")</f>
        <v>USD</v>
      </c>
      <c r="E313" s="1" t="str">
        <f>IFERROR(__xludf.DUMMYFUNCTION("""COMPUTED_VALUE"""),"Efectivo USD")</f>
        <v>Efectivo USD</v>
      </c>
      <c r="F313" s="1" t="str">
        <f>IFERROR(__xludf.DUMMYFUNCTION("""COMPUTED_VALUE"""),"M.L.P Repuestos y Otros, C.A")</f>
        <v>M.L.P Repuestos y Otros, C.A</v>
      </c>
      <c r="G313" s="70">
        <f>IFERROR(__xludf.DUMMYFUNCTION("""COMPUTED_VALUE"""),517.9619)</f>
        <v>517.9619</v>
      </c>
      <c r="H313" s="1"/>
      <c r="I313" s="71">
        <f>IFERROR(__xludf.DUMMYFUNCTION("""COMPUTED_VALUE"""),300.0)</f>
        <v>300</v>
      </c>
      <c r="J313" s="69">
        <f>IFERROR(__xludf.DUMMYFUNCTION("""COMPUTED_VALUE"""),300.0)</f>
        <v>300</v>
      </c>
      <c r="K313" s="4">
        <f>IFERROR(__xludf.DUMMYFUNCTION("""COMPUTED_VALUE"""),300.0)</f>
        <v>300</v>
      </c>
      <c r="N313" s="67"/>
      <c r="R313" s="4"/>
    </row>
    <row r="314">
      <c r="A314" s="66">
        <f>IFERROR(__xludf.DUMMYFUNCTION("""COMPUTED_VALUE"""),46160.0)</f>
        <v>46160</v>
      </c>
      <c r="B314" s="67">
        <f>IFERROR(__xludf.DUMMYFUNCTION("""COMPUTED_VALUE"""),291.0)</f>
        <v>291</v>
      </c>
      <c r="C314" s="69">
        <f>IFERROR(__xludf.DUMMYFUNCTION("""COMPUTED_VALUE"""),600.0)</f>
        <v>600</v>
      </c>
      <c r="D314" s="1" t="str">
        <f>IFERROR(__xludf.DUMMYFUNCTION("""COMPUTED_VALUE"""),"USD")</f>
        <v>USD</v>
      </c>
      <c r="E314" s="1" t="str">
        <f>IFERROR(__xludf.DUMMYFUNCTION("""COMPUTED_VALUE"""),"Efectivo USD")</f>
        <v>Efectivo USD</v>
      </c>
      <c r="F314" s="1" t="str">
        <f>IFERROR(__xludf.DUMMYFUNCTION("""COMPUTED_VALUE"""),"AGROPECUARIA EL TORO DORADO, C.A")</f>
        <v>AGROPECUARIA EL TORO DORADO, C.A</v>
      </c>
      <c r="G314" s="70">
        <f>IFERROR(__xludf.DUMMYFUNCTION("""COMPUTED_VALUE"""),517.9619)</f>
        <v>517.9619</v>
      </c>
      <c r="H314" s="1"/>
      <c r="I314" s="71">
        <f>IFERROR(__xludf.DUMMYFUNCTION("""COMPUTED_VALUE"""),600.0)</f>
        <v>600</v>
      </c>
      <c r="J314" s="69">
        <f>IFERROR(__xludf.DUMMYFUNCTION("""COMPUTED_VALUE"""),600.0)</f>
        <v>600</v>
      </c>
      <c r="K314" s="4">
        <f>IFERROR(__xludf.DUMMYFUNCTION("""COMPUTED_VALUE"""),600.0)</f>
        <v>600</v>
      </c>
      <c r="N314" s="67"/>
      <c r="R314" s="4"/>
    </row>
    <row r="315">
      <c r="A315" s="66">
        <f>IFERROR(__xludf.DUMMYFUNCTION("""COMPUTED_VALUE"""),46160.0)</f>
        <v>46160</v>
      </c>
      <c r="B315" s="67">
        <f>IFERROR(__xludf.DUMMYFUNCTION("""COMPUTED_VALUE"""),197.0)</f>
        <v>197</v>
      </c>
      <c r="C315" s="69">
        <f>IFERROR(__xludf.DUMMYFUNCTION("""COMPUTED_VALUE"""),17.0)</f>
        <v>17</v>
      </c>
      <c r="D315" s="1" t="str">
        <f>IFERROR(__xludf.DUMMYFUNCTION("""COMPUTED_VALUE"""),"USD")</f>
        <v>USD</v>
      </c>
      <c r="E315" s="1" t="str">
        <f>IFERROR(__xludf.DUMMYFUNCTION("""COMPUTED_VALUE"""),"Efectivo USD")</f>
        <v>Efectivo USD</v>
      </c>
      <c r="F315" s="1" t="str">
        <f>IFERROR(__xludf.DUMMYFUNCTION("""COMPUTED_VALUE"""),"Auto Repuestos Acal C.A")</f>
        <v>Auto Repuestos Acal C.A</v>
      </c>
      <c r="G315" s="70">
        <f>IFERROR(__xludf.DUMMYFUNCTION("""COMPUTED_VALUE"""),517.9619)</f>
        <v>517.9619</v>
      </c>
      <c r="H315" s="1"/>
      <c r="I315" s="71">
        <f>IFERROR(__xludf.DUMMYFUNCTION("""COMPUTED_VALUE"""),17.0)</f>
        <v>17</v>
      </c>
      <c r="J315" s="69">
        <f>IFERROR(__xludf.DUMMYFUNCTION("""COMPUTED_VALUE"""),17.0)</f>
        <v>17</v>
      </c>
      <c r="K315" s="4">
        <f>IFERROR(__xludf.DUMMYFUNCTION("""COMPUTED_VALUE"""),17.0)</f>
        <v>17</v>
      </c>
      <c r="N315" s="67"/>
      <c r="R315" s="4"/>
    </row>
    <row r="316">
      <c r="A316" s="66">
        <f>IFERROR(__xludf.DUMMYFUNCTION("""COMPUTED_VALUE"""),46160.0)</f>
        <v>46160</v>
      </c>
      <c r="B316" s="67">
        <f>IFERROR(__xludf.DUMMYFUNCTION("""COMPUTED_VALUE"""),82.0)</f>
        <v>82</v>
      </c>
      <c r="C316" s="69">
        <f>IFERROR(__xludf.DUMMYFUNCTION("""COMPUTED_VALUE"""),225.0)</f>
        <v>225</v>
      </c>
      <c r="D316" s="1" t="str">
        <f>IFERROR(__xludf.DUMMYFUNCTION("""COMPUTED_VALUE"""),"USD")</f>
        <v>USD</v>
      </c>
      <c r="E316" s="1" t="str">
        <f>IFERROR(__xludf.DUMMYFUNCTION("""COMPUTED_VALUE"""),"Efectivo USD")</f>
        <v>Efectivo USD</v>
      </c>
      <c r="F316" s="1" t="str">
        <f>IFERROR(__xludf.DUMMYFUNCTION("""COMPUTED_VALUE"""),"Pedro Castro")</f>
        <v>Pedro Castro</v>
      </c>
      <c r="G316" s="70">
        <f>IFERROR(__xludf.DUMMYFUNCTION("""COMPUTED_VALUE"""),517.9619)</f>
        <v>517.9619</v>
      </c>
      <c r="H316" s="1"/>
      <c r="I316" s="71">
        <f>IFERROR(__xludf.DUMMYFUNCTION("""COMPUTED_VALUE"""),225.0)</f>
        <v>225</v>
      </c>
      <c r="J316" s="69">
        <f>IFERROR(__xludf.DUMMYFUNCTION("""COMPUTED_VALUE"""),225.0)</f>
        <v>225</v>
      </c>
      <c r="K316" s="4">
        <f>IFERROR(__xludf.DUMMYFUNCTION("""COMPUTED_VALUE"""),225.0)</f>
        <v>225</v>
      </c>
      <c r="N316" s="67"/>
      <c r="R316" s="4"/>
    </row>
    <row r="317">
      <c r="A317" s="66">
        <f>IFERROR(__xludf.DUMMYFUNCTION("""COMPUTED_VALUE"""),46160.0)</f>
        <v>46160</v>
      </c>
      <c r="B317" s="67">
        <f>IFERROR(__xludf.DUMMYFUNCTION("""COMPUTED_VALUE"""),396.0)</f>
        <v>396</v>
      </c>
      <c r="C317" s="69">
        <f>IFERROR(__xludf.DUMMYFUNCTION("""COMPUTED_VALUE"""),66987.76)</f>
        <v>66987.76</v>
      </c>
      <c r="D317" s="1" t="str">
        <f>IFERROR(__xludf.DUMMYFUNCTION("""COMPUTED_VALUE"""),"VES")</f>
        <v>VES</v>
      </c>
      <c r="E317" s="1" t="str">
        <f>IFERROR(__xludf.DUMMYFUNCTION("""COMPUTED_VALUE"""),"Bancamiga")</f>
        <v>Bancamiga</v>
      </c>
      <c r="F317" s="1" t="str">
        <f>IFERROR(__xludf.DUMMYFUNCTION("""COMPUTED_VALUE"""),"INVERSIONES ARCOSOL 21, C.A.")</f>
        <v>INVERSIONES ARCOSOL 21, C.A.</v>
      </c>
      <c r="G317" s="70">
        <f>IFERROR(__xludf.DUMMYFUNCTION("""COMPUTED_VALUE"""),517.9619)</f>
        <v>517.9619</v>
      </c>
      <c r="H317" s="1"/>
      <c r="I317" s="71">
        <f>IFERROR(__xludf.DUMMYFUNCTION("""COMPUTED_VALUE"""),129.3295124602794)</f>
        <v>129.3295125</v>
      </c>
      <c r="J317" s="69">
        <f>IFERROR(__xludf.DUMMYFUNCTION("""COMPUTED_VALUE"""),0.0)</f>
        <v>0</v>
      </c>
      <c r="K317" s="4">
        <f>IFERROR(__xludf.DUMMYFUNCTION("""COMPUTED_VALUE"""),129.3295124602794)</f>
        <v>129.3295125</v>
      </c>
      <c r="N317" s="67"/>
      <c r="R317" s="4"/>
    </row>
    <row r="318">
      <c r="A318" s="66">
        <f>IFERROR(__xludf.DUMMYFUNCTION("""COMPUTED_VALUE"""),46157.0)</f>
        <v>46157</v>
      </c>
      <c r="B318" s="67">
        <f>IFERROR(__xludf.DUMMYFUNCTION("""COMPUTED_VALUE"""),99.0)</f>
        <v>99</v>
      </c>
      <c r="C318" s="69">
        <f>IFERROR(__xludf.DUMMYFUNCTION("""COMPUTED_VALUE"""),6609.75)</f>
        <v>6609.75</v>
      </c>
      <c r="D318" s="1" t="str">
        <f>IFERROR(__xludf.DUMMYFUNCTION("""COMPUTED_VALUE"""),"VES")</f>
        <v>VES</v>
      </c>
      <c r="E318" s="1" t="str">
        <f>IFERROR(__xludf.DUMMYFUNCTION("""COMPUTED_VALUE"""),"Bancamiga")</f>
        <v>Bancamiga</v>
      </c>
      <c r="F318" s="1" t="str">
        <f>IFERROR(__xludf.DUMMYFUNCTION("""COMPUTED_VALUE"""),"ZIP MARKET, CA")</f>
        <v>ZIP MARKET, CA</v>
      </c>
      <c r="G318" s="70">
        <f>IFERROR(__xludf.DUMMYFUNCTION("""COMPUTED_VALUE"""),517.9619)</f>
        <v>517.9619</v>
      </c>
      <c r="H318" s="1"/>
      <c r="I318" s="71">
        <f>IFERROR(__xludf.DUMMYFUNCTION("""COMPUTED_VALUE"""),12.76107373920746)</f>
        <v>12.76107374</v>
      </c>
      <c r="J318" s="69">
        <f>IFERROR(__xludf.DUMMYFUNCTION("""COMPUTED_VALUE"""),0.0)</f>
        <v>0</v>
      </c>
      <c r="K318" s="4">
        <f>IFERROR(__xludf.DUMMYFUNCTION("""COMPUTED_VALUE"""),12.76107373920746)</f>
        <v>12.76107374</v>
      </c>
      <c r="N318" s="67"/>
      <c r="R318" s="4"/>
    </row>
    <row r="319">
      <c r="A319" s="66">
        <f>IFERROR(__xludf.DUMMYFUNCTION("""COMPUTED_VALUE"""),46161.0)</f>
        <v>46161</v>
      </c>
      <c r="B319" s="67">
        <f>IFERROR(__xludf.DUMMYFUNCTION("""COMPUTED_VALUE"""),412.0)</f>
        <v>412</v>
      </c>
      <c r="C319" s="69">
        <f>IFERROR(__xludf.DUMMYFUNCTION("""COMPUTED_VALUE"""),109.0)</f>
        <v>109</v>
      </c>
      <c r="D319" s="1" t="str">
        <f>IFERROR(__xludf.DUMMYFUNCTION("""COMPUTED_VALUE"""),"USD")</f>
        <v>USD</v>
      </c>
      <c r="E319" s="1" t="str">
        <f>IFERROR(__xludf.DUMMYFUNCTION("""COMPUTED_VALUE"""),"Efectivo USD")</f>
        <v>Efectivo USD</v>
      </c>
      <c r="F319" s="1" t="str">
        <f>IFERROR(__xludf.DUMMYFUNCTION("""COMPUTED_VALUE"""),"Anthony Jose Quijada Diaz.")</f>
        <v>Anthony Jose Quijada Diaz.</v>
      </c>
      <c r="G319" s="70">
        <f>IFERROR(__xludf.DUMMYFUNCTION("""COMPUTED_VALUE"""),517.9619)</f>
        <v>517.9619</v>
      </c>
      <c r="H319" s="1"/>
      <c r="I319" s="71">
        <f>IFERROR(__xludf.DUMMYFUNCTION("""COMPUTED_VALUE"""),109.0)</f>
        <v>109</v>
      </c>
      <c r="J319" s="69">
        <f>IFERROR(__xludf.DUMMYFUNCTION("""COMPUTED_VALUE"""),109.0)</f>
        <v>109</v>
      </c>
      <c r="K319" s="4">
        <f>IFERROR(__xludf.DUMMYFUNCTION("""COMPUTED_VALUE"""),109.0)</f>
        <v>109</v>
      </c>
      <c r="N319" s="67"/>
      <c r="R319" s="4"/>
    </row>
    <row r="320">
      <c r="A320" s="66">
        <f>IFERROR(__xludf.DUMMYFUNCTION("""COMPUTED_VALUE"""),46161.0)</f>
        <v>46161</v>
      </c>
      <c r="B320" s="67">
        <f>IFERROR(__xludf.DUMMYFUNCTION("""COMPUTED_VALUE"""),260.0)</f>
        <v>260</v>
      </c>
      <c r="C320" s="69">
        <f>IFERROR(__xludf.DUMMYFUNCTION("""COMPUTED_VALUE"""),51796.19)</f>
        <v>51796.19</v>
      </c>
      <c r="D320" s="1" t="str">
        <f>IFERROR(__xludf.DUMMYFUNCTION("""COMPUTED_VALUE"""),"VES")</f>
        <v>VES</v>
      </c>
      <c r="E320" s="1" t="str">
        <f>IFERROR(__xludf.DUMMYFUNCTION("""COMPUTED_VALUE"""),"Bancamiga")</f>
        <v>Bancamiga</v>
      </c>
      <c r="F320" s="1" t="str">
        <f>IFERROR(__xludf.DUMMYFUNCTION("""COMPUTED_VALUE"""),"Jose Lopez Espinoza")</f>
        <v>Jose Lopez Espinoza</v>
      </c>
      <c r="G320" s="70">
        <f>IFERROR(__xludf.DUMMYFUNCTION("""COMPUTED_VALUE"""),517.9619)</f>
        <v>517.9619</v>
      </c>
      <c r="H320" s="1"/>
      <c r="I320" s="71">
        <f>IFERROR(__xludf.DUMMYFUNCTION("""COMPUTED_VALUE"""),100.0)</f>
        <v>100</v>
      </c>
      <c r="J320" s="69">
        <f>IFERROR(__xludf.DUMMYFUNCTION("""COMPUTED_VALUE"""),0.0)</f>
        <v>0</v>
      </c>
      <c r="K320" s="4">
        <f>IFERROR(__xludf.DUMMYFUNCTION("""COMPUTED_VALUE"""),100.0)</f>
        <v>100</v>
      </c>
      <c r="N320" s="67"/>
      <c r="R320" s="4"/>
    </row>
    <row r="321">
      <c r="A321" s="66">
        <f>IFERROR(__xludf.DUMMYFUNCTION("""COMPUTED_VALUE"""),46161.0)</f>
        <v>46161</v>
      </c>
      <c r="B321" s="67">
        <f>IFERROR(__xludf.DUMMYFUNCTION("""COMPUTED_VALUE"""),186.0)</f>
        <v>186</v>
      </c>
      <c r="C321" s="69">
        <f>IFERROR(__xludf.DUMMYFUNCTION("""COMPUTED_VALUE"""),56.0)</f>
        <v>56</v>
      </c>
      <c r="D321" s="1" t="str">
        <f>IFERROR(__xludf.DUMMYFUNCTION("""COMPUTED_VALUE"""),"USD")</f>
        <v>USD</v>
      </c>
      <c r="E321" s="1" t="str">
        <f>IFERROR(__xludf.DUMMYFUNCTION("""COMPUTED_VALUE"""),"Efectivo USD")</f>
        <v>Efectivo USD</v>
      </c>
      <c r="F321" s="1" t="str">
        <f>IFERROR(__xludf.DUMMYFUNCTION("""COMPUTED_VALUE"""),"Cauchos y Suministros Camacho C.A")</f>
        <v>Cauchos y Suministros Camacho C.A</v>
      </c>
      <c r="G321" s="70">
        <f>IFERROR(__xludf.DUMMYFUNCTION("""COMPUTED_VALUE"""),517.9619)</f>
        <v>517.9619</v>
      </c>
      <c r="H321" s="1"/>
      <c r="I321" s="71">
        <f>IFERROR(__xludf.DUMMYFUNCTION("""COMPUTED_VALUE"""),56.0)</f>
        <v>56</v>
      </c>
      <c r="J321" s="69">
        <f>IFERROR(__xludf.DUMMYFUNCTION("""COMPUTED_VALUE"""),56.0)</f>
        <v>56</v>
      </c>
      <c r="K321" s="4">
        <f>IFERROR(__xludf.DUMMYFUNCTION("""COMPUTED_VALUE"""),56.0)</f>
        <v>56</v>
      </c>
      <c r="N321" s="67"/>
      <c r="R321" s="4"/>
    </row>
    <row r="322">
      <c r="A322" s="66">
        <f>IFERROR(__xludf.DUMMYFUNCTION("""COMPUTED_VALUE"""),46161.0)</f>
        <v>46161</v>
      </c>
      <c r="B322" s="67">
        <f>IFERROR(__xludf.DUMMYFUNCTION("""COMPUTED_VALUE"""),298.0)</f>
        <v>298</v>
      </c>
      <c r="C322" s="69">
        <f>IFERROR(__xludf.DUMMYFUNCTION("""COMPUTED_VALUE"""),40.0)</f>
        <v>40</v>
      </c>
      <c r="D322" s="1" t="str">
        <f>IFERROR(__xludf.DUMMYFUNCTION("""COMPUTED_VALUE"""),"USD")</f>
        <v>USD</v>
      </c>
      <c r="E322" s="1" t="str">
        <f>IFERROR(__xludf.DUMMYFUNCTION("""COMPUTED_VALUE"""),"Efectivo USD")</f>
        <v>Efectivo USD</v>
      </c>
      <c r="F322" s="1" t="str">
        <f>IFERROR(__xludf.DUMMYFUNCTION("""COMPUTED_VALUE"""),"Inversiones Brayan CT C.A")</f>
        <v>Inversiones Brayan CT C.A</v>
      </c>
      <c r="G322" s="70">
        <f>IFERROR(__xludf.DUMMYFUNCTION("""COMPUTED_VALUE"""),517.9619)</f>
        <v>517.9619</v>
      </c>
      <c r="H322" s="1"/>
      <c r="I322" s="71">
        <f>IFERROR(__xludf.DUMMYFUNCTION("""COMPUTED_VALUE"""),40.0)</f>
        <v>40</v>
      </c>
      <c r="J322" s="69">
        <f>IFERROR(__xludf.DUMMYFUNCTION("""COMPUTED_VALUE"""),40.0)</f>
        <v>40</v>
      </c>
      <c r="K322" s="4">
        <f>IFERROR(__xludf.DUMMYFUNCTION("""COMPUTED_VALUE"""),40.0)</f>
        <v>40</v>
      </c>
      <c r="N322" s="67"/>
      <c r="R322" s="4"/>
    </row>
    <row r="323">
      <c r="A323" s="66">
        <f>IFERROR(__xludf.DUMMYFUNCTION("""COMPUTED_VALUE"""),46161.0)</f>
        <v>46161</v>
      </c>
      <c r="B323" s="67">
        <f>IFERROR(__xludf.DUMMYFUNCTION("""COMPUTED_VALUE"""),87.0)</f>
        <v>87</v>
      </c>
      <c r="C323" s="69">
        <f>IFERROR(__xludf.DUMMYFUNCTION("""COMPUTED_VALUE"""),113.0)</f>
        <v>113</v>
      </c>
      <c r="D323" s="1" t="str">
        <f>IFERROR(__xludf.DUMMYFUNCTION("""COMPUTED_VALUE"""),"USD")</f>
        <v>USD</v>
      </c>
      <c r="E323" s="1" t="str">
        <f>IFERROR(__xludf.DUMMYFUNCTION("""COMPUTED_VALUE"""),"Efectivo USD")</f>
        <v>Efectivo USD</v>
      </c>
      <c r="F323" s="1" t="str">
        <f>IFERROR(__xludf.DUMMYFUNCTION("""COMPUTED_VALUE"""),"Javier Cardenas Prato.")</f>
        <v>Javier Cardenas Prato.</v>
      </c>
      <c r="G323" s="70">
        <f>IFERROR(__xludf.DUMMYFUNCTION("""COMPUTED_VALUE"""),517.9619)</f>
        <v>517.9619</v>
      </c>
      <c r="H323" s="1"/>
      <c r="I323" s="71">
        <f>IFERROR(__xludf.DUMMYFUNCTION("""COMPUTED_VALUE"""),113.0)</f>
        <v>113</v>
      </c>
      <c r="J323" s="69">
        <f>IFERROR(__xludf.DUMMYFUNCTION("""COMPUTED_VALUE"""),113.0)</f>
        <v>113</v>
      </c>
      <c r="K323" s="4">
        <f>IFERROR(__xludf.DUMMYFUNCTION("""COMPUTED_VALUE"""),113.0)</f>
        <v>113</v>
      </c>
      <c r="N323" s="67"/>
      <c r="R323" s="4"/>
    </row>
    <row r="324">
      <c r="A324" s="66">
        <f>IFERROR(__xludf.DUMMYFUNCTION("""COMPUTED_VALUE"""),46161.0)</f>
        <v>46161</v>
      </c>
      <c r="B324" s="67">
        <f>IFERROR(__xludf.DUMMYFUNCTION("""COMPUTED_VALUE"""),158.0)</f>
        <v>158</v>
      </c>
      <c r="C324" s="69">
        <f>IFERROR(__xludf.DUMMYFUNCTION("""COMPUTED_VALUE"""),120.0)</f>
        <v>120</v>
      </c>
      <c r="D324" s="1" t="str">
        <f>IFERROR(__xludf.DUMMYFUNCTION("""COMPUTED_VALUE"""),"USD")</f>
        <v>USD</v>
      </c>
      <c r="E324" s="1" t="str">
        <f>IFERROR(__xludf.DUMMYFUNCTION("""COMPUTED_VALUE"""),"Zelle")</f>
        <v>Zelle</v>
      </c>
      <c r="F324" s="1" t="str">
        <f>IFERROR(__xludf.DUMMYFUNCTION("""COMPUTED_VALUE"""),"Dimas Ortíz")</f>
        <v>Dimas Ortíz</v>
      </c>
      <c r="G324" s="70">
        <f>IFERROR(__xludf.DUMMYFUNCTION("""COMPUTED_VALUE"""),517.9619)</f>
        <v>517.9619</v>
      </c>
      <c r="H324" s="1"/>
      <c r="I324" s="71">
        <f>IFERROR(__xludf.DUMMYFUNCTION("""COMPUTED_VALUE"""),120.0)</f>
        <v>120</v>
      </c>
      <c r="J324" s="69">
        <f>IFERROR(__xludf.DUMMYFUNCTION("""COMPUTED_VALUE"""),120.0)</f>
        <v>120</v>
      </c>
      <c r="K324" s="4">
        <f>IFERROR(__xludf.DUMMYFUNCTION("""COMPUTED_VALUE"""),120.0)</f>
        <v>120</v>
      </c>
      <c r="N324" s="67"/>
      <c r="R324" s="4"/>
    </row>
    <row r="325">
      <c r="A325" s="66">
        <f>IFERROR(__xludf.DUMMYFUNCTION("""COMPUTED_VALUE"""),46161.0)</f>
        <v>46161</v>
      </c>
      <c r="B325" s="67">
        <f>IFERROR(__xludf.DUMMYFUNCTION("""COMPUTED_VALUE"""),49.0)</f>
        <v>49</v>
      </c>
      <c r="C325" s="69">
        <f>IFERROR(__xludf.DUMMYFUNCTION("""COMPUTED_VALUE"""),100.0)</f>
        <v>100</v>
      </c>
      <c r="D325" s="1" t="str">
        <f>IFERROR(__xludf.DUMMYFUNCTION("""COMPUTED_VALUE"""),"USD")</f>
        <v>USD</v>
      </c>
      <c r="E325" s="1" t="str">
        <f>IFERROR(__xludf.DUMMYFUNCTION("""COMPUTED_VALUE"""),"Efectivo USD")</f>
        <v>Efectivo USD</v>
      </c>
      <c r="F325" s="1" t="str">
        <f>IFERROR(__xludf.DUMMYFUNCTION("""COMPUTED_VALUE"""),"Marlene Herrera")</f>
        <v>Marlene Herrera</v>
      </c>
      <c r="G325" s="70">
        <f>IFERROR(__xludf.DUMMYFUNCTION("""COMPUTED_VALUE"""),517.9619)</f>
        <v>517.9619</v>
      </c>
      <c r="H325" s="1"/>
      <c r="I325" s="71">
        <f>IFERROR(__xludf.DUMMYFUNCTION("""COMPUTED_VALUE"""),100.0)</f>
        <v>100</v>
      </c>
      <c r="J325" s="69">
        <f>IFERROR(__xludf.DUMMYFUNCTION("""COMPUTED_VALUE"""),100.0)</f>
        <v>100</v>
      </c>
      <c r="K325" s="4">
        <f>IFERROR(__xludf.DUMMYFUNCTION("""COMPUTED_VALUE"""),100.0)</f>
        <v>100</v>
      </c>
      <c r="N325" s="67"/>
      <c r="R325" s="4"/>
    </row>
    <row r="326">
      <c r="A326" s="66">
        <f>IFERROR(__xludf.DUMMYFUNCTION("""COMPUTED_VALUE"""),46161.0)</f>
        <v>46161</v>
      </c>
      <c r="B326" s="67">
        <f>IFERROR(__xludf.DUMMYFUNCTION("""COMPUTED_VALUE"""),44.0)</f>
        <v>44</v>
      </c>
      <c r="C326" s="69">
        <f>IFERROR(__xludf.DUMMYFUNCTION("""COMPUTED_VALUE"""),250.0)</f>
        <v>250</v>
      </c>
      <c r="D326" s="1" t="str">
        <f>IFERROR(__xludf.DUMMYFUNCTION("""COMPUTED_VALUE"""),"USD")</f>
        <v>USD</v>
      </c>
      <c r="E326" s="1" t="str">
        <f>IFERROR(__xludf.DUMMYFUNCTION("""COMPUTED_VALUE"""),"Efectivo USD")</f>
        <v>Efectivo USD</v>
      </c>
      <c r="F326" s="1" t="str">
        <f>IFERROR(__xludf.DUMMYFUNCTION("""COMPUTED_VALUE"""),"Comercializadora Garabote")</f>
        <v>Comercializadora Garabote</v>
      </c>
      <c r="G326" s="70">
        <f>IFERROR(__xludf.DUMMYFUNCTION("""COMPUTED_VALUE"""),517.9619)</f>
        <v>517.9619</v>
      </c>
      <c r="H326" s="1"/>
      <c r="I326" s="71">
        <f>IFERROR(__xludf.DUMMYFUNCTION("""COMPUTED_VALUE"""),250.0)</f>
        <v>250</v>
      </c>
      <c r="J326" s="69">
        <f>IFERROR(__xludf.DUMMYFUNCTION("""COMPUTED_VALUE"""),250.0)</f>
        <v>250</v>
      </c>
      <c r="K326" s="4">
        <f>IFERROR(__xludf.DUMMYFUNCTION("""COMPUTED_VALUE"""),250.0)</f>
        <v>250</v>
      </c>
      <c r="N326" s="67"/>
      <c r="R326" s="4"/>
    </row>
    <row r="327">
      <c r="A327" s="66">
        <f>IFERROR(__xludf.DUMMYFUNCTION("""COMPUTED_VALUE"""),46161.0)</f>
        <v>46161</v>
      </c>
      <c r="B327" s="67">
        <f>IFERROR(__xludf.DUMMYFUNCTION("""COMPUTED_VALUE"""),287.0)</f>
        <v>287</v>
      </c>
      <c r="C327" s="69">
        <f>IFERROR(__xludf.DUMMYFUNCTION("""COMPUTED_VALUE"""),30.0)</f>
        <v>30</v>
      </c>
      <c r="D327" s="1" t="str">
        <f>IFERROR(__xludf.DUMMYFUNCTION("""COMPUTED_VALUE"""),"USD")</f>
        <v>USD</v>
      </c>
      <c r="E327" s="1" t="str">
        <f>IFERROR(__xludf.DUMMYFUNCTION("""COMPUTED_VALUE"""),"Efectivo USD")</f>
        <v>Efectivo USD</v>
      </c>
      <c r="F327" s="1" t="str">
        <f>IFERROR(__xludf.DUMMYFUNCTION("""COMPUTED_VALUE"""),"Javier gregorio Espinoza")</f>
        <v>Javier gregorio Espinoza</v>
      </c>
      <c r="G327" s="70">
        <f>IFERROR(__xludf.DUMMYFUNCTION("""COMPUTED_VALUE"""),517.9619)</f>
        <v>517.9619</v>
      </c>
      <c r="H327" s="1"/>
      <c r="I327" s="71">
        <f>IFERROR(__xludf.DUMMYFUNCTION("""COMPUTED_VALUE"""),30.0)</f>
        <v>30</v>
      </c>
      <c r="J327" s="69">
        <f>IFERROR(__xludf.DUMMYFUNCTION("""COMPUTED_VALUE"""),30.0)</f>
        <v>30</v>
      </c>
      <c r="K327" s="4">
        <f>IFERROR(__xludf.DUMMYFUNCTION("""COMPUTED_VALUE"""),30.0)</f>
        <v>30</v>
      </c>
      <c r="N327" s="67"/>
      <c r="R327" s="4"/>
    </row>
    <row r="328">
      <c r="A328" s="66">
        <f>IFERROR(__xludf.DUMMYFUNCTION("""COMPUTED_VALUE"""),46161.0)</f>
        <v>46161</v>
      </c>
      <c r="B328" s="67">
        <f>IFERROR(__xludf.DUMMYFUNCTION("""COMPUTED_VALUE"""),302.0)</f>
        <v>302</v>
      </c>
      <c r="C328" s="69">
        <f>IFERROR(__xludf.DUMMYFUNCTION("""COMPUTED_VALUE"""),68.0)</f>
        <v>68</v>
      </c>
      <c r="D328" s="1" t="str">
        <f>IFERROR(__xludf.DUMMYFUNCTION("""COMPUTED_VALUE"""),"USD")</f>
        <v>USD</v>
      </c>
      <c r="E328" s="1" t="str">
        <f>IFERROR(__xludf.DUMMYFUNCTION("""COMPUTED_VALUE"""),"Efectivo USD")</f>
        <v>Efectivo USD</v>
      </c>
      <c r="F328" s="1" t="str">
        <f>IFERROR(__xludf.DUMMYFUNCTION("""COMPUTED_VALUE"""),"Sergio Ibrain Rumbo Mundaray")</f>
        <v>Sergio Ibrain Rumbo Mundaray</v>
      </c>
      <c r="G328" s="70">
        <f>IFERROR(__xludf.DUMMYFUNCTION("""COMPUTED_VALUE"""),517.9619)</f>
        <v>517.9619</v>
      </c>
      <c r="H328" s="1"/>
      <c r="I328" s="71">
        <f>IFERROR(__xludf.DUMMYFUNCTION("""COMPUTED_VALUE"""),68.0)</f>
        <v>68</v>
      </c>
      <c r="J328" s="69">
        <f>IFERROR(__xludf.DUMMYFUNCTION("""COMPUTED_VALUE"""),68.0)</f>
        <v>68</v>
      </c>
      <c r="K328" s="4">
        <f>IFERROR(__xludf.DUMMYFUNCTION("""COMPUTED_VALUE"""),68.0)</f>
        <v>68</v>
      </c>
      <c r="N328" s="67"/>
      <c r="R328" s="4"/>
    </row>
    <row r="329">
      <c r="A329" s="66">
        <f>IFERROR(__xludf.DUMMYFUNCTION("""COMPUTED_VALUE"""),46162.0)</f>
        <v>46162</v>
      </c>
      <c r="B329" s="67">
        <f>IFERROR(__xludf.DUMMYFUNCTION("""COMPUTED_VALUE"""),418.0)</f>
        <v>418</v>
      </c>
      <c r="C329" s="69">
        <f>IFERROR(__xludf.DUMMYFUNCTION("""COMPUTED_VALUE"""),53.0)</f>
        <v>53</v>
      </c>
      <c r="D329" s="1" t="str">
        <f>IFERROR(__xludf.DUMMYFUNCTION("""COMPUTED_VALUE"""),"USD")</f>
        <v>USD</v>
      </c>
      <c r="E329" s="1" t="str">
        <f>IFERROR(__xludf.DUMMYFUNCTION("""COMPUTED_VALUE"""),"Efectivo USD")</f>
        <v>Efectivo USD</v>
      </c>
      <c r="F329" s="1" t="str">
        <f>IFERROR(__xludf.DUMMYFUNCTION("""COMPUTED_VALUE"""),"Edgar salas")</f>
        <v>Edgar salas</v>
      </c>
      <c r="G329" s="70">
        <f>IFERROR(__xludf.DUMMYFUNCTION("""COMPUTED_VALUE"""),517.9619)</f>
        <v>517.9619</v>
      </c>
      <c r="H329" s="1"/>
      <c r="I329" s="71">
        <f>IFERROR(__xludf.DUMMYFUNCTION("""COMPUTED_VALUE"""),53.0)</f>
        <v>53</v>
      </c>
      <c r="J329" s="69">
        <f>IFERROR(__xludf.DUMMYFUNCTION("""COMPUTED_VALUE"""),53.0)</f>
        <v>53</v>
      </c>
      <c r="K329" s="4">
        <f>IFERROR(__xludf.DUMMYFUNCTION("""COMPUTED_VALUE"""),53.0)</f>
        <v>53</v>
      </c>
      <c r="N329" s="67"/>
      <c r="R329" s="4"/>
    </row>
    <row r="330">
      <c r="A330" s="66">
        <f>IFERROR(__xludf.DUMMYFUNCTION("""COMPUTED_VALUE"""),46162.0)</f>
        <v>46162</v>
      </c>
      <c r="B330" s="67">
        <f>IFERROR(__xludf.DUMMYFUNCTION("""COMPUTED_VALUE"""),404.0)</f>
        <v>404</v>
      </c>
      <c r="C330" s="69">
        <f>IFERROR(__xludf.DUMMYFUNCTION("""COMPUTED_VALUE"""),3.0)</f>
        <v>3</v>
      </c>
      <c r="D330" s="1" t="str">
        <f>IFERROR(__xludf.DUMMYFUNCTION("""COMPUTED_VALUE"""),"USD")</f>
        <v>USD</v>
      </c>
      <c r="E330" s="1" t="str">
        <f>IFERROR(__xludf.DUMMYFUNCTION("""COMPUTED_VALUE"""),"Efectivo USD")</f>
        <v>Efectivo USD</v>
      </c>
      <c r="F330" s="1" t="str">
        <f>IFERROR(__xludf.DUMMYFUNCTION("""COMPUTED_VALUE"""),"Edgar salas")</f>
        <v>Edgar salas</v>
      </c>
      <c r="G330" s="70">
        <f>IFERROR(__xludf.DUMMYFUNCTION("""COMPUTED_VALUE"""),520.9142)</f>
        <v>520.9142</v>
      </c>
      <c r="H330" s="1"/>
      <c r="I330" s="71">
        <f>IFERROR(__xludf.DUMMYFUNCTION("""COMPUTED_VALUE"""),3.0)</f>
        <v>3</v>
      </c>
      <c r="J330" s="69">
        <f>IFERROR(__xludf.DUMMYFUNCTION("""COMPUTED_VALUE"""),3.0)</f>
        <v>3</v>
      </c>
      <c r="K330" s="4">
        <f>IFERROR(__xludf.DUMMYFUNCTION("""COMPUTED_VALUE"""),3.0)</f>
        <v>3</v>
      </c>
      <c r="N330" s="67"/>
      <c r="R330" s="4"/>
    </row>
    <row r="331">
      <c r="A331" s="66">
        <f>IFERROR(__xludf.DUMMYFUNCTION("""COMPUTED_VALUE"""),46162.0)</f>
        <v>46162</v>
      </c>
      <c r="B331" s="67">
        <f>IFERROR(__xludf.DUMMYFUNCTION("""COMPUTED_VALUE"""),414.0)</f>
        <v>414</v>
      </c>
      <c r="C331" s="69">
        <f>IFERROR(__xludf.DUMMYFUNCTION("""COMPUTED_VALUE"""),30.0)</f>
        <v>30</v>
      </c>
      <c r="D331" s="1" t="str">
        <f>IFERROR(__xludf.DUMMYFUNCTION("""COMPUTED_VALUE"""),"USD")</f>
        <v>USD</v>
      </c>
      <c r="E331" s="1" t="str">
        <f>IFERROR(__xludf.DUMMYFUNCTION("""COMPUTED_VALUE"""),"Efectivo USD")</f>
        <v>Efectivo USD</v>
      </c>
      <c r="F331" s="1" t="str">
        <f>IFERROR(__xludf.DUMMYFUNCTION("""COMPUTED_VALUE"""),"ERICH GILBERTO CASERES MELENDEZ")</f>
        <v>ERICH GILBERTO CASERES MELENDEZ</v>
      </c>
      <c r="G331" s="70">
        <f>IFERROR(__xludf.DUMMYFUNCTION("""COMPUTED_VALUE"""),520.9142)</f>
        <v>520.9142</v>
      </c>
      <c r="H331" s="1"/>
      <c r="I331" s="71">
        <f>IFERROR(__xludf.DUMMYFUNCTION("""COMPUTED_VALUE"""),30.0)</f>
        <v>30</v>
      </c>
      <c r="J331" s="69">
        <f>IFERROR(__xludf.DUMMYFUNCTION("""COMPUTED_VALUE"""),30.0)</f>
        <v>30</v>
      </c>
      <c r="K331" s="4">
        <f>IFERROR(__xludf.DUMMYFUNCTION("""COMPUTED_VALUE"""),30.0)</f>
        <v>30</v>
      </c>
      <c r="N331" s="67"/>
      <c r="R331" s="4"/>
    </row>
    <row r="332">
      <c r="A332" s="66">
        <f>IFERROR(__xludf.DUMMYFUNCTION("""COMPUTED_VALUE"""),46162.0)</f>
        <v>46162</v>
      </c>
      <c r="B332" s="67">
        <f>IFERROR(__xludf.DUMMYFUNCTION("""COMPUTED_VALUE"""),335.0)</f>
        <v>335</v>
      </c>
      <c r="C332" s="69">
        <f>IFERROR(__xludf.DUMMYFUNCTION("""COMPUTED_VALUE"""),50.0)</f>
        <v>50</v>
      </c>
      <c r="D332" s="1" t="str">
        <f>IFERROR(__xludf.DUMMYFUNCTION("""COMPUTED_VALUE"""),"USD")</f>
        <v>USD</v>
      </c>
      <c r="E332" s="1" t="str">
        <f>IFERROR(__xludf.DUMMYFUNCTION("""COMPUTED_VALUE"""),"Efectivo USD")</f>
        <v>Efectivo USD</v>
      </c>
      <c r="F332" s="1" t="str">
        <f>IFERROR(__xludf.DUMMYFUNCTION("""COMPUTED_VALUE"""),"Wili Mervin León Romero")</f>
        <v>Wili Mervin León Romero</v>
      </c>
      <c r="G332" s="70">
        <f>IFERROR(__xludf.DUMMYFUNCTION("""COMPUTED_VALUE"""),520.9142)</f>
        <v>520.9142</v>
      </c>
      <c r="H332" s="1"/>
      <c r="I332" s="71">
        <f>IFERROR(__xludf.DUMMYFUNCTION("""COMPUTED_VALUE"""),50.0)</f>
        <v>50</v>
      </c>
      <c r="J332" s="69">
        <f>IFERROR(__xludf.DUMMYFUNCTION("""COMPUTED_VALUE"""),50.0)</f>
        <v>50</v>
      </c>
      <c r="K332" s="4">
        <f>IFERROR(__xludf.DUMMYFUNCTION("""COMPUTED_VALUE"""),50.0)</f>
        <v>50</v>
      </c>
      <c r="N332" s="67"/>
      <c r="R332" s="4"/>
    </row>
    <row r="333">
      <c r="A333" s="66">
        <f>IFERROR(__xludf.DUMMYFUNCTION("""COMPUTED_VALUE"""),46162.0)</f>
        <v>46162</v>
      </c>
      <c r="B333" s="67">
        <f>IFERROR(__xludf.DUMMYFUNCTION("""COMPUTED_VALUE"""),129.0)</f>
        <v>129</v>
      </c>
      <c r="C333" s="69">
        <f>IFERROR(__xludf.DUMMYFUNCTION("""COMPUTED_VALUE"""),150.0)</f>
        <v>150</v>
      </c>
      <c r="D333" s="1" t="str">
        <f>IFERROR(__xludf.DUMMYFUNCTION("""COMPUTED_VALUE"""),"USD")</f>
        <v>USD</v>
      </c>
      <c r="E333" s="1" t="str">
        <f>IFERROR(__xludf.DUMMYFUNCTION("""COMPUTED_VALUE"""),"Efectivo USD")</f>
        <v>Efectivo USD</v>
      </c>
      <c r="F333" s="1" t="str">
        <f>IFERROR(__xludf.DUMMYFUNCTION("""COMPUTED_VALUE"""),"Emprendimiento Jordy Valencia")</f>
        <v>Emprendimiento Jordy Valencia</v>
      </c>
      <c r="G333" s="70">
        <f>IFERROR(__xludf.DUMMYFUNCTION("""COMPUTED_VALUE"""),520.9142)</f>
        <v>520.9142</v>
      </c>
      <c r="H333" s="1"/>
      <c r="I333" s="71">
        <f>IFERROR(__xludf.DUMMYFUNCTION("""COMPUTED_VALUE"""),150.0)</f>
        <v>150</v>
      </c>
      <c r="J333" s="69">
        <f>IFERROR(__xludf.DUMMYFUNCTION("""COMPUTED_VALUE"""),150.0)</f>
        <v>150</v>
      </c>
      <c r="K333" s="4">
        <f>IFERROR(__xludf.DUMMYFUNCTION("""COMPUTED_VALUE"""),150.0)</f>
        <v>150</v>
      </c>
      <c r="N333" s="67"/>
      <c r="R333" s="4"/>
    </row>
    <row r="334">
      <c r="A334" s="66">
        <f>IFERROR(__xludf.DUMMYFUNCTION("""COMPUTED_VALUE"""),46162.0)</f>
        <v>46162</v>
      </c>
      <c r="B334" s="67">
        <f>IFERROR(__xludf.DUMMYFUNCTION("""COMPUTED_VALUE"""),226.0)</f>
        <v>226</v>
      </c>
      <c r="C334" s="69">
        <f>IFERROR(__xludf.DUMMYFUNCTION("""COMPUTED_VALUE"""),58.0)</f>
        <v>58</v>
      </c>
      <c r="D334" s="1" t="str">
        <f>IFERROR(__xludf.DUMMYFUNCTION("""COMPUTED_VALUE"""),"USD")</f>
        <v>USD</v>
      </c>
      <c r="E334" s="1" t="str">
        <f>IFERROR(__xludf.DUMMYFUNCTION("""COMPUTED_VALUE"""),"Efectivo USD")</f>
        <v>Efectivo USD</v>
      </c>
      <c r="F334" s="1" t="str">
        <f>IFERROR(__xludf.DUMMYFUNCTION("""COMPUTED_VALUE"""),"Josefina Guevera")</f>
        <v>Josefina Guevera</v>
      </c>
      <c r="G334" s="70">
        <f>IFERROR(__xludf.DUMMYFUNCTION("""COMPUTED_VALUE"""),520.9142)</f>
        <v>520.9142</v>
      </c>
      <c r="H334" s="1"/>
      <c r="I334" s="71">
        <f>IFERROR(__xludf.DUMMYFUNCTION("""COMPUTED_VALUE"""),58.0)</f>
        <v>58</v>
      </c>
      <c r="J334" s="69">
        <f>IFERROR(__xludf.DUMMYFUNCTION("""COMPUTED_VALUE"""),58.0)</f>
        <v>58</v>
      </c>
      <c r="K334" s="4">
        <f>IFERROR(__xludf.DUMMYFUNCTION("""COMPUTED_VALUE"""),58.0)</f>
        <v>58</v>
      </c>
      <c r="N334" s="67"/>
      <c r="R334" s="4"/>
    </row>
    <row r="335">
      <c r="A335" s="66">
        <f>IFERROR(__xludf.DUMMYFUNCTION("""COMPUTED_VALUE"""),46161.0)</f>
        <v>46161</v>
      </c>
      <c r="B335" s="67">
        <f>IFERROR(__xludf.DUMMYFUNCTION("""COMPUTED_VALUE"""),401.0)</f>
        <v>401</v>
      </c>
      <c r="C335" s="69">
        <f>IFERROR(__xludf.DUMMYFUNCTION("""COMPUTED_VALUE"""),32.0)</f>
        <v>32</v>
      </c>
      <c r="D335" s="1" t="str">
        <f>IFERROR(__xludf.DUMMYFUNCTION("""COMPUTED_VALUE"""),"USD")</f>
        <v>USD</v>
      </c>
      <c r="E335" s="1" t="str">
        <f>IFERROR(__xludf.DUMMYFUNCTION("""COMPUTED_VALUE"""),"Efectivo USD")</f>
        <v>Efectivo USD</v>
      </c>
      <c r="F335" s="1" t="str">
        <f>IFERROR(__xludf.DUMMYFUNCTION("""COMPUTED_VALUE"""),"Jorge Luis camacaro")</f>
        <v>Jorge Luis camacaro</v>
      </c>
      <c r="G335" s="70">
        <f>IFERROR(__xludf.DUMMYFUNCTION("""COMPUTED_VALUE"""),523.675)</f>
        <v>523.675</v>
      </c>
      <c r="H335" s="1"/>
      <c r="I335" s="71">
        <f>IFERROR(__xludf.DUMMYFUNCTION("""COMPUTED_VALUE"""),32.0)</f>
        <v>32</v>
      </c>
      <c r="J335" s="69">
        <f>IFERROR(__xludf.DUMMYFUNCTION("""COMPUTED_VALUE"""),32.0)</f>
        <v>32</v>
      </c>
      <c r="K335" s="4">
        <f>IFERROR(__xludf.DUMMYFUNCTION("""COMPUTED_VALUE"""),32.0)</f>
        <v>32</v>
      </c>
      <c r="N335" s="67"/>
      <c r="R335" s="4"/>
    </row>
    <row r="336">
      <c r="A336" s="66">
        <f>IFERROR(__xludf.DUMMYFUNCTION("""COMPUTED_VALUE"""),46161.0)</f>
        <v>46161</v>
      </c>
      <c r="B336" s="67">
        <f>IFERROR(__xludf.DUMMYFUNCTION("""COMPUTED_VALUE"""),402.0)</f>
        <v>402</v>
      </c>
      <c r="C336" s="69">
        <f>IFERROR(__xludf.DUMMYFUNCTION("""COMPUTED_VALUE"""),20.0)</f>
        <v>20</v>
      </c>
      <c r="D336" s="1" t="str">
        <f>IFERROR(__xludf.DUMMYFUNCTION("""COMPUTED_VALUE"""),"USD")</f>
        <v>USD</v>
      </c>
      <c r="E336" s="1" t="str">
        <f>IFERROR(__xludf.DUMMYFUNCTION("""COMPUTED_VALUE"""),"Efectivo USD")</f>
        <v>Efectivo USD</v>
      </c>
      <c r="F336" s="1" t="str">
        <f>IFERROR(__xludf.DUMMYFUNCTION("""COMPUTED_VALUE"""),"Jorge Luis camacaro")</f>
        <v>Jorge Luis camacaro</v>
      </c>
      <c r="G336" s="70">
        <f>IFERROR(__xludf.DUMMYFUNCTION("""COMPUTED_VALUE"""),523.675)</f>
        <v>523.675</v>
      </c>
      <c r="H336" s="1"/>
      <c r="I336" s="71">
        <f>IFERROR(__xludf.DUMMYFUNCTION("""COMPUTED_VALUE"""),20.0)</f>
        <v>20</v>
      </c>
      <c r="J336" s="69">
        <f>IFERROR(__xludf.DUMMYFUNCTION("""COMPUTED_VALUE"""),20.0)</f>
        <v>20</v>
      </c>
      <c r="K336" s="4">
        <f>IFERROR(__xludf.DUMMYFUNCTION("""COMPUTED_VALUE"""),20.0)</f>
        <v>20</v>
      </c>
      <c r="N336" s="67"/>
      <c r="R336" s="4"/>
    </row>
    <row r="337">
      <c r="A337" s="66">
        <f>IFERROR(__xludf.DUMMYFUNCTION("""COMPUTED_VALUE"""),46163.0)</f>
        <v>46163</v>
      </c>
      <c r="B337" s="67">
        <f>IFERROR(__xludf.DUMMYFUNCTION("""COMPUTED_VALUE"""),214.0)</f>
        <v>214</v>
      </c>
      <c r="C337" s="69">
        <f>IFERROR(__xludf.DUMMYFUNCTION("""COMPUTED_VALUE"""),1000000.0)</f>
        <v>1000000</v>
      </c>
      <c r="D337" s="1" t="str">
        <f>IFERROR(__xludf.DUMMYFUNCTION("""COMPUTED_VALUE"""),"VES")</f>
        <v>VES</v>
      </c>
      <c r="E337" s="1" t="str">
        <f>IFERROR(__xludf.DUMMYFUNCTION("""COMPUTED_VALUE"""),"Bancamiga")</f>
        <v>Bancamiga</v>
      </c>
      <c r="F337" s="1" t="str">
        <f>IFERROR(__xludf.DUMMYFUNCTION("""COMPUTED_VALUE"""),"CONSTRUCTORA GRANO AGREGADO, C.A")</f>
        <v>CONSTRUCTORA GRANO AGREGADO, C.A</v>
      </c>
      <c r="G337" s="70">
        <f>IFERROR(__xludf.DUMMYFUNCTION("""COMPUTED_VALUE"""),523.675)</f>
        <v>523.675</v>
      </c>
      <c r="H337" s="1"/>
      <c r="I337" s="71">
        <f>IFERROR(__xludf.DUMMYFUNCTION("""COMPUTED_VALUE"""),1909.5813242946485)</f>
        <v>1909.581324</v>
      </c>
      <c r="J337" s="69">
        <f>IFERROR(__xludf.DUMMYFUNCTION("""COMPUTED_VALUE"""),0.0)</f>
        <v>0</v>
      </c>
      <c r="K337" s="4">
        <f>IFERROR(__xludf.DUMMYFUNCTION("""COMPUTED_VALUE"""),1909.5813242946485)</f>
        <v>1909.581324</v>
      </c>
      <c r="N337" s="67"/>
      <c r="R337" s="4"/>
    </row>
    <row r="338">
      <c r="A338" s="66">
        <f>IFERROR(__xludf.DUMMYFUNCTION("""COMPUTED_VALUE"""),46163.0)</f>
        <v>46163</v>
      </c>
      <c r="B338" s="67">
        <f>IFERROR(__xludf.DUMMYFUNCTION("""COMPUTED_VALUE"""),214.0)</f>
        <v>214</v>
      </c>
      <c r="C338" s="69">
        <f>IFERROR(__xludf.DUMMYFUNCTION("""COMPUTED_VALUE"""),696084.88)</f>
        <v>696084.88</v>
      </c>
      <c r="D338" s="1" t="str">
        <f>IFERROR(__xludf.DUMMYFUNCTION("""COMPUTED_VALUE"""),"VES")</f>
        <v>VES</v>
      </c>
      <c r="E338" s="1" t="str">
        <f>IFERROR(__xludf.DUMMYFUNCTION("""COMPUTED_VALUE"""),"Bancamiga")</f>
        <v>Bancamiga</v>
      </c>
      <c r="F338" s="1" t="str">
        <f>IFERROR(__xludf.DUMMYFUNCTION("""COMPUTED_VALUE"""),"CONSTRUCTORA GRANO AGREGADO, C.A")</f>
        <v>CONSTRUCTORA GRANO AGREGADO, C.A</v>
      </c>
      <c r="G338" s="70">
        <f>IFERROR(__xludf.DUMMYFUNCTION("""COMPUTED_VALUE"""),523.675)</f>
        <v>523.675</v>
      </c>
      <c r="H338" s="1"/>
      <c r="I338" s="71">
        <f>IFERROR(__xludf.DUMMYFUNCTION("""COMPUTED_VALUE"""),1329.2306869718816)</f>
        <v>1329.230687</v>
      </c>
      <c r="J338" s="69">
        <f>IFERROR(__xludf.DUMMYFUNCTION("""COMPUTED_VALUE"""),0.0)</f>
        <v>0</v>
      </c>
      <c r="K338" s="4">
        <f>IFERROR(__xludf.DUMMYFUNCTION("""COMPUTED_VALUE"""),1329.2306869718816)</f>
        <v>1329.230687</v>
      </c>
      <c r="N338" s="67"/>
      <c r="R338" s="4"/>
    </row>
    <row r="339">
      <c r="A339" s="66">
        <f>IFERROR(__xludf.DUMMYFUNCTION("""COMPUTED_VALUE"""),46163.0)</f>
        <v>46163</v>
      </c>
      <c r="B339" s="67">
        <f>IFERROR(__xludf.DUMMYFUNCTION("""COMPUTED_VALUE"""),214.0)</f>
        <v>214</v>
      </c>
      <c r="C339" s="69">
        <f>IFERROR(__xludf.DUMMYFUNCTION("""COMPUTED_VALUE"""),1000000.0)</f>
        <v>1000000</v>
      </c>
      <c r="D339" s="1" t="str">
        <f>IFERROR(__xludf.DUMMYFUNCTION("""COMPUTED_VALUE"""),"VES")</f>
        <v>VES</v>
      </c>
      <c r="E339" s="1" t="str">
        <f>IFERROR(__xludf.DUMMYFUNCTION("""COMPUTED_VALUE"""),"Bancamiga")</f>
        <v>Bancamiga</v>
      </c>
      <c r="F339" s="1" t="str">
        <f>IFERROR(__xludf.DUMMYFUNCTION("""COMPUTED_VALUE"""),"CONSTRUCTORA GRANO AGREGADO, C.A")</f>
        <v>CONSTRUCTORA GRANO AGREGADO, C.A</v>
      </c>
      <c r="G339" s="70">
        <f>IFERROR(__xludf.DUMMYFUNCTION("""COMPUTED_VALUE"""),523.675)</f>
        <v>523.675</v>
      </c>
      <c r="H339" s="1"/>
      <c r="I339" s="71">
        <f>IFERROR(__xludf.DUMMYFUNCTION("""COMPUTED_VALUE"""),1909.5813242946485)</f>
        <v>1909.581324</v>
      </c>
      <c r="J339" s="69">
        <f>IFERROR(__xludf.DUMMYFUNCTION("""COMPUTED_VALUE"""),0.0)</f>
        <v>0</v>
      </c>
      <c r="K339" s="4">
        <f>IFERROR(__xludf.DUMMYFUNCTION("""COMPUTED_VALUE"""),1909.5813242946485)</f>
        <v>1909.581324</v>
      </c>
      <c r="N339" s="67"/>
      <c r="R339" s="4"/>
    </row>
    <row r="340">
      <c r="A340" s="66">
        <f>IFERROR(__xludf.DUMMYFUNCTION("""COMPUTED_VALUE"""),46163.0)</f>
        <v>46163</v>
      </c>
      <c r="B340" s="67">
        <f>IFERROR(__xludf.DUMMYFUNCTION("""COMPUTED_VALUE"""),214.0)</f>
        <v>214</v>
      </c>
      <c r="C340" s="69">
        <f>IFERROR(__xludf.DUMMYFUNCTION("""COMPUTED_VALUE"""),739911.72)</f>
        <v>739911.72</v>
      </c>
      <c r="D340" s="1" t="str">
        <f>IFERROR(__xludf.DUMMYFUNCTION("""COMPUTED_VALUE"""),"VES")</f>
        <v>VES</v>
      </c>
      <c r="E340" s="1" t="str">
        <f>IFERROR(__xludf.DUMMYFUNCTION("""COMPUTED_VALUE"""),"Bancamiga")</f>
        <v>Bancamiga</v>
      </c>
      <c r="F340" s="1" t="str">
        <f>IFERROR(__xludf.DUMMYFUNCTION("""COMPUTED_VALUE"""),"CONSTRUCTORA GRANO AGREGADO, C.A")</f>
        <v>CONSTRUCTORA GRANO AGREGADO, C.A</v>
      </c>
      <c r="G340" s="70">
        <f>IFERROR(__xludf.DUMMYFUNCTION("""COMPUTED_VALUE"""),523.675)</f>
        <v>523.675</v>
      </c>
      <c r="H340" s="1"/>
      <c r="I340" s="71">
        <f>IFERROR(__xludf.DUMMYFUNCTION("""COMPUTED_VALUE"""),1412.9216021387313)</f>
        <v>1412.921602</v>
      </c>
      <c r="J340" s="69">
        <f>IFERROR(__xludf.DUMMYFUNCTION("""COMPUTED_VALUE"""),0.0)</f>
        <v>0</v>
      </c>
      <c r="K340" s="4">
        <f>IFERROR(__xludf.DUMMYFUNCTION("""COMPUTED_VALUE"""),1412.9216021387313)</f>
        <v>1412.921602</v>
      </c>
      <c r="N340" s="67"/>
      <c r="R340" s="4"/>
    </row>
    <row r="341">
      <c r="A341" s="66">
        <f>IFERROR(__xludf.DUMMYFUNCTION("""COMPUTED_VALUE"""),46163.0)</f>
        <v>46163</v>
      </c>
      <c r="B341" s="67">
        <f>IFERROR(__xludf.DUMMYFUNCTION("""COMPUTED_VALUE"""),425.0)</f>
        <v>425</v>
      </c>
      <c r="C341" s="69">
        <f>IFERROR(__xludf.DUMMYFUNCTION("""COMPUTED_VALUE"""),191.0)</f>
        <v>191</v>
      </c>
      <c r="D341" s="1" t="str">
        <f>IFERROR(__xludf.DUMMYFUNCTION("""COMPUTED_VALUE"""),"USD")</f>
        <v>USD</v>
      </c>
      <c r="E341" s="1" t="str">
        <f>IFERROR(__xludf.DUMMYFUNCTION("""COMPUTED_VALUE"""),"Efectivo USD")</f>
        <v>Efectivo USD</v>
      </c>
      <c r="F341" s="1" t="str">
        <f>IFERROR(__xludf.DUMMYFUNCTION("""COMPUTED_VALUE"""),"Katiuska Alejandra Curvelo")</f>
        <v>Katiuska Alejandra Curvelo</v>
      </c>
      <c r="G341" s="70">
        <f>IFERROR(__xludf.DUMMYFUNCTION("""COMPUTED_VALUE"""),523.675)</f>
        <v>523.675</v>
      </c>
      <c r="H341" s="1"/>
      <c r="I341" s="71">
        <f>IFERROR(__xludf.DUMMYFUNCTION("""COMPUTED_VALUE"""),191.0)</f>
        <v>191</v>
      </c>
      <c r="J341" s="69">
        <f>IFERROR(__xludf.DUMMYFUNCTION("""COMPUTED_VALUE"""),191.0)</f>
        <v>191</v>
      </c>
      <c r="K341" s="4">
        <f>IFERROR(__xludf.DUMMYFUNCTION("""COMPUTED_VALUE"""),191.0)</f>
        <v>191</v>
      </c>
      <c r="N341" s="67"/>
      <c r="R341" s="4"/>
    </row>
    <row r="342">
      <c r="A342" s="66">
        <f>IFERROR(__xludf.DUMMYFUNCTION("""COMPUTED_VALUE"""),46163.0)</f>
        <v>46163</v>
      </c>
      <c r="B342" s="67">
        <f>IFERROR(__xludf.DUMMYFUNCTION("""COMPUTED_VALUE"""),231.0)</f>
        <v>231</v>
      </c>
      <c r="C342" s="69">
        <f>IFERROR(__xludf.DUMMYFUNCTION("""COMPUTED_VALUE"""),200.0)</f>
        <v>200</v>
      </c>
      <c r="D342" s="1" t="str">
        <f>IFERROR(__xludf.DUMMYFUNCTION("""COMPUTED_VALUE"""),"USD")</f>
        <v>USD</v>
      </c>
      <c r="E342" s="1" t="str">
        <f>IFERROR(__xludf.DUMMYFUNCTION("""COMPUTED_VALUE"""),"Efectivo USD")</f>
        <v>Efectivo USD</v>
      </c>
      <c r="F342" s="1" t="str">
        <f>IFERROR(__xludf.DUMMYFUNCTION("""COMPUTED_VALUE"""),"Constructora  Campo Urbano,c.a.")</f>
        <v>Constructora  Campo Urbano,c.a.</v>
      </c>
      <c r="G342" s="70">
        <f>IFERROR(__xludf.DUMMYFUNCTION("""COMPUTED_VALUE"""),523.675)</f>
        <v>523.675</v>
      </c>
      <c r="H342" s="1"/>
      <c r="I342" s="71">
        <f>IFERROR(__xludf.DUMMYFUNCTION("""COMPUTED_VALUE"""),200.0)</f>
        <v>200</v>
      </c>
      <c r="J342" s="69">
        <f>IFERROR(__xludf.DUMMYFUNCTION("""COMPUTED_VALUE"""),200.0)</f>
        <v>200</v>
      </c>
      <c r="K342" s="4">
        <f>IFERROR(__xludf.DUMMYFUNCTION("""COMPUTED_VALUE"""),200.0)</f>
        <v>200</v>
      </c>
      <c r="N342" s="67"/>
      <c r="R342" s="4"/>
    </row>
    <row r="343">
      <c r="A343" s="66">
        <f>IFERROR(__xludf.DUMMYFUNCTION("""COMPUTED_VALUE"""),46163.0)</f>
        <v>46163</v>
      </c>
      <c r="B343" s="67">
        <f>IFERROR(__xludf.DUMMYFUNCTION("""COMPUTED_VALUE"""),69.0)</f>
        <v>69</v>
      </c>
      <c r="C343" s="69">
        <f>IFERROR(__xludf.DUMMYFUNCTION("""COMPUTED_VALUE"""),4.0)</f>
        <v>4</v>
      </c>
      <c r="D343" s="1" t="str">
        <f>IFERROR(__xludf.DUMMYFUNCTION("""COMPUTED_VALUE"""),"USD")</f>
        <v>USD</v>
      </c>
      <c r="E343" s="1" t="str">
        <f>IFERROR(__xludf.DUMMYFUNCTION("""COMPUTED_VALUE"""),"Efectivo USD")</f>
        <v>Efectivo USD</v>
      </c>
      <c r="F343" s="1" t="str">
        <f>IFERROR(__xludf.DUMMYFUNCTION("""COMPUTED_VALUE"""),"Katiuska Alejandra Curvelo")</f>
        <v>Katiuska Alejandra Curvelo</v>
      </c>
      <c r="G343" s="70">
        <f>IFERROR(__xludf.DUMMYFUNCTION("""COMPUTED_VALUE"""),523.675)</f>
        <v>523.675</v>
      </c>
      <c r="H343" s="1"/>
      <c r="I343" s="71">
        <f>IFERROR(__xludf.DUMMYFUNCTION("""COMPUTED_VALUE"""),4.0)</f>
        <v>4</v>
      </c>
      <c r="J343" s="69">
        <f>IFERROR(__xludf.DUMMYFUNCTION("""COMPUTED_VALUE"""),4.0)</f>
        <v>4</v>
      </c>
      <c r="K343" s="4">
        <f>IFERROR(__xludf.DUMMYFUNCTION("""COMPUTED_VALUE"""),4.0)</f>
        <v>4</v>
      </c>
      <c r="N343" s="67"/>
      <c r="R343" s="4"/>
    </row>
    <row r="344">
      <c r="A344" s="66">
        <f>IFERROR(__xludf.DUMMYFUNCTION("""COMPUTED_VALUE"""),46163.0)</f>
        <v>46163</v>
      </c>
      <c r="B344" s="67">
        <f>IFERROR(__xludf.DUMMYFUNCTION("""COMPUTED_VALUE"""),123.0)</f>
        <v>123</v>
      </c>
      <c r="C344" s="69">
        <f>IFERROR(__xludf.DUMMYFUNCTION("""COMPUTED_VALUE"""),36.0)</f>
        <v>36</v>
      </c>
      <c r="D344" s="1" t="str">
        <f>IFERROR(__xludf.DUMMYFUNCTION("""COMPUTED_VALUE"""),"USD")</f>
        <v>USD</v>
      </c>
      <c r="E344" s="1" t="str">
        <f>IFERROR(__xludf.DUMMYFUNCTION("""COMPUTED_VALUE"""),"Efectivo USD")</f>
        <v>Efectivo USD</v>
      </c>
      <c r="F344" s="1" t="str">
        <f>IFERROR(__xludf.DUMMYFUNCTION("""COMPUTED_VALUE"""),"Ramon Alvarez Mota")</f>
        <v>Ramon Alvarez Mota</v>
      </c>
      <c r="G344" s="70">
        <f>IFERROR(__xludf.DUMMYFUNCTION("""COMPUTED_VALUE"""),523.675)</f>
        <v>523.675</v>
      </c>
      <c r="H344" s="1"/>
      <c r="I344" s="71">
        <f>IFERROR(__xludf.DUMMYFUNCTION("""COMPUTED_VALUE"""),36.0)</f>
        <v>36</v>
      </c>
      <c r="J344" s="69">
        <f>IFERROR(__xludf.DUMMYFUNCTION("""COMPUTED_VALUE"""),36.0)</f>
        <v>36</v>
      </c>
      <c r="K344" s="4">
        <f>IFERROR(__xludf.DUMMYFUNCTION("""COMPUTED_VALUE"""),36.0)</f>
        <v>36</v>
      </c>
      <c r="N344" s="67"/>
      <c r="R344" s="4"/>
    </row>
    <row r="345">
      <c r="A345" s="66">
        <f>IFERROR(__xludf.DUMMYFUNCTION("""COMPUTED_VALUE"""),46163.0)</f>
        <v>46163</v>
      </c>
      <c r="B345" s="67">
        <f>IFERROR(__xludf.DUMMYFUNCTION("""COMPUTED_VALUE"""),324.0)</f>
        <v>324</v>
      </c>
      <c r="C345" s="69">
        <f>IFERROR(__xludf.DUMMYFUNCTION("""COMPUTED_VALUE"""),4.0)</f>
        <v>4</v>
      </c>
      <c r="D345" s="1" t="str">
        <f>IFERROR(__xludf.DUMMYFUNCTION("""COMPUTED_VALUE"""),"USD")</f>
        <v>USD</v>
      </c>
      <c r="E345" s="1" t="str">
        <f>IFERROR(__xludf.DUMMYFUNCTION("""COMPUTED_VALUE"""),"Efectivo USD")</f>
        <v>Efectivo USD</v>
      </c>
      <c r="F345" s="1" t="str">
        <f>IFERROR(__xludf.DUMMYFUNCTION("""COMPUTED_VALUE"""),"Nemer Bourji")</f>
        <v>Nemer Bourji</v>
      </c>
      <c r="G345" s="70">
        <f>IFERROR(__xludf.DUMMYFUNCTION("""COMPUTED_VALUE"""),523.675)</f>
        <v>523.675</v>
      </c>
      <c r="H345" s="1"/>
      <c r="I345" s="71">
        <f>IFERROR(__xludf.DUMMYFUNCTION("""COMPUTED_VALUE"""),4.0)</f>
        <v>4</v>
      </c>
      <c r="J345" s="69">
        <f>IFERROR(__xludf.DUMMYFUNCTION("""COMPUTED_VALUE"""),4.0)</f>
        <v>4</v>
      </c>
      <c r="K345" s="4">
        <f>IFERROR(__xludf.DUMMYFUNCTION("""COMPUTED_VALUE"""),4.0)</f>
        <v>4</v>
      </c>
      <c r="N345" s="67"/>
      <c r="R345" s="4"/>
    </row>
    <row r="346">
      <c r="A346" s="66">
        <f>IFERROR(__xludf.DUMMYFUNCTION("""COMPUTED_VALUE"""),46163.0)</f>
        <v>46163</v>
      </c>
      <c r="B346" s="67">
        <f>IFERROR(__xludf.DUMMYFUNCTION("""COMPUTED_VALUE"""),264.0)</f>
        <v>264</v>
      </c>
      <c r="C346" s="69">
        <f>IFERROR(__xludf.DUMMYFUNCTION("""COMPUTED_VALUE"""),71.0)</f>
        <v>71</v>
      </c>
      <c r="D346" s="1" t="str">
        <f>IFERROR(__xludf.DUMMYFUNCTION("""COMPUTED_VALUE"""),"USD")</f>
        <v>USD</v>
      </c>
      <c r="E346" s="1" t="str">
        <f>IFERROR(__xludf.DUMMYFUNCTION("""COMPUTED_VALUE"""),"Efectivo USD")</f>
        <v>Efectivo USD</v>
      </c>
      <c r="F346" s="1" t="str">
        <f>IFERROR(__xludf.DUMMYFUNCTION("""COMPUTED_VALUE"""),"Inversiones Los compadres 7686, c.a.")</f>
        <v>Inversiones Los compadres 7686, c.a.</v>
      </c>
      <c r="G346" s="70">
        <f>IFERROR(__xludf.DUMMYFUNCTION("""COMPUTED_VALUE"""),523.675)</f>
        <v>523.675</v>
      </c>
      <c r="H346" s="1"/>
      <c r="I346" s="71">
        <f>IFERROR(__xludf.DUMMYFUNCTION("""COMPUTED_VALUE"""),71.0)</f>
        <v>71</v>
      </c>
      <c r="J346" s="69">
        <f>IFERROR(__xludf.DUMMYFUNCTION("""COMPUTED_VALUE"""),71.0)</f>
        <v>71</v>
      </c>
      <c r="K346" s="4">
        <f>IFERROR(__xludf.DUMMYFUNCTION("""COMPUTED_VALUE"""),71.0)</f>
        <v>71</v>
      </c>
      <c r="N346" s="67"/>
      <c r="R346" s="4"/>
    </row>
    <row r="347">
      <c r="A347" s="66">
        <f>IFERROR(__xludf.DUMMYFUNCTION("""COMPUTED_VALUE"""),46163.0)</f>
        <v>46163</v>
      </c>
      <c r="B347" s="67">
        <f>IFERROR(__xludf.DUMMYFUNCTION("""COMPUTED_VALUE"""),419.0)</f>
        <v>419</v>
      </c>
      <c r="C347" s="69">
        <f>IFERROR(__xludf.DUMMYFUNCTION("""COMPUTED_VALUE"""),213.0)</f>
        <v>213</v>
      </c>
      <c r="D347" s="1" t="str">
        <f>IFERROR(__xludf.DUMMYFUNCTION("""COMPUTED_VALUE"""),"USD")</f>
        <v>USD</v>
      </c>
      <c r="E347" s="1" t="str">
        <f>IFERROR(__xludf.DUMMYFUNCTION("""COMPUTED_VALUE"""),"Efectivo USD")</f>
        <v>Efectivo USD</v>
      </c>
      <c r="F347" s="1" t="str">
        <f>IFERROR(__xludf.DUMMYFUNCTION("""COMPUTED_VALUE"""),"EMPRENDIMIENTO IRMA RODRIGUEZ 6")</f>
        <v>EMPRENDIMIENTO IRMA RODRIGUEZ 6</v>
      </c>
      <c r="G347" s="70">
        <f>IFERROR(__xludf.DUMMYFUNCTION("""COMPUTED_VALUE"""),526.8694)</f>
        <v>526.8694</v>
      </c>
      <c r="H347" s="1"/>
      <c r="I347" s="71">
        <f>IFERROR(__xludf.DUMMYFUNCTION("""COMPUTED_VALUE"""),213.0)</f>
        <v>213</v>
      </c>
      <c r="J347" s="69">
        <f>IFERROR(__xludf.DUMMYFUNCTION("""COMPUTED_VALUE"""),213.0)</f>
        <v>213</v>
      </c>
      <c r="K347" s="4">
        <f>IFERROR(__xludf.DUMMYFUNCTION("""COMPUTED_VALUE"""),213.0)</f>
        <v>213</v>
      </c>
      <c r="N347" s="67"/>
      <c r="R347" s="4"/>
    </row>
    <row r="348">
      <c r="A348" s="66">
        <f>IFERROR(__xludf.DUMMYFUNCTION("""COMPUTED_VALUE"""),46163.0)</f>
        <v>46163</v>
      </c>
      <c r="B348" s="67">
        <f>IFERROR(__xludf.DUMMYFUNCTION("""COMPUTED_VALUE"""),228.0)</f>
        <v>228</v>
      </c>
      <c r="C348" s="69">
        <f>IFERROR(__xludf.DUMMYFUNCTION("""COMPUTED_VALUE"""),154901.58)</f>
        <v>154901.58</v>
      </c>
      <c r="D348" s="1" t="str">
        <f>IFERROR(__xludf.DUMMYFUNCTION("""COMPUTED_VALUE"""),"VES")</f>
        <v>VES</v>
      </c>
      <c r="E348" s="1" t="str">
        <f>IFERROR(__xludf.DUMMYFUNCTION("""COMPUTED_VALUE"""),"Bancamiga")</f>
        <v>Bancamiga</v>
      </c>
      <c r="F348" s="1" t="str">
        <f>IFERROR(__xludf.DUMMYFUNCTION("""COMPUTED_VALUE"""),"CAUCHOS Y ACCESORIOS LA CAMPIÑA, C.A.")</f>
        <v>CAUCHOS Y ACCESORIOS LA CAMPIÑA, C.A.</v>
      </c>
      <c r="G348" s="70">
        <f>IFERROR(__xludf.DUMMYFUNCTION("""COMPUTED_VALUE"""),526.8694)</f>
        <v>526.8694</v>
      </c>
      <c r="H348" s="1"/>
      <c r="I348" s="71">
        <f>IFERROR(__xludf.DUMMYFUNCTION("""COMPUTED_VALUE"""),294.00375121424776)</f>
        <v>294.0037512</v>
      </c>
      <c r="J348" s="69">
        <f>IFERROR(__xludf.DUMMYFUNCTION("""COMPUTED_VALUE"""),0.0)</f>
        <v>0</v>
      </c>
      <c r="K348" s="4">
        <f>IFERROR(__xludf.DUMMYFUNCTION("""COMPUTED_VALUE"""),294.00375121424776)</f>
        <v>294.0037512</v>
      </c>
      <c r="N348" s="67"/>
      <c r="R348" s="4"/>
    </row>
    <row r="349">
      <c r="A349" s="66">
        <f>IFERROR(__xludf.DUMMYFUNCTION("""COMPUTED_VALUE"""),46163.0)</f>
        <v>46163</v>
      </c>
      <c r="B349" s="67">
        <f>IFERROR(__xludf.DUMMYFUNCTION("""COMPUTED_VALUE"""),120.0)</f>
        <v>120</v>
      </c>
      <c r="C349" s="69">
        <f>IFERROR(__xludf.DUMMYFUNCTION("""COMPUTED_VALUE"""),26183.5)</f>
        <v>26183.5</v>
      </c>
      <c r="D349" s="1" t="str">
        <f>IFERROR(__xludf.DUMMYFUNCTION("""COMPUTED_VALUE"""),"VES")</f>
        <v>VES</v>
      </c>
      <c r="E349" s="1" t="str">
        <f>IFERROR(__xludf.DUMMYFUNCTION("""COMPUTED_VALUE"""),"Bancamiga")</f>
        <v>Bancamiga</v>
      </c>
      <c r="F349" s="1" t="str">
        <f>IFERROR(__xludf.DUMMYFUNCTION("""COMPUTED_VALUE"""),"MARTIN RAMON DIAZ BOLIVAR")</f>
        <v>MARTIN RAMON DIAZ BOLIVAR</v>
      </c>
      <c r="G349" s="70">
        <f>IFERROR(__xludf.DUMMYFUNCTION("""COMPUTED_VALUE"""),523.675)</f>
        <v>523.675</v>
      </c>
      <c r="H349" s="1"/>
      <c r="I349" s="71">
        <f>IFERROR(__xludf.DUMMYFUNCTION("""COMPUTED_VALUE"""),49.99952260466893)</f>
        <v>49.9995226</v>
      </c>
      <c r="J349" s="69">
        <f>IFERROR(__xludf.DUMMYFUNCTION("""COMPUTED_VALUE"""),0.0)</f>
        <v>0</v>
      </c>
      <c r="K349" s="4">
        <f>IFERROR(__xludf.DUMMYFUNCTION("""COMPUTED_VALUE"""),49.99952260466893)</f>
        <v>49.9995226</v>
      </c>
      <c r="N349" s="67"/>
      <c r="R349" s="4"/>
    </row>
    <row r="350">
      <c r="A350" s="66">
        <f>IFERROR(__xludf.DUMMYFUNCTION("""COMPUTED_VALUE"""),46163.0)</f>
        <v>46163</v>
      </c>
      <c r="B350" s="67">
        <f>IFERROR(__xludf.DUMMYFUNCTION("""COMPUTED_VALUE"""),287.0)</f>
        <v>287</v>
      </c>
      <c r="C350" s="69">
        <f>IFERROR(__xludf.DUMMYFUNCTION("""COMPUTED_VALUE"""),50.0)</f>
        <v>50</v>
      </c>
      <c r="D350" s="1" t="str">
        <f>IFERROR(__xludf.DUMMYFUNCTION("""COMPUTED_VALUE"""),"USD")</f>
        <v>USD</v>
      </c>
      <c r="E350" s="1" t="str">
        <f>IFERROR(__xludf.DUMMYFUNCTION("""COMPUTED_VALUE"""),"Efectivo USD")</f>
        <v>Efectivo USD</v>
      </c>
      <c r="F350" s="1" t="str">
        <f>IFERROR(__xludf.DUMMYFUNCTION("""COMPUTED_VALUE"""),"Javier gregorio Espinoza")</f>
        <v>Javier gregorio Espinoza</v>
      </c>
      <c r="G350" s="70">
        <f>IFERROR(__xludf.DUMMYFUNCTION("""COMPUTED_VALUE"""),526.8694)</f>
        <v>526.8694</v>
      </c>
      <c r="H350" s="1"/>
      <c r="I350" s="71">
        <f>IFERROR(__xludf.DUMMYFUNCTION("""COMPUTED_VALUE"""),50.0)</f>
        <v>50</v>
      </c>
      <c r="J350" s="69">
        <f>IFERROR(__xludf.DUMMYFUNCTION("""COMPUTED_VALUE"""),50.0)</f>
        <v>50</v>
      </c>
      <c r="K350" s="4">
        <f>IFERROR(__xludf.DUMMYFUNCTION("""COMPUTED_VALUE"""),50.0)</f>
        <v>50</v>
      </c>
      <c r="N350" s="67"/>
      <c r="R350" s="4"/>
    </row>
    <row r="351">
      <c r="A351" s="66">
        <f>IFERROR(__xludf.DUMMYFUNCTION("""COMPUTED_VALUE"""),46163.0)</f>
        <v>46163</v>
      </c>
      <c r="B351" s="67">
        <f>IFERROR(__xludf.DUMMYFUNCTION("""COMPUTED_VALUE"""),218.0)</f>
        <v>218</v>
      </c>
      <c r="C351" s="69">
        <f>IFERROR(__xludf.DUMMYFUNCTION("""COMPUTED_VALUE"""),60.0)</f>
        <v>60</v>
      </c>
      <c r="D351" s="1" t="str">
        <f>IFERROR(__xludf.DUMMYFUNCTION("""COMPUTED_VALUE"""),"USD")</f>
        <v>USD</v>
      </c>
      <c r="E351" s="1" t="str">
        <f>IFERROR(__xludf.DUMMYFUNCTION("""COMPUTED_VALUE"""),"Efectivo USD")</f>
        <v>Efectivo USD</v>
      </c>
      <c r="F351" s="1" t="str">
        <f>IFERROR(__xludf.DUMMYFUNCTION("""COMPUTED_VALUE"""),"Cooperativa Dios mi Amparo, R.L.")</f>
        <v>Cooperativa Dios mi Amparo, R.L.</v>
      </c>
      <c r="G351" s="70">
        <f>IFERROR(__xludf.DUMMYFUNCTION("""COMPUTED_VALUE"""),526.8694)</f>
        <v>526.8694</v>
      </c>
      <c r="H351" s="1"/>
      <c r="I351" s="71">
        <f>IFERROR(__xludf.DUMMYFUNCTION("""COMPUTED_VALUE"""),60.0)</f>
        <v>60</v>
      </c>
      <c r="J351" s="69">
        <f>IFERROR(__xludf.DUMMYFUNCTION("""COMPUTED_VALUE"""),60.0)</f>
        <v>60</v>
      </c>
      <c r="K351" s="4">
        <f>IFERROR(__xludf.DUMMYFUNCTION("""COMPUTED_VALUE"""),60.0)</f>
        <v>60</v>
      </c>
      <c r="N351" s="67"/>
      <c r="R351" s="4"/>
    </row>
    <row r="352">
      <c r="A352" s="66">
        <f>IFERROR(__xludf.DUMMYFUNCTION("""COMPUTED_VALUE"""),46163.0)</f>
        <v>46163</v>
      </c>
      <c r="B352" s="67">
        <f>IFERROR(__xludf.DUMMYFUNCTION("""COMPUTED_VALUE"""),158.0)</f>
        <v>158</v>
      </c>
      <c r="C352" s="69">
        <f>IFERROR(__xludf.DUMMYFUNCTION("""COMPUTED_VALUE"""),110.0)</f>
        <v>110</v>
      </c>
      <c r="D352" s="1" t="str">
        <f>IFERROR(__xludf.DUMMYFUNCTION("""COMPUTED_VALUE"""),"USD")</f>
        <v>USD</v>
      </c>
      <c r="E352" s="1" t="str">
        <f>IFERROR(__xludf.DUMMYFUNCTION("""COMPUTED_VALUE"""),"Zelle")</f>
        <v>Zelle</v>
      </c>
      <c r="F352" s="1" t="str">
        <f>IFERROR(__xludf.DUMMYFUNCTION("""COMPUTED_VALUE"""),"Dimas Ortíz")</f>
        <v>Dimas Ortíz</v>
      </c>
      <c r="G352" s="70">
        <f>IFERROR(__xludf.DUMMYFUNCTION("""COMPUTED_VALUE"""),526.8694)</f>
        <v>526.8694</v>
      </c>
      <c r="H352" s="1"/>
      <c r="I352" s="71">
        <f>IFERROR(__xludf.DUMMYFUNCTION("""COMPUTED_VALUE"""),110.0)</f>
        <v>110</v>
      </c>
      <c r="J352" s="69">
        <f>IFERROR(__xludf.DUMMYFUNCTION("""COMPUTED_VALUE"""),110.0)</f>
        <v>110</v>
      </c>
      <c r="K352" s="4">
        <f>IFERROR(__xludf.DUMMYFUNCTION("""COMPUTED_VALUE"""),110.0)</f>
        <v>110</v>
      </c>
      <c r="N352" s="67"/>
      <c r="R352" s="4"/>
    </row>
    <row r="353">
      <c r="A353" s="66">
        <f>IFERROR(__xludf.DUMMYFUNCTION("""COMPUTED_VALUE"""),46164.0)</f>
        <v>46164</v>
      </c>
      <c r="B353" s="67">
        <f>IFERROR(__xludf.DUMMYFUNCTION("""COMPUTED_VALUE"""),274.0)</f>
        <v>274</v>
      </c>
      <c r="C353" s="69">
        <f>IFERROR(__xludf.DUMMYFUNCTION("""COMPUTED_VALUE"""),100.0)</f>
        <v>100</v>
      </c>
      <c r="D353" s="1" t="str">
        <f>IFERROR(__xludf.DUMMYFUNCTION("""COMPUTED_VALUE"""),"USD")</f>
        <v>USD</v>
      </c>
      <c r="E353" s="1" t="str">
        <f>IFERROR(__xludf.DUMMYFUNCTION("""COMPUTED_VALUE"""),"Efectivo USD")</f>
        <v>Efectivo USD</v>
      </c>
      <c r="F353" s="1" t="str">
        <f>IFERROR(__xludf.DUMMYFUNCTION("""COMPUTED_VALUE"""),"ADS SERVICE C.A")</f>
        <v>ADS SERVICE C.A</v>
      </c>
      <c r="G353" s="70">
        <f>IFERROR(__xludf.DUMMYFUNCTION("""COMPUTED_VALUE"""),526.8694)</f>
        <v>526.8694</v>
      </c>
      <c r="H353" s="1"/>
      <c r="I353" s="71">
        <f>IFERROR(__xludf.DUMMYFUNCTION("""COMPUTED_VALUE"""),100.0)</f>
        <v>100</v>
      </c>
      <c r="J353" s="69">
        <f>IFERROR(__xludf.DUMMYFUNCTION("""COMPUTED_VALUE"""),100.0)</f>
        <v>100</v>
      </c>
      <c r="K353" s="4">
        <f>IFERROR(__xludf.DUMMYFUNCTION("""COMPUTED_VALUE"""),100.0)</f>
        <v>100</v>
      </c>
      <c r="N353" s="67"/>
      <c r="R353" s="4"/>
    </row>
    <row r="354">
      <c r="A354" s="66">
        <f>IFERROR(__xludf.DUMMYFUNCTION("""COMPUTED_VALUE"""),46164.0)</f>
        <v>46164</v>
      </c>
      <c r="B354" s="67">
        <f>IFERROR(__xludf.DUMMYFUNCTION("""COMPUTED_VALUE"""),44.0)</f>
        <v>44</v>
      </c>
      <c r="C354" s="69">
        <f>IFERROR(__xludf.DUMMYFUNCTION("""COMPUTED_VALUE"""),150.0)</f>
        <v>150</v>
      </c>
      <c r="D354" s="1" t="str">
        <f>IFERROR(__xludf.DUMMYFUNCTION("""COMPUTED_VALUE"""),"USD")</f>
        <v>USD</v>
      </c>
      <c r="E354" s="1" t="str">
        <f>IFERROR(__xludf.DUMMYFUNCTION("""COMPUTED_VALUE"""),"Efectivo USD")</f>
        <v>Efectivo USD</v>
      </c>
      <c r="F354" s="1" t="str">
        <f>IFERROR(__xludf.DUMMYFUNCTION("""COMPUTED_VALUE"""),"Comercializadora Garabote")</f>
        <v>Comercializadora Garabote</v>
      </c>
      <c r="G354" s="70">
        <f>IFERROR(__xludf.DUMMYFUNCTION("""COMPUTED_VALUE"""),526.8694)</f>
        <v>526.8694</v>
      </c>
      <c r="H354" s="1"/>
      <c r="I354" s="71">
        <f>IFERROR(__xludf.DUMMYFUNCTION("""COMPUTED_VALUE"""),150.0)</f>
        <v>150</v>
      </c>
      <c r="J354" s="69">
        <f>IFERROR(__xludf.DUMMYFUNCTION("""COMPUTED_VALUE"""),150.0)</f>
        <v>150</v>
      </c>
      <c r="K354" s="4">
        <f>IFERROR(__xludf.DUMMYFUNCTION("""COMPUTED_VALUE"""),150.0)</f>
        <v>150</v>
      </c>
      <c r="N354" s="67"/>
      <c r="R354" s="4"/>
    </row>
    <row r="355">
      <c r="A355" s="66">
        <f>IFERROR(__xludf.DUMMYFUNCTION("""COMPUTED_VALUE"""),46164.0)</f>
        <v>46164</v>
      </c>
      <c r="B355" s="67">
        <f>IFERROR(__xludf.DUMMYFUNCTION("""COMPUTED_VALUE"""),54.0)</f>
        <v>54</v>
      </c>
      <c r="C355" s="69">
        <f>IFERROR(__xludf.DUMMYFUNCTION("""COMPUTED_VALUE"""),20.0)</f>
        <v>20</v>
      </c>
      <c r="D355" s="1" t="str">
        <f>IFERROR(__xludf.DUMMYFUNCTION("""COMPUTED_VALUE"""),"USD")</f>
        <v>USD</v>
      </c>
      <c r="E355" s="1" t="str">
        <f>IFERROR(__xludf.DUMMYFUNCTION("""COMPUTED_VALUE"""),"Efectivo USD")</f>
        <v>Efectivo USD</v>
      </c>
      <c r="F355" s="1" t="str">
        <f>IFERROR(__xludf.DUMMYFUNCTION("""COMPUTED_VALUE"""),"Moises Alejandro Mares")</f>
        <v>Moises Alejandro Mares</v>
      </c>
      <c r="G355" s="70">
        <f>IFERROR(__xludf.DUMMYFUNCTION("""COMPUTED_VALUE"""),530.5047)</f>
        <v>530.5047</v>
      </c>
      <c r="H355" s="1"/>
      <c r="I355" s="71">
        <f>IFERROR(__xludf.DUMMYFUNCTION("""COMPUTED_VALUE"""),20.0)</f>
        <v>20</v>
      </c>
      <c r="J355" s="69">
        <f>IFERROR(__xludf.DUMMYFUNCTION("""COMPUTED_VALUE"""),20.0)</f>
        <v>20</v>
      </c>
      <c r="K355" s="4">
        <f>IFERROR(__xludf.DUMMYFUNCTION("""COMPUTED_VALUE"""),20.0)</f>
        <v>20</v>
      </c>
      <c r="N355" s="67"/>
      <c r="R355" s="4"/>
    </row>
    <row r="356">
      <c r="A356" s="66">
        <f>IFERROR(__xludf.DUMMYFUNCTION("""COMPUTED_VALUE"""),46164.0)</f>
        <v>46164</v>
      </c>
      <c r="B356" s="67">
        <f>IFERROR(__xludf.DUMMYFUNCTION("""COMPUTED_VALUE"""),54.0)</f>
        <v>54</v>
      </c>
      <c r="C356" s="69">
        <f>IFERROR(__xludf.DUMMYFUNCTION("""COMPUTED_VALUE"""),30519.0)</f>
        <v>30519</v>
      </c>
      <c r="D356" s="1" t="str">
        <f>IFERROR(__xludf.DUMMYFUNCTION("""COMPUTED_VALUE"""),"VES")</f>
        <v>VES</v>
      </c>
      <c r="E356" s="1" t="str">
        <f>IFERROR(__xludf.DUMMYFUNCTION("""COMPUTED_VALUE"""),"Bancamiga")</f>
        <v>Bancamiga</v>
      </c>
      <c r="F356" s="1" t="str">
        <f>IFERROR(__xludf.DUMMYFUNCTION("""COMPUTED_VALUE"""),"Corporación Lubricantes 7ma Av.C.A")</f>
        <v>Corporación Lubricantes 7ma Av.C.A</v>
      </c>
      <c r="G356" s="70">
        <f>IFERROR(__xludf.DUMMYFUNCTION("""COMPUTED_VALUE"""),530.5047)</f>
        <v>530.5047</v>
      </c>
      <c r="H356" s="1"/>
      <c r="I356" s="71">
        <f>IFERROR(__xludf.DUMMYFUNCTION("""COMPUTED_VALUE"""),57.52823679036209)</f>
        <v>57.52823679</v>
      </c>
      <c r="J356" s="69">
        <f>IFERROR(__xludf.DUMMYFUNCTION("""COMPUTED_VALUE"""),0.0)</f>
        <v>0</v>
      </c>
      <c r="K356" s="4">
        <f>IFERROR(__xludf.DUMMYFUNCTION("""COMPUTED_VALUE"""),57.52823679036209)</f>
        <v>57.52823679</v>
      </c>
      <c r="N356" s="67"/>
      <c r="R356" s="4"/>
    </row>
    <row r="357">
      <c r="A357" s="66">
        <f>IFERROR(__xludf.DUMMYFUNCTION("""COMPUTED_VALUE"""),46164.0)</f>
        <v>46164</v>
      </c>
      <c r="B357" s="67">
        <f>IFERROR(__xludf.DUMMYFUNCTION("""COMPUTED_VALUE"""),143.0)</f>
        <v>143</v>
      </c>
      <c r="C357" s="69">
        <f>IFERROR(__xludf.DUMMYFUNCTION("""COMPUTED_VALUE"""),52.0)</f>
        <v>52</v>
      </c>
      <c r="D357" s="1" t="str">
        <f>IFERROR(__xludf.DUMMYFUNCTION("""COMPUTED_VALUE"""),"USD")</f>
        <v>USD</v>
      </c>
      <c r="E357" s="1" t="str">
        <f>IFERROR(__xludf.DUMMYFUNCTION("""COMPUTED_VALUE"""),"Efectivo USD")</f>
        <v>Efectivo USD</v>
      </c>
      <c r="F357" s="1" t="str">
        <f>IFERROR(__xludf.DUMMYFUNCTION("""COMPUTED_VALUE"""),"MOTOREPUESTOS EL GUANÁBANO YRM C.A.")</f>
        <v>MOTOREPUESTOS EL GUANÁBANO YRM C.A.</v>
      </c>
      <c r="G357" s="70">
        <f>IFERROR(__xludf.DUMMYFUNCTION("""COMPUTED_VALUE"""),530.5047)</f>
        <v>530.5047</v>
      </c>
      <c r="H357" s="1"/>
      <c r="I357" s="71">
        <f>IFERROR(__xludf.DUMMYFUNCTION("""COMPUTED_VALUE"""),52.0)</f>
        <v>52</v>
      </c>
      <c r="J357" s="69">
        <f>IFERROR(__xludf.DUMMYFUNCTION("""COMPUTED_VALUE"""),52.0)</f>
        <v>52</v>
      </c>
      <c r="K357" s="4">
        <f>IFERROR(__xludf.DUMMYFUNCTION("""COMPUTED_VALUE"""),52.0)</f>
        <v>52</v>
      </c>
      <c r="N357" s="67"/>
      <c r="R357" s="4"/>
    </row>
    <row r="358">
      <c r="A358" s="66">
        <f>IFERROR(__xludf.DUMMYFUNCTION("""COMPUTED_VALUE"""),46164.0)</f>
        <v>46164</v>
      </c>
      <c r="B358" s="67">
        <f>IFERROR(__xludf.DUMMYFUNCTION("""COMPUTED_VALUE"""),301.0)</f>
        <v>301</v>
      </c>
      <c r="C358" s="69">
        <f>IFERROR(__xludf.DUMMYFUNCTION("""COMPUTED_VALUE"""),51.0)</f>
        <v>51</v>
      </c>
      <c r="D358" s="1" t="str">
        <f>IFERROR(__xludf.DUMMYFUNCTION("""COMPUTED_VALUE"""),"USD")</f>
        <v>USD</v>
      </c>
      <c r="E358" s="1" t="str">
        <f>IFERROR(__xludf.DUMMYFUNCTION("""COMPUTED_VALUE"""),"Efectivo USD")</f>
        <v>Efectivo USD</v>
      </c>
      <c r="F358" s="1" t="str">
        <f>IFERROR(__xludf.DUMMYFUNCTION("""COMPUTED_VALUE"""),"CENTRO MOTRIZ GUADALUPE, C.A.")</f>
        <v>CENTRO MOTRIZ GUADALUPE, C.A.</v>
      </c>
      <c r="G358" s="70">
        <f>IFERROR(__xludf.DUMMYFUNCTION("""COMPUTED_VALUE"""),530.5047)</f>
        <v>530.5047</v>
      </c>
      <c r="H358" s="1"/>
      <c r="I358" s="71">
        <f>IFERROR(__xludf.DUMMYFUNCTION("""COMPUTED_VALUE"""),51.0)</f>
        <v>51</v>
      </c>
      <c r="J358" s="69">
        <f>IFERROR(__xludf.DUMMYFUNCTION("""COMPUTED_VALUE"""),51.0)</f>
        <v>51</v>
      </c>
      <c r="K358" s="4">
        <f>IFERROR(__xludf.DUMMYFUNCTION("""COMPUTED_VALUE"""),51.0)</f>
        <v>51</v>
      </c>
      <c r="N358" s="67"/>
      <c r="R358" s="4"/>
    </row>
    <row r="359">
      <c r="A359" s="66">
        <f>IFERROR(__xludf.DUMMYFUNCTION("""COMPUTED_VALUE"""),46164.0)</f>
        <v>46164</v>
      </c>
      <c r="B359" s="67">
        <f>IFERROR(__xludf.DUMMYFUNCTION("""COMPUTED_VALUE"""),199.0)</f>
        <v>199</v>
      </c>
      <c r="C359" s="69">
        <f>IFERROR(__xludf.DUMMYFUNCTION("""COMPUTED_VALUE"""),100.0)</f>
        <v>100</v>
      </c>
      <c r="D359" s="1" t="str">
        <f>IFERROR(__xludf.DUMMYFUNCTION("""COMPUTED_VALUE"""),"USD")</f>
        <v>USD</v>
      </c>
      <c r="E359" s="1" t="str">
        <f>IFERROR(__xludf.DUMMYFUNCTION("""COMPUTED_VALUE"""),"Efectivo USD")</f>
        <v>Efectivo USD</v>
      </c>
      <c r="F359" s="1" t="str">
        <f>IFERROR(__xludf.DUMMYFUNCTION("""COMPUTED_VALUE"""),"PROYECTO MAQUIVEIRO 21 C.A.")</f>
        <v>PROYECTO MAQUIVEIRO 21 C.A.</v>
      </c>
      <c r="G359" s="70">
        <f>IFERROR(__xludf.DUMMYFUNCTION("""COMPUTED_VALUE"""),530.5047)</f>
        <v>530.5047</v>
      </c>
      <c r="H359" s="1"/>
      <c r="I359" s="71">
        <f>IFERROR(__xludf.DUMMYFUNCTION("""COMPUTED_VALUE"""),100.0)</f>
        <v>100</v>
      </c>
      <c r="J359" s="69">
        <f>IFERROR(__xludf.DUMMYFUNCTION("""COMPUTED_VALUE"""),100.0)</f>
        <v>100</v>
      </c>
      <c r="K359" s="4">
        <f>IFERROR(__xludf.DUMMYFUNCTION("""COMPUTED_VALUE"""),100.0)</f>
        <v>100</v>
      </c>
      <c r="N359" s="67"/>
      <c r="R359" s="4"/>
    </row>
    <row r="360">
      <c r="A360" s="66">
        <f>IFERROR(__xludf.DUMMYFUNCTION("""COMPUTED_VALUE"""),46164.0)</f>
        <v>46164</v>
      </c>
      <c r="B360" s="67">
        <f>IFERROR(__xludf.DUMMYFUNCTION("""COMPUTED_VALUE"""),126.0)</f>
        <v>126</v>
      </c>
      <c r="C360" s="69">
        <f>IFERROR(__xludf.DUMMYFUNCTION("""COMPUTED_VALUE"""),250.0)</f>
        <v>250</v>
      </c>
      <c r="D360" s="1" t="str">
        <f>IFERROR(__xludf.DUMMYFUNCTION("""COMPUTED_VALUE"""),"USD")</f>
        <v>USD</v>
      </c>
      <c r="E360" s="1" t="str">
        <f>IFERROR(__xludf.DUMMYFUNCTION("""COMPUTED_VALUE"""),"Efectivo USD")</f>
        <v>Efectivo USD</v>
      </c>
      <c r="F360" s="1" t="str">
        <f>IFERROR(__xludf.DUMMYFUNCTION("""COMPUTED_VALUE"""),"Victor Ordaz")</f>
        <v>Victor Ordaz</v>
      </c>
      <c r="G360" s="70">
        <f>IFERROR(__xludf.DUMMYFUNCTION("""COMPUTED_VALUE"""),530.5047)</f>
        <v>530.5047</v>
      </c>
      <c r="H360" s="1"/>
      <c r="I360" s="71">
        <f>IFERROR(__xludf.DUMMYFUNCTION("""COMPUTED_VALUE"""),250.0)</f>
        <v>250</v>
      </c>
      <c r="J360" s="69">
        <f>IFERROR(__xludf.DUMMYFUNCTION("""COMPUTED_VALUE"""),250.0)</f>
        <v>250</v>
      </c>
      <c r="K360" s="4">
        <f>IFERROR(__xludf.DUMMYFUNCTION("""COMPUTED_VALUE"""),250.0)</f>
        <v>250</v>
      </c>
      <c r="N360" s="67"/>
      <c r="R360" s="4"/>
    </row>
    <row r="361">
      <c r="A361" s="66">
        <f>IFERROR(__xludf.DUMMYFUNCTION("""COMPUTED_VALUE"""),46167.0)</f>
        <v>46167</v>
      </c>
      <c r="B361" s="67">
        <f>IFERROR(__xludf.DUMMYFUNCTION("""COMPUTED_VALUE"""),44.0)</f>
        <v>44</v>
      </c>
      <c r="C361" s="69">
        <f>IFERROR(__xludf.DUMMYFUNCTION("""COMPUTED_VALUE"""),100.0)</f>
        <v>100</v>
      </c>
      <c r="D361" s="1" t="str">
        <f>IFERROR(__xludf.DUMMYFUNCTION("""COMPUTED_VALUE"""),"USD")</f>
        <v>USD</v>
      </c>
      <c r="E361" s="1" t="str">
        <f>IFERROR(__xludf.DUMMYFUNCTION("""COMPUTED_VALUE"""),"Efectivo USD")</f>
        <v>Efectivo USD</v>
      </c>
      <c r="F361" s="1" t="str">
        <f>IFERROR(__xludf.DUMMYFUNCTION("""COMPUTED_VALUE"""),"Comercializadora Garabote")</f>
        <v>Comercializadora Garabote</v>
      </c>
      <c r="G361" s="70">
        <f>IFERROR(__xludf.DUMMYFUNCTION("""COMPUTED_VALUE"""),530.5047)</f>
        <v>530.5047</v>
      </c>
      <c r="H361" s="1"/>
      <c r="I361" s="71">
        <f>IFERROR(__xludf.DUMMYFUNCTION("""COMPUTED_VALUE"""),100.0)</f>
        <v>100</v>
      </c>
      <c r="J361" s="69">
        <f>IFERROR(__xludf.DUMMYFUNCTION("""COMPUTED_VALUE"""),100.0)</f>
        <v>100</v>
      </c>
      <c r="K361" s="4">
        <f>IFERROR(__xludf.DUMMYFUNCTION("""COMPUTED_VALUE"""),100.0)</f>
        <v>100</v>
      </c>
      <c r="N361" s="67"/>
      <c r="R361" s="4"/>
    </row>
    <row r="362">
      <c r="A362" s="66">
        <f>IFERROR(__xludf.DUMMYFUNCTION("""COMPUTED_VALUE"""),46167.0)</f>
        <v>46167</v>
      </c>
      <c r="B362" s="67">
        <f>IFERROR(__xludf.DUMMYFUNCTION("""COMPUTED_VALUE"""),330.0)</f>
        <v>330</v>
      </c>
      <c r="C362" s="69">
        <f>IFERROR(__xludf.DUMMYFUNCTION("""COMPUTED_VALUE"""),23895.0)</f>
        <v>23895</v>
      </c>
      <c r="D362" s="1" t="str">
        <f>IFERROR(__xludf.DUMMYFUNCTION("""COMPUTED_VALUE"""),"VES")</f>
        <v>VES</v>
      </c>
      <c r="E362" s="1" t="str">
        <f>IFERROR(__xludf.DUMMYFUNCTION("""COMPUTED_VALUE"""),"Bancamiga")</f>
        <v>Bancamiga</v>
      </c>
      <c r="F362" s="1" t="str">
        <f>IFERROR(__xludf.DUMMYFUNCTION("""COMPUTED_VALUE"""),"Diana Carolina Torres")</f>
        <v>Diana Carolina Torres</v>
      </c>
      <c r="G362" s="70">
        <f>IFERROR(__xludf.DUMMYFUNCTION("""COMPUTED_VALUE"""),530.5047)</f>
        <v>530.5047</v>
      </c>
      <c r="H362" s="1"/>
      <c r="I362" s="71">
        <f>IFERROR(__xludf.DUMMYFUNCTION("""COMPUTED_VALUE"""),45.042013765382286)</f>
        <v>45.04201377</v>
      </c>
      <c r="J362" s="69">
        <f>IFERROR(__xludf.DUMMYFUNCTION("""COMPUTED_VALUE"""),0.0)</f>
        <v>0</v>
      </c>
      <c r="K362" s="4">
        <f>IFERROR(__xludf.DUMMYFUNCTION("""COMPUTED_VALUE"""),45.042013765382286)</f>
        <v>45.04201377</v>
      </c>
      <c r="N362" s="67"/>
      <c r="R362" s="4"/>
    </row>
    <row r="363">
      <c r="A363" s="66">
        <f>IFERROR(__xludf.DUMMYFUNCTION("""COMPUTED_VALUE"""),46167.0)</f>
        <v>46167</v>
      </c>
      <c r="B363" s="67">
        <f>IFERROR(__xludf.DUMMYFUNCTION("""COMPUTED_VALUE"""),78.0)</f>
        <v>78</v>
      </c>
      <c r="C363" s="69">
        <f>IFERROR(__xludf.DUMMYFUNCTION("""COMPUTED_VALUE"""),31830.0)</f>
        <v>31830</v>
      </c>
      <c r="D363" s="1" t="str">
        <f>IFERROR(__xludf.DUMMYFUNCTION("""COMPUTED_VALUE"""),"VES")</f>
        <v>VES</v>
      </c>
      <c r="E363" s="1" t="str">
        <f>IFERROR(__xludf.DUMMYFUNCTION("""COMPUTED_VALUE"""),"Bancamiga")</f>
        <v>Bancamiga</v>
      </c>
      <c r="F363" s="1" t="str">
        <f>IFERROR(__xludf.DUMMYFUNCTION("""COMPUTED_VALUE"""),"MULTISERVICIOS RECAM13, C.A.")</f>
        <v>MULTISERVICIOS RECAM13, C.A.</v>
      </c>
      <c r="G363" s="70">
        <f>IFERROR(__xludf.DUMMYFUNCTION("""COMPUTED_VALUE"""),530.5047)</f>
        <v>530.5047</v>
      </c>
      <c r="H363" s="1"/>
      <c r="I363" s="71">
        <f>IFERROR(__xludf.DUMMYFUNCTION("""COMPUTED_VALUE"""),59.99946843072267)</f>
        <v>59.99946843</v>
      </c>
      <c r="J363" s="69">
        <f>IFERROR(__xludf.DUMMYFUNCTION("""COMPUTED_VALUE"""),0.0)</f>
        <v>0</v>
      </c>
      <c r="K363" s="4">
        <f>IFERROR(__xludf.DUMMYFUNCTION("""COMPUTED_VALUE"""),59.99946843072267)</f>
        <v>59.99946843</v>
      </c>
      <c r="N363" s="67"/>
      <c r="R363" s="4"/>
    </row>
    <row r="364">
      <c r="A364" s="66">
        <f>IFERROR(__xludf.DUMMYFUNCTION("""COMPUTED_VALUE"""),46167.0)</f>
        <v>46167</v>
      </c>
      <c r="B364" s="67">
        <f>IFERROR(__xludf.DUMMYFUNCTION("""COMPUTED_VALUE"""),305.0)</f>
        <v>305</v>
      </c>
      <c r="C364" s="69">
        <f>IFERROR(__xludf.DUMMYFUNCTION("""COMPUTED_VALUE"""),61538.0)</f>
        <v>61538</v>
      </c>
      <c r="D364" s="1" t="str">
        <f>IFERROR(__xludf.DUMMYFUNCTION("""COMPUTED_VALUE"""),"VES")</f>
        <v>VES</v>
      </c>
      <c r="E364" s="1" t="str">
        <f>IFERROR(__xludf.DUMMYFUNCTION("""COMPUTED_VALUE"""),"Bancamiga")</f>
        <v>Bancamiga</v>
      </c>
      <c r="F364" s="1" t="str">
        <f>IFERROR(__xludf.DUMMYFUNCTION("""COMPUTED_VALUE"""),"INVERSIONES F-250, C.A")</f>
        <v>INVERSIONES F-250, C.A</v>
      </c>
      <c r="G364" s="70">
        <f>IFERROR(__xludf.DUMMYFUNCTION("""COMPUTED_VALUE"""),530.5047)</f>
        <v>530.5047</v>
      </c>
      <c r="H364" s="1"/>
      <c r="I364" s="71">
        <f>IFERROR(__xludf.DUMMYFUNCTION("""COMPUTED_VALUE"""),115.99897229939717)</f>
        <v>115.9989723</v>
      </c>
      <c r="J364" s="69">
        <f>IFERROR(__xludf.DUMMYFUNCTION("""COMPUTED_VALUE"""),0.0)</f>
        <v>0</v>
      </c>
      <c r="K364" s="4">
        <f>IFERROR(__xludf.DUMMYFUNCTION("""COMPUTED_VALUE"""),115.99897229939717)</f>
        <v>115.9989723</v>
      </c>
      <c r="N364" s="67"/>
      <c r="R364" s="4"/>
    </row>
    <row r="365">
      <c r="A365" s="66">
        <f>IFERROR(__xludf.DUMMYFUNCTION("""COMPUTED_VALUE"""),46167.0)</f>
        <v>46167</v>
      </c>
      <c r="B365" s="67">
        <f>IFERROR(__xludf.DUMMYFUNCTION("""COMPUTED_VALUE"""),133.0)</f>
        <v>133</v>
      </c>
      <c r="C365" s="69">
        <f>IFERROR(__xludf.DUMMYFUNCTION("""COMPUTED_VALUE"""),500.0)</f>
        <v>500</v>
      </c>
      <c r="D365" s="1" t="str">
        <f>IFERROR(__xludf.DUMMYFUNCTION("""COMPUTED_VALUE"""),"USD")</f>
        <v>USD</v>
      </c>
      <c r="E365" s="1" t="str">
        <f>IFERROR(__xludf.DUMMYFUNCTION("""COMPUTED_VALUE"""),"Efectivo USD")</f>
        <v>Efectivo USD</v>
      </c>
      <c r="F365" s="1" t="str">
        <f>IFERROR(__xludf.DUMMYFUNCTION("""COMPUTED_VALUE"""),"Inversiones La Bendición del Nazareno, C.A")</f>
        <v>Inversiones La Bendición del Nazareno, C.A</v>
      </c>
      <c r="G365" s="70">
        <f>IFERROR(__xludf.DUMMYFUNCTION("""COMPUTED_VALUE"""),530.5047)</f>
        <v>530.5047</v>
      </c>
      <c r="H365" s="1"/>
      <c r="I365" s="71">
        <f>IFERROR(__xludf.DUMMYFUNCTION("""COMPUTED_VALUE"""),500.0)</f>
        <v>500</v>
      </c>
      <c r="J365" s="69">
        <f>IFERROR(__xludf.DUMMYFUNCTION("""COMPUTED_VALUE"""),500.0)</f>
        <v>500</v>
      </c>
      <c r="K365" s="4">
        <f>IFERROR(__xludf.DUMMYFUNCTION("""COMPUTED_VALUE"""),500.0)</f>
        <v>500</v>
      </c>
      <c r="N365" s="67"/>
      <c r="R365" s="4"/>
    </row>
    <row r="366">
      <c r="A366" s="66">
        <f>IFERROR(__xludf.DUMMYFUNCTION("""COMPUTED_VALUE"""),46167.0)</f>
        <v>46167</v>
      </c>
      <c r="B366" s="67">
        <f>IFERROR(__xludf.DUMMYFUNCTION("""COMPUTED_VALUE"""),259.0)</f>
        <v>259</v>
      </c>
      <c r="C366" s="69">
        <f>IFERROR(__xludf.DUMMYFUNCTION("""COMPUTED_VALUE"""),20.0)</f>
        <v>20</v>
      </c>
      <c r="D366" s="1" t="str">
        <f>IFERROR(__xludf.DUMMYFUNCTION("""COMPUTED_VALUE"""),"USD")</f>
        <v>USD</v>
      </c>
      <c r="E366" s="1" t="str">
        <f>IFERROR(__xludf.DUMMYFUNCTION("""COMPUTED_VALUE"""),"Efectivo USD")</f>
        <v>Efectivo USD</v>
      </c>
      <c r="F366" s="1" t="str">
        <f>IFERROR(__xludf.DUMMYFUNCTION("""COMPUTED_VALUE"""),"Multiservicio Tocome, C.A")</f>
        <v>Multiservicio Tocome, C.A</v>
      </c>
      <c r="G366" s="70">
        <f>IFERROR(__xludf.DUMMYFUNCTION("""COMPUTED_VALUE"""),530.5047)</f>
        <v>530.5047</v>
      </c>
      <c r="H366" s="1"/>
      <c r="I366" s="71">
        <f>IFERROR(__xludf.DUMMYFUNCTION("""COMPUTED_VALUE"""),20.0)</f>
        <v>20</v>
      </c>
      <c r="J366" s="69">
        <f>IFERROR(__xludf.DUMMYFUNCTION("""COMPUTED_VALUE"""),20.0)</f>
        <v>20</v>
      </c>
      <c r="K366" s="4">
        <f>IFERROR(__xludf.DUMMYFUNCTION("""COMPUTED_VALUE"""),20.0)</f>
        <v>20</v>
      </c>
      <c r="N366" s="67"/>
      <c r="R366" s="4"/>
    </row>
    <row r="367">
      <c r="A367" s="66">
        <f>IFERROR(__xludf.DUMMYFUNCTION("""COMPUTED_VALUE"""),46168.0)</f>
        <v>46168</v>
      </c>
      <c r="B367" s="67">
        <f>IFERROR(__xludf.DUMMYFUNCTION("""COMPUTED_VALUE"""),146.0)</f>
        <v>146</v>
      </c>
      <c r="C367" s="69">
        <f>IFERROR(__xludf.DUMMYFUNCTION("""COMPUTED_VALUE"""),320.0)</f>
        <v>320</v>
      </c>
      <c r="D367" s="1" t="str">
        <f>IFERROR(__xludf.DUMMYFUNCTION("""COMPUTED_VALUE"""),"USD")</f>
        <v>USD</v>
      </c>
      <c r="E367" s="1" t="str">
        <f>IFERROR(__xludf.DUMMYFUNCTION("""COMPUTED_VALUE"""),"Efectivo USD")</f>
        <v>Efectivo USD</v>
      </c>
      <c r="F367" s="1" t="str">
        <f>IFERROR(__xludf.DUMMYFUNCTION("""COMPUTED_VALUE"""),"Alexander Quiroz")</f>
        <v>Alexander Quiroz</v>
      </c>
      <c r="G367" s="70">
        <f>IFERROR(__xludf.DUMMYFUNCTION("""COMPUTED_VALUE"""),535.3853)</f>
        <v>535.3853</v>
      </c>
      <c r="H367" s="1"/>
      <c r="I367" s="71">
        <f>IFERROR(__xludf.DUMMYFUNCTION("""COMPUTED_VALUE"""),320.0)</f>
        <v>320</v>
      </c>
      <c r="J367" s="69">
        <f>IFERROR(__xludf.DUMMYFUNCTION("""COMPUTED_VALUE"""),320.0)</f>
        <v>320</v>
      </c>
      <c r="K367" s="4">
        <f>IFERROR(__xludf.DUMMYFUNCTION("""COMPUTED_VALUE"""),320.0)</f>
        <v>320</v>
      </c>
      <c r="N367" s="67"/>
      <c r="R367" s="4"/>
    </row>
    <row r="368">
      <c r="A368" s="66">
        <f>IFERROR(__xludf.DUMMYFUNCTION("""COMPUTED_VALUE"""),46168.0)</f>
        <v>46168</v>
      </c>
      <c r="B368" s="67">
        <f>IFERROR(__xludf.DUMMYFUNCTION("""COMPUTED_VALUE"""),149.0)</f>
        <v>149</v>
      </c>
      <c r="C368" s="69">
        <f>IFERROR(__xludf.DUMMYFUNCTION("""COMPUTED_VALUE"""),220500.0)</f>
        <v>220500</v>
      </c>
      <c r="D368" s="1" t="str">
        <f>IFERROR(__xludf.DUMMYFUNCTION("""COMPUTED_VALUE"""),"VES")</f>
        <v>VES</v>
      </c>
      <c r="E368" s="1" t="str">
        <f>IFERROR(__xludf.DUMMYFUNCTION("""COMPUTED_VALUE"""),"Bancamiga")</f>
        <v>Bancamiga</v>
      </c>
      <c r="F368" s="1" t="str">
        <f>IFERROR(__xludf.DUMMYFUNCTION("""COMPUTED_VALUE"""),"Emprendimiento ilaris cancelo")</f>
        <v>Emprendimiento ilaris cancelo</v>
      </c>
      <c r="G368" s="70">
        <f>IFERROR(__xludf.DUMMYFUNCTION("""COMPUTED_VALUE"""),535.3853)</f>
        <v>535.3853</v>
      </c>
      <c r="H368" s="1"/>
      <c r="I368" s="71">
        <f>IFERROR(__xludf.DUMMYFUNCTION("""COMPUTED_VALUE"""),411.8529216248559)</f>
        <v>411.8529216</v>
      </c>
      <c r="J368" s="69">
        <f>IFERROR(__xludf.DUMMYFUNCTION("""COMPUTED_VALUE"""),0.0)</f>
        <v>0</v>
      </c>
      <c r="K368" s="4">
        <f>IFERROR(__xludf.DUMMYFUNCTION("""COMPUTED_VALUE"""),411.8529216248559)</f>
        <v>411.8529216</v>
      </c>
      <c r="N368" s="67"/>
      <c r="R368" s="4"/>
    </row>
    <row r="369">
      <c r="A369" s="66">
        <f>IFERROR(__xludf.DUMMYFUNCTION("""COMPUTED_VALUE"""),46168.0)</f>
        <v>46168</v>
      </c>
      <c r="B369" s="67">
        <f>IFERROR(__xludf.DUMMYFUNCTION("""COMPUTED_VALUE"""),49.0)</f>
        <v>49</v>
      </c>
      <c r="C369" s="69">
        <f>IFERROR(__xludf.DUMMYFUNCTION("""COMPUTED_VALUE"""),50.0)</f>
        <v>50</v>
      </c>
      <c r="D369" s="1" t="str">
        <f>IFERROR(__xludf.DUMMYFUNCTION("""COMPUTED_VALUE"""),"USD")</f>
        <v>USD</v>
      </c>
      <c r="E369" s="1" t="str">
        <f>IFERROR(__xludf.DUMMYFUNCTION("""COMPUTED_VALUE"""),"Efectivo USD")</f>
        <v>Efectivo USD</v>
      </c>
      <c r="F369" s="1" t="str">
        <f>IFERROR(__xludf.DUMMYFUNCTION("""COMPUTED_VALUE"""),"Marlene Herrera")</f>
        <v>Marlene Herrera</v>
      </c>
      <c r="G369" s="70">
        <f>IFERROR(__xludf.DUMMYFUNCTION("""COMPUTED_VALUE"""),535.3853)</f>
        <v>535.3853</v>
      </c>
      <c r="H369" s="1"/>
      <c r="I369" s="71">
        <f>IFERROR(__xludf.DUMMYFUNCTION("""COMPUTED_VALUE"""),50.0)</f>
        <v>50</v>
      </c>
      <c r="J369" s="69">
        <f>IFERROR(__xludf.DUMMYFUNCTION("""COMPUTED_VALUE"""),50.0)</f>
        <v>50</v>
      </c>
      <c r="K369" s="4">
        <f>IFERROR(__xludf.DUMMYFUNCTION("""COMPUTED_VALUE"""),50.0)</f>
        <v>50</v>
      </c>
      <c r="N369" s="67"/>
      <c r="R369" s="4"/>
    </row>
    <row r="370">
      <c r="A370" s="66">
        <f>IFERROR(__xludf.DUMMYFUNCTION("""COMPUTED_VALUE"""),46168.0)</f>
        <v>46168</v>
      </c>
      <c r="B370" s="67">
        <f>IFERROR(__xludf.DUMMYFUNCTION("""COMPUTED_VALUE"""),339.0)</f>
        <v>339</v>
      </c>
      <c r="C370" s="69">
        <f>IFERROR(__xludf.DUMMYFUNCTION("""COMPUTED_VALUE"""),250.0)</f>
        <v>250</v>
      </c>
      <c r="D370" s="1" t="str">
        <f>IFERROR(__xludf.DUMMYFUNCTION("""COMPUTED_VALUE"""),"USD")</f>
        <v>USD</v>
      </c>
      <c r="E370" s="1" t="str">
        <f>IFERROR(__xludf.DUMMYFUNCTION("""COMPUTED_VALUE"""),"Efectivo USD")</f>
        <v>Efectivo USD</v>
      </c>
      <c r="F370" s="1" t="str">
        <f>IFERROR(__xludf.DUMMYFUNCTION("""COMPUTED_VALUE"""),"La cámara perfecta")</f>
        <v>La cámara perfecta</v>
      </c>
      <c r="G370" s="70">
        <f>IFERROR(__xludf.DUMMYFUNCTION("""COMPUTED_VALUE"""),535.3853)</f>
        <v>535.3853</v>
      </c>
      <c r="H370" s="1"/>
      <c r="I370" s="71">
        <f>IFERROR(__xludf.DUMMYFUNCTION("""COMPUTED_VALUE"""),250.0)</f>
        <v>250</v>
      </c>
      <c r="J370" s="69">
        <f>IFERROR(__xludf.DUMMYFUNCTION("""COMPUTED_VALUE"""),250.0)</f>
        <v>250</v>
      </c>
      <c r="K370" s="4">
        <f>IFERROR(__xludf.DUMMYFUNCTION("""COMPUTED_VALUE"""),250.0)</f>
        <v>250</v>
      </c>
      <c r="N370" s="67"/>
      <c r="R370" s="4"/>
    </row>
    <row r="371">
      <c r="A371" s="66">
        <f>IFERROR(__xludf.DUMMYFUNCTION("""COMPUTED_VALUE"""),46168.0)</f>
        <v>46168</v>
      </c>
      <c r="B371" s="67">
        <f>IFERROR(__xludf.DUMMYFUNCTION("""COMPUTED_VALUE"""),440.0)</f>
        <v>440</v>
      </c>
      <c r="C371" s="69">
        <f>IFERROR(__xludf.DUMMYFUNCTION("""COMPUTED_VALUE"""),135.0)</f>
        <v>135</v>
      </c>
      <c r="D371" s="1" t="str">
        <f>IFERROR(__xludf.DUMMYFUNCTION("""COMPUTED_VALUE"""),"USD")</f>
        <v>USD</v>
      </c>
      <c r="E371" s="1" t="str">
        <f>IFERROR(__xludf.DUMMYFUNCTION("""COMPUTED_VALUE"""),"Efectivo USD")</f>
        <v>Efectivo USD</v>
      </c>
      <c r="F371" s="1" t="str">
        <f>IFERROR(__xludf.DUMMYFUNCTION("""COMPUTED_VALUE"""),"FREDI MARQUEZ")</f>
        <v>FREDI MARQUEZ</v>
      </c>
      <c r="G371" s="70">
        <f>IFERROR(__xludf.DUMMYFUNCTION("""COMPUTED_VALUE"""),535.3853)</f>
        <v>535.3853</v>
      </c>
      <c r="H371" s="1"/>
      <c r="I371" s="71">
        <f>IFERROR(__xludf.DUMMYFUNCTION("""COMPUTED_VALUE"""),135.0)</f>
        <v>135</v>
      </c>
      <c r="J371" s="69">
        <f>IFERROR(__xludf.DUMMYFUNCTION("""COMPUTED_VALUE"""),135.0)</f>
        <v>135</v>
      </c>
      <c r="K371" s="4">
        <f>IFERROR(__xludf.DUMMYFUNCTION("""COMPUTED_VALUE"""),135.0)</f>
        <v>135</v>
      </c>
      <c r="N371" s="67"/>
      <c r="R371" s="4"/>
    </row>
    <row r="372">
      <c r="A372" s="66">
        <f>IFERROR(__xludf.DUMMYFUNCTION("""COMPUTED_VALUE"""),46168.0)</f>
        <v>46168</v>
      </c>
      <c r="B372" s="67">
        <f>IFERROR(__xludf.DUMMYFUNCTION("""COMPUTED_VALUE"""),204.0)</f>
        <v>204</v>
      </c>
      <c r="C372" s="69">
        <f>IFERROR(__xludf.DUMMYFUNCTION("""COMPUTED_VALUE"""),100.0)</f>
        <v>100</v>
      </c>
      <c r="D372" s="1" t="str">
        <f>IFERROR(__xludf.DUMMYFUNCTION("""COMPUTED_VALUE"""),"USD")</f>
        <v>USD</v>
      </c>
      <c r="E372" s="1" t="str">
        <f>IFERROR(__xludf.DUMMYFUNCTION("""COMPUTED_VALUE"""),"Efectivo USD")</f>
        <v>Efectivo USD</v>
      </c>
      <c r="F372" s="1" t="str">
        <f>IFERROR(__xludf.DUMMYFUNCTION("""COMPUTED_VALUE"""),"Motolavado Yahir")</f>
        <v>Motolavado Yahir</v>
      </c>
      <c r="G372" s="70">
        <f>IFERROR(__xludf.DUMMYFUNCTION("""COMPUTED_VALUE"""),535.3853)</f>
        <v>535.3853</v>
      </c>
      <c r="H372" s="1"/>
      <c r="I372" s="71">
        <f>IFERROR(__xludf.DUMMYFUNCTION("""COMPUTED_VALUE"""),100.0)</f>
        <v>100</v>
      </c>
      <c r="J372" s="69">
        <f>IFERROR(__xludf.DUMMYFUNCTION("""COMPUTED_VALUE"""),100.0)</f>
        <v>100</v>
      </c>
      <c r="K372" s="4">
        <f>IFERROR(__xludf.DUMMYFUNCTION("""COMPUTED_VALUE"""),100.0)</f>
        <v>100</v>
      </c>
      <c r="N372" s="67"/>
      <c r="R372" s="4"/>
    </row>
    <row r="373">
      <c r="A373" s="66">
        <f>IFERROR(__xludf.DUMMYFUNCTION("""COMPUTED_VALUE"""),46168.0)</f>
        <v>46168</v>
      </c>
      <c r="B373" s="67">
        <f>IFERROR(__xludf.DUMMYFUNCTION("""COMPUTED_VALUE"""),61.0)</f>
        <v>61</v>
      </c>
      <c r="C373" s="69">
        <f>IFERROR(__xludf.DUMMYFUNCTION("""COMPUTED_VALUE"""),410.0)</f>
        <v>410</v>
      </c>
      <c r="D373" s="1" t="str">
        <f>IFERROR(__xludf.DUMMYFUNCTION("""COMPUTED_VALUE"""),"USD")</f>
        <v>USD</v>
      </c>
      <c r="E373" s="1" t="str">
        <f>IFERROR(__xludf.DUMMYFUNCTION("""COMPUTED_VALUE"""),"Efectivo USD")</f>
        <v>Efectivo USD</v>
      </c>
      <c r="F373" s="1" t="str">
        <f>IFERROR(__xludf.DUMMYFUNCTION("""COMPUTED_VALUE"""),"SJMG 2012 C.A")</f>
        <v>SJMG 2012 C.A</v>
      </c>
      <c r="G373" s="70">
        <f>IFERROR(__xludf.DUMMYFUNCTION("""COMPUTED_VALUE"""),535.3853)</f>
        <v>535.3853</v>
      </c>
      <c r="H373" s="1"/>
      <c r="I373" s="71">
        <f>IFERROR(__xludf.DUMMYFUNCTION("""COMPUTED_VALUE"""),410.0)</f>
        <v>410</v>
      </c>
      <c r="J373" s="69">
        <f>IFERROR(__xludf.DUMMYFUNCTION("""COMPUTED_VALUE"""),410.0)</f>
        <v>410</v>
      </c>
      <c r="K373" s="4">
        <f>IFERROR(__xludf.DUMMYFUNCTION("""COMPUTED_VALUE"""),410.0)</f>
        <v>410</v>
      </c>
      <c r="N373" s="67"/>
      <c r="R373" s="4"/>
    </row>
    <row r="374">
      <c r="A374" s="66">
        <f>IFERROR(__xludf.DUMMYFUNCTION("""COMPUTED_VALUE"""),46168.0)</f>
        <v>46168</v>
      </c>
      <c r="B374" s="67">
        <f>IFERROR(__xludf.DUMMYFUNCTION("""COMPUTED_VALUE"""),318.0)</f>
        <v>318</v>
      </c>
      <c r="C374" s="69">
        <f>IFERROR(__xludf.DUMMYFUNCTION("""COMPUTED_VALUE"""),53.0)</f>
        <v>53</v>
      </c>
      <c r="D374" s="1" t="str">
        <f>IFERROR(__xludf.DUMMYFUNCTION("""COMPUTED_VALUE"""),"USD")</f>
        <v>USD</v>
      </c>
      <c r="E374" s="1" t="str">
        <f>IFERROR(__xludf.DUMMYFUNCTION("""COMPUTED_VALUE"""),"Efectivo USD")</f>
        <v>Efectivo USD</v>
      </c>
      <c r="F374" s="1" t="str">
        <f>IFERROR(__xludf.DUMMYFUNCTION("""COMPUTED_VALUE"""),"JOSE RAFAEL MARTÍNEZ")</f>
        <v>JOSE RAFAEL MARTÍNEZ</v>
      </c>
      <c r="G374" s="70">
        <f>IFERROR(__xludf.DUMMYFUNCTION("""COMPUTED_VALUE"""),535.3853)</f>
        <v>535.3853</v>
      </c>
      <c r="H374" s="1"/>
      <c r="I374" s="71">
        <f>IFERROR(__xludf.DUMMYFUNCTION("""COMPUTED_VALUE"""),53.0)</f>
        <v>53</v>
      </c>
      <c r="J374" s="69">
        <f>IFERROR(__xludf.DUMMYFUNCTION("""COMPUTED_VALUE"""),53.0)</f>
        <v>53</v>
      </c>
      <c r="K374" s="4">
        <f>IFERROR(__xludf.DUMMYFUNCTION("""COMPUTED_VALUE"""),53.0)</f>
        <v>53</v>
      </c>
      <c r="N374" s="67"/>
      <c r="R374" s="4"/>
    </row>
    <row r="375">
      <c r="A375" s="66">
        <f>IFERROR(__xludf.DUMMYFUNCTION("""COMPUTED_VALUE"""),46168.0)</f>
        <v>46168</v>
      </c>
      <c r="B375" s="67">
        <f>IFERROR(__xludf.DUMMYFUNCTION("""COMPUTED_VALUE"""),53.0)</f>
        <v>53</v>
      </c>
      <c r="C375" s="69">
        <f>IFERROR(__xludf.DUMMYFUNCTION("""COMPUTED_VALUE"""),44931.66)</f>
        <v>44931.66</v>
      </c>
      <c r="D375" s="1" t="str">
        <f>IFERROR(__xludf.DUMMYFUNCTION("""COMPUTED_VALUE"""),"VES")</f>
        <v>VES</v>
      </c>
      <c r="E375" s="1" t="str">
        <f>IFERROR(__xludf.DUMMYFUNCTION("""COMPUTED_VALUE"""),"Bancamiga")</f>
        <v>Bancamiga</v>
      </c>
      <c r="F375" s="1" t="str">
        <f>IFERROR(__xludf.DUMMYFUNCTION("""COMPUTED_VALUE"""),"INVERSIONES MI  'LINDA YEMAIRE 2019, C.A")</f>
        <v>INVERSIONES MI  'LINDA YEMAIRE 2019, C.A</v>
      </c>
      <c r="G375" s="70">
        <f>IFERROR(__xludf.DUMMYFUNCTION("""COMPUTED_VALUE"""),535.3853)</f>
        <v>535.3853</v>
      </c>
      <c r="H375" s="1"/>
      <c r="I375" s="71">
        <f>IFERROR(__xludf.DUMMYFUNCTION("""COMPUTED_VALUE"""),83.92397026963572)</f>
        <v>83.92397027</v>
      </c>
      <c r="J375" s="69">
        <f>IFERROR(__xludf.DUMMYFUNCTION("""COMPUTED_VALUE"""),0.0)</f>
        <v>0</v>
      </c>
      <c r="K375" s="4">
        <f>IFERROR(__xludf.DUMMYFUNCTION("""COMPUTED_VALUE"""),83.92397026963572)</f>
        <v>83.92397027</v>
      </c>
      <c r="N375" s="67"/>
      <c r="R375" s="4"/>
    </row>
    <row r="376">
      <c r="A376" s="66">
        <f>IFERROR(__xludf.DUMMYFUNCTION("""COMPUTED_VALUE"""),46168.0)</f>
        <v>46168</v>
      </c>
      <c r="B376" s="67">
        <f>IFERROR(__xludf.DUMMYFUNCTION("""COMPUTED_VALUE"""),177.0)</f>
        <v>177</v>
      </c>
      <c r="C376" s="69">
        <f>IFERROR(__xludf.DUMMYFUNCTION("""COMPUTED_VALUE"""),50.0)</f>
        <v>50</v>
      </c>
      <c r="D376" s="1" t="str">
        <f>IFERROR(__xludf.DUMMYFUNCTION("""COMPUTED_VALUE"""),"USD")</f>
        <v>USD</v>
      </c>
      <c r="E376" s="1" t="str">
        <f>IFERROR(__xludf.DUMMYFUNCTION("""COMPUTED_VALUE"""),"Efectivo USD")</f>
        <v>Efectivo USD</v>
      </c>
      <c r="F376" s="1" t="str">
        <f>IFERROR(__xludf.DUMMYFUNCTION("""COMPUTED_VALUE"""),"Jhon Morales")</f>
        <v>Jhon Morales</v>
      </c>
      <c r="G376" s="70">
        <f>IFERROR(__xludf.DUMMYFUNCTION("""COMPUTED_VALUE"""),535.3853)</f>
        <v>535.3853</v>
      </c>
      <c r="H376" s="1"/>
      <c r="I376" s="71">
        <f>IFERROR(__xludf.DUMMYFUNCTION("""COMPUTED_VALUE"""),50.0)</f>
        <v>50</v>
      </c>
      <c r="J376" s="69">
        <f>IFERROR(__xludf.DUMMYFUNCTION("""COMPUTED_VALUE"""),50.0)</f>
        <v>50</v>
      </c>
      <c r="K376" s="4">
        <f>IFERROR(__xludf.DUMMYFUNCTION("""COMPUTED_VALUE"""),50.0)</f>
        <v>50</v>
      </c>
      <c r="N376" s="67"/>
      <c r="R376" s="4"/>
    </row>
    <row r="377">
      <c r="A377" s="66">
        <f>IFERROR(__xludf.DUMMYFUNCTION("""COMPUTED_VALUE"""),46168.0)</f>
        <v>46168</v>
      </c>
      <c r="B377" s="67">
        <f>IFERROR(__xludf.DUMMYFUNCTION("""COMPUTED_VALUE"""),237.0)</f>
        <v>237</v>
      </c>
      <c r="C377" s="69">
        <f>IFERROR(__xludf.DUMMYFUNCTION("""COMPUTED_VALUE"""),206706.4)</f>
        <v>206706.4</v>
      </c>
      <c r="D377" s="1" t="str">
        <f>IFERROR(__xludf.DUMMYFUNCTION("""COMPUTED_VALUE"""),"VES")</f>
        <v>VES</v>
      </c>
      <c r="E377" s="1" t="str">
        <f>IFERROR(__xludf.DUMMYFUNCTION("""COMPUTED_VALUE"""),"Bancamiga")</f>
        <v>Bancamiga</v>
      </c>
      <c r="F377" s="1" t="str">
        <f>IFERROR(__xludf.DUMMYFUNCTION("""COMPUTED_VALUE"""),"Comercial los de faria,c.a.")</f>
        <v>Comercial los de faria,c.a.</v>
      </c>
      <c r="G377" s="70">
        <f>IFERROR(__xludf.DUMMYFUNCTION("""COMPUTED_VALUE"""),535.3853)</f>
        <v>535.3853</v>
      </c>
      <c r="H377" s="1"/>
      <c r="I377" s="71">
        <f>IFERROR(__xludf.DUMMYFUNCTION("""COMPUTED_VALUE"""),386.08904652406403)</f>
        <v>386.0890465</v>
      </c>
      <c r="J377" s="69">
        <f>IFERROR(__xludf.DUMMYFUNCTION("""COMPUTED_VALUE"""),0.0)</f>
        <v>0</v>
      </c>
      <c r="K377" s="4">
        <f>IFERROR(__xludf.DUMMYFUNCTION("""COMPUTED_VALUE"""),386.08904652406403)</f>
        <v>386.0890465</v>
      </c>
      <c r="N377" s="67"/>
      <c r="R377" s="4"/>
    </row>
    <row r="378">
      <c r="A378" s="66">
        <f>IFERROR(__xludf.DUMMYFUNCTION("""COMPUTED_VALUE"""),46168.0)</f>
        <v>46168</v>
      </c>
      <c r="B378" s="67">
        <f>IFERROR(__xludf.DUMMYFUNCTION("""COMPUTED_VALUE"""),348.0)</f>
        <v>348</v>
      </c>
      <c r="C378" s="69">
        <f>IFERROR(__xludf.DUMMYFUNCTION("""COMPUTED_VALUE"""),107076.0)</f>
        <v>107076</v>
      </c>
      <c r="D378" s="1" t="str">
        <f>IFERROR(__xludf.DUMMYFUNCTION("""COMPUTED_VALUE"""),"VES")</f>
        <v>VES</v>
      </c>
      <c r="E378" s="1" t="str">
        <f>IFERROR(__xludf.DUMMYFUNCTION("""COMPUTED_VALUE"""),"Bancamiga")</f>
        <v>Bancamiga</v>
      </c>
      <c r="F378" s="1" t="str">
        <f>IFERROR(__xludf.DUMMYFUNCTION("""COMPUTED_VALUE"""),"Comercial Rio Paraguas C.A")</f>
        <v>Comercial Rio Paraguas C.A</v>
      </c>
      <c r="G378" s="70">
        <f>IFERROR(__xludf.DUMMYFUNCTION("""COMPUTED_VALUE"""),535.3853)</f>
        <v>535.3853</v>
      </c>
      <c r="H378" s="1"/>
      <c r="I378" s="71">
        <f>IFERROR(__xludf.DUMMYFUNCTION("""COMPUTED_VALUE"""),199.99802011747425)</f>
        <v>199.9980201</v>
      </c>
      <c r="J378" s="69">
        <f>IFERROR(__xludf.DUMMYFUNCTION("""COMPUTED_VALUE"""),0.0)</f>
        <v>0</v>
      </c>
      <c r="K378" s="4">
        <f>IFERROR(__xludf.DUMMYFUNCTION("""COMPUTED_VALUE"""),199.99802011747425)</f>
        <v>199.9980201</v>
      </c>
      <c r="N378" s="67"/>
      <c r="R378" s="4"/>
    </row>
    <row r="379">
      <c r="A379" s="66">
        <f>IFERROR(__xludf.DUMMYFUNCTION("""COMPUTED_VALUE"""),46168.0)</f>
        <v>46168</v>
      </c>
      <c r="B379" s="67">
        <f>IFERROR(__xludf.DUMMYFUNCTION("""COMPUTED_VALUE"""),287.0)</f>
        <v>287</v>
      </c>
      <c r="C379" s="69">
        <f>IFERROR(__xludf.DUMMYFUNCTION("""COMPUTED_VALUE"""),40.0)</f>
        <v>40</v>
      </c>
      <c r="D379" s="1" t="str">
        <f>IFERROR(__xludf.DUMMYFUNCTION("""COMPUTED_VALUE"""),"USD")</f>
        <v>USD</v>
      </c>
      <c r="E379" s="1" t="str">
        <f>IFERROR(__xludf.DUMMYFUNCTION("""COMPUTED_VALUE"""),"Efectivo USD")</f>
        <v>Efectivo USD</v>
      </c>
      <c r="F379" s="1" t="str">
        <f>IFERROR(__xludf.DUMMYFUNCTION("""COMPUTED_VALUE"""),"Javier gregorio Espinoza")</f>
        <v>Javier gregorio Espinoza</v>
      </c>
      <c r="G379" s="70">
        <f>IFERROR(__xludf.DUMMYFUNCTION("""COMPUTED_VALUE"""),535.3853)</f>
        <v>535.3853</v>
      </c>
      <c r="H379" s="1"/>
      <c r="I379" s="71">
        <f>IFERROR(__xludf.DUMMYFUNCTION("""COMPUTED_VALUE"""),40.0)</f>
        <v>40</v>
      </c>
      <c r="J379" s="69">
        <f>IFERROR(__xludf.DUMMYFUNCTION("""COMPUTED_VALUE"""),40.0)</f>
        <v>40</v>
      </c>
      <c r="K379" s="4">
        <f>IFERROR(__xludf.DUMMYFUNCTION("""COMPUTED_VALUE"""),40.0)</f>
        <v>40</v>
      </c>
      <c r="N379" s="67"/>
      <c r="R379" s="4"/>
    </row>
    <row r="380">
      <c r="A380" s="66">
        <f>IFERROR(__xludf.DUMMYFUNCTION("""COMPUTED_VALUE"""),46168.0)</f>
        <v>46168</v>
      </c>
      <c r="B380" s="67">
        <f>IFERROR(__xludf.DUMMYFUNCTION("""COMPUTED_VALUE"""),97.0)</f>
        <v>97</v>
      </c>
      <c r="C380" s="69">
        <f>IFERROR(__xludf.DUMMYFUNCTION("""COMPUTED_VALUE"""),69599.0)</f>
        <v>69599</v>
      </c>
      <c r="D380" s="1" t="str">
        <f>IFERROR(__xludf.DUMMYFUNCTION("""COMPUTED_VALUE"""),"VES")</f>
        <v>VES</v>
      </c>
      <c r="E380" s="1" t="str">
        <f>IFERROR(__xludf.DUMMYFUNCTION("""COMPUTED_VALUE"""),"Bancamiga")</f>
        <v>Bancamiga</v>
      </c>
      <c r="F380" s="1" t="str">
        <f>IFERROR(__xludf.DUMMYFUNCTION("""COMPUTED_VALUE"""),"Felipe Granja")</f>
        <v>Felipe Granja</v>
      </c>
      <c r="G380" s="70">
        <f>IFERROR(__xludf.DUMMYFUNCTION("""COMPUTED_VALUE"""),538.3853)</f>
        <v>538.3853</v>
      </c>
      <c r="H380" s="1"/>
      <c r="I380" s="71">
        <f>IFERROR(__xludf.DUMMYFUNCTION("""COMPUTED_VALUE"""),129.27358900772364)</f>
        <v>129.273589</v>
      </c>
      <c r="J380" s="69">
        <f>IFERROR(__xludf.DUMMYFUNCTION("""COMPUTED_VALUE"""),0.0)</f>
        <v>0</v>
      </c>
      <c r="K380" s="4">
        <f>IFERROR(__xludf.DUMMYFUNCTION("""COMPUTED_VALUE"""),129.27358900772364)</f>
        <v>129.273589</v>
      </c>
      <c r="N380" s="67"/>
      <c r="R380" s="4"/>
    </row>
    <row r="381">
      <c r="A381" s="66">
        <f>IFERROR(__xludf.DUMMYFUNCTION("""COMPUTED_VALUE"""),46168.0)</f>
        <v>46168</v>
      </c>
      <c r="B381" s="67">
        <f>IFERROR(__xludf.DUMMYFUNCTION("""COMPUTED_VALUE"""),316.0)</f>
        <v>316</v>
      </c>
      <c r="C381" s="69">
        <f>IFERROR(__xludf.DUMMYFUNCTION("""COMPUTED_VALUE"""),44715.77)</f>
        <v>44715.77</v>
      </c>
      <c r="D381" s="1" t="str">
        <f>IFERROR(__xludf.DUMMYFUNCTION("""COMPUTED_VALUE"""),"VES")</f>
        <v>VES</v>
      </c>
      <c r="E381" s="1" t="str">
        <f>IFERROR(__xludf.DUMMYFUNCTION("""COMPUTED_VALUE"""),"Bancamiga")</f>
        <v>Bancamiga</v>
      </c>
      <c r="F381" s="1" t="str">
        <f>IFERROR(__xludf.DUMMYFUNCTION("""COMPUTED_VALUE"""),"MOTO REPUESTO GARCIA 2023, C.A.")</f>
        <v>MOTO REPUESTO GARCIA 2023, C.A.</v>
      </c>
      <c r="G381" s="70">
        <f>IFERROR(__xludf.DUMMYFUNCTION("""COMPUTED_VALUE"""),538.3853)</f>
        <v>538.3853</v>
      </c>
      <c r="H381" s="1"/>
      <c r="I381" s="71">
        <f>IFERROR(__xludf.DUMMYFUNCTION("""COMPUTED_VALUE"""),83.05533230569259)</f>
        <v>83.05533231</v>
      </c>
      <c r="J381" s="69">
        <f>IFERROR(__xludf.DUMMYFUNCTION("""COMPUTED_VALUE"""),0.0)</f>
        <v>0</v>
      </c>
      <c r="K381" s="4">
        <f>IFERROR(__xludf.DUMMYFUNCTION("""COMPUTED_VALUE"""),83.05533230569259)</f>
        <v>83.05533231</v>
      </c>
      <c r="N381" s="67"/>
      <c r="R381" s="4"/>
    </row>
    <row r="382">
      <c r="A382" s="66">
        <f>IFERROR(__xludf.DUMMYFUNCTION("""COMPUTED_VALUE"""),46167.0)</f>
        <v>46167</v>
      </c>
      <c r="B382" s="67">
        <f>IFERROR(__xludf.DUMMYFUNCTION("""COMPUTED_VALUE"""),306.0)</f>
        <v>306</v>
      </c>
      <c r="C382" s="69">
        <f>IFERROR(__xludf.DUMMYFUNCTION("""COMPUTED_VALUE"""),31860.0)</f>
        <v>31860</v>
      </c>
      <c r="D382" s="1" t="str">
        <f>IFERROR(__xludf.DUMMYFUNCTION("""COMPUTED_VALUE"""),"VES")</f>
        <v>VES</v>
      </c>
      <c r="E382" s="1" t="str">
        <f>IFERROR(__xludf.DUMMYFUNCTION("""COMPUTED_VALUE"""),"Bancamiga")</f>
        <v>Bancamiga</v>
      </c>
      <c r="F382" s="1" t="str">
        <f>IFERROR(__xludf.DUMMYFUNCTION("""COMPUTED_VALUE"""),"LUBRIREPUESTOS PANORAMA, C.A.")</f>
        <v>LUBRIREPUESTOS PANORAMA, C.A.</v>
      </c>
      <c r="G382" s="70">
        <f>IFERROR(__xludf.DUMMYFUNCTION("""COMPUTED_VALUE"""),530.5047)</f>
        <v>530.5047</v>
      </c>
      <c r="H382" s="1"/>
      <c r="I382" s="71">
        <f>IFERROR(__xludf.DUMMYFUNCTION("""COMPUTED_VALUE"""),60.05601835384305)</f>
        <v>60.05601835</v>
      </c>
      <c r="J382" s="69">
        <f>IFERROR(__xludf.DUMMYFUNCTION("""COMPUTED_VALUE"""),0.0)</f>
        <v>0</v>
      </c>
      <c r="K382" s="4">
        <f>IFERROR(__xludf.DUMMYFUNCTION("""COMPUTED_VALUE"""),60.05601835384305)</f>
        <v>60.05601835</v>
      </c>
      <c r="N382" s="67"/>
      <c r="R382" s="4"/>
    </row>
    <row r="383">
      <c r="A383" s="66">
        <f>IFERROR(__xludf.DUMMYFUNCTION("""COMPUTED_VALUE"""),46167.0)</f>
        <v>46167</v>
      </c>
      <c r="B383" s="67">
        <f>IFERROR(__xludf.DUMMYFUNCTION("""COMPUTED_VALUE"""),306.0)</f>
        <v>306</v>
      </c>
      <c r="C383" s="69">
        <f>IFERROR(__xludf.DUMMYFUNCTION("""COMPUTED_VALUE"""),4779.0)</f>
        <v>4779</v>
      </c>
      <c r="D383" s="1" t="str">
        <f>IFERROR(__xludf.DUMMYFUNCTION("""COMPUTED_VALUE"""),"VES")</f>
        <v>VES</v>
      </c>
      <c r="E383" s="1" t="str">
        <f>IFERROR(__xludf.DUMMYFUNCTION("""COMPUTED_VALUE"""),"Bancamiga")</f>
        <v>Bancamiga</v>
      </c>
      <c r="F383" s="1" t="str">
        <f>IFERROR(__xludf.DUMMYFUNCTION("""COMPUTED_VALUE"""),"LUBRIREPUESTOS PANORAMA, C.A.")</f>
        <v>LUBRIREPUESTOS PANORAMA, C.A.</v>
      </c>
      <c r="G383" s="70">
        <f>IFERROR(__xludf.DUMMYFUNCTION("""COMPUTED_VALUE"""),530.5047)</f>
        <v>530.5047</v>
      </c>
      <c r="H383" s="1"/>
      <c r="I383" s="71">
        <f>IFERROR(__xludf.DUMMYFUNCTION("""COMPUTED_VALUE"""),9.008402753076458)</f>
        <v>9.008402753</v>
      </c>
      <c r="J383" s="69">
        <f>IFERROR(__xludf.DUMMYFUNCTION("""COMPUTED_VALUE"""),0.0)</f>
        <v>0</v>
      </c>
      <c r="K383" s="4">
        <f>IFERROR(__xludf.DUMMYFUNCTION("""COMPUTED_VALUE"""),9.008402753076458)</f>
        <v>9.008402753</v>
      </c>
      <c r="N383" s="67"/>
      <c r="R383" s="4"/>
    </row>
    <row r="384">
      <c r="A384" s="66">
        <f>IFERROR(__xludf.DUMMYFUNCTION("""COMPUTED_VALUE"""),46164.0)</f>
        <v>46164</v>
      </c>
      <c r="B384" s="67">
        <f>IFERROR(__xludf.DUMMYFUNCTION("""COMPUTED_VALUE"""),233.0)</f>
        <v>233</v>
      </c>
      <c r="C384" s="69">
        <f>IFERROR(__xludf.DUMMYFUNCTION("""COMPUTED_VALUE"""),34098.99)</f>
        <v>34098.99</v>
      </c>
      <c r="D384" s="1" t="str">
        <f>IFERROR(__xludf.DUMMYFUNCTION("""COMPUTED_VALUE"""),"VES")</f>
        <v>VES</v>
      </c>
      <c r="E384" s="1" t="str">
        <f>IFERROR(__xludf.DUMMYFUNCTION("""COMPUTED_VALUE"""),"Bancamiga")</f>
        <v>Bancamiga</v>
      </c>
      <c r="F384" s="1" t="str">
        <f>IFERROR(__xludf.DUMMYFUNCTION("""COMPUTED_VALUE"""),"Auto Partes Y Repuestos Encava Express,c.a.")</f>
        <v>Auto Partes Y Repuestos Encava Express,c.a.</v>
      </c>
      <c r="G384" s="70">
        <f>IFERROR(__xludf.DUMMYFUNCTION("""COMPUTED_VALUE"""),526.8694)</f>
        <v>526.8694</v>
      </c>
      <c r="H384" s="1"/>
      <c r="I384" s="71">
        <f>IFERROR(__xludf.DUMMYFUNCTION("""COMPUTED_VALUE"""),64.72000461594466)</f>
        <v>64.72000462</v>
      </c>
      <c r="J384" s="69">
        <f>IFERROR(__xludf.DUMMYFUNCTION("""COMPUTED_VALUE"""),0.0)</f>
        <v>0</v>
      </c>
      <c r="K384" s="4">
        <f>IFERROR(__xludf.DUMMYFUNCTION("""COMPUTED_VALUE"""),64.72000461594466)</f>
        <v>64.72000462</v>
      </c>
      <c r="N384" s="67"/>
      <c r="R384" s="4"/>
    </row>
    <row r="385">
      <c r="A385" s="66">
        <f>IFERROR(__xludf.DUMMYFUNCTION("""COMPUTED_VALUE"""),46164.0)</f>
        <v>46164</v>
      </c>
      <c r="B385" s="67">
        <f>IFERROR(__xludf.DUMMYFUNCTION("""COMPUTED_VALUE"""),178.0)</f>
        <v>178</v>
      </c>
      <c r="C385" s="69">
        <f>IFERROR(__xludf.DUMMYFUNCTION("""COMPUTED_VALUE"""),55.78)</f>
        <v>55.78</v>
      </c>
      <c r="D385" s="1" t="str">
        <f>IFERROR(__xludf.DUMMYFUNCTION("""COMPUTED_VALUE"""),"USD")</f>
        <v>USD</v>
      </c>
      <c r="E385" s="1" t="str">
        <f>IFERROR(__xludf.DUMMYFUNCTION("""COMPUTED_VALUE"""),"Efectivo USD")</f>
        <v>Efectivo USD</v>
      </c>
      <c r="F385" s="1" t="str">
        <f>IFERROR(__xludf.DUMMYFUNCTION("""COMPUTED_VALUE"""),"Distribuidora Nesmari 2050 c.a")</f>
        <v>Distribuidora Nesmari 2050 c.a</v>
      </c>
      <c r="G385" s="70">
        <f>IFERROR(__xludf.DUMMYFUNCTION("""COMPUTED_VALUE"""),526.8694)</f>
        <v>526.8694</v>
      </c>
      <c r="H385" s="1"/>
      <c r="I385" s="71">
        <f>IFERROR(__xludf.DUMMYFUNCTION("""COMPUTED_VALUE"""),55.78)</f>
        <v>55.78</v>
      </c>
      <c r="J385" s="69">
        <f>IFERROR(__xludf.DUMMYFUNCTION("""COMPUTED_VALUE"""),55.78)</f>
        <v>55.78</v>
      </c>
      <c r="K385" s="4">
        <f>IFERROR(__xludf.DUMMYFUNCTION("""COMPUTED_VALUE"""),55.78)</f>
        <v>55.78</v>
      </c>
      <c r="N385" s="67"/>
      <c r="R385" s="4"/>
    </row>
    <row r="386">
      <c r="A386" s="66">
        <f>IFERROR(__xludf.DUMMYFUNCTION("""COMPUTED_VALUE"""),46164.0)</f>
        <v>46164</v>
      </c>
      <c r="B386" s="67">
        <f>IFERROR(__xludf.DUMMYFUNCTION("""COMPUTED_VALUE"""),178.0)</f>
        <v>178</v>
      </c>
      <c r="C386" s="69">
        <f>IFERROR(__xludf.DUMMYFUNCTION("""COMPUTED_VALUE"""),50.0)</f>
        <v>50</v>
      </c>
      <c r="D386" s="1" t="str">
        <f>IFERROR(__xludf.DUMMYFUNCTION("""COMPUTED_VALUE"""),"USD")</f>
        <v>USD</v>
      </c>
      <c r="E386" s="1" t="str">
        <f>IFERROR(__xludf.DUMMYFUNCTION("""COMPUTED_VALUE"""),"Efectivo USD")</f>
        <v>Efectivo USD</v>
      </c>
      <c r="F386" s="1" t="str">
        <f>IFERROR(__xludf.DUMMYFUNCTION("""COMPUTED_VALUE"""),"Distribuidora Nesmari 2050 c.a")</f>
        <v>Distribuidora Nesmari 2050 c.a</v>
      </c>
      <c r="G386" s="70">
        <f>IFERROR(__xludf.DUMMYFUNCTION("""COMPUTED_VALUE"""),526.8694)</f>
        <v>526.8694</v>
      </c>
      <c r="H386" s="1"/>
      <c r="I386" s="71">
        <f>IFERROR(__xludf.DUMMYFUNCTION("""COMPUTED_VALUE"""),50.0)</f>
        <v>50</v>
      </c>
      <c r="J386" s="69">
        <f>IFERROR(__xludf.DUMMYFUNCTION("""COMPUTED_VALUE"""),50.0)</f>
        <v>50</v>
      </c>
      <c r="K386" s="4">
        <f>IFERROR(__xludf.DUMMYFUNCTION("""COMPUTED_VALUE"""),50.0)</f>
        <v>50</v>
      </c>
      <c r="N386" s="67"/>
      <c r="R386" s="4"/>
    </row>
    <row r="387">
      <c r="A387" s="66">
        <f>IFERROR(__xludf.DUMMYFUNCTION("""COMPUTED_VALUE"""),46163.0)</f>
        <v>46163</v>
      </c>
      <c r="B387" s="67">
        <f>IFERROR(__xludf.DUMMYFUNCTION("""COMPUTED_VALUE"""),309.0)</f>
        <v>309</v>
      </c>
      <c r="C387" s="69">
        <f>IFERROR(__xludf.DUMMYFUNCTION("""COMPUTED_VALUE"""),105000.0)</f>
        <v>105000</v>
      </c>
      <c r="D387" s="1" t="str">
        <f>IFERROR(__xludf.DUMMYFUNCTION("""COMPUTED_VALUE"""),"VES")</f>
        <v>VES</v>
      </c>
      <c r="E387" s="1" t="str">
        <f>IFERROR(__xludf.DUMMYFUNCTION("""COMPUTED_VALUE"""),"Bancamiga")</f>
        <v>Bancamiga</v>
      </c>
      <c r="F387" s="1" t="str">
        <f>IFERROR(__xludf.DUMMYFUNCTION("""COMPUTED_VALUE"""),"INVERSIONES JOSCAR  XXI, S.A.")</f>
        <v>INVERSIONES JOSCAR  XXI, S.A.</v>
      </c>
      <c r="G387" s="70">
        <f>IFERROR(__xludf.DUMMYFUNCTION("""COMPUTED_VALUE"""),526.8694)</f>
        <v>526.8694</v>
      </c>
      <c r="H387" s="1"/>
      <c r="I387" s="71">
        <f>IFERROR(__xludf.DUMMYFUNCTION("""COMPUTED_VALUE"""),199.29037442675545)</f>
        <v>199.2903744</v>
      </c>
      <c r="J387" s="69">
        <f>IFERROR(__xludf.DUMMYFUNCTION("""COMPUTED_VALUE"""),0.0)</f>
        <v>0</v>
      </c>
      <c r="K387" s="4">
        <f>IFERROR(__xludf.DUMMYFUNCTION("""COMPUTED_VALUE"""),199.29037442675545)</f>
        <v>199.2903744</v>
      </c>
      <c r="N387" s="67"/>
      <c r="R387" s="4"/>
    </row>
    <row r="388">
      <c r="A388" s="66">
        <f>IFERROR(__xludf.DUMMYFUNCTION("""COMPUTED_VALUE"""),46140.0)</f>
        <v>46140</v>
      </c>
      <c r="B388" s="67">
        <f>IFERROR(__xludf.DUMMYFUNCTION("""COMPUTED_VALUE"""),209.0)</f>
        <v>209</v>
      </c>
      <c r="C388" s="69">
        <f>IFERROR(__xludf.DUMMYFUNCTION("""COMPUTED_VALUE"""),41.0)</f>
        <v>41</v>
      </c>
      <c r="D388" s="1" t="str">
        <f>IFERROR(__xludf.DUMMYFUNCTION("""COMPUTED_VALUE"""),"USD")</f>
        <v>USD</v>
      </c>
      <c r="E388" s="1" t="str">
        <f>IFERROR(__xludf.DUMMYFUNCTION("""COMPUTED_VALUE"""),"Efectivo USD")</f>
        <v>Efectivo USD</v>
      </c>
      <c r="F388" s="1" t="str">
        <f>IFERROR(__xludf.DUMMYFUNCTION("""COMPUTED_VALUE"""),"Inversiones Mirelkys C.A")</f>
        <v>Inversiones Mirelkys C.A</v>
      </c>
      <c r="G388" s="70">
        <f>IFERROR(__xludf.DUMMYFUNCTION("""COMPUTED_VALUE"""),526.8694)</f>
        <v>526.8694</v>
      </c>
      <c r="H388" s="1"/>
      <c r="I388" s="71">
        <f>IFERROR(__xludf.DUMMYFUNCTION("""COMPUTED_VALUE"""),41.0)</f>
        <v>41</v>
      </c>
      <c r="J388" s="69">
        <f>IFERROR(__xludf.DUMMYFUNCTION("""COMPUTED_VALUE"""),41.0)</f>
        <v>41</v>
      </c>
      <c r="K388" s="4">
        <f>IFERROR(__xludf.DUMMYFUNCTION("""COMPUTED_VALUE"""),41.0)</f>
        <v>41</v>
      </c>
      <c r="N388" s="67"/>
      <c r="R388" s="4"/>
    </row>
    <row r="389">
      <c r="A389" s="66">
        <f>IFERROR(__xludf.DUMMYFUNCTION("""COMPUTED_VALUE"""),46169.0)</f>
        <v>46169</v>
      </c>
      <c r="B389" s="67">
        <f>IFERROR(__xludf.DUMMYFUNCTION("""COMPUTED_VALUE"""),250.0)</f>
        <v>250</v>
      </c>
      <c r="C389" s="69">
        <f>IFERROR(__xludf.DUMMYFUNCTION("""COMPUTED_VALUE"""),20.0)</f>
        <v>20</v>
      </c>
      <c r="D389" s="1" t="str">
        <f>IFERROR(__xludf.DUMMYFUNCTION("""COMPUTED_VALUE"""),"USD")</f>
        <v>USD</v>
      </c>
      <c r="E389" s="1" t="str">
        <f>IFERROR(__xludf.DUMMYFUNCTION("""COMPUTED_VALUE"""),"Efectivo USD")</f>
        <v>Efectivo USD</v>
      </c>
      <c r="F389" s="1" t="str">
        <f>IFERROR(__xludf.DUMMYFUNCTION("""COMPUTED_VALUE"""),"Manuel Emilio Reyes")</f>
        <v>Manuel Emilio Reyes</v>
      </c>
      <c r="G389" s="70">
        <f>IFERROR(__xludf.DUMMYFUNCTION("""COMPUTED_VALUE"""),544.5794)</f>
        <v>544.5794</v>
      </c>
      <c r="H389" s="1"/>
      <c r="I389" s="71">
        <f>IFERROR(__xludf.DUMMYFUNCTION("""COMPUTED_VALUE"""),20.0)</f>
        <v>20</v>
      </c>
      <c r="J389" s="69">
        <f>IFERROR(__xludf.DUMMYFUNCTION("""COMPUTED_VALUE"""),20.0)</f>
        <v>20</v>
      </c>
      <c r="K389" s="4">
        <f>IFERROR(__xludf.DUMMYFUNCTION("""COMPUTED_VALUE"""),20.0)</f>
        <v>20</v>
      </c>
      <c r="N389" s="67"/>
      <c r="R389" s="4"/>
    </row>
    <row r="390">
      <c r="A390" s="66">
        <f>IFERROR(__xludf.DUMMYFUNCTION("""COMPUTED_VALUE"""),46169.0)</f>
        <v>46169</v>
      </c>
      <c r="B390" s="67">
        <f>IFERROR(__xludf.DUMMYFUNCTION("""COMPUTED_VALUE"""),424.0)</f>
        <v>424</v>
      </c>
      <c r="C390" s="69">
        <f>IFERROR(__xludf.DUMMYFUNCTION("""COMPUTED_VALUE"""),220059.0)</f>
        <v>220059</v>
      </c>
      <c r="D390" s="1" t="str">
        <f>IFERROR(__xludf.DUMMYFUNCTION("""COMPUTED_VALUE"""),"VES")</f>
        <v>VES</v>
      </c>
      <c r="E390" s="1" t="str">
        <f>IFERROR(__xludf.DUMMYFUNCTION("""COMPUTED_VALUE"""),"Efectivo USD")</f>
        <v>Efectivo USD</v>
      </c>
      <c r="F390" s="1" t="str">
        <f>IFERROR(__xludf.DUMMYFUNCTION("""COMPUTED_VALUE"""),"Antonio Terán")</f>
        <v>Antonio Terán</v>
      </c>
      <c r="G390" s="70">
        <f>IFERROR(__xludf.DUMMYFUNCTION("""COMPUTED_VALUE"""),540.0431)</f>
        <v>540.0431</v>
      </c>
      <c r="H390" s="1"/>
      <c r="I390" s="71">
        <f>IFERROR(__xludf.DUMMYFUNCTION("""COMPUTED_VALUE"""),407.4841433952216)</f>
        <v>407.4841434</v>
      </c>
      <c r="J390" s="69">
        <f>IFERROR(__xludf.DUMMYFUNCTION("""COMPUTED_VALUE"""),0.0)</f>
        <v>0</v>
      </c>
      <c r="K390" s="4">
        <f>IFERROR(__xludf.DUMMYFUNCTION("""COMPUTED_VALUE"""),407.4841433952216)</f>
        <v>407.4841434</v>
      </c>
      <c r="N390" s="67"/>
      <c r="R390" s="4"/>
    </row>
    <row r="391">
      <c r="A391" s="66">
        <f>IFERROR(__xludf.DUMMYFUNCTION("""COMPUTED_VALUE"""),46168.0)</f>
        <v>46168</v>
      </c>
      <c r="B391" s="67">
        <f>IFERROR(__xludf.DUMMYFUNCTION("""COMPUTED_VALUE"""),452.0)</f>
        <v>452</v>
      </c>
      <c r="C391" s="69">
        <f>IFERROR(__xludf.DUMMYFUNCTION("""COMPUTED_VALUE"""),320.0)</f>
        <v>320</v>
      </c>
      <c r="D391" s="1" t="str">
        <f>IFERROR(__xludf.DUMMYFUNCTION("""COMPUTED_VALUE"""),"USD")</f>
        <v>USD</v>
      </c>
      <c r="E391" s="1" t="str">
        <f>IFERROR(__xludf.DUMMYFUNCTION("""COMPUTED_VALUE"""),"Efectivo USD")</f>
        <v>Efectivo USD</v>
      </c>
      <c r="F391" s="1" t="str">
        <f>IFERROR(__xludf.DUMMYFUNCTION("""COMPUTED_VALUE"""),"NAUDY MARTINEZ")</f>
        <v>NAUDY MARTINEZ</v>
      </c>
      <c r="G391" s="70">
        <f>IFERROR(__xludf.DUMMYFUNCTION("""COMPUTED_VALUE"""),540.0431)</f>
        <v>540.0431</v>
      </c>
      <c r="H391" s="1"/>
      <c r="I391" s="71">
        <f>IFERROR(__xludf.DUMMYFUNCTION("""COMPUTED_VALUE"""),320.0)</f>
        <v>320</v>
      </c>
      <c r="J391" s="69">
        <f>IFERROR(__xludf.DUMMYFUNCTION("""COMPUTED_VALUE"""),320.0)</f>
        <v>320</v>
      </c>
      <c r="K391" s="4">
        <f>IFERROR(__xludf.DUMMYFUNCTION("""COMPUTED_VALUE"""),320.0)</f>
        <v>320</v>
      </c>
      <c r="N391" s="67"/>
      <c r="R391" s="4"/>
    </row>
    <row r="392">
      <c r="A392" s="66">
        <f>IFERROR(__xludf.DUMMYFUNCTION("""COMPUTED_VALUE"""),46168.0)</f>
        <v>46168</v>
      </c>
      <c r="B392" s="67">
        <f>IFERROR(__xludf.DUMMYFUNCTION("""COMPUTED_VALUE"""),454.0)</f>
        <v>454</v>
      </c>
      <c r="C392" s="69">
        <f>IFERROR(__xludf.DUMMYFUNCTION("""COMPUTED_VALUE"""),20.0)</f>
        <v>20</v>
      </c>
      <c r="D392" s="1" t="str">
        <f>IFERROR(__xludf.DUMMYFUNCTION("""COMPUTED_VALUE"""),"USD")</f>
        <v>USD</v>
      </c>
      <c r="E392" s="1" t="str">
        <f>IFERROR(__xludf.DUMMYFUNCTION("""COMPUTED_VALUE"""),"Efectivo USD")</f>
        <v>Efectivo USD</v>
      </c>
      <c r="F392" s="1" t="str">
        <f>IFERROR(__xludf.DUMMYFUNCTION("""COMPUTED_VALUE"""),"NAUDY MARTINEZ")</f>
        <v>NAUDY MARTINEZ</v>
      </c>
      <c r="G392" s="70">
        <f>IFERROR(__xludf.DUMMYFUNCTION("""COMPUTED_VALUE"""),535.3853)</f>
        <v>535.3853</v>
      </c>
      <c r="H392" s="1"/>
      <c r="I392" s="71">
        <f>IFERROR(__xludf.DUMMYFUNCTION("""COMPUTED_VALUE"""),20.0)</f>
        <v>20</v>
      </c>
      <c r="J392" s="69">
        <f>IFERROR(__xludf.DUMMYFUNCTION("""COMPUTED_VALUE"""),20.0)</f>
        <v>20</v>
      </c>
      <c r="K392" s="4">
        <f>IFERROR(__xludf.DUMMYFUNCTION("""COMPUTED_VALUE"""),20.0)</f>
        <v>20</v>
      </c>
      <c r="N392" s="67"/>
      <c r="R392" s="4"/>
    </row>
    <row r="393">
      <c r="A393" s="66">
        <f>IFERROR(__xludf.DUMMYFUNCTION("""COMPUTED_VALUE"""),46168.0)</f>
        <v>46168</v>
      </c>
      <c r="B393" s="67">
        <f>IFERROR(__xludf.DUMMYFUNCTION("""COMPUTED_VALUE"""),454.0)</f>
        <v>454</v>
      </c>
      <c r="C393" s="69">
        <f>IFERROR(__xludf.DUMMYFUNCTION("""COMPUTED_VALUE"""),2200.0)</f>
        <v>2200</v>
      </c>
      <c r="D393" s="1" t="str">
        <f>IFERROR(__xludf.DUMMYFUNCTION("""COMPUTED_VALUE"""),"VES")</f>
        <v>VES</v>
      </c>
      <c r="E393" s="1" t="str">
        <f>IFERROR(__xludf.DUMMYFUNCTION("""COMPUTED_VALUE"""),"Provincial")</f>
        <v>Provincial</v>
      </c>
      <c r="F393" s="1" t="str">
        <f>IFERROR(__xludf.DUMMYFUNCTION("""COMPUTED_VALUE"""),"NAUDY MARTINEZ")</f>
        <v>NAUDY MARTINEZ</v>
      </c>
      <c r="G393" s="70">
        <f>IFERROR(__xludf.DUMMYFUNCTION("""COMPUTED_VALUE"""),535.3853)</f>
        <v>535.3853</v>
      </c>
      <c r="H393" s="1"/>
      <c r="I393" s="71">
        <f>IFERROR(__xludf.DUMMYFUNCTION("""COMPUTED_VALUE"""),4.109190147730989)</f>
        <v>4.109190148</v>
      </c>
      <c r="J393" s="69">
        <f>IFERROR(__xludf.DUMMYFUNCTION("""COMPUTED_VALUE"""),0.0)</f>
        <v>0</v>
      </c>
      <c r="K393" s="4">
        <f>IFERROR(__xludf.DUMMYFUNCTION("""COMPUTED_VALUE"""),4.109190147730989)</f>
        <v>4.109190148</v>
      </c>
      <c r="N393" s="67"/>
      <c r="R393" s="4"/>
    </row>
    <row r="394">
      <c r="A394" s="66">
        <f>IFERROR(__xludf.DUMMYFUNCTION("""COMPUTED_VALUE"""),46169.0)</f>
        <v>46169</v>
      </c>
      <c r="B394" s="67">
        <f>IFERROR(__xludf.DUMMYFUNCTION("""COMPUTED_VALUE"""),243.0)</f>
        <v>243</v>
      </c>
      <c r="C394" s="69">
        <f>IFERROR(__xludf.DUMMYFUNCTION("""COMPUTED_VALUE"""),22200.0)</f>
        <v>22200</v>
      </c>
      <c r="D394" s="1" t="str">
        <f>IFERROR(__xludf.DUMMYFUNCTION("""COMPUTED_VALUE"""),"VES")</f>
        <v>VES</v>
      </c>
      <c r="E394" s="1" t="str">
        <f>IFERROR(__xludf.DUMMYFUNCTION("""COMPUTED_VALUE"""),"Bancamiga")</f>
        <v>Bancamiga</v>
      </c>
      <c r="F394" s="1" t="str">
        <f>IFERROR(__xludf.DUMMYFUNCTION("""COMPUTED_VALUE"""),"Cauchera William 2018, C.A")</f>
        <v>Cauchera William 2018, C.A</v>
      </c>
      <c r="G394" s="70">
        <f>IFERROR(__xludf.DUMMYFUNCTION("""COMPUTED_VALUE"""),535.3853)</f>
        <v>535.3853</v>
      </c>
      <c r="H394" s="1"/>
      <c r="I394" s="71">
        <f>IFERROR(__xludf.DUMMYFUNCTION("""COMPUTED_VALUE"""),41.465464218012706)</f>
        <v>41.46546422</v>
      </c>
      <c r="J394" s="69">
        <f>IFERROR(__xludf.DUMMYFUNCTION("""COMPUTED_VALUE"""),0.0)</f>
        <v>0</v>
      </c>
      <c r="K394" s="4">
        <f>IFERROR(__xludf.DUMMYFUNCTION("""COMPUTED_VALUE"""),41.465464218012706)</f>
        <v>41.46546422</v>
      </c>
      <c r="N394" s="67"/>
      <c r="R394" s="4"/>
    </row>
    <row r="395">
      <c r="A395" s="66">
        <f>IFERROR(__xludf.DUMMYFUNCTION("""COMPUTED_VALUE"""),46169.0)</f>
        <v>46169</v>
      </c>
      <c r="B395" s="67">
        <f>IFERROR(__xludf.DUMMYFUNCTION("""COMPUTED_VALUE"""),243.0)</f>
        <v>243</v>
      </c>
      <c r="C395" s="69">
        <f>IFERROR(__xludf.DUMMYFUNCTION("""COMPUTED_VALUE"""),15.0)</f>
        <v>15</v>
      </c>
      <c r="D395" s="1" t="str">
        <f>IFERROR(__xludf.DUMMYFUNCTION("""COMPUTED_VALUE"""),"USD")</f>
        <v>USD</v>
      </c>
      <c r="E395" s="1" t="str">
        <f>IFERROR(__xludf.DUMMYFUNCTION("""COMPUTED_VALUE"""),"Efectivo USD")</f>
        <v>Efectivo USD</v>
      </c>
      <c r="F395" s="1" t="str">
        <f>IFERROR(__xludf.DUMMYFUNCTION("""COMPUTED_VALUE"""),"Cauchera William 2018, C.A")</f>
        <v>Cauchera William 2018, C.A</v>
      </c>
      <c r="G395" s="70">
        <f>IFERROR(__xludf.DUMMYFUNCTION("""COMPUTED_VALUE"""),540.0431)</f>
        <v>540.0431</v>
      </c>
      <c r="H395" s="1"/>
      <c r="I395" s="71">
        <f>IFERROR(__xludf.DUMMYFUNCTION("""COMPUTED_VALUE"""),15.0)</f>
        <v>15</v>
      </c>
      <c r="J395" s="69">
        <f>IFERROR(__xludf.DUMMYFUNCTION("""COMPUTED_VALUE"""),15.0)</f>
        <v>15</v>
      </c>
      <c r="K395" s="4">
        <f>IFERROR(__xludf.DUMMYFUNCTION("""COMPUTED_VALUE"""),15.0)</f>
        <v>15</v>
      </c>
      <c r="N395" s="67"/>
      <c r="R395" s="4"/>
    </row>
    <row r="396">
      <c r="A396" s="66">
        <f>IFERROR(__xludf.DUMMYFUNCTION("""COMPUTED_VALUE"""),46169.0)</f>
        <v>46169</v>
      </c>
      <c r="B396" s="67">
        <f>IFERROR(__xludf.DUMMYFUNCTION("""COMPUTED_VALUE"""),451.0)</f>
        <v>451</v>
      </c>
      <c r="C396" s="69">
        <f>IFERROR(__xludf.DUMMYFUNCTION("""COMPUTED_VALUE"""),249.0)</f>
        <v>249</v>
      </c>
      <c r="D396" s="1" t="str">
        <f>IFERROR(__xludf.DUMMYFUNCTION("""COMPUTED_VALUE"""),"USD")</f>
        <v>USD</v>
      </c>
      <c r="E396" s="1" t="str">
        <f>IFERROR(__xludf.DUMMYFUNCTION("""COMPUTED_VALUE"""),"Efectivo USD")</f>
        <v>Efectivo USD</v>
      </c>
      <c r="F396" s="1" t="str">
        <f>IFERROR(__xludf.DUMMYFUNCTION("""COMPUTED_VALUE"""),"EMPRENDIMIENTO IRMA RODRIGUEZ 6")</f>
        <v>EMPRENDIMIENTO IRMA RODRIGUEZ 6</v>
      </c>
      <c r="G396" s="70">
        <f>IFERROR(__xludf.DUMMYFUNCTION("""COMPUTED_VALUE"""),540.0431)</f>
        <v>540.0431</v>
      </c>
      <c r="H396" s="1"/>
      <c r="I396" s="71">
        <f>IFERROR(__xludf.DUMMYFUNCTION("""COMPUTED_VALUE"""),249.0)</f>
        <v>249</v>
      </c>
      <c r="J396" s="69">
        <f>IFERROR(__xludf.DUMMYFUNCTION("""COMPUTED_VALUE"""),249.0)</f>
        <v>249</v>
      </c>
      <c r="K396" s="4">
        <f>IFERROR(__xludf.DUMMYFUNCTION("""COMPUTED_VALUE"""),249.0)</f>
        <v>249</v>
      </c>
      <c r="N396" s="67"/>
      <c r="R396" s="4"/>
    </row>
    <row r="397">
      <c r="A397" s="66">
        <f>IFERROR(__xludf.DUMMYFUNCTION("""COMPUTED_VALUE"""),46169.0)</f>
        <v>46169</v>
      </c>
      <c r="B397" s="67">
        <f>IFERROR(__xludf.DUMMYFUNCTION("""COMPUTED_VALUE"""),349.0)</f>
        <v>349</v>
      </c>
      <c r="C397" s="69">
        <f>IFERROR(__xludf.DUMMYFUNCTION("""COMPUTED_VALUE"""),50.0)</f>
        <v>50</v>
      </c>
      <c r="D397" s="1" t="str">
        <f>IFERROR(__xludf.DUMMYFUNCTION("""COMPUTED_VALUE"""),"USD")</f>
        <v>USD</v>
      </c>
      <c r="E397" s="1" t="str">
        <f>IFERROR(__xludf.DUMMYFUNCTION("""COMPUTED_VALUE"""),"Efectivo USD")</f>
        <v>Efectivo USD</v>
      </c>
      <c r="F397" s="1" t="str">
        <f>IFERROR(__xludf.DUMMYFUNCTION("""COMPUTED_VALUE"""),"CLUDE CARVALHO DE ACOSTA")</f>
        <v>CLUDE CARVALHO DE ACOSTA</v>
      </c>
      <c r="G397" s="70">
        <f>IFERROR(__xludf.DUMMYFUNCTION("""COMPUTED_VALUE"""),540.0431)</f>
        <v>540.0431</v>
      </c>
      <c r="H397" s="1"/>
      <c r="I397" s="71">
        <f>IFERROR(__xludf.DUMMYFUNCTION("""COMPUTED_VALUE"""),50.0)</f>
        <v>50</v>
      </c>
      <c r="J397" s="69">
        <f>IFERROR(__xludf.DUMMYFUNCTION("""COMPUTED_VALUE"""),50.0)</f>
        <v>50</v>
      </c>
      <c r="K397" s="4">
        <f>IFERROR(__xludf.DUMMYFUNCTION("""COMPUTED_VALUE"""),50.0)</f>
        <v>50</v>
      </c>
      <c r="N397" s="67"/>
      <c r="R397" s="4"/>
    </row>
    <row r="398">
      <c r="A398" s="66">
        <f>IFERROR(__xludf.DUMMYFUNCTION("""COMPUTED_VALUE"""),46169.0)</f>
        <v>46169</v>
      </c>
      <c r="B398" s="67">
        <f>IFERROR(__xludf.DUMMYFUNCTION("""COMPUTED_VALUE"""),332.0)</f>
        <v>332</v>
      </c>
      <c r="C398" s="69">
        <f>IFERROR(__xludf.DUMMYFUNCTION("""COMPUTED_VALUE"""),110.0)</f>
        <v>110</v>
      </c>
      <c r="D398" s="1" t="str">
        <f>IFERROR(__xludf.DUMMYFUNCTION("""COMPUTED_VALUE"""),"USD")</f>
        <v>USD</v>
      </c>
      <c r="E398" s="1" t="str">
        <f>IFERROR(__xludf.DUMMYFUNCTION("""COMPUTED_VALUE"""),"Efectivo USD")</f>
        <v>Efectivo USD</v>
      </c>
      <c r="F398" s="1" t="str">
        <f>IFERROR(__xludf.DUMMYFUNCTION("""COMPUTED_VALUE"""),"Inversiones García GL C.A")</f>
        <v>Inversiones García GL C.A</v>
      </c>
      <c r="G398" s="70">
        <f>IFERROR(__xludf.DUMMYFUNCTION("""COMPUTED_VALUE"""),540.0431)</f>
        <v>540.0431</v>
      </c>
      <c r="H398" s="1"/>
      <c r="I398" s="71">
        <f>IFERROR(__xludf.DUMMYFUNCTION("""COMPUTED_VALUE"""),110.0)</f>
        <v>110</v>
      </c>
      <c r="J398" s="69">
        <f>IFERROR(__xludf.DUMMYFUNCTION("""COMPUTED_VALUE"""),110.0)</f>
        <v>110</v>
      </c>
      <c r="K398" s="4">
        <f>IFERROR(__xludf.DUMMYFUNCTION("""COMPUTED_VALUE"""),110.0)</f>
        <v>110</v>
      </c>
      <c r="N398" s="67"/>
      <c r="R398" s="4"/>
    </row>
    <row r="399">
      <c r="A399" s="66">
        <f>IFERROR(__xludf.DUMMYFUNCTION("""COMPUTED_VALUE"""),46169.0)</f>
        <v>46169</v>
      </c>
      <c r="B399" s="67">
        <f>IFERROR(__xludf.DUMMYFUNCTION("""COMPUTED_VALUE"""),443.0)</f>
        <v>443</v>
      </c>
      <c r="C399" s="69">
        <f>IFERROR(__xludf.DUMMYFUNCTION("""COMPUTED_VALUE"""),139208.18)</f>
        <v>139208.18</v>
      </c>
      <c r="D399" s="1" t="str">
        <f>IFERROR(__xludf.DUMMYFUNCTION("""COMPUTED_VALUE"""),"VES")</f>
        <v>VES</v>
      </c>
      <c r="E399" s="1" t="str">
        <f>IFERROR(__xludf.DUMMYFUNCTION("""COMPUTED_VALUE"""),"Bancamiga")</f>
        <v>Bancamiga</v>
      </c>
      <c r="F399" s="1" t="str">
        <f>IFERROR(__xludf.DUMMYFUNCTION("""COMPUTED_VALUE"""),"ZIP MARKET, CA")</f>
        <v>ZIP MARKET, CA</v>
      </c>
      <c r="G399" s="70">
        <f>IFERROR(__xludf.DUMMYFUNCTION("""COMPUTED_VALUE"""),540.0431)</f>
        <v>540.0431</v>
      </c>
      <c r="H399" s="1"/>
      <c r="I399" s="71">
        <f>IFERROR(__xludf.DUMMYFUNCTION("""COMPUTED_VALUE"""),257.77235187339676)</f>
        <v>257.7723519</v>
      </c>
      <c r="J399" s="69">
        <f>IFERROR(__xludf.DUMMYFUNCTION("""COMPUTED_VALUE"""),0.0)</f>
        <v>0</v>
      </c>
      <c r="K399" s="4">
        <f>IFERROR(__xludf.DUMMYFUNCTION("""COMPUTED_VALUE"""),257.77235187339676)</f>
        <v>257.7723519</v>
      </c>
      <c r="N399" s="67"/>
      <c r="R399" s="4"/>
    </row>
    <row r="400">
      <c r="A400" s="66">
        <f>IFERROR(__xludf.DUMMYFUNCTION("""COMPUTED_VALUE"""),46169.0)</f>
        <v>46169</v>
      </c>
      <c r="B400" s="67">
        <f>IFERROR(__xludf.DUMMYFUNCTION("""COMPUTED_VALUE"""),74.0)</f>
        <v>74</v>
      </c>
      <c r="C400" s="69">
        <f>IFERROR(__xludf.DUMMYFUNCTION("""COMPUTED_VALUE"""),45822.1)</f>
        <v>45822.1</v>
      </c>
      <c r="D400" s="1" t="str">
        <f>IFERROR(__xludf.DUMMYFUNCTION("""COMPUTED_VALUE"""),"VES")</f>
        <v>VES</v>
      </c>
      <c r="E400" s="1" t="str">
        <f>IFERROR(__xludf.DUMMYFUNCTION("""COMPUTED_VALUE"""),"Efectivo VES")</f>
        <v>Efectivo VES</v>
      </c>
      <c r="F400" s="1" t="str">
        <f>IFERROR(__xludf.DUMMYFUNCTION("""COMPUTED_VALUE"""),"Servicios Nicolazzo 97, C.A")</f>
        <v>Servicios Nicolazzo 97, C.A</v>
      </c>
      <c r="G400" s="70">
        <f>IFERROR(__xludf.DUMMYFUNCTION("""COMPUTED_VALUE"""),540.0431)</f>
        <v>540.0431</v>
      </c>
      <c r="H400" s="1"/>
      <c r="I400" s="71">
        <f>IFERROR(__xludf.DUMMYFUNCTION("""COMPUTED_VALUE"""),84.84896853602982)</f>
        <v>84.84896854</v>
      </c>
      <c r="J400" s="69">
        <f>IFERROR(__xludf.DUMMYFUNCTION("""COMPUTED_VALUE"""),0.0)</f>
        <v>0</v>
      </c>
      <c r="K400" s="4">
        <f>IFERROR(__xludf.DUMMYFUNCTION("""COMPUTED_VALUE"""),84.84896853602982)</f>
        <v>84.84896854</v>
      </c>
      <c r="N400" s="67"/>
      <c r="R400" s="4"/>
    </row>
    <row r="401">
      <c r="A401" s="66">
        <f>IFERROR(__xludf.DUMMYFUNCTION("""COMPUTED_VALUE"""),46169.0)</f>
        <v>46169</v>
      </c>
      <c r="B401" s="67">
        <f>IFERROR(__xludf.DUMMYFUNCTION("""COMPUTED_VALUE"""),306.0)</f>
        <v>306</v>
      </c>
      <c r="C401" s="69">
        <f>IFERROR(__xludf.DUMMYFUNCTION("""COMPUTED_VALUE"""),5963.0)</f>
        <v>5963</v>
      </c>
      <c r="D401" s="1" t="str">
        <f>IFERROR(__xludf.DUMMYFUNCTION("""COMPUTED_VALUE"""),"VES")</f>
        <v>VES</v>
      </c>
      <c r="E401" s="1" t="str">
        <f>IFERROR(__xludf.DUMMYFUNCTION("""COMPUTED_VALUE"""),"Efectivo VES")</f>
        <v>Efectivo VES</v>
      </c>
      <c r="F401" s="1" t="str">
        <f>IFERROR(__xludf.DUMMYFUNCTION("""COMPUTED_VALUE"""),"LUBRIREPUESTOS PANORAMA, C.A.")</f>
        <v>LUBRIREPUESTOS PANORAMA, C.A.</v>
      </c>
      <c r="G401" s="70">
        <f>IFERROR(__xludf.DUMMYFUNCTION("""COMPUTED_VALUE"""),540.0431)</f>
        <v>540.0431</v>
      </c>
      <c r="H401" s="1"/>
      <c r="I401" s="71">
        <f>IFERROR(__xludf.DUMMYFUNCTION("""COMPUTED_VALUE"""),11.04171130044991)</f>
        <v>11.0417113</v>
      </c>
      <c r="J401" s="69">
        <f>IFERROR(__xludf.DUMMYFUNCTION("""COMPUTED_VALUE"""),0.0)</f>
        <v>0</v>
      </c>
      <c r="K401" s="4">
        <f>IFERROR(__xludf.DUMMYFUNCTION("""COMPUTED_VALUE"""),11.04171130044991)</f>
        <v>11.0417113</v>
      </c>
      <c r="N401" s="67"/>
      <c r="R401" s="4"/>
    </row>
    <row r="402">
      <c r="A402" s="66">
        <f>IFERROR(__xludf.DUMMYFUNCTION("""COMPUTED_VALUE"""),46170.0)</f>
        <v>46170</v>
      </c>
      <c r="B402" s="67">
        <f>IFERROR(__xludf.DUMMYFUNCTION("""COMPUTED_VALUE"""),231.0)</f>
        <v>231</v>
      </c>
      <c r="C402" s="69">
        <f>IFERROR(__xludf.DUMMYFUNCTION("""COMPUTED_VALUE"""),200.0)</f>
        <v>200</v>
      </c>
      <c r="D402" s="1" t="str">
        <f>IFERROR(__xludf.DUMMYFUNCTION("""COMPUTED_VALUE"""),"USD")</f>
        <v>USD</v>
      </c>
      <c r="E402" s="1" t="str">
        <f>IFERROR(__xludf.DUMMYFUNCTION("""COMPUTED_VALUE"""),"Efectivo USD")</f>
        <v>Efectivo USD</v>
      </c>
      <c r="F402" s="1" t="str">
        <f>IFERROR(__xludf.DUMMYFUNCTION("""COMPUTED_VALUE"""),"Constructora  Campo Urbano,c.a.")</f>
        <v>Constructora  Campo Urbano,c.a.</v>
      </c>
      <c r="G402" s="70">
        <f>IFERROR(__xludf.DUMMYFUNCTION("""COMPUTED_VALUE"""),540.0431)</f>
        <v>540.0431</v>
      </c>
      <c r="H402" s="1"/>
      <c r="I402" s="71">
        <f>IFERROR(__xludf.DUMMYFUNCTION("""COMPUTED_VALUE"""),200.0)</f>
        <v>200</v>
      </c>
      <c r="J402" s="69">
        <f>IFERROR(__xludf.DUMMYFUNCTION("""COMPUTED_VALUE"""),200.0)</f>
        <v>200</v>
      </c>
      <c r="K402" s="4">
        <f>IFERROR(__xludf.DUMMYFUNCTION("""COMPUTED_VALUE"""),200.0)</f>
        <v>200</v>
      </c>
      <c r="N402" s="67"/>
      <c r="R402" s="4"/>
    </row>
    <row r="403">
      <c r="A403" s="66">
        <f>IFERROR(__xludf.DUMMYFUNCTION("""COMPUTED_VALUE"""),46170.0)</f>
        <v>46170</v>
      </c>
      <c r="B403" s="67">
        <f>IFERROR(__xludf.DUMMYFUNCTION("""COMPUTED_VALUE"""),260.0)</f>
        <v>260</v>
      </c>
      <c r="C403" s="69">
        <f>IFERROR(__xludf.DUMMYFUNCTION("""COMPUTED_VALUE"""),61537.47)</f>
        <v>61537.47</v>
      </c>
      <c r="D403" s="1" t="str">
        <f>IFERROR(__xludf.DUMMYFUNCTION("""COMPUTED_VALUE"""),"VES")</f>
        <v>VES</v>
      </c>
      <c r="E403" s="1" t="str">
        <f>IFERROR(__xludf.DUMMYFUNCTION("""COMPUTED_VALUE"""),"Bancamiga")</f>
        <v>Bancamiga</v>
      </c>
      <c r="F403" s="1" t="str">
        <f>IFERROR(__xludf.DUMMYFUNCTION("""COMPUTED_VALUE"""),"Jose Lopez Espinoza")</f>
        <v>Jose Lopez Espinoza</v>
      </c>
      <c r="G403" s="70">
        <f>IFERROR(__xludf.DUMMYFUNCTION("""COMPUTED_VALUE"""),544.5794)</f>
        <v>544.5794</v>
      </c>
      <c r="H403" s="1"/>
      <c r="I403" s="71">
        <f>IFERROR(__xludf.DUMMYFUNCTION("""COMPUTED_VALUE"""),112.99999596018506)</f>
        <v>112.999996</v>
      </c>
      <c r="J403" s="69">
        <f>IFERROR(__xludf.DUMMYFUNCTION("""COMPUTED_VALUE"""),0.0)</f>
        <v>0</v>
      </c>
      <c r="K403" s="4">
        <f>IFERROR(__xludf.DUMMYFUNCTION("""COMPUTED_VALUE"""),112.99999596018506)</f>
        <v>112.999996</v>
      </c>
      <c r="N403" s="67"/>
      <c r="R403" s="4"/>
    </row>
    <row r="404">
      <c r="A404" s="66">
        <f>IFERROR(__xludf.DUMMYFUNCTION("""COMPUTED_VALUE"""),46170.0)</f>
        <v>46170</v>
      </c>
      <c r="B404" s="67">
        <f>IFERROR(__xludf.DUMMYFUNCTION("""COMPUTED_VALUE"""),330.0)</f>
        <v>330</v>
      </c>
      <c r="C404" s="69">
        <f>IFERROR(__xludf.DUMMYFUNCTION("""COMPUTED_VALUE"""),32675.0)</f>
        <v>32675</v>
      </c>
      <c r="D404" s="1" t="str">
        <f>IFERROR(__xludf.DUMMYFUNCTION("""COMPUTED_VALUE"""),"VES")</f>
        <v>VES</v>
      </c>
      <c r="E404" s="1" t="str">
        <f>IFERROR(__xludf.DUMMYFUNCTION("""COMPUTED_VALUE"""),"Bancamiga")</f>
        <v>Bancamiga</v>
      </c>
      <c r="F404" s="1" t="str">
        <f>IFERROR(__xludf.DUMMYFUNCTION("""COMPUTED_VALUE"""),"Diana Carolina Torres")</f>
        <v>Diana Carolina Torres</v>
      </c>
      <c r="G404" s="70">
        <f>IFERROR(__xludf.DUMMYFUNCTION("""COMPUTED_VALUE"""),544.5794)</f>
        <v>544.5794</v>
      </c>
      <c r="H404" s="1"/>
      <c r="I404" s="71">
        <f>IFERROR(__xludf.DUMMYFUNCTION("""COMPUTED_VALUE"""),60.000433361967055)</f>
        <v>60.00043336</v>
      </c>
      <c r="J404" s="69">
        <f>IFERROR(__xludf.DUMMYFUNCTION("""COMPUTED_VALUE"""),0.0)</f>
        <v>0</v>
      </c>
      <c r="K404" s="4">
        <f>IFERROR(__xludf.DUMMYFUNCTION("""COMPUTED_VALUE"""),60.000433361967055)</f>
        <v>60.00043336</v>
      </c>
      <c r="N404" s="67"/>
      <c r="R404" s="4"/>
    </row>
    <row r="405">
      <c r="A405" s="66">
        <f>IFERROR(__xludf.DUMMYFUNCTION("""COMPUTED_VALUE"""),46170.0)</f>
        <v>46170</v>
      </c>
      <c r="B405" s="67">
        <f>IFERROR(__xludf.DUMMYFUNCTION("""COMPUTED_VALUE"""),341.0)</f>
        <v>341</v>
      </c>
      <c r="C405" s="69">
        <f>IFERROR(__xludf.DUMMYFUNCTION("""COMPUTED_VALUE"""),40.0)</f>
        <v>40</v>
      </c>
      <c r="D405" s="1" t="str">
        <f>IFERROR(__xludf.DUMMYFUNCTION("""COMPUTED_VALUE"""),"USD")</f>
        <v>USD</v>
      </c>
      <c r="E405" s="1" t="str">
        <f>IFERROR(__xludf.DUMMYFUNCTION("""COMPUTED_VALUE"""),"Efectivo USD")</f>
        <v>Efectivo USD</v>
      </c>
      <c r="F405" s="1" t="str">
        <f>IFERROR(__xludf.DUMMYFUNCTION("""COMPUTED_VALUE"""),"Automecanica Marilu 2014, C.A")</f>
        <v>Automecanica Marilu 2014, C.A</v>
      </c>
      <c r="G405" s="70">
        <f>IFERROR(__xludf.DUMMYFUNCTION("""COMPUTED_VALUE"""),544.5794)</f>
        <v>544.5794</v>
      </c>
      <c r="H405" s="1"/>
      <c r="I405" s="71">
        <f>IFERROR(__xludf.DUMMYFUNCTION("""COMPUTED_VALUE"""),40.0)</f>
        <v>40</v>
      </c>
      <c r="J405" s="69">
        <f>IFERROR(__xludf.DUMMYFUNCTION("""COMPUTED_VALUE"""),40.0)</f>
        <v>40</v>
      </c>
      <c r="K405" s="4">
        <f>IFERROR(__xludf.DUMMYFUNCTION("""COMPUTED_VALUE"""),40.0)</f>
        <v>40</v>
      </c>
      <c r="N405" s="67"/>
      <c r="R405" s="4"/>
    </row>
    <row r="406">
      <c r="A406" s="66">
        <f>IFERROR(__xludf.DUMMYFUNCTION("""COMPUTED_VALUE"""),46170.0)</f>
        <v>46170</v>
      </c>
      <c r="B406" s="67">
        <f>IFERROR(__xludf.DUMMYFUNCTION("""COMPUTED_VALUE"""),198.0)</f>
        <v>198</v>
      </c>
      <c r="C406" s="69">
        <f>IFERROR(__xludf.DUMMYFUNCTION("""COMPUTED_VALUE"""),100.0)</f>
        <v>100</v>
      </c>
      <c r="D406" s="1" t="str">
        <f>IFERROR(__xludf.DUMMYFUNCTION("""COMPUTED_VALUE"""),"USD")</f>
        <v>USD</v>
      </c>
      <c r="E406" s="1" t="str">
        <f>IFERROR(__xludf.DUMMYFUNCTION("""COMPUTED_VALUE"""),"Efectivo USD")</f>
        <v>Efectivo USD</v>
      </c>
      <c r="F406" s="1" t="str">
        <f>IFERROR(__xludf.DUMMYFUNCTION("""COMPUTED_VALUE"""),"Autorepuestos Pitstop,c.a.")</f>
        <v>Autorepuestos Pitstop,c.a.</v>
      </c>
      <c r="G406" s="70">
        <f>IFERROR(__xludf.DUMMYFUNCTION("""COMPUTED_VALUE"""),544.5794)</f>
        <v>544.5794</v>
      </c>
      <c r="H406" s="1"/>
      <c r="I406" s="71">
        <f>IFERROR(__xludf.DUMMYFUNCTION("""COMPUTED_VALUE"""),100.0)</f>
        <v>100</v>
      </c>
      <c r="J406" s="69">
        <f>IFERROR(__xludf.DUMMYFUNCTION("""COMPUTED_VALUE"""),100.0)</f>
        <v>100</v>
      </c>
      <c r="K406" s="4">
        <f>IFERROR(__xludf.DUMMYFUNCTION("""COMPUTED_VALUE"""),100.0)</f>
        <v>100</v>
      </c>
      <c r="N406" s="67"/>
      <c r="R406" s="4"/>
    </row>
    <row r="407">
      <c r="A407" s="66">
        <f>IFERROR(__xludf.DUMMYFUNCTION("""COMPUTED_VALUE"""),46170.0)</f>
        <v>46170</v>
      </c>
      <c r="B407" s="67">
        <f>IFERROR(__xludf.DUMMYFUNCTION("""COMPUTED_VALUE"""),395.0)</f>
        <v>395</v>
      </c>
      <c r="C407" s="69">
        <f>IFERROR(__xludf.DUMMYFUNCTION("""COMPUTED_VALUE"""),40.0)</f>
        <v>40</v>
      </c>
      <c r="D407" s="1" t="str">
        <f>IFERROR(__xludf.DUMMYFUNCTION("""COMPUTED_VALUE"""),"USD")</f>
        <v>USD</v>
      </c>
      <c r="E407" s="1" t="str">
        <f>IFERROR(__xludf.DUMMYFUNCTION("""COMPUTED_VALUE"""),"Efectivo USD")</f>
        <v>Efectivo USD</v>
      </c>
      <c r="F407" s="1" t="str">
        <f>IFERROR(__xludf.DUMMYFUNCTION("""COMPUTED_VALUE"""),"Emprendimiento Eduardo Pérez 6")</f>
        <v>Emprendimiento Eduardo Pérez 6</v>
      </c>
      <c r="G407" s="70">
        <f>IFERROR(__xludf.DUMMYFUNCTION("""COMPUTED_VALUE"""),544.5794)</f>
        <v>544.5794</v>
      </c>
      <c r="H407" s="1"/>
      <c r="I407" s="71">
        <f>IFERROR(__xludf.DUMMYFUNCTION("""COMPUTED_VALUE"""),40.0)</f>
        <v>40</v>
      </c>
      <c r="J407" s="69">
        <f>IFERROR(__xludf.DUMMYFUNCTION("""COMPUTED_VALUE"""),40.0)</f>
        <v>40</v>
      </c>
      <c r="K407" s="4">
        <f>IFERROR(__xludf.DUMMYFUNCTION("""COMPUTED_VALUE"""),40.0)</f>
        <v>40</v>
      </c>
      <c r="N407" s="67"/>
      <c r="R407" s="4"/>
    </row>
    <row r="408">
      <c r="A408" s="66">
        <f>IFERROR(__xludf.DUMMYFUNCTION("""COMPUTED_VALUE"""),46170.0)</f>
        <v>46170</v>
      </c>
      <c r="B408" s="67">
        <f>IFERROR(__xludf.DUMMYFUNCTION("""COMPUTED_VALUE"""),402.0)</f>
        <v>402</v>
      </c>
      <c r="C408" s="69">
        <f>IFERROR(__xludf.DUMMYFUNCTION("""COMPUTED_VALUE"""),30.0)</f>
        <v>30</v>
      </c>
      <c r="D408" s="1" t="str">
        <f>IFERROR(__xludf.DUMMYFUNCTION("""COMPUTED_VALUE"""),"USD")</f>
        <v>USD</v>
      </c>
      <c r="E408" s="1" t="str">
        <f>IFERROR(__xludf.DUMMYFUNCTION("""COMPUTED_VALUE"""),"Efectivo USD")</f>
        <v>Efectivo USD</v>
      </c>
      <c r="F408" s="1" t="str">
        <f>IFERROR(__xludf.DUMMYFUNCTION("""COMPUTED_VALUE"""),"Jorge Luis camacaro")</f>
        <v>Jorge Luis camacaro</v>
      </c>
      <c r="G408" s="70">
        <f>IFERROR(__xludf.DUMMYFUNCTION("""COMPUTED_VALUE"""),544.5794)</f>
        <v>544.5794</v>
      </c>
      <c r="H408" s="1"/>
      <c r="I408" s="71">
        <f>IFERROR(__xludf.DUMMYFUNCTION("""COMPUTED_VALUE"""),30.0)</f>
        <v>30</v>
      </c>
      <c r="J408" s="69">
        <f>IFERROR(__xludf.DUMMYFUNCTION("""COMPUTED_VALUE"""),30.0)</f>
        <v>30</v>
      </c>
      <c r="K408" s="4">
        <f>IFERROR(__xludf.DUMMYFUNCTION("""COMPUTED_VALUE"""),30.0)</f>
        <v>30</v>
      </c>
      <c r="N408" s="67"/>
      <c r="R408" s="4"/>
    </row>
    <row r="409">
      <c r="A409" s="66">
        <f>IFERROR(__xludf.DUMMYFUNCTION("""COMPUTED_VALUE"""),46170.0)</f>
        <v>46170</v>
      </c>
      <c r="B409" s="67">
        <f>IFERROR(__xludf.DUMMYFUNCTION("""COMPUTED_VALUE"""),292.0)</f>
        <v>292</v>
      </c>
      <c r="C409" s="69">
        <f>IFERROR(__xludf.DUMMYFUNCTION("""COMPUTED_VALUE"""),40.0)</f>
        <v>40</v>
      </c>
      <c r="D409" s="1" t="str">
        <f>IFERROR(__xludf.DUMMYFUNCTION("""COMPUTED_VALUE"""),"USD")</f>
        <v>USD</v>
      </c>
      <c r="E409" s="1" t="str">
        <f>IFERROR(__xludf.DUMMYFUNCTION("""COMPUTED_VALUE"""),"Efectivo USD")</f>
        <v>Efectivo USD</v>
      </c>
      <c r="F409" s="1" t="str">
        <f>IFERROR(__xludf.DUMMYFUNCTION("""COMPUTED_VALUE"""),"Jefferson rosales")</f>
        <v>Jefferson rosales</v>
      </c>
      <c r="G409" s="70">
        <f>IFERROR(__xludf.DUMMYFUNCTION("""COMPUTED_VALUE"""),544.5794)</f>
        <v>544.5794</v>
      </c>
      <c r="H409" s="1"/>
      <c r="I409" s="71">
        <f>IFERROR(__xludf.DUMMYFUNCTION("""COMPUTED_VALUE"""),40.0)</f>
        <v>40</v>
      </c>
      <c r="J409" s="69">
        <f>IFERROR(__xludf.DUMMYFUNCTION("""COMPUTED_VALUE"""),40.0)</f>
        <v>40</v>
      </c>
      <c r="K409" s="4">
        <f>IFERROR(__xludf.DUMMYFUNCTION("""COMPUTED_VALUE"""),40.0)</f>
        <v>40</v>
      </c>
      <c r="N409" s="67"/>
      <c r="R409" s="4"/>
    </row>
    <row r="410">
      <c r="A410" s="66">
        <f>IFERROR(__xludf.DUMMYFUNCTION("""COMPUTED_VALUE"""),46170.0)</f>
        <v>46170</v>
      </c>
      <c r="B410" s="67">
        <f>IFERROR(__xludf.DUMMYFUNCTION("""COMPUTED_VALUE"""),292.0)</f>
        <v>292</v>
      </c>
      <c r="C410" s="69">
        <f>IFERROR(__xludf.DUMMYFUNCTION("""COMPUTED_VALUE"""),1633.54)</f>
        <v>1633.54</v>
      </c>
      <c r="D410" s="1" t="str">
        <f>IFERROR(__xludf.DUMMYFUNCTION("""COMPUTED_VALUE"""),"VES")</f>
        <v>VES</v>
      </c>
      <c r="E410" s="1" t="str">
        <f>IFERROR(__xludf.DUMMYFUNCTION("""COMPUTED_VALUE"""),"Bancamiga")</f>
        <v>Bancamiga</v>
      </c>
      <c r="F410" s="1" t="str">
        <f>IFERROR(__xludf.DUMMYFUNCTION("""COMPUTED_VALUE"""),"Jefferson rosales")</f>
        <v>Jefferson rosales</v>
      </c>
      <c r="G410" s="70">
        <f>IFERROR(__xludf.DUMMYFUNCTION("""COMPUTED_VALUE"""),544.5794)</f>
        <v>544.5794</v>
      </c>
      <c r="H410" s="1"/>
      <c r="I410" s="71">
        <f>IFERROR(__xludf.DUMMYFUNCTION("""COMPUTED_VALUE"""),2.999636049398857)</f>
        <v>2.999636049</v>
      </c>
      <c r="J410" s="69">
        <f>IFERROR(__xludf.DUMMYFUNCTION("""COMPUTED_VALUE"""),0.0)</f>
        <v>0</v>
      </c>
      <c r="K410" s="4">
        <f>IFERROR(__xludf.DUMMYFUNCTION("""COMPUTED_VALUE"""),2.999636049398857)</f>
        <v>2.999636049</v>
      </c>
      <c r="N410" s="67"/>
      <c r="R410" s="4"/>
    </row>
    <row r="411">
      <c r="A411" s="66">
        <f>IFERROR(__xludf.DUMMYFUNCTION("""COMPUTED_VALUE"""),46170.0)</f>
        <v>46170</v>
      </c>
      <c r="B411" s="67">
        <f>IFERROR(__xludf.DUMMYFUNCTION("""COMPUTED_VALUE"""),258.0)</f>
        <v>258</v>
      </c>
      <c r="C411" s="69">
        <f>IFERROR(__xludf.DUMMYFUNCTION("""COMPUTED_VALUE"""),68415.92)</f>
        <v>68415.92</v>
      </c>
      <c r="D411" s="1" t="str">
        <f>IFERROR(__xludf.DUMMYFUNCTION("""COMPUTED_VALUE"""),"VES")</f>
        <v>VES</v>
      </c>
      <c r="E411" s="1" t="str">
        <f>IFERROR(__xludf.DUMMYFUNCTION("""COMPUTED_VALUE"""),"Bancamiga")</f>
        <v>Bancamiga</v>
      </c>
      <c r="F411" s="1" t="str">
        <f>IFERROR(__xludf.DUMMYFUNCTION("""COMPUTED_VALUE"""),"Distribuidora El Frenazo")</f>
        <v>Distribuidora El Frenazo</v>
      </c>
      <c r="G411" s="70">
        <f>IFERROR(__xludf.DUMMYFUNCTION("""COMPUTED_VALUE"""),544.5794)</f>
        <v>544.5794</v>
      </c>
      <c r="H411" s="1"/>
      <c r="I411" s="71">
        <f>IFERROR(__xludf.DUMMYFUNCTION("""COMPUTED_VALUE"""),125.63075283420564)</f>
        <v>125.6307528</v>
      </c>
      <c r="J411" s="69">
        <f>IFERROR(__xludf.DUMMYFUNCTION("""COMPUTED_VALUE"""),0.0)</f>
        <v>0</v>
      </c>
      <c r="K411" s="4">
        <f>IFERROR(__xludf.DUMMYFUNCTION("""COMPUTED_VALUE"""),125.63075283420564)</f>
        <v>125.6307528</v>
      </c>
      <c r="N411" s="67"/>
      <c r="R411" s="4"/>
    </row>
    <row r="412">
      <c r="A412" s="66">
        <f>IFERROR(__xludf.DUMMYFUNCTION("""COMPUTED_VALUE"""),46170.0)</f>
        <v>46170</v>
      </c>
      <c r="B412" s="67">
        <f>IFERROR(__xludf.DUMMYFUNCTION("""COMPUTED_VALUE"""),199.0)</f>
        <v>199</v>
      </c>
      <c r="C412" s="69">
        <f>IFERROR(__xludf.DUMMYFUNCTION("""COMPUTED_VALUE"""),103550.0)</f>
        <v>103550</v>
      </c>
      <c r="D412" s="1" t="str">
        <f>IFERROR(__xludf.DUMMYFUNCTION("""COMPUTED_VALUE"""),"VES")</f>
        <v>VES</v>
      </c>
      <c r="E412" s="1" t="str">
        <f>IFERROR(__xludf.DUMMYFUNCTION("""COMPUTED_VALUE"""),"Bancamiga")</f>
        <v>Bancamiga</v>
      </c>
      <c r="F412" s="1" t="str">
        <f>IFERROR(__xludf.DUMMYFUNCTION("""COMPUTED_VALUE"""),"PROYECTO MAQUIVEIRO 21 C.A.")</f>
        <v>PROYECTO MAQUIVEIRO 21 C.A.</v>
      </c>
      <c r="G412" s="70">
        <f>IFERROR(__xludf.DUMMYFUNCTION("""COMPUTED_VALUE"""),544.5794)</f>
        <v>544.5794</v>
      </c>
      <c r="H412" s="1"/>
      <c r="I412" s="71">
        <f>IFERROR(__xludf.DUMMYFUNCTION("""COMPUTED_VALUE"""),190.14674444167372)</f>
        <v>190.1467444</v>
      </c>
      <c r="J412" s="69">
        <f>IFERROR(__xludf.DUMMYFUNCTION("""COMPUTED_VALUE"""),0.0)</f>
        <v>0</v>
      </c>
      <c r="K412" s="4">
        <f>IFERROR(__xludf.DUMMYFUNCTION("""COMPUTED_VALUE"""),190.14674444167372)</f>
        <v>190.1467444</v>
      </c>
      <c r="N412" s="67"/>
      <c r="R412" s="4"/>
    </row>
    <row r="413">
      <c r="A413" s="66">
        <f>IFERROR(__xludf.DUMMYFUNCTION("""COMPUTED_VALUE"""),46171.0)</f>
        <v>46171</v>
      </c>
      <c r="B413" s="67">
        <f>IFERROR(__xludf.DUMMYFUNCTION("""COMPUTED_VALUE"""),11.0)</f>
        <v>11</v>
      </c>
      <c r="C413" s="69">
        <f>IFERROR(__xludf.DUMMYFUNCTION("""COMPUTED_VALUE"""),40821.72)</f>
        <v>40821.72</v>
      </c>
      <c r="D413" s="1" t="str">
        <f>IFERROR(__xludf.DUMMYFUNCTION("""COMPUTED_VALUE"""),"VES")</f>
        <v>VES</v>
      </c>
      <c r="E413" s="1" t="str">
        <f>IFERROR(__xludf.DUMMYFUNCTION("""COMPUTED_VALUE"""),"Bancamiga")</f>
        <v>Bancamiga</v>
      </c>
      <c r="F413" s="1" t="str">
        <f>IFERROR(__xludf.DUMMYFUNCTION("""COMPUTED_VALUE"""),"MOTO MARCE 21, CA")</f>
        <v>MOTO MARCE 21, CA</v>
      </c>
      <c r="G413" s="70">
        <f>IFERROR(__xludf.DUMMYFUNCTION("""COMPUTED_VALUE"""),544.5794)</f>
        <v>544.5794</v>
      </c>
      <c r="H413" s="1"/>
      <c r="I413" s="71">
        <f>IFERROR(__xludf.DUMMYFUNCTION("""COMPUTED_VALUE"""),74.96008846460224)</f>
        <v>74.96008846</v>
      </c>
      <c r="J413" s="69">
        <f>IFERROR(__xludf.DUMMYFUNCTION("""COMPUTED_VALUE"""),0.0)</f>
        <v>0</v>
      </c>
      <c r="K413" s="4">
        <f>IFERROR(__xludf.DUMMYFUNCTION("""COMPUTED_VALUE"""),74.96008846460224)</f>
        <v>74.96008846</v>
      </c>
      <c r="N413" s="67"/>
      <c r="R413" s="4"/>
    </row>
    <row r="414">
      <c r="A414" s="66">
        <f>IFERROR(__xludf.DUMMYFUNCTION("""COMPUTED_VALUE"""),46171.0)</f>
        <v>46171</v>
      </c>
      <c r="B414" s="67">
        <f>IFERROR(__xludf.DUMMYFUNCTION("""COMPUTED_VALUE"""),179.0)</f>
        <v>179</v>
      </c>
      <c r="C414" s="69">
        <f>IFERROR(__xludf.DUMMYFUNCTION("""COMPUTED_VALUE"""),60.0)</f>
        <v>60</v>
      </c>
      <c r="D414" s="1" t="str">
        <f>IFERROR(__xludf.DUMMYFUNCTION("""COMPUTED_VALUE"""),"USD")</f>
        <v>USD</v>
      </c>
      <c r="E414" s="1" t="str">
        <f>IFERROR(__xludf.DUMMYFUNCTION("""COMPUTED_VALUE"""),"Efectivo USD")</f>
        <v>Efectivo USD</v>
      </c>
      <c r="F414" s="1" t="str">
        <f>IFERROR(__xludf.DUMMYFUNCTION("""COMPUTED_VALUE"""),"Inversiones Vercris 17 C.A")</f>
        <v>Inversiones Vercris 17 C.A</v>
      </c>
      <c r="G414" s="70">
        <f>IFERROR(__xludf.DUMMYFUNCTION("""COMPUTED_VALUE"""),549.3716)</f>
        <v>549.3716</v>
      </c>
      <c r="H414" s="1"/>
      <c r="I414" s="71">
        <f>IFERROR(__xludf.DUMMYFUNCTION("""COMPUTED_VALUE"""),60.0)</f>
        <v>60</v>
      </c>
      <c r="J414" s="69">
        <f>IFERROR(__xludf.DUMMYFUNCTION("""COMPUTED_VALUE"""),60.0)</f>
        <v>60</v>
      </c>
      <c r="K414" s="4">
        <f>IFERROR(__xludf.DUMMYFUNCTION("""COMPUTED_VALUE"""),60.0)</f>
        <v>60</v>
      </c>
      <c r="N414" s="67"/>
      <c r="R414" s="4"/>
    </row>
    <row r="415">
      <c r="A415" s="66">
        <f>IFERROR(__xludf.DUMMYFUNCTION("""COMPUTED_VALUE"""),46171.0)</f>
        <v>46171</v>
      </c>
      <c r="B415" s="67">
        <f>IFERROR(__xludf.DUMMYFUNCTION("""COMPUTED_VALUE"""),298.0)</f>
        <v>298</v>
      </c>
      <c r="C415" s="69">
        <f>IFERROR(__xludf.DUMMYFUNCTION("""COMPUTED_VALUE"""),40.0)</f>
        <v>40</v>
      </c>
      <c r="D415" s="1" t="str">
        <f>IFERROR(__xludf.DUMMYFUNCTION("""COMPUTED_VALUE"""),"USD")</f>
        <v>USD</v>
      </c>
      <c r="E415" s="1" t="str">
        <f>IFERROR(__xludf.DUMMYFUNCTION("""COMPUTED_VALUE"""),"Efectivo USD")</f>
        <v>Efectivo USD</v>
      </c>
      <c r="F415" s="1" t="str">
        <f>IFERROR(__xludf.DUMMYFUNCTION("""COMPUTED_VALUE"""),"Inversiones Brayan CT C.A")</f>
        <v>Inversiones Brayan CT C.A</v>
      </c>
      <c r="G415" s="70">
        <f>IFERROR(__xludf.DUMMYFUNCTION("""COMPUTED_VALUE"""),549.3716)</f>
        <v>549.3716</v>
      </c>
      <c r="H415" s="1"/>
      <c r="I415" s="71">
        <f>IFERROR(__xludf.DUMMYFUNCTION("""COMPUTED_VALUE"""),40.0)</f>
        <v>40</v>
      </c>
      <c r="J415" s="69">
        <f>IFERROR(__xludf.DUMMYFUNCTION("""COMPUTED_VALUE"""),40.0)</f>
        <v>40</v>
      </c>
      <c r="K415" s="4">
        <f>IFERROR(__xludf.DUMMYFUNCTION("""COMPUTED_VALUE"""),40.0)</f>
        <v>40</v>
      </c>
      <c r="N415" s="67"/>
      <c r="R415" s="4"/>
    </row>
    <row r="416">
      <c r="A416" s="66">
        <f>IFERROR(__xludf.DUMMYFUNCTION("""COMPUTED_VALUE"""),46171.0)</f>
        <v>46171</v>
      </c>
      <c r="B416" s="67">
        <f>IFERROR(__xludf.DUMMYFUNCTION("""COMPUTED_VALUE"""),335.0)</f>
        <v>335</v>
      </c>
      <c r="C416" s="69">
        <f>IFERROR(__xludf.DUMMYFUNCTION("""COMPUTED_VALUE"""),40.0)</f>
        <v>40</v>
      </c>
      <c r="D416" s="1" t="str">
        <f>IFERROR(__xludf.DUMMYFUNCTION("""COMPUTED_VALUE"""),"USD")</f>
        <v>USD</v>
      </c>
      <c r="E416" s="1" t="str">
        <f>IFERROR(__xludf.DUMMYFUNCTION("""COMPUTED_VALUE"""),"Efectivo USD")</f>
        <v>Efectivo USD</v>
      </c>
      <c r="F416" s="1" t="str">
        <f>IFERROR(__xludf.DUMMYFUNCTION("""COMPUTED_VALUE"""),"Wili Mervin León Romero")</f>
        <v>Wili Mervin León Romero</v>
      </c>
      <c r="G416" s="70">
        <f>IFERROR(__xludf.DUMMYFUNCTION("""COMPUTED_VALUE"""),549.3716)</f>
        <v>549.3716</v>
      </c>
      <c r="H416" s="1"/>
      <c r="I416" s="71">
        <f>IFERROR(__xludf.DUMMYFUNCTION("""COMPUTED_VALUE"""),40.0)</f>
        <v>40</v>
      </c>
      <c r="J416" s="69">
        <f>IFERROR(__xludf.DUMMYFUNCTION("""COMPUTED_VALUE"""),40.0)</f>
        <v>40</v>
      </c>
      <c r="K416" s="4">
        <f>IFERROR(__xludf.DUMMYFUNCTION("""COMPUTED_VALUE"""),40.0)</f>
        <v>40</v>
      </c>
      <c r="N416" s="67"/>
      <c r="R416" s="4"/>
    </row>
    <row r="417">
      <c r="A417" s="66">
        <f>IFERROR(__xludf.DUMMYFUNCTION("""COMPUTED_VALUE"""),46171.0)</f>
        <v>46171</v>
      </c>
      <c r="B417" s="67">
        <f>IFERROR(__xludf.DUMMYFUNCTION("""COMPUTED_VALUE"""),61.0)</f>
        <v>61</v>
      </c>
      <c r="C417" s="69">
        <f>IFERROR(__xludf.DUMMYFUNCTION("""COMPUTED_VALUE"""),310.0)</f>
        <v>310</v>
      </c>
      <c r="D417" s="1" t="str">
        <f>IFERROR(__xludf.DUMMYFUNCTION("""COMPUTED_VALUE"""),"USD")</f>
        <v>USD</v>
      </c>
      <c r="E417" s="1" t="str">
        <f>IFERROR(__xludf.DUMMYFUNCTION("""COMPUTED_VALUE"""),"Efectivo USD")</f>
        <v>Efectivo USD</v>
      </c>
      <c r="F417" s="1" t="str">
        <f>IFERROR(__xludf.DUMMYFUNCTION("""COMPUTED_VALUE"""),"SJMG 2012 C.A")</f>
        <v>SJMG 2012 C.A</v>
      </c>
      <c r="G417" s="70">
        <f>IFERROR(__xludf.DUMMYFUNCTION("""COMPUTED_VALUE"""),549.3716)</f>
        <v>549.3716</v>
      </c>
      <c r="H417" s="1"/>
      <c r="I417" s="71">
        <f>IFERROR(__xludf.DUMMYFUNCTION("""COMPUTED_VALUE"""),310.0)</f>
        <v>310</v>
      </c>
      <c r="J417" s="69">
        <f>IFERROR(__xludf.DUMMYFUNCTION("""COMPUTED_VALUE"""),310.0)</f>
        <v>310</v>
      </c>
      <c r="K417" s="4">
        <f>IFERROR(__xludf.DUMMYFUNCTION("""COMPUTED_VALUE"""),310.0)</f>
        <v>310</v>
      </c>
      <c r="N417" s="67"/>
      <c r="R417" s="4"/>
    </row>
    <row r="418">
      <c r="A418" s="66">
        <f>IFERROR(__xludf.DUMMYFUNCTION("""COMPUTED_VALUE"""),46171.0)</f>
        <v>46171</v>
      </c>
      <c r="B418" s="67">
        <f>IFERROR(__xludf.DUMMYFUNCTION("""COMPUTED_VALUE"""),274.0)</f>
        <v>274</v>
      </c>
      <c r="C418" s="69">
        <f>IFERROR(__xludf.DUMMYFUNCTION("""COMPUTED_VALUE"""),74639.0)</f>
        <v>74639</v>
      </c>
      <c r="D418" s="1" t="str">
        <f>IFERROR(__xludf.DUMMYFUNCTION("""COMPUTED_VALUE"""),"VES")</f>
        <v>VES</v>
      </c>
      <c r="E418" s="1" t="str">
        <f>IFERROR(__xludf.DUMMYFUNCTION("""COMPUTED_VALUE"""),"Bancamiga")</f>
        <v>Bancamiga</v>
      </c>
      <c r="F418" s="1" t="str">
        <f>IFERROR(__xludf.DUMMYFUNCTION("""COMPUTED_VALUE"""),"ADS SERVICE C.A")</f>
        <v>ADS SERVICE C.A</v>
      </c>
      <c r="G418" s="70">
        <f>IFERROR(__xludf.DUMMYFUNCTION("""COMPUTED_VALUE"""),549.3716)</f>
        <v>549.3716</v>
      </c>
      <c r="H418" s="1"/>
      <c r="I418" s="71">
        <f>IFERROR(__xludf.DUMMYFUNCTION("""COMPUTED_VALUE"""),135.86250181116026)</f>
        <v>135.8625018</v>
      </c>
      <c r="J418" s="69">
        <f>IFERROR(__xludf.DUMMYFUNCTION("""COMPUTED_VALUE"""),0.0)</f>
        <v>0</v>
      </c>
      <c r="K418" s="4">
        <f>IFERROR(__xludf.DUMMYFUNCTION("""COMPUTED_VALUE"""),135.86250181116026)</f>
        <v>135.8625018</v>
      </c>
      <c r="N418" s="67"/>
      <c r="R418" s="4"/>
    </row>
    <row r="419">
      <c r="A419" s="66">
        <f>IFERROR(__xludf.DUMMYFUNCTION("""COMPUTED_VALUE"""),46171.0)</f>
        <v>46171</v>
      </c>
      <c r="B419" s="67">
        <f>IFERROR(__xludf.DUMMYFUNCTION("""COMPUTED_VALUE"""),242.0)</f>
        <v>242</v>
      </c>
      <c r="C419" s="69">
        <f>IFERROR(__xludf.DUMMYFUNCTION("""COMPUTED_VALUE"""),147680.0)</f>
        <v>147680</v>
      </c>
      <c r="D419" s="1" t="str">
        <f>IFERROR(__xludf.DUMMYFUNCTION("""COMPUTED_VALUE"""),"VES")</f>
        <v>VES</v>
      </c>
      <c r="E419" s="1" t="str">
        <f>IFERROR(__xludf.DUMMYFUNCTION("""COMPUTED_VALUE"""),"Bancamiga")</f>
        <v>Bancamiga</v>
      </c>
      <c r="F419" s="1" t="str">
        <f>IFERROR(__xludf.DUMMYFUNCTION("""COMPUTED_VALUE"""),"Antonio Terán")</f>
        <v>Antonio Terán</v>
      </c>
      <c r="G419" s="70">
        <f>IFERROR(__xludf.DUMMYFUNCTION("""COMPUTED_VALUE"""),549.3716)</f>
        <v>549.3716</v>
      </c>
      <c r="H419" s="1"/>
      <c r="I419" s="71">
        <f>IFERROR(__xludf.DUMMYFUNCTION("""COMPUTED_VALUE"""),268.8162256658335)</f>
        <v>268.8162257</v>
      </c>
      <c r="J419" s="69">
        <f>IFERROR(__xludf.DUMMYFUNCTION("""COMPUTED_VALUE"""),0.0)</f>
        <v>0</v>
      </c>
      <c r="K419" s="4">
        <f>IFERROR(__xludf.DUMMYFUNCTION("""COMPUTED_VALUE"""),268.8162256658335)</f>
        <v>268.8162257</v>
      </c>
      <c r="N419" s="67"/>
      <c r="R419" s="4"/>
    </row>
    <row r="420">
      <c r="A420" s="66">
        <f>IFERROR(__xludf.DUMMYFUNCTION("""COMPUTED_VALUE"""),46171.0)</f>
        <v>46171</v>
      </c>
      <c r="B420" s="67">
        <f>IFERROR(__xludf.DUMMYFUNCTION("""COMPUTED_VALUE"""),114.0)</f>
        <v>114</v>
      </c>
      <c r="C420" s="69">
        <f>IFERROR(__xludf.DUMMYFUNCTION("""COMPUTED_VALUE"""),40.0)</f>
        <v>40</v>
      </c>
      <c r="D420" s="1" t="str">
        <f>IFERROR(__xludf.DUMMYFUNCTION("""COMPUTED_VALUE"""),"USD")</f>
        <v>USD</v>
      </c>
      <c r="E420" s="1" t="str">
        <f>IFERROR(__xludf.DUMMYFUNCTION("""COMPUTED_VALUE"""),"Efectivo USD")</f>
        <v>Efectivo USD</v>
      </c>
      <c r="F420" s="1" t="str">
        <f>IFERROR(__xludf.DUMMYFUNCTION("""COMPUTED_VALUE"""),"Autoasesorio maxi motor")</f>
        <v>Autoasesorio maxi motor</v>
      </c>
      <c r="G420" s="70">
        <f>IFERROR(__xludf.DUMMYFUNCTION("""COMPUTED_VALUE"""),549.3716)</f>
        <v>549.3716</v>
      </c>
      <c r="H420" s="1"/>
      <c r="I420" s="71">
        <f>IFERROR(__xludf.DUMMYFUNCTION("""COMPUTED_VALUE"""),40.0)</f>
        <v>40</v>
      </c>
      <c r="J420" s="69">
        <f>IFERROR(__xludf.DUMMYFUNCTION("""COMPUTED_VALUE"""),40.0)</f>
        <v>40</v>
      </c>
      <c r="K420" s="4">
        <f>IFERROR(__xludf.DUMMYFUNCTION("""COMPUTED_VALUE"""),40.0)</f>
        <v>40</v>
      </c>
      <c r="N420" s="67"/>
      <c r="R420" s="4"/>
    </row>
    <row r="421">
      <c r="A421" s="66">
        <f>IFERROR(__xludf.DUMMYFUNCTION("""COMPUTED_VALUE"""),46171.0)</f>
        <v>46171</v>
      </c>
      <c r="B421" s="67">
        <f>IFERROR(__xludf.DUMMYFUNCTION("""COMPUTED_VALUE"""),94.0)</f>
        <v>94</v>
      </c>
      <c r="C421" s="69">
        <f>IFERROR(__xludf.DUMMYFUNCTION("""COMPUTED_VALUE"""),40.0)</f>
        <v>40</v>
      </c>
      <c r="D421" s="1" t="str">
        <f>IFERROR(__xludf.DUMMYFUNCTION("""COMPUTED_VALUE"""),"USD")</f>
        <v>USD</v>
      </c>
      <c r="E421" s="1" t="str">
        <f>IFERROR(__xludf.DUMMYFUNCTION("""COMPUTED_VALUE"""),"Efectivo USD")</f>
        <v>Efectivo USD</v>
      </c>
      <c r="F421" s="1" t="str">
        <f>IFERROR(__xludf.DUMMYFUNCTION("""COMPUTED_VALUE"""),"Emprendimiento YSKRA")</f>
        <v>Emprendimiento YSKRA</v>
      </c>
      <c r="G421" s="70">
        <f>IFERROR(__xludf.DUMMYFUNCTION("""COMPUTED_VALUE"""),549.3716)</f>
        <v>549.3716</v>
      </c>
      <c r="H421" s="1"/>
      <c r="I421" s="71">
        <f>IFERROR(__xludf.DUMMYFUNCTION("""COMPUTED_VALUE"""),40.0)</f>
        <v>40</v>
      </c>
      <c r="J421" s="69">
        <f>IFERROR(__xludf.DUMMYFUNCTION("""COMPUTED_VALUE"""),40.0)</f>
        <v>40</v>
      </c>
      <c r="K421" s="4">
        <f>IFERROR(__xludf.DUMMYFUNCTION("""COMPUTED_VALUE"""),40.0)</f>
        <v>40</v>
      </c>
      <c r="N421" s="67"/>
      <c r="R421" s="4"/>
    </row>
    <row r="422">
      <c r="A422" s="66">
        <f>IFERROR(__xludf.DUMMYFUNCTION("""COMPUTED_VALUE"""),46171.0)</f>
        <v>46171</v>
      </c>
      <c r="B422" s="67">
        <f>IFERROR(__xludf.DUMMYFUNCTION("""COMPUTED_VALUE"""),125.0)</f>
        <v>125</v>
      </c>
      <c r="C422" s="69">
        <f>IFERROR(__xludf.DUMMYFUNCTION("""COMPUTED_VALUE"""),20.0)</f>
        <v>20</v>
      </c>
      <c r="D422" s="1" t="str">
        <f>IFERROR(__xludf.DUMMYFUNCTION("""COMPUTED_VALUE"""),"USD")</f>
        <v>USD</v>
      </c>
      <c r="E422" s="1" t="str">
        <f>IFERROR(__xludf.DUMMYFUNCTION("""COMPUTED_VALUE"""),"Efectivo USD")</f>
        <v>Efectivo USD</v>
      </c>
      <c r="F422" s="1" t="str">
        <f>IFERROR(__xludf.DUMMYFUNCTION("""COMPUTED_VALUE"""),"Megacar2020.c.a")</f>
        <v>Megacar2020.c.a</v>
      </c>
      <c r="G422" s="70">
        <f>IFERROR(__xludf.DUMMYFUNCTION("""COMPUTED_VALUE"""),549.3716)</f>
        <v>549.3716</v>
      </c>
      <c r="H422" s="1"/>
      <c r="I422" s="71">
        <f>IFERROR(__xludf.DUMMYFUNCTION("""COMPUTED_VALUE"""),20.0)</f>
        <v>20</v>
      </c>
      <c r="J422" s="69">
        <f>IFERROR(__xludf.DUMMYFUNCTION("""COMPUTED_VALUE"""),20.0)</f>
        <v>20</v>
      </c>
      <c r="K422" s="4">
        <f>IFERROR(__xludf.DUMMYFUNCTION("""COMPUTED_VALUE"""),20.0)</f>
        <v>20</v>
      </c>
      <c r="N422" s="67"/>
      <c r="R422" s="4"/>
    </row>
    <row r="423">
      <c r="A423" s="66">
        <f>IFERROR(__xludf.DUMMYFUNCTION("""COMPUTED_VALUE"""),46171.0)</f>
        <v>46171</v>
      </c>
      <c r="B423" s="67">
        <f>IFERROR(__xludf.DUMMYFUNCTION("""COMPUTED_VALUE"""),351.0)</f>
        <v>351</v>
      </c>
      <c r="C423" s="69">
        <f>IFERROR(__xludf.DUMMYFUNCTION("""COMPUTED_VALUE"""),54937.0)</f>
        <v>54937</v>
      </c>
      <c r="D423" s="1" t="str">
        <f>IFERROR(__xludf.DUMMYFUNCTION("""COMPUTED_VALUE"""),"VES")</f>
        <v>VES</v>
      </c>
      <c r="E423" s="1" t="str">
        <f>IFERROR(__xludf.DUMMYFUNCTION("""COMPUTED_VALUE"""),"Bancamiga")</f>
        <v>Bancamiga</v>
      </c>
      <c r="F423" s="1" t="str">
        <f>IFERROR(__xludf.DUMMYFUNCTION("""COMPUTED_VALUE"""),"INVERSIONES BECLA PARTS C.A.")</f>
        <v>INVERSIONES BECLA PARTS C.A.</v>
      </c>
      <c r="G423" s="70">
        <f>IFERROR(__xludf.DUMMYFUNCTION("""COMPUTED_VALUE"""),549.3716)</f>
        <v>549.3716</v>
      </c>
      <c r="H423" s="1"/>
      <c r="I423" s="71">
        <f>IFERROR(__xludf.DUMMYFUNCTION("""COMPUTED_VALUE"""),99.99970875815205)</f>
        <v>99.99970876</v>
      </c>
      <c r="J423" s="69">
        <f>IFERROR(__xludf.DUMMYFUNCTION("""COMPUTED_VALUE"""),0.0)</f>
        <v>0</v>
      </c>
      <c r="K423" s="4">
        <f>IFERROR(__xludf.DUMMYFUNCTION("""COMPUTED_VALUE"""),99.99970875815205)</f>
        <v>99.99970876</v>
      </c>
      <c r="N423" s="67"/>
      <c r="R423" s="4"/>
    </row>
    <row r="424">
      <c r="A424" s="66">
        <f>IFERROR(__xludf.DUMMYFUNCTION("""COMPUTED_VALUE"""),46171.0)</f>
        <v>46171</v>
      </c>
      <c r="B424" s="67">
        <f>IFERROR(__xludf.DUMMYFUNCTION("""COMPUTED_VALUE"""),340.0)</f>
        <v>340</v>
      </c>
      <c r="C424" s="69">
        <f>IFERROR(__xludf.DUMMYFUNCTION("""COMPUTED_VALUE"""),105163.8)</f>
        <v>105163.8</v>
      </c>
      <c r="D424" s="1" t="str">
        <f>IFERROR(__xludf.DUMMYFUNCTION("""COMPUTED_VALUE"""),"VES")</f>
        <v>VES</v>
      </c>
      <c r="E424" s="1" t="str">
        <f>IFERROR(__xludf.DUMMYFUNCTION("""COMPUTED_VALUE"""),"Bancamiga")</f>
        <v>Bancamiga</v>
      </c>
      <c r="F424" s="1" t="str">
        <f>IFERROR(__xludf.DUMMYFUNCTION("""COMPUTED_VALUE"""),"Yeifri Alexander Marquez Zerpa")</f>
        <v>Yeifri Alexander Marquez Zerpa</v>
      </c>
      <c r="G424" s="70">
        <f>IFERROR(__xludf.DUMMYFUNCTION("""COMPUTED_VALUE"""),549.3716)</f>
        <v>549.3716</v>
      </c>
      <c r="H424" s="1"/>
      <c r="I424" s="71">
        <f>IFERROR(__xludf.DUMMYFUNCTION("""COMPUTED_VALUE"""),191.4256215647114)</f>
        <v>191.4256216</v>
      </c>
      <c r="J424" s="69">
        <f>IFERROR(__xludf.DUMMYFUNCTION("""COMPUTED_VALUE"""),0.0)</f>
        <v>0</v>
      </c>
      <c r="K424" s="4">
        <f>IFERROR(__xludf.DUMMYFUNCTION("""COMPUTED_VALUE"""),191.4256215647114)</f>
        <v>191.4256216</v>
      </c>
      <c r="N424" s="67"/>
      <c r="R424" s="4"/>
    </row>
    <row r="425">
      <c r="A425" s="66">
        <f>IFERROR(__xludf.DUMMYFUNCTION("""COMPUTED_VALUE"""),46171.0)</f>
        <v>46171</v>
      </c>
      <c r="B425" s="67">
        <f>IFERROR(__xludf.DUMMYFUNCTION("""COMPUTED_VALUE"""),410.0)</f>
        <v>410</v>
      </c>
      <c r="C425" s="69">
        <f>IFERROR(__xludf.DUMMYFUNCTION("""COMPUTED_VALUE"""),223133.0)</f>
        <v>223133</v>
      </c>
      <c r="D425" s="1" t="str">
        <f>IFERROR(__xludf.DUMMYFUNCTION("""COMPUTED_VALUE"""),"VES")</f>
        <v>VES</v>
      </c>
      <c r="E425" s="1" t="str">
        <f>IFERROR(__xludf.DUMMYFUNCTION("""COMPUTED_VALUE"""),"Bancamiga")</f>
        <v>Bancamiga</v>
      </c>
      <c r="F425" s="1" t="str">
        <f>IFERROR(__xludf.DUMMYFUNCTION("""COMPUTED_VALUE"""),"Multiservicios gochi express 2024, c.a")</f>
        <v>Multiservicios gochi express 2024, c.a</v>
      </c>
      <c r="G425" s="70">
        <f>IFERROR(__xludf.DUMMYFUNCTION("""COMPUTED_VALUE"""),549.3716)</f>
        <v>549.3716</v>
      </c>
      <c r="H425" s="1"/>
      <c r="I425" s="71">
        <f>IFERROR(__xludf.DUMMYFUNCTION("""COMPUTED_VALUE"""),406.16042037848337)</f>
        <v>406.1604204</v>
      </c>
      <c r="J425" s="69">
        <f>IFERROR(__xludf.DUMMYFUNCTION("""COMPUTED_VALUE"""),0.0)</f>
        <v>0</v>
      </c>
      <c r="K425" s="4">
        <f>IFERROR(__xludf.DUMMYFUNCTION("""COMPUTED_VALUE"""),406.16042037848337)</f>
        <v>406.1604204</v>
      </c>
      <c r="N425" s="67"/>
      <c r="R425" s="4"/>
    </row>
    <row r="426">
      <c r="A426" s="66">
        <f>IFERROR(__xludf.DUMMYFUNCTION("""COMPUTED_VALUE"""),46170.0)</f>
        <v>46170</v>
      </c>
      <c r="B426" s="67">
        <f>IFERROR(__xludf.DUMMYFUNCTION("""COMPUTED_VALUE"""),379.0)</f>
        <v>379</v>
      </c>
      <c r="C426" s="69">
        <f>IFERROR(__xludf.DUMMYFUNCTION("""COMPUTED_VALUE"""),42246.56)</f>
        <v>42246.56</v>
      </c>
      <c r="D426" s="1" t="str">
        <f>IFERROR(__xludf.DUMMYFUNCTION("""COMPUTED_VALUE"""),"VES")</f>
        <v>VES</v>
      </c>
      <c r="E426" s="1" t="str">
        <f>IFERROR(__xludf.DUMMYFUNCTION("""COMPUTED_VALUE"""),"Bancamiga")</f>
        <v>Bancamiga</v>
      </c>
      <c r="F426" s="1" t="str">
        <f>IFERROR(__xludf.DUMMYFUNCTION("""COMPUTED_VALUE"""),"DISTRIBUIDORA PINOS 181297 C.A")</f>
        <v>DISTRIBUIDORA PINOS 181297 C.A</v>
      </c>
      <c r="G426" s="70">
        <f>IFERROR(__xludf.DUMMYFUNCTION("""COMPUTED_VALUE"""),549.3716)</f>
        <v>549.3716</v>
      </c>
      <c r="H426" s="1"/>
      <c r="I426" s="71">
        <f>IFERROR(__xludf.DUMMYFUNCTION("""COMPUTED_VALUE"""),76.89978877684977)</f>
        <v>76.89978878</v>
      </c>
      <c r="J426" s="69">
        <f>IFERROR(__xludf.DUMMYFUNCTION("""COMPUTED_VALUE"""),0.0)</f>
        <v>0</v>
      </c>
      <c r="K426" s="4">
        <f>IFERROR(__xludf.DUMMYFUNCTION("""COMPUTED_VALUE"""),76.89978877684977)</f>
        <v>76.89978878</v>
      </c>
      <c r="N426" s="67"/>
      <c r="R426" s="4"/>
    </row>
    <row r="427">
      <c r="A427" s="66">
        <f>IFERROR(__xludf.DUMMYFUNCTION("""COMPUTED_VALUE"""),46174.0)</f>
        <v>46174</v>
      </c>
      <c r="B427" s="67">
        <f>IFERROR(__xludf.DUMMYFUNCTION("""COMPUTED_VALUE"""),93.0)</f>
        <v>93</v>
      </c>
      <c r="C427" s="69">
        <f>IFERROR(__xludf.DUMMYFUNCTION("""COMPUTED_VALUE"""),60.0)</f>
        <v>60</v>
      </c>
      <c r="D427" s="1" t="str">
        <f>IFERROR(__xludf.DUMMYFUNCTION("""COMPUTED_VALUE"""),"USD")</f>
        <v>USD</v>
      </c>
      <c r="E427" s="1" t="str">
        <f>IFERROR(__xludf.DUMMYFUNCTION("""COMPUTED_VALUE"""),"Efectivo USD")</f>
        <v>Efectivo USD</v>
      </c>
      <c r="F427" s="1" t="str">
        <f>IFERROR(__xludf.DUMMYFUNCTION("""COMPUTED_VALUE"""),"Emprendimiento YSKRA")</f>
        <v>Emprendimiento YSKRA</v>
      </c>
      <c r="G427" s="70">
        <f>IFERROR(__xludf.DUMMYFUNCTION("""COMPUTED_VALUE"""),544.5794)</f>
        <v>544.5794</v>
      </c>
      <c r="H427" s="1"/>
      <c r="I427" s="71">
        <f>IFERROR(__xludf.DUMMYFUNCTION("""COMPUTED_VALUE"""),60.0)</f>
        <v>60</v>
      </c>
      <c r="J427" s="69">
        <f>IFERROR(__xludf.DUMMYFUNCTION("""COMPUTED_VALUE"""),60.0)</f>
        <v>60</v>
      </c>
      <c r="K427" s="4">
        <f>IFERROR(__xludf.DUMMYFUNCTION("""COMPUTED_VALUE"""),60.0)</f>
        <v>60</v>
      </c>
      <c r="N427" s="67"/>
      <c r="R427" s="4"/>
    </row>
    <row r="428">
      <c r="A428" s="66">
        <f>IFERROR(__xludf.DUMMYFUNCTION("""COMPUTED_VALUE"""),46154.0)</f>
        <v>46154</v>
      </c>
      <c r="B428" s="67">
        <f>IFERROR(__xludf.DUMMYFUNCTION("""COMPUTED_VALUE"""),246.0)</f>
        <v>246</v>
      </c>
      <c r="C428" s="69">
        <f>IFERROR(__xludf.DUMMYFUNCTION("""COMPUTED_VALUE"""),3853.0)</f>
        <v>3853</v>
      </c>
      <c r="D428" s="1" t="str">
        <f>IFERROR(__xludf.DUMMYFUNCTION("""COMPUTED_VALUE"""),"USD")</f>
        <v>USD</v>
      </c>
      <c r="E428" s="1" t="str">
        <f>IFERROR(__xludf.DUMMYFUNCTION("""COMPUTED_VALUE"""),"Binance")</f>
        <v>Binance</v>
      </c>
      <c r="F428" s="1" t="str">
        <f>IFERROR(__xludf.DUMMYFUNCTION("""COMPUTED_VALUE"""),"Luis Zambrano")</f>
        <v>Luis Zambrano</v>
      </c>
      <c r="G428" s="70">
        <f>IFERROR(__xludf.DUMMYFUNCTION("""COMPUTED_VALUE"""),557.9741)</f>
        <v>557.9741</v>
      </c>
      <c r="H428" s="1"/>
      <c r="I428" s="71">
        <f>IFERROR(__xludf.DUMMYFUNCTION("""COMPUTED_VALUE"""),3853.0)</f>
        <v>3853</v>
      </c>
      <c r="J428" s="69">
        <f>IFERROR(__xludf.DUMMYFUNCTION("""COMPUTED_VALUE"""),3853.0)</f>
        <v>3853</v>
      </c>
      <c r="K428" s="4">
        <f>IFERROR(__xludf.DUMMYFUNCTION("""COMPUTED_VALUE"""),3853.0)</f>
        <v>3853</v>
      </c>
      <c r="N428" s="67"/>
      <c r="R428" s="4"/>
    </row>
    <row r="429">
      <c r="A429" s="66">
        <f>IFERROR(__xludf.DUMMYFUNCTION("""COMPUTED_VALUE"""),46174.0)</f>
        <v>46174</v>
      </c>
      <c r="B429" s="67">
        <f>IFERROR(__xludf.DUMMYFUNCTION("""COMPUTED_VALUE"""),20.0)</f>
        <v>20</v>
      </c>
      <c r="C429" s="69">
        <f>IFERROR(__xludf.DUMMYFUNCTION("""COMPUTED_VALUE"""),12803.0)</f>
        <v>12803</v>
      </c>
      <c r="D429" s="1" t="str">
        <f>IFERROR(__xludf.DUMMYFUNCTION("""COMPUTED_VALUE"""),"VES")</f>
        <v>VES</v>
      </c>
      <c r="E429" s="1" t="str">
        <f>IFERROR(__xludf.DUMMYFUNCTION("""COMPUTED_VALUE"""),"Bancamiga")</f>
        <v>Bancamiga</v>
      </c>
      <c r="F429" s="1" t="str">
        <f>IFERROR(__xludf.DUMMYFUNCTION("""COMPUTED_VALUE"""),"EMPRENDIMIENTO TOMAS MARCANO 5")</f>
        <v>EMPRENDIMIENTO TOMAS MARCANO 5</v>
      </c>
      <c r="G429" s="70">
        <f>IFERROR(__xludf.DUMMYFUNCTION("""COMPUTED_VALUE"""),504.9146)</f>
        <v>504.9146</v>
      </c>
      <c r="H429" s="1"/>
      <c r="I429" s="71">
        <f>IFERROR(__xludf.DUMMYFUNCTION("""COMPUTED_VALUE"""),25.3567633021505)</f>
        <v>25.3567633</v>
      </c>
      <c r="J429" s="69">
        <f>IFERROR(__xludf.DUMMYFUNCTION("""COMPUTED_VALUE"""),0.0)</f>
        <v>0</v>
      </c>
      <c r="K429" s="4">
        <f>IFERROR(__xludf.DUMMYFUNCTION("""COMPUTED_VALUE"""),25.3567633021505)</f>
        <v>25.3567633</v>
      </c>
      <c r="N429" s="67"/>
      <c r="R429" s="4"/>
    </row>
    <row r="430">
      <c r="A430" s="66">
        <f>IFERROR(__xludf.DUMMYFUNCTION("""COMPUTED_VALUE"""),46174.0)</f>
        <v>46174</v>
      </c>
      <c r="B430" s="67">
        <f>IFERROR(__xludf.DUMMYFUNCTION("""COMPUTED_VALUE"""),53.0)</f>
        <v>53</v>
      </c>
      <c r="C430" s="69">
        <f>IFERROR(__xludf.DUMMYFUNCTION("""COMPUTED_VALUE"""),64567.87)</f>
        <v>64567.87</v>
      </c>
      <c r="D430" s="1" t="str">
        <f>IFERROR(__xludf.DUMMYFUNCTION("""COMPUTED_VALUE"""),"VES")</f>
        <v>VES</v>
      </c>
      <c r="E430" s="1" t="str">
        <f>IFERROR(__xludf.DUMMYFUNCTION("""COMPUTED_VALUE"""),"Bancamiga")</f>
        <v>Bancamiga</v>
      </c>
      <c r="F430" s="1" t="str">
        <f>IFERROR(__xludf.DUMMYFUNCTION("""COMPUTED_VALUE"""),"INVERSIONES MI  'LINDA YEMAIRE 2019, C.A")</f>
        <v>INVERSIONES MI  'LINDA YEMAIRE 2019, C.A</v>
      </c>
      <c r="G430" s="70">
        <f>IFERROR(__xludf.DUMMYFUNCTION("""COMPUTED_VALUE"""),557.9741)</f>
        <v>557.9741</v>
      </c>
      <c r="H430" s="1"/>
      <c r="I430" s="71">
        <f>IFERROR(__xludf.DUMMYFUNCTION("""COMPUTED_VALUE"""),115.71839983253703)</f>
        <v>115.7183998</v>
      </c>
      <c r="J430" s="69">
        <f>IFERROR(__xludf.DUMMYFUNCTION("""COMPUTED_VALUE"""),0.0)</f>
        <v>0</v>
      </c>
      <c r="K430" s="4">
        <f>IFERROR(__xludf.DUMMYFUNCTION("""COMPUTED_VALUE"""),115.71839983253703)</f>
        <v>115.7183998</v>
      </c>
      <c r="N430" s="67"/>
      <c r="R430" s="4"/>
    </row>
    <row r="431">
      <c r="A431" s="66">
        <f>IFERROR(__xludf.DUMMYFUNCTION("""COMPUTED_VALUE"""),46170.0)</f>
        <v>46170</v>
      </c>
      <c r="B431" s="67">
        <f>IFERROR(__xludf.DUMMYFUNCTION("""COMPUTED_VALUE"""),212.0)</f>
        <v>212</v>
      </c>
      <c r="C431" s="69">
        <f>IFERROR(__xludf.DUMMYFUNCTION("""COMPUTED_VALUE"""),27228.5)</f>
        <v>27228.5</v>
      </c>
      <c r="D431" s="1" t="str">
        <f>IFERROR(__xludf.DUMMYFUNCTION("""COMPUTED_VALUE"""),"VES")</f>
        <v>VES</v>
      </c>
      <c r="E431" s="1" t="str">
        <f>IFERROR(__xludf.DUMMYFUNCTION("""COMPUTED_VALUE"""),"Bancamiga")</f>
        <v>Bancamiga</v>
      </c>
      <c r="F431" s="1" t="str">
        <f>IFERROR(__xludf.DUMMYFUNCTION("""COMPUTED_VALUE"""),"Inversiones DSM 2706, c.a.")</f>
        <v>Inversiones DSM 2706, c.a.</v>
      </c>
      <c r="G431" s="70">
        <f>IFERROR(__xludf.DUMMYFUNCTION("""COMPUTED_VALUE"""),557.9741)</f>
        <v>557.9741</v>
      </c>
      <c r="H431" s="1"/>
      <c r="I431" s="71">
        <f>IFERROR(__xludf.DUMMYFUNCTION("""COMPUTED_VALUE"""),48.79886001877148)</f>
        <v>48.79886002</v>
      </c>
      <c r="J431" s="69">
        <f>IFERROR(__xludf.DUMMYFUNCTION("""COMPUTED_VALUE"""),0.0)</f>
        <v>0</v>
      </c>
      <c r="K431" s="4">
        <f>IFERROR(__xludf.DUMMYFUNCTION("""COMPUTED_VALUE"""),48.79886001877148)</f>
        <v>48.79886002</v>
      </c>
      <c r="N431" s="67"/>
      <c r="R431" s="4"/>
    </row>
    <row r="432">
      <c r="A432" s="66">
        <f>IFERROR(__xludf.DUMMYFUNCTION("""COMPUTED_VALUE"""),46174.0)</f>
        <v>46174</v>
      </c>
      <c r="B432" s="67">
        <f>IFERROR(__xludf.DUMMYFUNCTION("""COMPUTED_VALUE"""),346.0)</f>
        <v>346</v>
      </c>
      <c r="C432" s="69">
        <f>IFERROR(__xludf.DUMMYFUNCTION("""COMPUTED_VALUE"""),140.0)</f>
        <v>140</v>
      </c>
      <c r="D432" s="1" t="str">
        <f>IFERROR(__xludf.DUMMYFUNCTION("""COMPUTED_VALUE"""),"USD")</f>
        <v>USD</v>
      </c>
      <c r="E432" s="1" t="str">
        <f>IFERROR(__xludf.DUMMYFUNCTION("""COMPUTED_VALUE"""),"Efectivo USD")</f>
        <v>Efectivo USD</v>
      </c>
      <c r="F432" s="1" t="str">
        <f>IFERROR(__xludf.DUMMYFUNCTION("""COMPUTED_VALUE"""),"AUTOPERIQUITO EL PEQUEÑO CHAMOY, C.A.")</f>
        <v>AUTOPERIQUITO EL PEQUEÑO CHAMOY, C.A.</v>
      </c>
      <c r="G432" s="70">
        <f>IFERROR(__xludf.DUMMYFUNCTION("""COMPUTED_VALUE"""),544.9741)</f>
        <v>544.9741</v>
      </c>
      <c r="H432" s="1"/>
      <c r="I432" s="71">
        <f>IFERROR(__xludf.DUMMYFUNCTION("""COMPUTED_VALUE"""),140.0)</f>
        <v>140</v>
      </c>
      <c r="J432" s="69">
        <f>IFERROR(__xludf.DUMMYFUNCTION("""COMPUTED_VALUE"""),140.0)</f>
        <v>140</v>
      </c>
      <c r="K432" s="4">
        <f>IFERROR(__xludf.DUMMYFUNCTION("""COMPUTED_VALUE"""),140.0)</f>
        <v>140</v>
      </c>
      <c r="N432" s="67"/>
      <c r="R432" s="4"/>
    </row>
    <row r="433">
      <c r="A433" s="66">
        <f>IFERROR(__xludf.DUMMYFUNCTION("""COMPUTED_VALUE"""),46174.0)</f>
        <v>46174</v>
      </c>
      <c r="B433" s="67">
        <f>IFERROR(__xludf.DUMMYFUNCTION("""COMPUTED_VALUE"""),466.0)</f>
        <v>466</v>
      </c>
      <c r="C433" s="69">
        <f>IFERROR(__xludf.DUMMYFUNCTION("""COMPUTED_VALUE"""),30.0)</f>
        <v>30</v>
      </c>
      <c r="D433" s="1" t="str">
        <f>IFERROR(__xludf.DUMMYFUNCTION("""COMPUTED_VALUE"""),"USD")</f>
        <v>USD</v>
      </c>
      <c r="E433" s="1" t="str">
        <f>IFERROR(__xludf.DUMMYFUNCTION("""COMPUTED_VALUE"""),"Efectivo USD")</f>
        <v>Efectivo USD</v>
      </c>
      <c r="F433" s="1" t="str">
        <f>IFERROR(__xludf.DUMMYFUNCTION("""COMPUTED_VALUE"""),"Edgar salas")</f>
        <v>Edgar salas</v>
      </c>
      <c r="G433" s="70">
        <f>IFERROR(__xludf.DUMMYFUNCTION("""COMPUTED_VALUE"""),557.9741)</f>
        <v>557.9741</v>
      </c>
      <c r="H433" s="1"/>
      <c r="I433" s="71">
        <f>IFERROR(__xludf.DUMMYFUNCTION("""COMPUTED_VALUE"""),30.0)</f>
        <v>30</v>
      </c>
      <c r="J433" s="69">
        <f>IFERROR(__xludf.DUMMYFUNCTION("""COMPUTED_VALUE"""),30.0)</f>
        <v>30</v>
      </c>
      <c r="K433" s="4">
        <f>IFERROR(__xludf.DUMMYFUNCTION("""COMPUTED_VALUE"""),30.0)</f>
        <v>30</v>
      </c>
      <c r="N433" s="67"/>
      <c r="R433" s="4"/>
    </row>
    <row r="434">
      <c r="A434" s="66">
        <f>IFERROR(__xludf.DUMMYFUNCTION("""COMPUTED_VALUE"""),46174.0)</f>
        <v>46174</v>
      </c>
      <c r="B434" s="67">
        <f>IFERROR(__xludf.DUMMYFUNCTION("""COMPUTED_VALUE"""),418.0)</f>
        <v>418</v>
      </c>
      <c r="C434" s="69">
        <f>IFERROR(__xludf.DUMMYFUNCTION("""COMPUTED_VALUE"""),25.0)</f>
        <v>25</v>
      </c>
      <c r="D434" s="1" t="str">
        <f>IFERROR(__xludf.DUMMYFUNCTION("""COMPUTED_VALUE"""),"USD")</f>
        <v>USD</v>
      </c>
      <c r="E434" s="1" t="str">
        <f>IFERROR(__xludf.DUMMYFUNCTION("""COMPUTED_VALUE"""),"Efectivo VES")</f>
        <v>Efectivo VES</v>
      </c>
      <c r="F434" s="1" t="str">
        <f>IFERROR(__xludf.DUMMYFUNCTION("""COMPUTED_VALUE"""),"Edgar salas")</f>
        <v>Edgar salas</v>
      </c>
      <c r="G434" s="70">
        <f>IFERROR(__xludf.DUMMYFUNCTION("""COMPUTED_VALUE"""),557.9741)</f>
        <v>557.9741</v>
      </c>
      <c r="H434" s="1"/>
      <c r="I434" s="71">
        <f>IFERROR(__xludf.DUMMYFUNCTION("""COMPUTED_VALUE"""),25.0)</f>
        <v>25</v>
      </c>
      <c r="J434" s="69">
        <f>IFERROR(__xludf.DUMMYFUNCTION("""COMPUTED_VALUE"""),25.0)</f>
        <v>25</v>
      </c>
      <c r="K434" s="4">
        <f>IFERROR(__xludf.DUMMYFUNCTION("""COMPUTED_VALUE"""),25.0)</f>
        <v>25</v>
      </c>
      <c r="N434" s="67"/>
      <c r="R434" s="4"/>
    </row>
    <row r="435">
      <c r="A435" s="66">
        <f>IFERROR(__xludf.DUMMYFUNCTION("""COMPUTED_VALUE"""),46174.0)</f>
        <v>46174</v>
      </c>
      <c r="B435" s="67">
        <f>IFERROR(__xludf.DUMMYFUNCTION("""COMPUTED_VALUE"""),192.0)</f>
        <v>192</v>
      </c>
      <c r="C435" s="69">
        <f>IFERROR(__xludf.DUMMYFUNCTION("""COMPUTED_VALUE"""),30.0)</f>
        <v>30</v>
      </c>
      <c r="D435" s="1" t="str">
        <f>IFERROR(__xludf.DUMMYFUNCTION("""COMPUTED_VALUE"""),"USD")</f>
        <v>USD</v>
      </c>
      <c r="E435" s="1" t="str">
        <f>IFERROR(__xludf.DUMMYFUNCTION("""COMPUTED_VALUE"""),"Efectivo USD")</f>
        <v>Efectivo USD</v>
      </c>
      <c r="F435" s="1" t="str">
        <f>IFERROR(__xludf.DUMMYFUNCTION("""COMPUTED_VALUE"""),"Global Ferre 888 C.A")</f>
        <v>Global Ferre 888 C.A</v>
      </c>
      <c r="G435" s="70">
        <f>IFERROR(__xludf.DUMMYFUNCTION("""COMPUTED_VALUE"""),557.9741)</f>
        <v>557.9741</v>
      </c>
      <c r="H435" s="1"/>
      <c r="I435" s="71">
        <f>IFERROR(__xludf.DUMMYFUNCTION("""COMPUTED_VALUE"""),30.0)</f>
        <v>30</v>
      </c>
      <c r="J435" s="69">
        <f>IFERROR(__xludf.DUMMYFUNCTION("""COMPUTED_VALUE"""),30.0)</f>
        <v>30</v>
      </c>
      <c r="K435" s="4">
        <f>IFERROR(__xludf.DUMMYFUNCTION("""COMPUTED_VALUE"""),30.0)</f>
        <v>30</v>
      </c>
      <c r="N435" s="67"/>
      <c r="R435" s="4"/>
    </row>
    <row r="436">
      <c r="A436" s="66">
        <f>IFERROR(__xludf.DUMMYFUNCTION("""COMPUTED_VALUE"""),46174.0)</f>
        <v>46174</v>
      </c>
      <c r="B436" s="67">
        <f>IFERROR(__xludf.DUMMYFUNCTION("""COMPUTED_VALUE"""),244.0)</f>
        <v>244</v>
      </c>
      <c r="C436" s="69">
        <f>IFERROR(__xludf.DUMMYFUNCTION("""COMPUTED_VALUE"""),100.0)</f>
        <v>100</v>
      </c>
      <c r="D436" s="1" t="str">
        <f>IFERROR(__xludf.DUMMYFUNCTION("""COMPUTED_VALUE"""),"USD")</f>
        <v>USD</v>
      </c>
      <c r="E436" s="1" t="str">
        <f>IFERROR(__xludf.DUMMYFUNCTION("""COMPUTED_VALUE"""),"Efectivo USD")</f>
        <v>Efectivo USD</v>
      </c>
      <c r="F436" s="1" t="str">
        <f>IFERROR(__xludf.DUMMYFUNCTION("""COMPUTED_VALUE"""),"Lubricantes BK C.A")</f>
        <v>Lubricantes BK C.A</v>
      </c>
      <c r="G436" s="70">
        <f>IFERROR(__xludf.DUMMYFUNCTION("""COMPUTED_VALUE"""),557.9741)</f>
        <v>557.9741</v>
      </c>
      <c r="H436" s="1"/>
      <c r="I436" s="71">
        <f>IFERROR(__xludf.DUMMYFUNCTION("""COMPUTED_VALUE"""),100.0)</f>
        <v>100</v>
      </c>
      <c r="J436" s="69">
        <f>IFERROR(__xludf.DUMMYFUNCTION("""COMPUTED_VALUE"""),100.0)</f>
        <v>100</v>
      </c>
      <c r="K436" s="4">
        <f>IFERROR(__xludf.DUMMYFUNCTION("""COMPUTED_VALUE"""),100.0)</f>
        <v>100</v>
      </c>
      <c r="N436" s="67"/>
      <c r="R436" s="4"/>
    </row>
    <row r="437">
      <c r="A437" s="66">
        <f>IFERROR(__xludf.DUMMYFUNCTION("""COMPUTED_VALUE"""),46174.0)</f>
        <v>46174</v>
      </c>
      <c r="B437" s="67">
        <f>IFERROR(__xludf.DUMMYFUNCTION("""COMPUTED_VALUE"""),61.0)</f>
        <v>61</v>
      </c>
      <c r="C437" s="69">
        <f>IFERROR(__xludf.DUMMYFUNCTION("""COMPUTED_VALUE"""),330.0)</f>
        <v>330</v>
      </c>
      <c r="D437" s="1" t="str">
        <f>IFERROR(__xludf.DUMMYFUNCTION("""COMPUTED_VALUE"""),"USD")</f>
        <v>USD</v>
      </c>
      <c r="E437" s="1" t="str">
        <f>IFERROR(__xludf.DUMMYFUNCTION("""COMPUTED_VALUE"""),"Efectivo USD")</f>
        <v>Efectivo USD</v>
      </c>
      <c r="F437" s="1" t="str">
        <f>IFERROR(__xludf.DUMMYFUNCTION("""COMPUTED_VALUE"""),"SJMG 2012 C.A")</f>
        <v>SJMG 2012 C.A</v>
      </c>
      <c r="G437" s="70">
        <f>IFERROR(__xludf.DUMMYFUNCTION("""COMPUTED_VALUE"""),557.9741)</f>
        <v>557.9741</v>
      </c>
      <c r="H437" s="1"/>
      <c r="I437" s="71">
        <f>IFERROR(__xludf.DUMMYFUNCTION("""COMPUTED_VALUE"""),330.0)</f>
        <v>330</v>
      </c>
      <c r="J437" s="69">
        <f>IFERROR(__xludf.DUMMYFUNCTION("""COMPUTED_VALUE"""),330.0)</f>
        <v>330</v>
      </c>
      <c r="K437" s="4">
        <f>IFERROR(__xludf.DUMMYFUNCTION("""COMPUTED_VALUE"""),330.0)</f>
        <v>330</v>
      </c>
      <c r="N437" s="67"/>
      <c r="R437" s="4"/>
    </row>
    <row r="438">
      <c r="A438" s="66">
        <f>IFERROR(__xludf.DUMMYFUNCTION("""COMPUTED_VALUE"""),46174.0)</f>
        <v>46174</v>
      </c>
      <c r="B438" s="67">
        <f>IFERROR(__xludf.DUMMYFUNCTION("""COMPUTED_VALUE"""),233.0)</f>
        <v>233</v>
      </c>
      <c r="C438" s="69">
        <f>IFERROR(__xludf.DUMMYFUNCTION("""COMPUTED_VALUE"""),27721.0)</f>
        <v>27721</v>
      </c>
      <c r="D438" s="1" t="str">
        <f>IFERROR(__xludf.DUMMYFUNCTION("""COMPUTED_VALUE"""),"VES")</f>
        <v>VES</v>
      </c>
      <c r="E438" s="1" t="str">
        <f>IFERROR(__xludf.DUMMYFUNCTION("""COMPUTED_VALUE"""),"Bancamiga")</f>
        <v>Bancamiga</v>
      </c>
      <c r="F438" s="1" t="str">
        <f>IFERROR(__xludf.DUMMYFUNCTION("""COMPUTED_VALUE"""),"Auto Partes Y Repuestos Encava Express,c.a.")</f>
        <v>Auto Partes Y Repuestos Encava Express,c.a.</v>
      </c>
      <c r="G438" s="70">
        <f>IFERROR(__xludf.DUMMYFUNCTION("""COMPUTED_VALUE"""),557.9741)</f>
        <v>557.9741</v>
      </c>
      <c r="H438" s="1"/>
      <c r="I438" s="71">
        <f>IFERROR(__xludf.DUMMYFUNCTION("""COMPUTED_VALUE"""),49.681517475452715)</f>
        <v>49.68151748</v>
      </c>
      <c r="J438" s="69">
        <f>IFERROR(__xludf.DUMMYFUNCTION("""COMPUTED_VALUE"""),0.0)</f>
        <v>0</v>
      </c>
      <c r="K438" s="4">
        <f>IFERROR(__xludf.DUMMYFUNCTION("""COMPUTED_VALUE"""),49.681517475452715)</f>
        <v>49.68151748</v>
      </c>
      <c r="N438" s="67"/>
      <c r="R438" s="4"/>
    </row>
    <row r="439">
      <c r="A439" s="66">
        <f>IFERROR(__xludf.DUMMYFUNCTION("""COMPUTED_VALUE"""),46174.0)</f>
        <v>46174</v>
      </c>
      <c r="B439" s="67">
        <f>IFERROR(__xludf.DUMMYFUNCTION("""COMPUTED_VALUE"""),348.0)</f>
        <v>348</v>
      </c>
      <c r="C439" s="69">
        <f>IFERROR(__xludf.DUMMYFUNCTION("""COMPUTED_VALUE"""),151.12)</f>
        <v>151.12</v>
      </c>
      <c r="D439" s="1" t="str">
        <f>IFERROR(__xludf.DUMMYFUNCTION("""COMPUTED_VALUE"""),"VES")</f>
        <v>VES</v>
      </c>
      <c r="E439" s="1" t="str">
        <f>IFERROR(__xludf.DUMMYFUNCTION("""COMPUTED_VALUE"""),"Bancamiga")</f>
        <v>Bancamiga</v>
      </c>
      <c r="F439" s="1" t="str">
        <f>IFERROR(__xludf.DUMMYFUNCTION("""COMPUTED_VALUE"""),"Comercial Rio Paraguas C.A")</f>
        <v>Comercial Rio Paraguas C.A</v>
      </c>
      <c r="G439" s="70">
        <f>IFERROR(__xludf.DUMMYFUNCTION("""COMPUTED_VALUE"""),557.9741)</f>
        <v>557.9741</v>
      </c>
      <c r="H439" s="1"/>
      <c r="I439" s="71">
        <f>IFERROR(__xludf.DUMMYFUNCTION("""COMPUTED_VALUE"""),0.2708369438653156)</f>
        <v>0.2708369439</v>
      </c>
      <c r="J439" s="69">
        <f>IFERROR(__xludf.DUMMYFUNCTION("""COMPUTED_VALUE"""),0.0)</f>
        <v>0</v>
      </c>
      <c r="K439" s="4">
        <f>IFERROR(__xludf.DUMMYFUNCTION("""COMPUTED_VALUE"""),0.2708369438653156)</f>
        <v>0.2708369439</v>
      </c>
      <c r="N439" s="67"/>
      <c r="R439" s="4"/>
    </row>
    <row r="440">
      <c r="A440" s="66">
        <f>IFERROR(__xludf.DUMMYFUNCTION("""COMPUTED_VALUE"""),46174.0)</f>
        <v>46174</v>
      </c>
      <c r="B440" s="67">
        <f>IFERROR(__xludf.DUMMYFUNCTION("""COMPUTED_VALUE"""),178.0)</f>
        <v>178</v>
      </c>
      <c r="C440" s="69">
        <f>IFERROR(__xludf.DUMMYFUNCTION("""COMPUTED_VALUE"""),60.0)</f>
        <v>60</v>
      </c>
      <c r="D440" s="1" t="str">
        <f>IFERROR(__xludf.DUMMYFUNCTION("""COMPUTED_VALUE"""),"USD")</f>
        <v>USD</v>
      </c>
      <c r="E440" s="1" t="str">
        <f>IFERROR(__xludf.DUMMYFUNCTION("""COMPUTED_VALUE"""),"Efectivo USD")</f>
        <v>Efectivo USD</v>
      </c>
      <c r="F440" s="1" t="str">
        <f>IFERROR(__xludf.DUMMYFUNCTION("""COMPUTED_VALUE"""),"Distribuidora Nesmari 2050 c.a")</f>
        <v>Distribuidora Nesmari 2050 c.a</v>
      </c>
      <c r="G440" s="70">
        <f>IFERROR(__xludf.DUMMYFUNCTION("""COMPUTED_VALUE"""),557.9741)</f>
        <v>557.9741</v>
      </c>
      <c r="H440" s="1"/>
      <c r="I440" s="71">
        <f>IFERROR(__xludf.DUMMYFUNCTION("""COMPUTED_VALUE"""),60.0)</f>
        <v>60</v>
      </c>
      <c r="J440" s="69">
        <f>IFERROR(__xludf.DUMMYFUNCTION("""COMPUTED_VALUE"""),60.0)</f>
        <v>60</v>
      </c>
      <c r="K440" s="4">
        <f>IFERROR(__xludf.DUMMYFUNCTION("""COMPUTED_VALUE"""),60.0)</f>
        <v>60</v>
      </c>
      <c r="N440" s="67"/>
      <c r="R440" s="4"/>
    </row>
    <row r="441">
      <c r="A441" s="66">
        <f>IFERROR(__xludf.DUMMYFUNCTION("""COMPUTED_VALUE"""),46174.0)</f>
        <v>46174</v>
      </c>
      <c r="B441" s="67">
        <f>IFERROR(__xludf.DUMMYFUNCTION("""COMPUTED_VALUE"""),8.0)</f>
        <v>8</v>
      </c>
      <c r="C441" s="69">
        <f>IFERROR(__xludf.DUMMYFUNCTION("""COMPUTED_VALUE"""),50.0)</f>
        <v>50</v>
      </c>
      <c r="D441" s="1" t="str">
        <f>IFERROR(__xludf.DUMMYFUNCTION("""COMPUTED_VALUE"""),"USD")</f>
        <v>USD</v>
      </c>
      <c r="E441" s="1" t="str">
        <f>IFERROR(__xludf.DUMMYFUNCTION("""COMPUTED_VALUE"""),"Efectivo USD")</f>
        <v>Efectivo USD</v>
      </c>
      <c r="F441" s="1" t="str">
        <f>IFERROR(__xludf.DUMMYFUNCTION("""COMPUTED_VALUE"""),"AUTOREPUESTOS SION C.A.")</f>
        <v>AUTOREPUESTOS SION C.A.</v>
      </c>
      <c r="G441" s="70">
        <f>IFERROR(__xludf.DUMMYFUNCTION("""COMPUTED_VALUE"""),557.9741)</f>
        <v>557.9741</v>
      </c>
      <c r="H441" s="1"/>
      <c r="I441" s="71">
        <f>IFERROR(__xludf.DUMMYFUNCTION("""COMPUTED_VALUE"""),50.0)</f>
        <v>50</v>
      </c>
      <c r="J441" s="69">
        <f>IFERROR(__xludf.DUMMYFUNCTION("""COMPUTED_VALUE"""),50.0)</f>
        <v>50</v>
      </c>
      <c r="K441" s="4">
        <f>IFERROR(__xludf.DUMMYFUNCTION("""COMPUTED_VALUE"""),50.0)</f>
        <v>50</v>
      </c>
      <c r="N441" s="67"/>
      <c r="R441" s="4"/>
    </row>
    <row r="442">
      <c r="A442" s="66">
        <f>IFERROR(__xludf.DUMMYFUNCTION("""COMPUTED_VALUE"""),46174.0)</f>
        <v>46174</v>
      </c>
      <c r="B442" s="67">
        <f>IFERROR(__xludf.DUMMYFUNCTION("""COMPUTED_VALUE"""),380.0)</f>
        <v>380</v>
      </c>
      <c r="C442" s="69">
        <f>IFERROR(__xludf.DUMMYFUNCTION("""COMPUTED_VALUE"""),50.0)</f>
        <v>50</v>
      </c>
      <c r="D442" s="1" t="str">
        <f>IFERROR(__xludf.DUMMYFUNCTION("""COMPUTED_VALUE"""),"USD")</f>
        <v>USD</v>
      </c>
      <c r="E442" s="1" t="str">
        <f>IFERROR(__xludf.DUMMYFUNCTION("""COMPUTED_VALUE"""),"Efectivo USD")</f>
        <v>Efectivo USD</v>
      </c>
      <c r="F442" s="1" t="str">
        <f>IFERROR(__xludf.DUMMYFUNCTION("""COMPUTED_VALUE"""),"Junior Marco Antonio Vivas Navas")</f>
        <v>Junior Marco Antonio Vivas Navas</v>
      </c>
      <c r="G442" s="70">
        <f>IFERROR(__xludf.DUMMYFUNCTION("""COMPUTED_VALUE"""),557.9741)</f>
        <v>557.9741</v>
      </c>
      <c r="H442" s="1"/>
      <c r="I442" s="71">
        <f>IFERROR(__xludf.DUMMYFUNCTION("""COMPUTED_VALUE"""),50.0)</f>
        <v>50</v>
      </c>
      <c r="J442" s="69">
        <f>IFERROR(__xludf.DUMMYFUNCTION("""COMPUTED_VALUE"""),50.0)</f>
        <v>50</v>
      </c>
      <c r="K442" s="4">
        <f>IFERROR(__xludf.DUMMYFUNCTION("""COMPUTED_VALUE"""),50.0)</f>
        <v>50</v>
      </c>
      <c r="N442" s="67"/>
      <c r="R442" s="4"/>
    </row>
    <row r="443">
      <c r="A443" s="66">
        <f>IFERROR(__xludf.DUMMYFUNCTION("""COMPUTED_VALUE"""),46174.0)</f>
        <v>46174</v>
      </c>
      <c r="B443" s="67">
        <f>IFERROR(__xludf.DUMMYFUNCTION("""COMPUTED_VALUE"""),286.0)</f>
        <v>286</v>
      </c>
      <c r="C443" s="69">
        <f>IFERROR(__xludf.DUMMYFUNCTION("""COMPUTED_VALUE"""),30.0)</f>
        <v>30</v>
      </c>
      <c r="D443" s="1" t="str">
        <f>IFERROR(__xludf.DUMMYFUNCTION("""COMPUTED_VALUE"""),"USD")</f>
        <v>USD</v>
      </c>
      <c r="E443" s="1" t="str">
        <f>IFERROR(__xludf.DUMMYFUNCTION("""COMPUTED_VALUE"""),"Efectivo USD")</f>
        <v>Efectivo USD</v>
      </c>
      <c r="F443" s="1" t="str">
        <f>IFERROR(__xludf.DUMMYFUNCTION("""COMPUTED_VALUE"""),"Inversiones tydelmarojg")</f>
        <v>Inversiones tydelmarojg</v>
      </c>
      <c r="G443" s="70">
        <f>IFERROR(__xludf.DUMMYFUNCTION("""COMPUTED_VALUE"""),557.9741)</f>
        <v>557.9741</v>
      </c>
      <c r="H443" s="1"/>
      <c r="I443" s="71">
        <f>IFERROR(__xludf.DUMMYFUNCTION("""COMPUTED_VALUE"""),30.0)</f>
        <v>30</v>
      </c>
      <c r="J443" s="69">
        <f>IFERROR(__xludf.DUMMYFUNCTION("""COMPUTED_VALUE"""),30.0)</f>
        <v>30</v>
      </c>
      <c r="K443" s="4">
        <f>IFERROR(__xludf.DUMMYFUNCTION("""COMPUTED_VALUE"""),30.0)</f>
        <v>30</v>
      </c>
      <c r="N443" s="67"/>
      <c r="R443" s="4"/>
    </row>
    <row r="444">
      <c r="A444" s="66">
        <f>IFERROR(__xludf.DUMMYFUNCTION("""COMPUTED_VALUE"""),46174.0)</f>
        <v>46174</v>
      </c>
      <c r="B444" s="67">
        <f>IFERROR(__xludf.DUMMYFUNCTION("""COMPUTED_VALUE"""),398.0)</f>
        <v>398</v>
      </c>
      <c r="C444" s="69">
        <f>IFERROR(__xludf.DUMMYFUNCTION("""COMPUTED_VALUE"""),39376.0)</f>
        <v>39376</v>
      </c>
      <c r="D444" s="1" t="str">
        <f>IFERROR(__xludf.DUMMYFUNCTION("""COMPUTED_VALUE"""),"VES")</f>
        <v>VES</v>
      </c>
      <c r="E444" s="1" t="str">
        <f>IFERROR(__xludf.DUMMYFUNCTION("""COMPUTED_VALUE"""),"Bancamiga")</f>
        <v>Bancamiga</v>
      </c>
      <c r="F444" s="1" t="str">
        <f>IFERROR(__xludf.DUMMYFUNCTION("""COMPUTED_VALUE"""),"Moto repuestos jj")</f>
        <v>Moto repuestos jj</v>
      </c>
      <c r="G444" s="70">
        <f>IFERROR(__xludf.DUMMYFUNCTION("""COMPUTED_VALUE"""),557.9741)</f>
        <v>557.9741</v>
      </c>
      <c r="H444" s="1"/>
      <c r="I444" s="71">
        <f>IFERROR(__xludf.DUMMYFUNCTION("""COMPUTED_VALUE"""),70.56958378534057)</f>
        <v>70.56958379</v>
      </c>
      <c r="J444" s="69">
        <f>IFERROR(__xludf.DUMMYFUNCTION("""COMPUTED_VALUE"""),0.0)</f>
        <v>0</v>
      </c>
      <c r="K444" s="4">
        <f>IFERROR(__xludf.DUMMYFUNCTION("""COMPUTED_VALUE"""),70.56958378534057)</f>
        <v>70.56958379</v>
      </c>
      <c r="N444" s="67"/>
      <c r="R444" s="4"/>
    </row>
    <row r="445">
      <c r="A445" s="66">
        <f>IFERROR(__xludf.DUMMYFUNCTION("""COMPUTED_VALUE"""),46174.0)</f>
        <v>46174</v>
      </c>
      <c r="B445" s="67">
        <f>IFERROR(__xludf.DUMMYFUNCTION("""COMPUTED_VALUE"""),424.0)</f>
        <v>424</v>
      </c>
      <c r="C445" s="69">
        <f>IFERROR(__xludf.DUMMYFUNCTION("""COMPUTED_VALUE"""),187425.0)</f>
        <v>187425</v>
      </c>
      <c r="D445" s="1" t="str">
        <f>IFERROR(__xludf.DUMMYFUNCTION("""COMPUTED_VALUE"""),"VES")</f>
        <v>VES</v>
      </c>
      <c r="E445" s="1" t="str">
        <f>IFERROR(__xludf.DUMMYFUNCTION("""COMPUTED_VALUE"""),"Bancamiga")</f>
        <v>Bancamiga</v>
      </c>
      <c r="F445" s="1" t="str">
        <f>IFERROR(__xludf.DUMMYFUNCTION("""COMPUTED_VALUE"""),"Antonio Terán")</f>
        <v>Antonio Terán</v>
      </c>
      <c r="G445" s="70">
        <f>IFERROR(__xludf.DUMMYFUNCTION("""COMPUTED_VALUE"""),557.9741)</f>
        <v>557.9741</v>
      </c>
      <c r="H445" s="1"/>
      <c r="I445" s="71">
        <f>IFERROR(__xludf.DUMMYFUNCTION("""COMPUTED_VALUE"""),335.90268795630476)</f>
        <v>335.902688</v>
      </c>
      <c r="J445" s="69">
        <f>IFERROR(__xludf.DUMMYFUNCTION("""COMPUTED_VALUE"""),0.0)</f>
        <v>0</v>
      </c>
      <c r="K445" s="4">
        <f>IFERROR(__xludf.DUMMYFUNCTION("""COMPUTED_VALUE"""),335.90268795630476)</f>
        <v>335.902688</v>
      </c>
      <c r="N445" s="67"/>
      <c r="R445" s="4"/>
    </row>
    <row r="446">
      <c r="A446" s="66">
        <f>IFERROR(__xludf.DUMMYFUNCTION("""COMPUTED_VALUE"""),46175.0)</f>
        <v>46175</v>
      </c>
      <c r="B446" s="67">
        <f>IFERROR(__xludf.DUMMYFUNCTION("""COMPUTED_VALUE"""),26.0)</f>
        <v>26</v>
      </c>
      <c r="C446" s="69">
        <f>IFERROR(__xludf.DUMMYFUNCTION("""COMPUTED_VALUE"""),30.0)</f>
        <v>30</v>
      </c>
      <c r="D446" s="1" t="str">
        <f>IFERROR(__xludf.DUMMYFUNCTION("""COMPUTED_VALUE"""),"USD")</f>
        <v>USD</v>
      </c>
      <c r="E446" s="1" t="str">
        <f>IFERROR(__xludf.DUMMYFUNCTION("""COMPUTED_VALUE"""),"Efectivo USD")</f>
        <v>Efectivo USD</v>
      </c>
      <c r="F446" s="1" t="str">
        <f>IFERROR(__xludf.DUMMYFUNCTION("""COMPUTED_VALUE"""),"Joel Duque")</f>
        <v>Joel Duque</v>
      </c>
      <c r="G446" s="70">
        <f>IFERROR(__xludf.DUMMYFUNCTION("""COMPUTED_VALUE"""),557.9741)</f>
        <v>557.9741</v>
      </c>
      <c r="H446" s="1"/>
      <c r="I446" s="71">
        <f>IFERROR(__xludf.DUMMYFUNCTION("""COMPUTED_VALUE"""),30.0)</f>
        <v>30</v>
      </c>
      <c r="J446" s="69">
        <f>IFERROR(__xludf.DUMMYFUNCTION("""COMPUTED_VALUE"""),30.0)</f>
        <v>30</v>
      </c>
      <c r="K446" s="4">
        <f>IFERROR(__xludf.DUMMYFUNCTION("""COMPUTED_VALUE"""),30.0)</f>
        <v>30</v>
      </c>
      <c r="N446" s="67"/>
      <c r="R446" s="4"/>
    </row>
    <row r="447">
      <c r="A447" s="66">
        <f>IFERROR(__xludf.DUMMYFUNCTION("""COMPUTED_VALUE"""),46164.0)</f>
        <v>46164</v>
      </c>
      <c r="B447" s="67">
        <f>IFERROR(__xludf.DUMMYFUNCTION("""COMPUTED_VALUE"""),435.0)</f>
        <v>435</v>
      </c>
      <c r="C447" s="69">
        <f>IFERROR(__xludf.DUMMYFUNCTION("""COMPUTED_VALUE"""),1298311.58)</f>
        <v>1298311.58</v>
      </c>
      <c r="D447" s="1" t="str">
        <f>IFERROR(__xludf.DUMMYFUNCTION("""COMPUTED_VALUE"""),"VES")</f>
        <v>VES</v>
      </c>
      <c r="E447" s="1" t="str">
        <f>IFERROR(__xludf.DUMMYFUNCTION("""COMPUTED_VALUE"""),"Bancamiga")</f>
        <v>Bancamiga</v>
      </c>
      <c r="F447" s="1" t="str">
        <f>IFERROR(__xludf.DUMMYFUNCTION("""COMPUTED_VALUE"""),"PROYECTOS Y DESARROLLO TOMTOM,C.A.")</f>
        <v>PROYECTOS Y DESARROLLO TOMTOM,C.A.</v>
      </c>
      <c r="G447" s="70">
        <f>IFERROR(__xludf.DUMMYFUNCTION("""COMPUTED_VALUE"""),526.8694)</f>
        <v>526.8694</v>
      </c>
      <c r="H447" s="1"/>
      <c r="I447" s="71">
        <f>IFERROR(__xludf.DUMMYFUNCTION("""COMPUTED_VALUE"""),2464.200008578976)</f>
        <v>2464.200009</v>
      </c>
      <c r="J447" s="69">
        <f>IFERROR(__xludf.DUMMYFUNCTION("""COMPUTED_VALUE"""),0.0)</f>
        <v>0</v>
      </c>
      <c r="K447" s="4">
        <f>IFERROR(__xludf.DUMMYFUNCTION("""COMPUTED_VALUE"""),2464.200008578976)</f>
        <v>2464.200009</v>
      </c>
      <c r="N447" s="67"/>
      <c r="R447" s="4"/>
    </row>
    <row r="448">
      <c r="A448" s="66">
        <f>IFERROR(__xludf.DUMMYFUNCTION("""COMPUTED_VALUE"""),46173.0)</f>
        <v>46173</v>
      </c>
      <c r="B448" s="67">
        <f>IFERROR(__xludf.DUMMYFUNCTION("""COMPUTED_VALUE"""),131.0)</f>
        <v>131</v>
      </c>
      <c r="C448" s="69">
        <f>IFERROR(__xludf.DUMMYFUNCTION("""COMPUTED_VALUE"""),10.0)</f>
        <v>10</v>
      </c>
      <c r="D448" s="1" t="str">
        <f>IFERROR(__xludf.DUMMYFUNCTION("""COMPUTED_VALUE"""),"USD")</f>
        <v>USD</v>
      </c>
      <c r="E448" s="1" t="str">
        <f>IFERROR(__xludf.DUMMYFUNCTION("""COMPUTED_VALUE"""),"Efectivo USD")</f>
        <v>Efectivo USD</v>
      </c>
      <c r="F448" s="1" t="str">
        <f>IFERROR(__xludf.DUMMYFUNCTION("""COMPUTED_VALUE"""),"Neykel Quevedo")</f>
        <v>Neykel Quevedo</v>
      </c>
      <c r="G448" s="70">
        <f>IFERROR(__xludf.DUMMYFUNCTION("""COMPUTED_VALUE"""),554.4258)</f>
        <v>554.4258</v>
      </c>
      <c r="H448" s="1"/>
      <c r="I448" s="71">
        <f>IFERROR(__xludf.DUMMYFUNCTION("""COMPUTED_VALUE"""),10.0)</f>
        <v>10</v>
      </c>
      <c r="J448" s="69">
        <f>IFERROR(__xludf.DUMMYFUNCTION("""COMPUTED_VALUE"""),10.0)</f>
        <v>10</v>
      </c>
      <c r="K448" s="4">
        <f>IFERROR(__xludf.DUMMYFUNCTION("""COMPUTED_VALUE"""),10.0)</f>
        <v>10</v>
      </c>
      <c r="N448" s="67"/>
      <c r="R448" s="4"/>
    </row>
    <row r="449">
      <c r="A449" s="66">
        <f>IFERROR(__xludf.DUMMYFUNCTION("""COMPUTED_VALUE"""),46175.0)</f>
        <v>46175</v>
      </c>
      <c r="B449" s="67">
        <f>IFERROR(__xludf.DUMMYFUNCTION("""COMPUTED_VALUE"""),44.0)</f>
        <v>44</v>
      </c>
      <c r="C449" s="69">
        <f>IFERROR(__xludf.DUMMYFUNCTION("""COMPUTED_VALUE"""),200.0)</f>
        <v>200</v>
      </c>
      <c r="D449" s="1" t="str">
        <f>IFERROR(__xludf.DUMMYFUNCTION("""COMPUTED_VALUE"""),"USD")</f>
        <v>USD</v>
      </c>
      <c r="E449" s="1" t="str">
        <f>IFERROR(__xludf.DUMMYFUNCTION("""COMPUTED_VALUE"""),"Efectivo USD")</f>
        <v>Efectivo USD</v>
      </c>
      <c r="F449" s="1" t="str">
        <f>IFERROR(__xludf.DUMMYFUNCTION("""COMPUTED_VALUE"""),"Comercializadora Garabote")</f>
        <v>Comercializadora Garabote</v>
      </c>
      <c r="G449" s="70">
        <f>IFERROR(__xludf.DUMMYFUNCTION("""COMPUTED_VALUE"""),557.9741)</f>
        <v>557.9741</v>
      </c>
      <c r="H449" s="1"/>
      <c r="I449" s="71">
        <f>IFERROR(__xludf.DUMMYFUNCTION("""COMPUTED_VALUE"""),200.0)</f>
        <v>200</v>
      </c>
      <c r="J449" s="69">
        <f>IFERROR(__xludf.DUMMYFUNCTION("""COMPUTED_VALUE"""),200.0)</f>
        <v>200</v>
      </c>
      <c r="K449" s="4">
        <f>IFERROR(__xludf.DUMMYFUNCTION("""COMPUTED_VALUE"""),200.0)</f>
        <v>200</v>
      </c>
      <c r="N449" s="67"/>
      <c r="R449" s="4"/>
    </row>
    <row r="450">
      <c r="A450" s="66">
        <f>IFERROR(__xludf.DUMMYFUNCTION("""COMPUTED_VALUE"""),46175.0)</f>
        <v>46175</v>
      </c>
      <c r="B450" s="67">
        <f>IFERROR(__xludf.DUMMYFUNCTION("""COMPUTED_VALUE"""),248.0)</f>
        <v>248</v>
      </c>
      <c r="C450" s="69">
        <f>IFERROR(__xludf.DUMMYFUNCTION("""COMPUTED_VALUE"""),15.0)</f>
        <v>15</v>
      </c>
      <c r="D450" s="1" t="str">
        <f>IFERROR(__xludf.DUMMYFUNCTION("""COMPUTED_VALUE"""),"USD")</f>
        <v>USD</v>
      </c>
      <c r="E450" s="1" t="str">
        <f>IFERROR(__xludf.DUMMYFUNCTION("""COMPUTED_VALUE"""),"Efectivo USD")</f>
        <v>Efectivo USD</v>
      </c>
      <c r="F450" s="1" t="str">
        <f>IFERROR(__xludf.DUMMYFUNCTION("""COMPUTED_VALUE"""),"Abraham almenar")</f>
        <v>Abraham almenar</v>
      </c>
      <c r="G450" s="70">
        <f>IFERROR(__xludf.DUMMYFUNCTION("""COMPUTED_VALUE"""),557.9741)</f>
        <v>557.9741</v>
      </c>
      <c r="H450" s="1"/>
      <c r="I450" s="71">
        <f>IFERROR(__xludf.DUMMYFUNCTION("""COMPUTED_VALUE"""),15.0)</f>
        <v>15</v>
      </c>
      <c r="J450" s="69">
        <f>IFERROR(__xludf.DUMMYFUNCTION("""COMPUTED_VALUE"""),15.0)</f>
        <v>15</v>
      </c>
      <c r="K450" s="4">
        <f>IFERROR(__xludf.DUMMYFUNCTION("""COMPUTED_VALUE"""),15.0)</f>
        <v>15</v>
      </c>
      <c r="N450" s="67"/>
      <c r="R450" s="4"/>
    </row>
    <row r="451">
      <c r="A451" s="66">
        <f>IFERROR(__xludf.DUMMYFUNCTION("""COMPUTED_VALUE"""),46174.0)</f>
        <v>46174</v>
      </c>
      <c r="B451" s="67">
        <f>IFERROR(__xludf.DUMMYFUNCTION("""COMPUTED_VALUE"""),471.0)</f>
        <v>471</v>
      </c>
      <c r="C451" s="69">
        <f>IFERROR(__xludf.DUMMYFUNCTION("""COMPUTED_VALUE"""),80.0)</f>
        <v>80</v>
      </c>
      <c r="D451" s="1" t="str">
        <f>IFERROR(__xludf.DUMMYFUNCTION("""COMPUTED_VALUE"""),"USD")</f>
        <v>USD</v>
      </c>
      <c r="E451" s="1" t="str">
        <f>IFERROR(__xludf.DUMMYFUNCTION("""COMPUTED_VALUE"""),"Efectivo USD")</f>
        <v>Efectivo USD</v>
      </c>
      <c r="F451" s="1" t="str">
        <f>IFERROR(__xludf.DUMMYFUNCTION("""COMPUTED_VALUE"""),"José Gregorio Hernández")</f>
        <v>José Gregorio Hernández</v>
      </c>
      <c r="G451" s="70">
        <f>IFERROR(__xludf.DUMMYFUNCTION("""COMPUTED_VALUE"""),557.9741)</f>
        <v>557.9741</v>
      </c>
      <c r="H451" s="1"/>
      <c r="I451" s="71">
        <f>IFERROR(__xludf.DUMMYFUNCTION("""COMPUTED_VALUE"""),80.0)</f>
        <v>80</v>
      </c>
      <c r="J451" s="69">
        <f>IFERROR(__xludf.DUMMYFUNCTION("""COMPUTED_VALUE"""),80.0)</f>
        <v>80</v>
      </c>
      <c r="K451" s="4">
        <f>IFERROR(__xludf.DUMMYFUNCTION("""COMPUTED_VALUE"""),80.0)</f>
        <v>80</v>
      </c>
      <c r="N451" s="67"/>
      <c r="R451" s="4"/>
    </row>
    <row r="452">
      <c r="A452" s="66">
        <f>IFERROR(__xludf.DUMMYFUNCTION("""COMPUTED_VALUE"""),46174.0)</f>
        <v>46174</v>
      </c>
      <c r="B452" s="67">
        <f>IFERROR(__xludf.DUMMYFUNCTION("""COMPUTED_VALUE"""),471.0)</f>
        <v>471</v>
      </c>
      <c r="C452" s="69">
        <f>IFERROR(__xludf.DUMMYFUNCTION("""COMPUTED_VALUE"""),67086.0)</f>
        <v>67086</v>
      </c>
      <c r="D452" s="1" t="str">
        <f>IFERROR(__xludf.DUMMYFUNCTION("""COMPUTED_VALUE"""),"VES")</f>
        <v>VES</v>
      </c>
      <c r="E452" s="1" t="str">
        <f>IFERROR(__xludf.DUMMYFUNCTION("""COMPUTED_VALUE"""),"Bancamiga")</f>
        <v>Bancamiga</v>
      </c>
      <c r="F452" s="1" t="str">
        <f>IFERROR(__xludf.DUMMYFUNCTION("""COMPUTED_VALUE"""),"José Gregorio Hernández")</f>
        <v>José Gregorio Hernández</v>
      </c>
      <c r="G452" s="70">
        <f>IFERROR(__xludf.DUMMYFUNCTION("""COMPUTED_VALUE"""),557.9741)</f>
        <v>557.9741</v>
      </c>
      <c r="H452" s="1"/>
      <c r="I452" s="71">
        <f>IFERROR(__xludf.DUMMYFUNCTION("""COMPUTED_VALUE"""),120.23138708409583)</f>
        <v>120.2313871</v>
      </c>
      <c r="J452" s="69">
        <f>IFERROR(__xludf.DUMMYFUNCTION("""COMPUTED_VALUE"""),0.0)</f>
        <v>0</v>
      </c>
      <c r="K452" s="4">
        <f>IFERROR(__xludf.DUMMYFUNCTION("""COMPUTED_VALUE"""),120.23138708409583)</f>
        <v>120.2313871</v>
      </c>
      <c r="N452" s="67"/>
      <c r="R452" s="4"/>
    </row>
    <row r="453">
      <c r="A453" s="66">
        <f>IFERROR(__xludf.DUMMYFUNCTION("""COMPUTED_VALUE"""),46175.0)</f>
        <v>46175</v>
      </c>
      <c r="B453" s="67">
        <f>IFERROR(__xludf.DUMMYFUNCTION("""COMPUTED_VALUE"""),480.0)</f>
        <v>480</v>
      </c>
      <c r="C453" s="69">
        <f>IFERROR(__xludf.DUMMYFUNCTION("""COMPUTED_VALUE"""),64725.0)</f>
        <v>64725</v>
      </c>
      <c r="D453" s="1" t="str">
        <f>IFERROR(__xludf.DUMMYFUNCTION("""COMPUTED_VALUE"""),"VES")</f>
        <v>VES</v>
      </c>
      <c r="E453" s="1" t="str">
        <f>IFERROR(__xludf.DUMMYFUNCTION("""COMPUTED_VALUE"""),"Bancamiga")</f>
        <v>Bancamiga</v>
      </c>
      <c r="F453" s="1" t="str">
        <f>IFERROR(__xludf.DUMMYFUNCTION("""COMPUTED_VALUE"""),"Alejandro Zorrilla")</f>
        <v>Alejandro Zorrilla</v>
      </c>
      <c r="G453" s="70">
        <f>IFERROR(__xludf.DUMMYFUNCTION("""COMPUTED_VALUE"""),557.9741)</f>
        <v>557.9741</v>
      </c>
      <c r="H453" s="1"/>
      <c r="I453" s="71">
        <f>IFERROR(__xludf.DUMMYFUNCTION("""COMPUTED_VALUE"""),116.00000788567067)</f>
        <v>116.0000079</v>
      </c>
      <c r="J453" s="69">
        <f>IFERROR(__xludf.DUMMYFUNCTION("""COMPUTED_VALUE"""),0.0)</f>
        <v>0</v>
      </c>
      <c r="K453" s="4">
        <f>IFERROR(__xludf.DUMMYFUNCTION("""COMPUTED_VALUE"""),116.00000788567067)</f>
        <v>116.0000079</v>
      </c>
      <c r="N453" s="67"/>
      <c r="R453" s="4"/>
    </row>
    <row r="454">
      <c r="A454" s="66">
        <f>IFERROR(__xludf.DUMMYFUNCTION("""COMPUTED_VALUE"""),46175.0)</f>
        <v>46175</v>
      </c>
      <c r="B454" s="67">
        <f>IFERROR(__xludf.DUMMYFUNCTION("""COMPUTED_VALUE"""),324.0)</f>
        <v>324</v>
      </c>
      <c r="C454" s="69">
        <f>IFERROR(__xludf.DUMMYFUNCTION("""COMPUTED_VALUE"""),40.0)</f>
        <v>40</v>
      </c>
      <c r="D454" s="1" t="str">
        <f>IFERROR(__xludf.DUMMYFUNCTION("""COMPUTED_VALUE"""),"USD")</f>
        <v>USD</v>
      </c>
      <c r="E454" s="1" t="str">
        <f>IFERROR(__xludf.DUMMYFUNCTION("""COMPUTED_VALUE"""),"Efectivo USD")</f>
        <v>Efectivo USD</v>
      </c>
      <c r="F454" s="1" t="str">
        <f>IFERROR(__xludf.DUMMYFUNCTION("""COMPUTED_VALUE"""),"Nemer Bourji")</f>
        <v>Nemer Bourji</v>
      </c>
      <c r="G454" s="70">
        <f>IFERROR(__xludf.DUMMYFUNCTION("""COMPUTED_VALUE"""),557.9741)</f>
        <v>557.9741</v>
      </c>
      <c r="H454" s="1"/>
      <c r="I454" s="71">
        <f>IFERROR(__xludf.DUMMYFUNCTION("""COMPUTED_VALUE"""),40.0)</f>
        <v>40</v>
      </c>
      <c r="J454" s="69">
        <f>IFERROR(__xludf.DUMMYFUNCTION("""COMPUTED_VALUE"""),40.0)</f>
        <v>40</v>
      </c>
      <c r="K454" s="4">
        <f>IFERROR(__xludf.DUMMYFUNCTION("""COMPUTED_VALUE"""),40.0)</f>
        <v>40</v>
      </c>
      <c r="N454" s="67"/>
      <c r="R454" s="4"/>
    </row>
    <row r="455">
      <c r="A455" s="66">
        <f>IFERROR(__xludf.DUMMYFUNCTION("""COMPUTED_VALUE"""),46175.0)</f>
        <v>46175</v>
      </c>
      <c r="B455" s="67">
        <f>IFERROR(__xludf.DUMMYFUNCTION("""COMPUTED_VALUE"""),83.0)</f>
        <v>83</v>
      </c>
      <c r="C455" s="69">
        <f>IFERROR(__xludf.DUMMYFUNCTION("""COMPUTED_VALUE"""),35.0)</f>
        <v>35</v>
      </c>
      <c r="D455" s="1" t="str">
        <f>IFERROR(__xludf.DUMMYFUNCTION("""COMPUTED_VALUE"""),"USD")</f>
        <v>USD</v>
      </c>
      <c r="E455" s="1" t="str">
        <f>IFERROR(__xludf.DUMMYFUNCTION("""COMPUTED_VALUE"""),"Efectivo USD")</f>
        <v>Efectivo USD</v>
      </c>
      <c r="F455" s="1" t="str">
        <f>IFERROR(__xludf.DUMMYFUNCTION("""COMPUTED_VALUE"""),"Inversiones Famasa, C.A")</f>
        <v>Inversiones Famasa, C.A</v>
      </c>
      <c r="G455" s="70">
        <f>IFERROR(__xludf.DUMMYFUNCTION("""COMPUTED_VALUE"""),557.9741)</f>
        <v>557.9741</v>
      </c>
      <c r="H455" s="1"/>
      <c r="I455" s="71">
        <f>IFERROR(__xludf.DUMMYFUNCTION("""COMPUTED_VALUE"""),35.0)</f>
        <v>35</v>
      </c>
      <c r="J455" s="69">
        <f>IFERROR(__xludf.DUMMYFUNCTION("""COMPUTED_VALUE"""),35.0)</f>
        <v>35</v>
      </c>
      <c r="K455" s="4">
        <f>IFERROR(__xludf.DUMMYFUNCTION("""COMPUTED_VALUE"""),35.0)</f>
        <v>35</v>
      </c>
      <c r="N455" s="67"/>
      <c r="R455" s="4"/>
    </row>
    <row r="456">
      <c r="A456" s="66">
        <f>IFERROR(__xludf.DUMMYFUNCTION("""COMPUTED_VALUE"""),46175.0)</f>
        <v>46175</v>
      </c>
      <c r="B456" s="67">
        <f>IFERROR(__xludf.DUMMYFUNCTION("""COMPUTED_VALUE"""),330.0)</f>
        <v>330</v>
      </c>
      <c r="C456" s="69">
        <f>IFERROR(__xludf.DUMMYFUNCTION("""COMPUTED_VALUE"""),16740.0)</f>
        <v>16740</v>
      </c>
      <c r="D456" s="1" t="str">
        <f>IFERROR(__xludf.DUMMYFUNCTION("""COMPUTED_VALUE"""),"VES")</f>
        <v>VES</v>
      </c>
      <c r="E456" s="1" t="str">
        <f>IFERROR(__xludf.DUMMYFUNCTION("""COMPUTED_VALUE"""),"Bancamiga")</f>
        <v>Bancamiga</v>
      </c>
      <c r="F456" s="1" t="str">
        <f>IFERROR(__xludf.DUMMYFUNCTION("""COMPUTED_VALUE"""),"Diana Carolina Torres")</f>
        <v>Diana Carolina Torres</v>
      </c>
      <c r="G456" s="70">
        <f>IFERROR(__xludf.DUMMYFUNCTION("""COMPUTED_VALUE"""),557.9741)</f>
        <v>557.9741</v>
      </c>
      <c r="H456" s="1"/>
      <c r="I456" s="71">
        <f>IFERROR(__xludf.DUMMYFUNCTION("""COMPUTED_VALUE"""),30.00139253775399)</f>
        <v>30.00139254</v>
      </c>
      <c r="J456" s="69">
        <f>IFERROR(__xludf.DUMMYFUNCTION("""COMPUTED_VALUE"""),0.0)</f>
        <v>0</v>
      </c>
      <c r="K456" s="4">
        <f>IFERROR(__xludf.DUMMYFUNCTION("""COMPUTED_VALUE"""),30.00139253775399)</f>
        <v>30.00139254</v>
      </c>
      <c r="N456" s="67"/>
      <c r="R456" s="4"/>
    </row>
    <row r="457">
      <c r="A457" s="66">
        <f>IFERROR(__xludf.DUMMYFUNCTION("""COMPUTED_VALUE"""),46175.0)</f>
        <v>46175</v>
      </c>
      <c r="B457" s="67">
        <f>IFERROR(__xludf.DUMMYFUNCTION("""COMPUTED_VALUE"""),394.0)</f>
        <v>394</v>
      </c>
      <c r="C457" s="69">
        <f>IFERROR(__xludf.DUMMYFUNCTION("""COMPUTED_VALUE"""),189364.13)</f>
        <v>189364.13</v>
      </c>
      <c r="D457" s="1" t="str">
        <f>IFERROR(__xludf.DUMMYFUNCTION("""COMPUTED_VALUE"""),"VES")</f>
        <v>VES</v>
      </c>
      <c r="E457" s="1" t="str">
        <f>IFERROR(__xludf.DUMMYFUNCTION("""COMPUTED_VALUE"""),"Bancamiga")</f>
        <v>Bancamiga</v>
      </c>
      <c r="F457" s="1" t="str">
        <f>IFERROR(__xludf.DUMMYFUNCTION("""COMPUTED_VALUE"""),"Sandra Katherine Quintero Crespo")</f>
        <v>Sandra Katherine Quintero Crespo</v>
      </c>
      <c r="G457" s="70">
        <f>IFERROR(__xludf.DUMMYFUNCTION("""COMPUTED_VALUE"""),557.9741)</f>
        <v>557.9741</v>
      </c>
      <c r="H457" s="1"/>
      <c r="I457" s="71">
        <f>IFERROR(__xludf.DUMMYFUNCTION("""COMPUTED_VALUE"""),339.37799263442514)</f>
        <v>339.3779926</v>
      </c>
      <c r="J457" s="69">
        <f>IFERROR(__xludf.DUMMYFUNCTION("""COMPUTED_VALUE"""),0.0)</f>
        <v>0</v>
      </c>
      <c r="K457" s="4">
        <f>IFERROR(__xludf.DUMMYFUNCTION("""COMPUTED_VALUE"""),339.37799263442514)</f>
        <v>339.3779926</v>
      </c>
      <c r="N457" s="67"/>
      <c r="R457" s="4"/>
    </row>
    <row r="458">
      <c r="A458" s="66">
        <f>IFERROR(__xludf.DUMMYFUNCTION("""COMPUTED_VALUE"""),46175.0)</f>
        <v>46175</v>
      </c>
      <c r="B458" s="67">
        <f>IFERROR(__xludf.DUMMYFUNCTION("""COMPUTED_VALUE"""),27.0)</f>
        <v>27</v>
      </c>
      <c r="C458" s="69">
        <f>IFERROR(__xludf.DUMMYFUNCTION("""COMPUTED_VALUE"""),20.0)</f>
        <v>20</v>
      </c>
      <c r="D458" s="1" t="str">
        <f>IFERROR(__xludf.DUMMYFUNCTION("""COMPUTED_VALUE"""),"USD")</f>
        <v>USD</v>
      </c>
      <c r="E458" s="1" t="str">
        <f>IFERROR(__xludf.DUMMYFUNCTION("""COMPUTED_VALUE"""),"Efectivo USD")</f>
        <v>Efectivo USD</v>
      </c>
      <c r="F458" s="1" t="str">
        <f>IFERROR(__xludf.DUMMYFUNCTION("""COMPUTED_VALUE"""),"Moises Alejandro Mares")</f>
        <v>Moises Alejandro Mares</v>
      </c>
      <c r="G458" s="70">
        <f>IFERROR(__xludf.DUMMYFUNCTION("""COMPUTED_VALUE"""),557.9741)</f>
        <v>557.9741</v>
      </c>
      <c r="H458" s="1"/>
      <c r="I458" s="71">
        <f>IFERROR(__xludf.DUMMYFUNCTION("""COMPUTED_VALUE"""),20.0)</f>
        <v>20</v>
      </c>
      <c r="J458" s="69">
        <f>IFERROR(__xludf.DUMMYFUNCTION("""COMPUTED_VALUE"""),20.0)</f>
        <v>20</v>
      </c>
      <c r="K458" s="4">
        <f>IFERROR(__xludf.DUMMYFUNCTION("""COMPUTED_VALUE"""),20.0)</f>
        <v>20</v>
      </c>
      <c r="N458" s="67"/>
      <c r="R458" s="4"/>
    </row>
    <row r="459">
      <c r="A459" s="66">
        <f>IFERROR(__xludf.DUMMYFUNCTION("""COMPUTED_VALUE"""),46175.0)</f>
        <v>46175</v>
      </c>
      <c r="B459" s="67">
        <f>IFERROR(__xludf.DUMMYFUNCTION("""COMPUTED_VALUE"""),118.0)</f>
        <v>118</v>
      </c>
      <c r="C459" s="69">
        <f>IFERROR(__xludf.DUMMYFUNCTION("""COMPUTED_VALUE"""),14.0)</f>
        <v>14</v>
      </c>
      <c r="D459" s="1" t="str">
        <f>IFERROR(__xludf.DUMMYFUNCTION("""COMPUTED_VALUE"""),"USD")</f>
        <v>USD</v>
      </c>
      <c r="E459" s="1" t="str">
        <f>IFERROR(__xludf.DUMMYFUNCTION("""COMPUTED_VALUE"""),"Efectivo USD")</f>
        <v>Efectivo USD</v>
      </c>
      <c r="F459" s="1" t="str">
        <f>IFERROR(__xludf.DUMMYFUNCTION("""COMPUTED_VALUE"""),"ELIVAN2025, C.A")</f>
        <v>ELIVAN2025, C.A</v>
      </c>
      <c r="G459" s="70">
        <f>IFERROR(__xludf.DUMMYFUNCTION("""COMPUTED_VALUE"""),557.9741)</f>
        <v>557.9741</v>
      </c>
      <c r="H459" s="1"/>
      <c r="I459" s="71">
        <f>IFERROR(__xludf.DUMMYFUNCTION("""COMPUTED_VALUE"""),14.0)</f>
        <v>14</v>
      </c>
      <c r="J459" s="69">
        <f>IFERROR(__xludf.DUMMYFUNCTION("""COMPUTED_VALUE"""),14.0)</f>
        <v>14</v>
      </c>
      <c r="K459" s="4">
        <f>IFERROR(__xludf.DUMMYFUNCTION("""COMPUTED_VALUE"""),14.0)</f>
        <v>14</v>
      </c>
      <c r="N459" s="67"/>
      <c r="R459" s="4"/>
    </row>
    <row r="460">
      <c r="A460" s="66">
        <f>IFERROR(__xludf.DUMMYFUNCTION("""COMPUTED_VALUE"""),46175.0)</f>
        <v>46175</v>
      </c>
      <c r="B460" s="67">
        <f>IFERROR(__xludf.DUMMYFUNCTION("""COMPUTED_VALUE"""),449.0)</f>
        <v>449</v>
      </c>
      <c r="C460" s="69">
        <f>IFERROR(__xludf.DUMMYFUNCTION("""COMPUTED_VALUE"""),1000.0)</f>
        <v>1000</v>
      </c>
      <c r="D460" s="1" t="str">
        <f>IFERROR(__xludf.DUMMYFUNCTION("""COMPUTED_VALUE"""),"USD")</f>
        <v>USD</v>
      </c>
      <c r="E460" s="1" t="str">
        <f>IFERROR(__xludf.DUMMYFUNCTION("""COMPUTED_VALUE"""),"Efectivo USD")</f>
        <v>Efectivo USD</v>
      </c>
      <c r="F460" s="1" t="str">
        <f>IFERROR(__xludf.DUMMYFUNCTION("""COMPUTED_VALUE"""),"Alexander Quiroz")</f>
        <v>Alexander Quiroz</v>
      </c>
      <c r="G460" s="70">
        <f>IFERROR(__xludf.DUMMYFUNCTION("""COMPUTED_VALUE"""),557.9741)</f>
        <v>557.9741</v>
      </c>
      <c r="H460" s="1"/>
      <c r="I460" s="71">
        <f>IFERROR(__xludf.DUMMYFUNCTION("""COMPUTED_VALUE"""),1000.0)</f>
        <v>1000</v>
      </c>
      <c r="J460" s="69">
        <f>IFERROR(__xludf.DUMMYFUNCTION("""COMPUTED_VALUE"""),1000.0)</f>
        <v>1000</v>
      </c>
      <c r="K460" s="4">
        <f>IFERROR(__xludf.DUMMYFUNCTION("""COMPUTED_VALUE"""),1000.0)</f>
        <v>1000</v>
      </c>
      <c r="N460" s="67"/>
      <c r="R460" s="4"/>
    </row>
    <row r="461">
      <c r="A461" s="66">
        <f>IFERROR(__xludf.DUMMYFUNCTION("""COMPUTED_VALUE"""),46175.0)</f>
        <v>46175</v>
      </c>
      <c r="B461" s="67">
        <f>IFERROR(__xludf.DUMMYFUNCTION("""COMPUTED_VALUE"""),204.0)</f>
        <v>204</v>
      </c>
      <c r="C461" s="69">
        <f>IFERROR(__xludf.DUMMYFUNCTION("""COMPUTED_VALUE"""),100.0)</f>
        <v>100</v>
      </c>
      <c r="D461" s="1" t="str">
        <f>IFERROR(__xludf.DUMMYFUNCTION("""COMPUTED_VALUE"""),"USD")</f>
        <v>USD</v>
      </c>
      <c r="E461" s="1" t="str">
        <f>IFERROR(__xludf.DUMMYFUNCTION("""COMPUTED_VALUE"""),"Efectivo USD")</f>
        <v>Efectivo USD</v>
      </c>
      <c r="F461" s="1" t="str">
        <f>IFERROR(__xludf.DUMMYFUNCTION("""COMPUTED_VALUE"""),"Motolavado Yahir")</f>
        <v>Motolavado Yahir</v>
      </c>
      <c r="G461" s="70">
        <f>IFERROR(__xludf.DUMMYFUNCTION("""COMPUTED_VALUE"""),557.9741)</f>
        <v>557.9741</v>
      </c>
      <c r="H461" s="1"/>
      <c r="I461" s="71">
        <f>IFERROR(__xludf.DUMMYFUNCTION("""COMPUTED_VALUE"""),100.0)</f>
        <v>100</v>
      </c>
      <c r="J461" s="69">
        <f>IFERROR(__xludf.DUMMYFUNCTION("""COMPUTED_VALUE"""),100.0)</f>
        <v>100</v>
      </c>
      <c r="K461" s="4">
        <f>IFERROR(__xludf.DUMMYFUNCTION("""COMPUTED_VALUE"""),100.0)</f>
        <v>100</v>
      </c>
      <c r="N461" s="67"/>
      <c r="R461" s="4"/>
    </row>
    <row r="462">
      <c r="A462" s="66">
        <f>IFERROR(__xludf.DUMMYFUNCTION("""COMPUTED_VALUE"""),46175.0)</f>
        <v>46175</v>
      </c>
      <c r="B462" s="67">
        <f>IFERROR(__xludf.DUMMYFUNCTION("""COMPUTED_VALUE"""),327.0)</f>
        <v>327</v>
      </c>
      <c r="C462" s="69">
        <f>IFERROR(__xludf.DUMMYFUNCTION("""COMPUTED_VALUE"""),302.0)</f>
        <v>302</v>
      </c>
      <c r="D462" s="1" t="str">
        <f>IFERROR(__xludf.DUMMYFUNCTION("""COMPUTED_VALUE"""),"USD")</f>
        <v>USD</v>
      </c>
      <c r="E462" s="1" t="str">
        <f>IFERROR(__xludf.DUMMYFUNCTION("""COMPUTED_VALUE"""),"Efectivo USD")</f>
        <v>Efectivo USD</v>
      </c>
      <c r="F462" s="1" t="str">
        <f>IFERROR(__xludf.DUMMYFUNCTION("""COMPUTED_VALUE"""),"Kervin baez")</f>
        <v>Kervin baez</v>
      </c>
      <c r="G462" s="70">
        <f>IFERROR(__xludf.DUMMYFUNCTION("""COMPUTED_VALUE"""),557.9741)</f>
        <v>557.9741</v>
      </c>
      <c r="H462" s="1"/>
      <c r="I462" s="71">
        <f>IFERROR(__xludf.DUMMYFUNCTION("""COMPUTED_VALUE"""),302.0)</f>
        <v>302</v>
      </c>
      <c r="J462" s="69">
        <f>IFERROR(__xludf.DUMMYFUNCTION("""COMPUTED_VALUE"""),302.0)</f>
        <v>302</v>
      </c>
      <c r="K462" s="4">
        <f>IFERROR(__xludf.DUMMYFUNCTION("""COMPUTED_VALUE"""),302.0)</f>
        <v>302</v>
      </c>
      <c r="N462" s="67"/>
      <c r="R462" s="4"/>
    </row>
    <row r="463">
      <c r="A463" s="66">
        <f>IFERROR(__xludf.DUMMYFUNCTION("""COMPUTED_VALUE"""),46175.0)</f>
        <v>46175</v>
      </c>
      <c r="B463" s="67">
        <f>IFERROR(__xludf.DUMMYFUNCTION("""COMPUTED_VALUE"""),222.0)</f>
        <v>222</v>
      </c>
      <c r="C463" s="69">
        <f>IFERROR(__xludf.DUMMYFUNCTION("""COMPUTED_VALUE"""),40.0)</f>
        <v>40</v>
      </c>
      <c r="D463" s="1" t="str">
        <f>IFERROR(__xludf.DUMMYFUNCTION("""COMPUTED_VALUE"""),"USD")</f>
        <v>USD</v>
      </c>
      <c r="E463" s="1" t="str">
        <f>IFERROR(__xludf.DUMMYFUNCTION("""COMPUTED_VALUE"""),"Efectivo USD")</f>
        <v>Efectivo USD</v>
      </c>
      <c r="F463" s="1" t="str">
        <f>IFERROR(__xludf.DUMMYFUNCTION("""COMPUTED_VALUE"""),"Braulio R. Cedeño Gonzalez.")</f>
        <v>Braulio R. Cedeño Gonzalez.</v>
      </c>
      <c r="G463" s="70">
        <f>IFERROR(__xludf.DUMMYFUNCTION("""COMPUTED_VALUE"""),557.9741)</f>
        <v>557.9741</v>
      </c>
      <c r="H463" s="1"/>
      <c r="I463" s="71">
        <f>IFERROR(__xludf.DUMMYFUNCTION("""COMPUTED_VALUE"""),40.0)</f>
        <v>40</v>
      </c>
      <c r="J463" s="69">
        <f>IFERROR(__xludf.DUMMYFUNCTION("""COMPUTED_VALUE"""),40.0)</f>
        <v>40</v>
      </c>
      <c r="K463" s="4">
        <f>IFERROR(__xludf.DUMMYFUNCTION("""COMPUTED_VALUE"""),40.0)</f>
        <v>40</v>
      </c>
      <c r="N463" s="67"/>
      <c r="R463" s="4"/>
    </row>
    <row r="464">
      <c r="A464" s="66">
        <f>IFERROR(__xludf.DUMMYFUNCTION("""COMPUTED_VALUE"""),46175.0)</f>
        <v>46175</v>
      </c>
      <c r="B464" s="67">
        <f>IFERROR(__xludf.DUMMYFUNCTION("""COMPUTED_VALUE"""),411.0)</f>
        <v>411</v>
      </c>
      <c r="C464" s="69">
        <f>IFERROR(__xludf.DUMMYFUNCTION("""COMPUTED_VALUE"""),150.0)</f>
        <v>150</v>
      </c>
      <c r="D464" s="1" t="str">
        <f>IFERROR(__xludf.DUMMYFUNCTION("""COMPUTED_VALUE"""),"USD")</f>
        <v>USD</v>
      </c>
      <c r="E464" s="1" t="str">
        <f>IFERROR(__xludf.DUMMYFUNCTION("""COMPUTED_VALUE"""),"Efectivo USD")</f>
        <v>Efectivo USD</v>
      </c>
      <c r="F464" s="1" t="str">
        <f>IFERROR(__xludf.DUMMYFUNCTION("""COMPUTED_VALUE"""),"Pedro Castro")</f>
        <v>Pedro Castro</v>
      </c>
      <c r="G464" s="70">
        <f>IFERROR(__xludf.DUMMYFUNCTION("""COMPUTED_VALUE"""),557.9741)</f>
        <v>557.9741</v>
      </c>
      <c r="H464" s="1"/>
      <c r="I464" s="71">
        <f>IFERROR(__xludf.DUMMYFUNCTION("""COMPUTED_VALUE"""),150.0)</f>
        <v>150</v>
      </c>
      <c r="J464" s="69">
        <f>IFERROR(__xludf.DUMMYFUNCTION("""COMPUTED_VALUE"""),150.0)</f>
        <v>150</v>
      </c>
      <c r="K464" s="4">
        <f>IFERROR(__xludf.DUMMYFUNCTION("""COMPUTED_VALUE"""),150.0)</f>
        <v>150</v>
      </c>
      <c r="N464" s="67"/>
      <c r="R464" s="4"/>
    </row>
    <row r="465">
      <c r="A465" s="66">
        <f>IFERROR(__xludf.DUMMYFUNCTION("""COMPUTED_VALUE"""),46175.0)</f>
        <v>46175</v>
      </c>
      <c r="B465" s="67">
        <f>IFERROR(__xludf.DUMMYFUNCTION("""COMPUTED_VALUE"""),54.0)</f>
        <v>54</v>
      </c>
      <c r="C465" s="69">
        <f>IFERROR(__xludf.DUMMYFUNCTION("""COMPUTED_VALUE"""),32412.0)</f>
        <v>32412</v>
      </c>
      <c r="D465" s="1" t="str">
        <f>IFERROR(__xludf.DUMMYFUNCTION("""COMPUTED_VALUE"""),"VES")</f>
        <v>VES</v>
      </c>
      <c r="E465" s="1" t="str">
        <f>IFERROR(__xludf.DUMMYFUNCTION("""COMPUTED_VALUE"""),"Bancamiga")</f>
        <v>Bancamiga</v>
      </c>
      <c r="F465" s="1" t="str">
        <f>IFERROR(__xludf.DUMMYFUNCTION("""COMPUTED_VALUE"""),"Corporación Lubricantes 7ma Av.C.A")</f>
        <v>Corporación Lubricantes 7ma Av.C.A</v>
      </c>
      <c r="G465" s="70">
        <f>IFERROR(__xludf.DUMMYFUNCTION("""COMPUTED_VALUE"""),557.9741)</f>
        <v>557.9741</v>
      </c>
      <c r="H465" s="1"/>
      <c r="I465" s="71">
        <f>IFERROR(__xludf.DUMMYFUNCTION("""COMPUTED_VALUE"""),58.08871773797386)</f>
        <v>58.08871774</v>
      </c>
      <c r="J465" s="69">
        <f>IFERROR(__xludf.DUMMYFUNCTION("""COMPUTED_VALUE"""),0.0)</f>
        <v>0</v>
      </c>
      <c r="K465" s="4">
        <f>IFERROR(__xludf.DUMMYFUNCTION("""COMPUTED_VALUE"""),58.08871773797386)</f>
        <v>58.08871774</v>
      </c>
      <c r="N465" s="67"/>
      <c r="R465" s="4"/>
    </row>
    <row r="466">
      <c r="A466" s="66">
        <f>IFERROR(__xludf.DUMMYFUNCTION("""COMPUTED_VALUE"""),46176.0)</f>
        <v>46176</v>
      </c>
      <c r="B466" s="67">
        <f>IFERROR(__xludf.DUMMYFUNCTION("""COMPUTED_VALUE"""),164.0)</f>
        <v>164</v>
      </c>
      <c r="C466" s="69">
        <f>IFERROR(__xludf.DUMMYFUNCTION("""COMPUTED_VALUE"""),62.0)</f>
        <v>62</v>
      </c>
      <c r="D466" s="1" t="str">
        <f>IFERROR(__xludf.DUMMYFUNCTION("""COMPUTED_VALUE"""),"USD")</f>
        <v>USD</v>
      </c>
      <c r="E466" s="1" t="str">
        <f>IFERROR(__xludf.DUMMYFUNCTION("""COMPUTED_VALUE"""),"Efectivo USD")</f>
        <v>Efectivo USD</v>
      </c>
      <c r="F466" s="1" t="str">
        <f>IFERROR(__xludf.DUMMYFUNCTION("""COMPUTED_VALUE"""),"INVERSIONES IRETE SUKA, C.A")</f>
        <v>INVERSIONES IRETE SUKA, C.A</v>
      </c>
      <c r="G466" s="70">
        <f>IFERROR(__xludf.DUMMYFUNCTION("""COMPUTED_VALUE"""),558.6436)</f>
        <v>558.6436</v>
      </c>
      <c r="H466" s="1"/>
      <c r="I466" s="71">
        <f>IFERROR(__xludf.DUMMYFUNCTION("""COMPUTED_VALUE"""),62.0)</f>
        <v>62</v>
      </c>
      <c r="J466" s="69">
        <f>IFERROR(__xludf.DUMMYFUNCTION("""COMPUTED_VALUE"""),62.0)</f>
        <v>62</v>
      </c>
      <c r="K466" s="4">
        <f>IFERROR(__xludf.DUMMYFUNCTION("""COMPUTED_VALUE"""),62.0)</f>
        <v>62</v>
      </c>
      <c r="N466" s="67"/>
      <c r="R466" s="4"/>
    </row>
    <row r="467">
      <c r="A467" s="66">
        <f>IFERROR(__xludf.DUMMYFUNCTION("""COMPUTED_VALUE"""),46176.0)</f>
        <v>46176</v>
      </c>
      <c r="B467" s="67">
        <f>IFERROR(__xludf.DUMMYFUNCTION("""COMPUTED_VALUE"""),293.0)</f>
        <v>293</v>
      </c>
      <c r="C467" s="69">
        <f>IFERROR(__xludf.DUMMYFUNCTION("""COMPUTED_VALUE"""),198.0)</f>
        <v>198</v>
      </c>
      <c r="D467" s="1" t="str">
        <f>IFERROR(__xludf.DUMMYFUNCTION("""COMPUTED_VALUE"""),"USD")</f>
        <v>USD</v>
      </c>
      <c r="E467" s="1" t="str">
        <f>IFERROR(__xludf.DUMMYFUNCTION("""COMPUTED_VALUE"""),"Efectivo USD")</f>
        <v>Efectivo USD</v>
      </c>
      <c r="F467" s="1" t="str">
        <f>IFERROR(__xludf.DUMMYFUNCTION("""COMPUTED_VALUE"""),"Jose Becerra")</f>
        <v>Jose Becerra</v>
      </c>
      <c r="G467" s="70">
        <f>IFERROR(__xludf.DUMMYFUNCTION("""COMPUTED_VALUE"""),558.6436)</f>
        <v>558.6436</v>
      </c>
      <c r="H467" s="1"/>
      <c r="I467" s="71">
        <f>IFERROR(__xludf.DUMMYFUNCTION("""COMPUTED_VALUE"""),198.0)</f>
        <v>198</v>
      </c>
      <c r="J467" s="69">
        <f>IFERROR(__xludf.DUMMYFUNCTION("""COMPUTED_VALUE"""),198.0)</f>
        <v>198</v>
      </c>
      <c r="K467" s="4">
        <f>IFERROR(__xludf.DUMMYFUNCTION("""COMPUTED_VALUE"""),198.0)</f>
        <v>198</v>
      </c>
      <c r="N467" s="67"/>
      <c r="R467" s="4"/>
    </row>
    <row r="468">
      <c r="A468" s="66">
        <f>IFERROR(__xludf.DUMMYFUNCTION("""COMPUTED_VALUE"""),46176.0)</f>
        <v>46176</v>
      </c>
      <c r="B468" s="67">
        <f>IFERROR(__xludf.DUMMYFUNCTION("""COMPUTED_VALUE"""),61.0)</f>
        <v>61</v>
      </c>
      <c r="C468" s="69">
        <f>IFERROR(__xludf.DUMMYFUNCTION("""COMPUTED_VALUE"""),190.0)</f>
        <v>190</v>
      </c>
      <c r="D468" s="1" t="str">
        <f>IFERROR(__xludf.DUMMYFUNCTION("""COMPUTED_VALUE"""),"USD")</f>
        <v>USD</v>
      </c>
      <c r="E468" s="1" t="str">
        <f>IFERROR(__xludf.DUMMYFUNCTION("""COMPUTED_VALUE"""),"Efectivo USD")</f>
        <v>Efectivo USD</v>
      </c>
      <c r="F468" s="1" t="str">
        <f>IFERROR(__xludf.DUMMYFUNCTION("""COMPUTED_VALUE"""),"SJMG 2012 C.A")</f>
        <v>SJMG 2012 C.A</v>
      </c>
      <c r="G468" s="70">
        <f>IFERROR(__xludf.DUMMYFUNCTION("""COMPUTED_VALUE"""),558.6436)</f>
        <v>558.6436</v>
      </c>
      <c r="H468" s="1"/>
      <c r="I468" s="71">
        <f>IFERROR(__xludf.DUMMYFUNCTION("""COMPUTED_VALUE"""),190.0)</f>
        <v>190</v>
      </c>
      <c r="J468" s="69">
        <f>IFERROR(__xludf.DUMMYFUNCTION("""COMPUTED_VALUE"""),190.0)</f>
        <v>190</v>
      </c>
      <c r="K468" s="4">
        <f>IFERROR(__xludf.DUMMYFUNCTION("""COMPUTED_VALUE"""),190.0)</f>
        <v>190</v>
      </c>
      <c r="N468" s="67"/>
      <c r="R468" s="4"/>
    </row>
    <row r="469">
      <c r="A469" s="66">
        <f>IFERROR(__xludf.DUMMYFUNCTION("""COMPUTED_VALUE"""),46176.0)</f>
        <v>46176</v>
      </c>
      <c r="B469" s="67">
        <f>IFERROR(__xludf.DUMMYFUNCTION("""COMPUTED_VALUE"""),330.0)</f>
        <v>330</v>
      </c>
      <c r="C469" s="69">
        <f>IFERROR(__xludf.DUMMYFUNCTION("""COMPUTED_VALUE"""),19565.0)</f>
        <v>19565</v>
      </c>
      <c r="D469" s="1" t="str">
        <f>IFERROR(__xludf.DUMMYFUNCTION("""COMPUTED_VALUE"""),"VES")</f>
        <v>VES</v>
      </c>
      <c r="E469" s="1" t="str">
        <f>IFERROR(__xludf.DUMMYFUNCTION("""COMPUTED_VALUE"""),"Bancamiga")</f>
        <v>Bancamiga</v>
      </c>
      <c r="F469" s="1" t="str">
        <f>IFERROR(__xludf.DUMMYFUNCTION("""COMPUTED_VALUE"""),"Diana Carolina Torres")</f>
        <v>Diana Carolina Torres</v>
      </c>
      <c r="G469" s="70">
        <f>IFERROR(__xludf.DUMMYFUNCTION("""COMPUTED_VALUE"""),558.6436)</f>
        <v>558.6436</v>
      </c>
      <c r="H469" s="1"/>
      <c r="I469" s="71">
        <f>IFERROR(__xludf.DUMMYFUNCTION("""COMPUTED_VALUE"""),35.02232908423188)</f>
        <v>35.02232908</v>
      </c>
      <c r="J469" s="69">
        <f>IFERROR(__xludf.DUMMYFUNCTION("""COMPUTED_VALUE"""),0.0)</f>
        <v>0</v>
      </c>
      <c r="K469" s="4">
        <f>IFERROR(__xludf.DUMMYFUNCTION("""COMPUTED_VALUE"""),35.02232908423188)</f>
        <v>35.02232908</v>
      </c>
      <c r="N469" s="67"/>
      <c r="R469" s="4"/>
    </row>
    <row r="470">
      <c r="A470" s="66">
        <f>IFERROR(__xludf.DUMMYFUNCTION("""COMPUTED_VALUE"""),46176.0)</f>
        <v>46176</v>
      </c>
      <c r="B470" s="67">
        <f>IFERROR(__xludf.DUMMYFUNCTION("""COMPUTED_VALUE"""),259.0)</f>
        <v>259</v>
      </c>
      <c r="C470" s="69">
        <f>IFERROR(__xludf.DUMMYFUNCTION("""COMPUTED_VALUE"""),20.0)</f>
        <v>20</v>
      </c>
      <c r="D470" s="1" t="str">
        <f>IFERROR(__xludf.DUMMYFUNCTION("""COMPUTED_VALUE"""),"USD")</f>
        <v>USD</v>
      </c>
      <c r="E470" s="1" t="str">
        <f>IFERROR(__xludf.DUMMYFUNCTION("""COMPUTED_VALUE"""),"Efectivo USD")</f>
        <v>Efectivo USD</v>
      </c>
      <c r="F470" s="1" t="str">
        <f>IFERROR(__xludf.DUMMYFUNCTION("""COMPUTED_VALUE"""),"Multiservicio Tocome, C.A")</f>
        <v>Multiservicio Tocome, C.A</v>
      </c>
      <c r="G470" s="70">
        <f>IFERROR(__xludf.DUMMYFUNCTION("""COMPUTED_VALUE"""),558.6436)</f>
        <v>558.6436</v>
      </c>
      <c r="H470" s="1"/>
      <c r="I470" s="71">
        <f>IFERROR(__xludf.DUMMYFUNCTION("""COMPUTED_VALUE"""),20.0)</f>
        <v>20</v>
      </c>
      <c r="J470" s="69">
        <f>IFERROR(__xludf.DUMMYFUNCTION("""COMPUTED_VALUE"""),20.0)</f>
        <v>20</v>
      </c>
      <c r="K470" s="4">
        <f>IFERROR(__xludf.DUMMYFUNCTION("""COMPUTED_VALUE"""),20.0)</f>
        <v>20</v>
      </c>
      <c r="N470" s="67"/>
      <c r="R470" s="4"/>
    </row>
    <row r="471">
      <c r="A471" s="66">
        <f>IFERROR(__xludf.DUMMYFUNCTION("""COMPUTED_VALUE"""),46176.0)</f>
        <v>46176</v>
      </c>
      <c r="B471" s="67">
        <f>IFERROR(__xludf.DUMMYFUNCTION("""COMPUTED_VALUE"""),223.0)</f>
        <v>223</v>
      </c>
      <c r="C471" s="69">
        <f>IFERROR(__xludf.DUMMYFUNCTION("""COMPUTED_VALUE"""),275.0)</f>
        <v>275</v>
      </c>
      <c r="D471" s="1" t="str">
        <f>IFERROR(__xludf.DUMMYFUNCTION("""COMPUTED_VALUE"""),"USD")</f>
        <v>USD</v>
      </c>
      <c r="E471" s="1" t="str">
        <f>IFERROR(__xludf.DUMMYFUNCTION("""COMPUTED_VALUE"""),"Efectivo USD")</f>
        <v>Efectivo USD</v>
      </c>
      <c r="F471" s="1" t="str">
        <f>IFERROR(__xludf.DUMMYFUNCTION("""COMPUTED_VALUE"""),"Autorepuestos el Florin,c.a.")</f>
        <v>Autorepuestos el Florin,c.a.</v>
      </c>
      <c r="G471" s="70">
        <f>IFERROR(__xludf.DUMMYFUNCTION("""COMPUTED_VALUE"""),558.6436)</f>
        <v>558.6436</v>
      </c>
      <c r="H471" s="1"/>
      <c r="I471" s="71">
        <f>IFERROR(__xludf.DUMMYFUNCTION("""COMPUTED_VALUE"""),275.0)</f>
        <v>275</v>
      </c>
      <c r="J471" s="69">
        <f>IFERROR(__xludf.DUMMYFUNCTION("""COMPUTED_VALUE"""),275.0)</f>
        <v>275</v>
      </c>
      <c r="K471" s="4">
        <f>IFERROR(__xludf.DUMMYFUNCTION("""COMPUTED_VALUE"""),275.0)</f>
        <v>275</v>
      </c>
      <c r="N471" s="67"/>
      <c r="R471" s="4"/>
    </row>
    <row r="472">
      <c r="A472" s="66">
        <f>IFERROR(__xludf.DUMMYFUNCTION("""COMPUTED_VALUE"""),46176.0)</f>
        <v>46176</v>
      </c>
      <c r="B472" s="67">
        <f>IFERROR(__xludf.DUMMYFUNCTION("""COMPUTED_VALUE"""),280.0)</f>
        <v>280</v>
      </c>
      <c r="C472" s="69">
        <f>IFERROR(__xludf.DUMMYFUNCTION("""COMPUTED_VALUE"""),88784.19)</f>
        <v>88784.19</v>
      </c>
      <c r="D472" s="1" t="str">
        <f>IFERROR(__xludf.DUMMYFUNCTION("""COMPUTED_VALUE"""),"VES")</f>
        <v>VES</v>
      </c>
      <c r="E472" s="1" t="str">
        <f>IFERROR(__xludf.DUMMYFUNCTION("""COMPUTED_VALUE"""),"Bancamiga")</f>
        <v>Bancamiga</v>
      </c>
      <c r="F472" s="1" t="str">
        <f>IFERROR(__xludf.DUMMYFUNCTION("""COMPUTED_VALUE"""),"Lubristation, C.A.")</f>
        <v>Lubristation, C.A.</v>
      </c>
      <c r="G472" s="70">
        <f>IFERROR(__xludf.DUMMYFUNCTION("""COMPUTED_VALUE"""),558.6436)</f>
        <v>558.6436</v>
      </c>
      <c r="H472" s="1"/>
      <c r="I472" s="71">
        <f>IFERROR(__xludf.DUMMYFUNCTION("""COMPUTED_VALUE"""),158.92814309516837)</f>
        <v>158.9281431</v>
      </c>
      <c r="J472" s="69">
        <f>IFERROR(__xludf.DUMMYFUNCTION("""COMPUTED_VALUE"""),0.0)</f>
        <v>0</v>
      </c>
      <c r="K472" s="4">
        <f>IFERROR(__xludf.DUMMYFUNCTION("""COMPUTED_VALUE"""),158.92814309516837)</f>
        <v>158.9281431</v>
      </c>
      <c r="N472" s="67"/>
      <c r="R472" s="4"/>
    </row>
    <row r="473">
      <c r="A473" s="66">
        <f>IFERROR(__xludf.DUMMYFUNCTION("""COMPUTED_VALUE"""),46176.0)</f>
        <v>46176</v>
      </c>
      <c r="B473" s="67">
        <f>IFERROR(__xludf.DUMMYFUNCTION("""COMPUTED_VALUE"""),358.0)</f>
        <v>358</v>
      </c>
      <c r="C473" s="69">
        <f>IFERROR(__xludf.DUMMYFUNCTION("""COMPUTED_VALUE"""),539470.0)</f>
        <v>539470</v>
      </c>
      <c r="D473" s="1" t="str">
        <f>IFERROR(__xludf.DUMMYFUNCTION("""COMPUTED_VALUE"""),"VES")</f>
        <v>VES</v>
      </c>
      <c r="E473" s="1" t="str">
        <f>IFERROR(__xludf.DUMMYFUNCTION("""COMPUTED_VALUE"""),"Bancamiga")</f>
        <v>Bancamiga</v>
      </c>
      <c r="F473" s="1" t="str">
        <f>IFERROR(__xludf.DUMMYFUNCTION("""COMPUTED_VALUE"""),"E&amp;M CAR SHOP C.A")</f>
        <v>E&amp;M CAR SHOP C.A</v>
      </c>
      <c r="G473" s="70">
        <f>IFERROR(__xludf.DUMMYFUNCTION("""COMPUTED_VALUE"""),558.6436)</f>
        <v>558.6436</v>
      </c>
      <c r="H473" s="1"/>
      <c r="I473" s="71">
        <f>IFERROR(__xludf.DUMMYFUNCTION("""COMPUTED_VALUE"""),965.678296502457)</f>
        <v>965.6782965</v>
      </c>
      <c r="J473" s="69">
        <f>IFERROR(__xludf.DUMMYFUNCTION("""COMPUTED_VALUE"""),0.0)</f>
        <v>0</v>
      </c>
      <c r="K473" s="4">
        <f>IFERROR(__xludf.DUMMYFUNCTION("""COMPUTED_VALUE"""),965.678296502457)</f>
        <v>965.6782965</v>
      </c>
      <c r="N473" s="67"/>
      <c r="R473" s="4"/>
    </row>
    <row r="474">
      <c r="A474" s="66">
        <f>IFERROR(__xludf.DUMMYFUNCTION("""COMPUTED_VALUE"""),46176.0)</f>
        <v>46176</v>
      </c>
      <c r="B474" s="67">
        <f>IFERROR(__xludf.DUMMYFUNCTION("""COMPUTED_VALUE"""),127.0)</f>
        <v>127</v>
      </c>
      <c r="C474" s="69">
        <f>IFERROR(__xludf.DUMMYFUNCTION("""COMPUTED_VALUE"""),50.0)</f>
        <v>50</v>
      </c>
      <c r="D474" s="1" t="str">
        <f>IFERROR(__xludf.DUMMYFUNCTION("""COMPUTED_VALUE"""),"USD")</f>
        <v>USD</v>
      </c>
      <c r="E474" s="1" t="str">
        <f>IFERROR(__xludf.DUMMYFUNCTION("""COMPUTED_VALUE"""),"Efectivo USD")</f>
        <v>Efectivo USD</v>
      </c>
      <c r="F474" s="1" t="str">
        <f>IFERROR(__xludf.DUMMYFUNCTION("""COMPUTED_VALUE"""),"Emprendimiento José Sánchez 203 c.a")</f>
        <v>Emprendimiento José Sánchez 203 c.a</v>
      </c>
      <c r="G474" s="70">
        <f>IFERROR(__xludf.DUMMYFUNCTION("""COMPUTED_VALUE"""),558.6436)</f>
        <v>558.6436</v>
      </c>
      <c r="H474" s="1"/>
      <c r="I474" s="71">
        <f>IFERROR(__xludf.DUMMYFUNCTION("""COMPUTED_VALUE"""),50.0)</f>
        <v>50</v>
      </c>
      <c r="J474" s="69">
        <f>IFERROR(__xludf.DUMMYFUNCTION("""COMPUTED_VALUE"""),50.0)</f>
        <v>50</v>
      </c>
      <c r="K474" s="4">
        <f>IFERROR(__xludf.DUMMYFUNCTION("""COMPUTED_VALUE"""),50.0)</f>
        <v>50</v>
      </c>
      <c r="N474" s="67"/>
      <c r="R474" s="4"/>
    </row>
    <row r="475">
      <c r="A475" s="66">
        <f>IFERROR(__xludf.DUMMYFUNCTION("""COMPUTED_VALUE"""),46176.0)</f>
        <v>46176</v>
      </c>
      <c r="B475" s="67">
        <f>IFERROR(__xludf.DUMMYFUNCTION("""COMPUTED_VALUE"""),178.0)</f>
        <v>178</v>
      </c>
      <c r="C475" s="69">
        <f>IFERROR(__xludf.DUMMYFUNCTION("""COMPUTED_VALUE"""),40.0)</f>
        <v>40</v>
      </c>
      <c r="D475" s="1" t="str">
        <f>IFERROR(__xludf.DUMMYFUNCTION("""COMPUTED_VALUE"""),"USD")</f>
        <v>USD</v>
      </c>
      <c r="E475" s="1" t="str">
        <f>IFERROR(__xludf.DUMMYFUNCTION("""COMPUTED_VALUE"""),"Binance")</f>
        <v>Binance</v>
      </c>
      <c r="F475" s="1" t="str">
        <f>IFERROR(__xludf.DUMMYFUNCTION("""COMPUTED_VALUE"""),"Distribuidora Nesmari 2050 c.a")</f>
        <v>Distribuidora Nesmari 2050 c.a</v>
      </c>
      <c r="G475" s="70">
        <f>IFERROR(__xludf.DUMMYFUNCTION("""COMPUTED_VALUE"""),558.6436)</f>
        <v>558.6436</v>
      </c>
      <c r="H475" s="1"/>
      <c r="I475" s="71">
        <f>IFERROR(__xludf.DUMMYFUNCTION("""COMPUTED_VALUE"""),40.0)</f>
        <v>40</v>
      </c>
      <c r="J475" s="69">
        <f>IFERROR(__xludf.DUMMYFUNCTION("""COMPUTED_VALUE"""),40.0)</f>
        <v>40</v>
      </c>
      <c r="K475" s="4">
        <f>IFERROR(__xludf.DUMMYFUNCTION("""COMPUTED_VALUE"""),40.0)</f>
        <v>40</v>
      </c>
      <c r="N475" s="67"/>
      <c r="R475" s="4"/>
    </row>
    <row r="476">
      <c r="A476" s="66">
        <f>IFERROR(__xludf.DUMMYFUNCTION("""COMPUTED_VALUE"""),46177.0)</f>
        <v>46177</v>
      </c>
      <c r="B476" s="67">
        <f>IFERROR(__xludf.DUMMYFUNCTION("""COMPUTED_VALUE"""),274.0)</f>
        <v>274</v>
      </c>
      <c r="C476" s="69">
        <f>IFERROR(__xludf.DUMMYFUNCTION("""COMPUTED_VALUE"""),40.0)</f>
        <v>40</v>
      </c>
      <c r="D476" s="1" t="str">
        <f>IFERROR(__xludf.DUMMYFUNCTION("""COMPUTED_VALUE"""),"USD")</f>
        <v>USD</v>
      </c>
      <c r="E476" s="1" t="str">
        <f>IFERROR(__xludf.DUMMYFUNCTION("""COMPUTED_VALUE"""),"Efectivo USD")</f>
        <v>Efectivo USD</v>
      </c>
      <c r="F476" s="1" t="str">
        <f>IFERROR(__xludf.DUMMYFUNCTION("""COMPUTED_VALUE"""),"ADS SERVICE C.A")</f>
        <v>ADS SERVICE C.A</v>
      </c>
      <c r="G476" s="70">
        <f>IFERROR(__xludf.DUMMYFUNCTION("""COMPUTED_VALUE"""),560.3753)</f>
        <v>560.3753</v>
      </c>
      <c r="H476" s="1"/>
      <c r="I476" s="71">
        <f>IFERROR(__xludf.DUMMYFUNCTION("""COMPUTED_VALUE"""),40.0)</f>
        <v>40</v>
      </c>
      <c r="J476" s="69">
        <f>IFERROR(__xludf.DUMMYFUNCTION("""COMPUTED_VALUE"""),40.0)</f>
        <v>40</v>
      </c>
      <c r="K476" s="4">
        <f>IFERROR(__xludf.DUMMYFUNCTION("""COMPUTED_VALUE"""),40.0)</f>
        <v>40</v>
      </c>
      <c r="N476" s="67"/>
      <c r="R476" s="4"/>
    </row>
    <row r="477">
      <c r="A477" s="66">
        <f>IFERROR(__xludf.DUMMYFUNCTION("""COMPUTED_VALUE"""),46177.0)</f>
        <v>46177</v>
      </c>
      <c r="B477" s="67">
        <f>IFERROR(__xludf.DUMMYFUNCTION("""COMPUTED_VALUE"""),93.0)</f>
        <v>93</v>
      </c>
      <c r="C477" s="69">
        <f>IFERROR(__xludf.DUMMYFUNCTION("""COMPUTED_VALUE"""),20.0)</f>
        <v>20</v>
      </c>
      <c r="D477" s="1" t="str">
        <f>IFERROR(__xludf.DUMMYFUNCTION("""COMPUTED_VALUE"""),"USD")</f>
        <v>USD</v>
      </c>
      <c r="E477" s="1" t="str">
        <f>IFERROR(__xludf.DUMMYFUNCTION("""COMPUTED_VALUE"""),"Efectivo USD")</f>
        <v>Efectivo USD</v>
      </c>
      <c r="F477" s="1" t="str">
        <f>IFERROR(__xludf.DUMMYFUNCTION("""COMPUTED_VALUE"""),"Emprendimiento YSKRA")</f>
        <v>Emprendimiento YSKRA</v>
      </c>
      <c r="G477" s="70">
        <f>IFERROR(__xludf.DUMMYFUNCTION("""COMPUTED_VALUE"""),560.3753)</f>
        <v>560.3753</v>
      </c>
      <c r="H477" s="1"/>
      <c r="I477" s="71">
        <f>IFERROR(__xludf.DUMMYFUNCTION("""COMPUTED_VALUE"""),20.0)</f>
        <v>20</v>
      </c>
      <c r="J477" s="69">
        <f>IFERROR(__xludf.DUMMYFUNCTION("""COMPUTED_VALUE"""),20.0)</f>
        <v>20</v>
      </c>
      <c r="K477" s="4">
        <f>IFERROR(__xludf.DUMMYFUNCTION("""COMPUTED_VALUE"""),20.0)</f>
        <v>20</v>
      </c>
      <c r="N477" s="67"/>
      <c r="R477" s="4"/>
    </row>
    <row r="478">
      <c r="A478" s="66">
        <f>IFERROR(__xludf.DUMMYFUNCTION("""COMPUTED_VALUE"""),46177.0)</f>
        <v>46177</v>
      </c>
      <c r="B478" s="67">
        <f>IFERROR(__xludf.DUMMYFUNCTION("""COMPUTED_VALUE"""),20.0)</f>
        <v>20</v>
      </c>
      <c r="C478" s="69">
        <f>IFERROR(__xludf.DUMMYFUNCTION("""COMPUTED_VALUE"""),13010.0)</f>
        <v>13010</v>
      </c>
      <c r="D478" s="1" t="str">
        <f>IFERROR(__xludf.DUMMYFUNCTION("""COMPUTED_VALUE"""),"VES")</f>
        <v>VES</v>
      </c>
      <c r="E478" s="1" t="str">
        <f>IFERROR(__xludf.DUMMYFUNCTION("""COMPUTED_VALUE"""),"Bancamiga")</f>
        <v>Bancamiga</v>
      </c>
      <c r="F478" s="1" t="str">
        <f>IFERROR(__xludf.DUMMYFUNCTION("""COMPUTED_VALUE"""),"EMPRENDIMIENTO TOMAS MARCANO 5")</f>
        <v>EMPRENDIMIENTO TOMAS MARCANO 5</v>
      </c>
      <c r="G478" s="70">
        <f>IFERROR(__xludf.DUMMYFUNCTION("""COMPUTED_VALUE"""),560.3753)</f>
        <v>560.3753</v>
      </c>
      <c r="H478" s="1"/>
      <c r="I478" s="71">
        <f>IFERROR(__xludf.DUMMYFUNCTION("""COMPUTED_VALUE"""),23.216583600312145)</f>
        <v>23.2165836</v>
      </c>
      <c r="J478" s="69">
        <f>IFERROR(__xludf.DUMMYFUNCTION("""COMPUTED_VALUE"""),0.0)</f>
        <v>0</v>
      </c>
      <c r="K478" s="4">
        <f>IFERROR(__xludf.DUMMYFUNCTION("""COMPUTED_VALUE"""),23.216583600312145)</f>
        <v>23.2165836</v>
      </c>
      <c r="N478" s="67"/>
      <c r="R478" s="4"/>
    </row>
    <row r="479">
      <c r="A479" s="66">
        <f>IFERROR(__xludf.DUMMYFUNCTION("""COMPUTED_VALUE"""),46177.0)</f>
        <v>46177</v>
      </c>
      <c r="B479" s="67">
        <f>IFERROR(__xludf.DUMMYFUNCTION("""COMPUTED_VALUE"""),398.0)</f>
        <v>398</v>
      </c>
      <c r="C479" s="69">
        <f>IFERROR(__xludf.DUMMYFUNCTION("""COMPUTED_VALUE"""),39686.0)</f>
        <v>39686</v>
      </c>
      <c r="D479" s="1" t="str">
        <f>IFERROR(__xludf.DUMMYFUNCTION("""COMPUTED_VALUE"""),"VES")</f>
        <v>VES</v>
      </c>
      <c r="E479" s="1" t="str">
        <f>IFERROR(__xludf.DUMMYFUNCTION("""COMPUTED_VALUE"""),"Bancamiga")</f>
        <v>Bancamiga</v>
      </c>
      <c r="F479" s="1" t="str">
        <f>IFERROR(__xludf.DUMMYFUNCTION("""COMPUTED_VALUE"""),"Moto repuestos jj")</f>
        <v>Moto repuestos jj</v>
      </c>
      <c r="G479" s="70">
        <f>IFERROR(__xludf.DUMMYFUNCTION("""COMPUTED_VALUE"""),560.3753)</f>
        <v>560.3753</v>
      </c>
      <c r="H479" s="1"/>
      <c r="I479" s="71">
        <f>IFERROR(__xludf.DUMMYFUNCTION("""COMPUTED_VALUE"""),70.82039483182074)</f>
        <v>70.82039483</v>
      </c>
      <c r="J479" s="69">
        <f>IFERROR(__xludf.DUMMYFUNCTION("""COMPUTED_VALUE"""),0.0)</f>
        <v>0</v>
      </c>
      <c r="K479" s="4">
        <f>IFERROR(__xludf.DUMMYFUNCTION("""COMPUTED_VALUE"""),70.82039483182074)</f>
        <v>70.82039483</v>
      </c>
      <c r="N479" s="67"/>
      <c r="R479" s="4"/>
    </row>
    <row r="480">
      <c r="A480" s="66">
        <f>IFERROR(__xludf.DUMMYFUNCTION("""COMPUTED_VALUE"""),46177.0)</f>
        <v>46177</v>
      </c>
      <c r="B480" s="67">
        <f>IFERROR(__xludf.DUMMYFUNCTION("""COMPUTED_VALUE"""),353.0)</f>
        <v>353</v>
      </c>
      <c r="C480" s="69">
        <f>IFERROR(__xludf.DUMMYFUNCTION("""COMPUTED_VALUE"""),40.0)</f>
        <v>40</v>
      </c>
      <c r="D480" s="1" t="str">
        <f>IFERROR(__xludf.DUMMYFUNCTION("""COMPUTED_VALUE"""),"USD")</f>
        <v>USD</v>
      </c>
      <c r="E480" s="1" t="str">
        <f>IFERROR(__xludf.DUMMYFUNCTION("""COMPUTED_VALUE"""),"Efectivo USD")</f>
        <v>Efectivo USD</v>
      </c>
      <c r="F480" s="1" t="str">
        <f>IFERROR(__xludf.DUMMYFUNCTION("""COMPUTED_VALUE"""),"Emprendimiento Tomas Paz")</f>
        <v>Emprendimiento Tomas Paz</v>
      </c>
      <c r="G480" s="70">
        <f>IFERROR(__xludf.DUMMYFUNCTION("""COMPUTED_VALUE"""),560.3753)</f>
        <v>560.3753</v>
      </c>
      <c r="H480" s="1"/>
      <c r="I480" s="71">
        <f>IFERROR(__xludf.DUMMYFUNCTION("""COMPUTED_VALUE"""),40.0)</f>
        <v>40</v>
      </c>
      <c r="J480" s="69">
        <f>IFERROR(__xludf.DUMMYFUNCTION("""COMPUTED_VALUE"""),40.0)</f>
        <v>40</v>
      </c>
      <c r="K480" s="4">
        <f>IFERROR(__xludf.DUMMYFUNCTION("""COMPUTED_VALUE"""),40.0)</f>
        <v>40</v>
      </c>
      <c r="N480" s="67"/>
      <c r="R480" s="4"/>
    </row>
    <row r="481">
      <c r="A481" s="66">
        <f>IFERROR(__xludf.DUMMYFUNCTION("""COMPUTED_VALUE"""),46177.0)</f>
        <v>46177</v>
      </c>
      <c r="B481" s="67">
        <f>IFERROR(__xludf.DUMMYFUNCTION("""COMPUTED_VALUE"""),159.0)</f>
        <v>159</v>
      </c>
      <c r="C481" s="69">
        <f>IFERROR(__xludf.DUMMYFUNCTION("""COMPUTED_VALUE"""),200.0)</f>
        <v>200</v>
      </c>
      <c r="D481" s="1" t="str">
        <f>IFERROR(__xludf.DUMMYFUNCTION("""COMPUTED_VALUE"""),"USD")</f>
        <v>USD</v>
      </c>
      <c r="E481" s="1" t="str">
        <f>IFERROR(__xludf.DUMMYFUNCTION("""COMPUTED_VALUE"""),"Efectivo USD")</f>
        <v>Efectivo USD</v>
      </c>
      <c r="F481" s="1" t="str">
        <f>IFERROR(__xludf.DUMMYFUNCTION("""COMPUTED_VALUE"""),"Grupo 3030, C.A")</f>
        <v>Grupo 3030, C.A</v>
      </c>
      <c r="G481" s="70">
        <f>IFERROR(__xludf.DUMMYFUNCTION("""COMPUTED_VALUE"""),560.3753)</f>
        <v>560.3753</v>
      </c>
      <c r="H481" s="1"/>
      <c r="I481" s="71">
        <f>IFERROR(__xludf.DUMMYFUNCTION("""COMPUTED_VALUE"""),200.0)</f>
        <v>200</v>
      </c>
      <c r="J481" s="69">
        <f>IFERROR(__xludf.DUMMYFUNCTION("""COMPUTED_VALUE"""),200.0)</f>
        <v>200</v>
      </c>
      <c r="K481" s="4">
        <f>IFERROR(__xludf.DUMMYFUNCTION("""COMPUTED_VALUE"""),200.0)</f>
        <v>200</v>
      </c>
      <c r="N481" s="67"/>
      <c r="R481" s="4"/>
    </row>
    <row r="482">
      <c r="A482" s="66">
        <f>IFERROR(__xludf.DUMMYFUNCTION("""COMPUTED_VALUE"""),46177.0)</f>
        <v>46177</v>
      </c>
      <c r="B482" s="67">
        <f>IFERROR(__xludf.DUMMYFUNCTION("""COMPUTED_VALUE"""),348.0)</f>
        <v>348</v>
      </c>
      <c r="C482" s="69">
        <f>IFERROR(__xludf.DUMMYFUNCTION("""COMPUTED_VALUE"""),152745.65)</f>
        <v>152745.65</v>
      </c>
      <c r="D482" s="1" t="str">
        <f>IFERROR(__xludf.DUMMYFUNCTION("""COMPUTED_VALUE"""),"VES")</f>
        <v>VES</v>
      </c>
      <c r="E482" s="1" t="str">
        <f>IFERROR(__xludf.DUMMYFUNCTION("""COMPUTED_VALUE"""),"Bancamiga")</f>
        <v>Bancamiga</v>
      </c>
      <c r="F482" s="1" t="str">
        <f>IFERROR(__xludf.DUMMYFUNCTION("""COMPUTED_VALUE"""),"Comercial Rio Paraguas C.A")</f>
        <v>Comercial Rio Paraguas C.A</v>
      </c>
      <c r="G482" s="70">
        <f>IFERROR(__xludf.DUMMYFUNCTION("""COMPUTED_VALUE"""),560.3753)</f>
        <v>560.3753</v>
      </c>
      <c r="H482" s="1"/>
      <c r="I482" s="71">
        <f>IFERROR(__xludf.DUMMYFUNCTION("""COMPUTED_VALUE"""),272.5774137439676)</f>
        <v>272.5774137</v>
      </c>
      <c r="J482" s="69">
        <f>IFERROR(__xludf.DUMMYFUNCTION("""COMPUTED_VALUE"""),0.0)</f>
        <v>0</v>
      </c>
      <c r="K482" s="4">
        <f>IFERROR(__xludf.DUMMYFUNCTION("""COMPUTED_VALUE"""),272.5774137439676)</f>
        <v>272.5774137</v>
      </c>
      <c r="N482" s="67"/>
      <c r="R482" s="4"/>
    </row>
    <row r="483">
      <c r="A483" s="66">
        <f>IFERROR(__xludf.DUMMYFUNCTION("""COMPUTED_VALUE"""),46177.0)</f>
        <v>46177</v>
      </c>
      <c r="B483" s="67">
        <f>IFERROR(__xludf.DUMMYFUNCTION("""COMPUTED_VALUE"""),502.0)</f>
        <v>502</v>
      </c>
      <c r="C483" s="69">
        <f>IFERROR(__xludf.DUMMYFUNCTION("""COMPUTED_VALUE"""),70.0)</f>
        <v>70</v>
      </c>
      <c r="D483" s="1" t="str">
        <f>IFERROR(__xludf.DUMMYFUNCTION("""COMPUTED_VALUE"""),"USD")</f>
        <v>USD</v>
      </c>
      <c r="E483" s="1" t="str">
        <f>IFERROR(__xludf.DUMMYFUNCTION("""COMPUTED_VALUE"""),"Efectivo USD")</f>
        <v>Efectivo USD</v>
      </c>
      <c r="F483" s="1" t="str">
        <f>IFERROR(__xludf.DUMMYFUNCTION("""COMPUTED_VALUE"""),"Hector Griman")</f>
        <v>Hector Griman</v>
      </c>
      <c r="G483" s="70">
        <f>IFERROR(__xludf.DUMMYFUNCTION("""COMPUTED_VALUE"""),560.3753)</f>
        <v>560.3753</v>
      </c>
      <c r="H483" s="1"/>
      <c r="I483" s="71">
        <f>IFERROR(__xludf.DUMMYFUNCTION("""COMPUTED_VALUE"""),70.0)</f>
        <v>70</v>
      </c>
      <c r="J483" s="69">
        <f>IFERROR(__xludf.DUMMYFUNCTION("""COMPUTED_VALUE"""),70.0)</f>
        <v>70</v>
      </c>
      <c r="K483" s="4">
        <f>IFERROR(__xludf.DUMMYFUNCTION("""COMPUTED_VALUE"""),70.0)</f>
        <v>70</v>
      </c>
      <c r="N483" s="67"/>
      <c r="R483" s="4"/>
    </row>
    <row r="484">
      <c r="A484" s="66">
        <f>IFERROR(__xludf.DUMMYFUNCTION("""COMPUTED_VALUE"""),46177.0)</f>
        <v>46177</v>
      </c>
      <c r="B484" s="67">
        <f>IFERROR(__xludf.DUMMYFUNCTION("""COMPUTED_VALUE"""),218.0)</f>
        <v>218</v>
      </c>
      <c r="C484" s="69">
        <f>IFERROR(__xludf.DUMMYFUNCTION("""COMPUTED_VALUE"""),70.0)</f>
        <v>70</v>
      </c>
      <c r="D484" s="1" t="str">
        <f>IFERROR(__xludf.DUMMYFUNCTION("""COMPUTED_VALUE"""),"USD")</f>
        <v>USD</v>
      </c>
      <c r="E484" s="1" t="str">
        <f>IFERROR(__xludf.DUMMYFUNCTION("""COMPUTED_VALUE"""),"Efectivo USD")</f>
        <v>Efectivo USD</v>
      </c>
      <c r="F484" s="1" t="str">
        <f>IFERROR(__xludf.DUMMYFUNCTION("""COMPUTED_VALUE"""),"Cooperativa Dios mi Amparo, R.L.")</f>
        <v>Cooperativa Dios mi Amparo, R.L.</v>
      </c>
      <c r="G484" s="70">
        <f>IFERROR(__xludf.DUMMYFUNCTION("""COMPUTED_VALUE"""),560.3753)</f>
        <v>560.3753</v>
      </c>
      <c r="H484" s="1"/>
      <c r="I484" s="71">
        <f>IFERROR(__xludf.DUMMYFUNCTION("""COMPUTED_VALUE"""),70.0)</f>
        <v>70</v>
      </c>
      <c r="J484" s="69">
        <f>IFERROR(__xludf.DUMMYFUNCTION("""COMPUTED_VALUE"""),70.0)</f>
        <v>70</v>
      </c>
      <c r="K484" s="4">
        <f>IFERROR(__xludf.DUMMYFUNCTION("""COMPUTED_VALUE"""),70.0)</f>
        <v>70</v>
      </c>
      <c r="N484" s="67"/>
      <c r="R484" s="4"/>
    </row>
    <row r="485">
      <c r="A485" s="66">
        <f>IFERROR(__xludf.DUMMYFUNCTION("""COMPUTED_VALUE"""),46177.0)</f>
        <v>46177</v>
      </c>
      <c r="B485" s="67">
        <f>IFERROR(__xludf.DUMMYFUNCTION("""COMPUTED_VALUE"""),395.0)</f>
        <v>395</v>
      </c>
      <c r="C485" s="69">
        <f>IFERROR(__xludf.DUMMYFUNCTION("""COMPUTED_VALUE"""),11.94)</f>
        <v>11.94</v>
      </c>
      <c r="D485" s="1" t="str">
        <f>IFERROR(__xludf.DUMMYFUNCTION("""COMPUTED_VALUE"""),"USD")</f>
        <v>USD</v>
      </c>
      <c r="E485" s="1" t="str">
        <f>IFERROR(__xludf.DUMMYFUNCTION("""COMPUTED_VALUE"""),"Efectivo USD")</f>
        <v>Efectivo USD</v>
      </c>
      <c r="F485" s="1" t="str">
        <f>IFERROR(__xludf.DUMMYFUNCTION("""COMPUTED_VALUE"""),"Emprendimiento Eduardo Pérez 6")</f>
        <v>Emprendimiento Eduardo Pérez 6</v>
      </c>
      <c r="G485" s="70">
        <f>IFERROR(__xludf.DUMMYFUNCTION("""COMPUTED_VALUE"""),560.3753)</f>
        <v>560.3753</v>
      </c>
      <c r="H485" s="1"/>
      <c r="I485" s="71">
        <f>IFERROR(__xludf.DUMMYFUNCTION("""COMPUTED_VALUE"""),11.94)</f>
        <v>11.94</v>
      </c>
      <c r="J485" s="69">
        <f>IFERROR(__xludf.DUMMYFUNCTION("""COMPUTED_VALUE"""),11.94)</f>
        <v>11.94</v>
      </c>
      <c r="K485" s="4">
        <f>IFERROR(__xludf.DUMMYFUNCTION("""COMPUTED_VALUE"""),11.94)</f>
        <v>11.94</v>
      </c>
      <c r="N485" s="67"/>
      <c r="R485" s="4"/>
    </row>
    <row r="486">
      <c r="A486" s="66">
        <f>IFERROR(__xludf.DUMMYFUNCTION("""COMPUTED_VALUE"""),46177.0)</f>
        <v>46177</v>
      </c>
      <c r="B486" s="67">
        <f>IFERROR(__xludf.DUMMYFUNCTION("""COMPUTED_VALUE"""),475.0)</f>
        <v>475</v>
      </c>
      <c r="C486" s="69">
        <f>IFERROR(__xludf.DUMMYFUNCTION("""COMPUTED_VALUE"""),8.06)</f>
        <v>8.06</v>
      </c>
      <c r="D486" s="1" t="str">
        <f>IFERROR(__xludf.DUMMYFUNCTION("""COMPUTED_VALUE"""),"USD")</f>
        <v>USD</v>
      </c>
      <c r="E486" s="1" t="str">
        <f>IFERROR(__xludf.DUMMYFUNCTION("""COMPUTED_VALUE"""),"Efectivo USD")</f>
        <v>Efectivo USD</v>
      </c>
      <c r="F486" s="1" t="str">
        <f>IFERROR(__xludf.DUMMYFUNCTION("""COMPUTED_VALUE"""),"Emprendimiento Eduardo Pérez 6")</f>
        <v>Emprendimiento Eduardo Pérez 6</v>
      </c>
      <c r="G486" s="70">
        <f>IFERROR(__xludf.DUMMYFUNCTION("""COMPUTED_VALUE"""),560.3753)</f>
        <v>560.3753</v>
      </c>
      <c r="H486" s="1"/>
      <c r="I486" s="71">
        <f>IFERROR(__xludf.DUMMYFUNCTION("""COMPUTED_VALUE"""),8.06)</f>
        <v>8.06</v>
      </c>
      <c r="J486" s="69">
        <f>IFERROR(__xludf.DUMMYFUNCTION("""COMPUTED_VALUE"""),8.06)</f>
        <v>8.06</v>
      </c>
      <c r="K486" s="4">
        <f>IFERROR(__xludf.DUMMYFUNCTION("""COMPUTED_VALUE"""),8.06)</f>
        <v>8.06</v>
      </c>
      <c r="N486" s="67"/>
      <c r="R486" s="4"/>
    </row>
    <row r="487">
      <c r="A487" s="66">
        <f>IFERROR(__xludf.DUMMYFUNCTION("""COMPUTED_VALUE"""),46177.0)</f>
        <v>46177</v>
      </c>
      <c r="B487" s="67">
        <f>IFERROR(__xludf.DUMMYFUNCTION("""COMPUTED_VALUE"""),265.0)</f>
        <v>265</v>
      </c>
      <c r="C487" s="69">
        <f>IFERROR(__xludf.DUMMYFUNCTION("""COMPUTED_VALUE"""),20.0)</f>
        <v>20</v>
      </c>
      <c r="D487" s="1" t="str">
        <f>IFERROR(__xludf.DUMMYFUNCTION("""COMPUTED_VALUE"""),"USD")</f>
        <v>USD</v>
      </c>
      <c r="E487" s="1" t="str">
        <f>IFERROR(__xludf.DUMMYFUNCTION("""COMPUTED_VALUE"""),"Efectivo USD")</f>
        <v>Efectivo USD</v>
      </c>
      <c r="F487" s="1" t="str">
        <f>IFERROR(__xludf.DUMMYFUNCTION("""COMPUTED_VALUE"""),"Repuestos Guia Dios Nuestro Camino,c.a.")</f>
        <v>Repuestos Guia Dios Nuestro Camino,c.a.</v>
      </c>
      <c r="G487" s="70">
        <f>IFERROR(__xludf.DUMMYFUNCTION("""COMPUTED_VALUE"""),560.3753)</f>
        <v>560.3753</v>
      </c>
      <c r="H487" s="1"/>
      <c r="I487" s="71">
        <f>IFERROR(__xludf.DUMMYFUNCTION("""COMPUTED_VALUE"""),20.0)</f>
        <v>20</v>
      </c>
      <c r="J487" s="69">
        <f>IFERROR(__xludf.DUMMYFUNCTION("""COMPUTED_VALUE"""),20.0)</f>
        <v>20</v>
      </c>
      <c r="K487" s="4">
        <f>IFERROR(__xludf.DUMMYFUNCTION("""COMPUTED_VALUE"""),20.0)</f>
        <v>20</v>
      </c>
      <c r="N487" s="67"/>
      <c r="R487" s="4"/>
    </row>
    <row r="488">
      <c r="A488" s="66">
        <f>IFERROR(__xludf.DUMMYFUNCTION("""COMPUTED_VALUE"""),46177.0)</f>
        <v>46177</v>
      </c>
      <c r="B488" s="67">
        <f>IFERROR(__xludf.DUMMYFUNCTION("""COMPUTED_VALUE"""),264.0)</f>
        <v>264</v>
      </c>
      <c r="C488" s="69">
        <f>IFERROR(__xludf.DUMMYFUNCTION("""COMPUTED_VALUE"""),40.0)</f>
        <v>40</v>
      </c>
      <c r="D488" s="1" t="str">
        <f>IFERROR(__xludf.DUMMYFUNCTION("""COMPUTED_VALUE"""),"USD")</f>
        <v>USD</v>
      </c>
      <c r="E488" s="1" t="str">
        <f>IFERROR(__xludf.DUMMYFUNCTION("""COMPUTED_VALUE"""),"Efectivo USD")</f>
        <v>Efectivo USD</v>
      </c>
      <c r="F488" s="1" t="str">
        <f>IFERROR(__xludf.DUMMYFUNCTION("""COMPUTED_VALUE"""),"Inversiones Los compadres 7686, c.a.")</f>
        <v>Inversiones Los compadres 7686, c.a.</v>
      </c>
      <c r="G488" s="70">
        <f>IFERROR(__xludf.DUMMYFUNCTION("""COMPUTED_VALUE"""),560.3753)</f>
        <v>560.3753</v>
      </c>
      <c r="H488" s="1"/>
      <c r="I488" s="71">
        <f>IFERROR(__xludf.DUMMYFUNCTION("""COMPUTED_VALUE"""),40.0)</f>
        <v>40</v>
      </c>
      <c r="J488" s="69">
        <f>IFERROR(__xludf.DUMMYFUNCTION("""COMPUTED_VALUE"""),40.0)</f>
        <v>40</v>
      </c>
      <c r="K488" s="4">
        <f>IFERROR(__xludf.DUMMYFUNCTION("""COMPUTED_VALUE"""),40.0)</f>
        <v>40</v>
      </c>
      <c r="N488" s="67"/>
      <c r="R488" s="4"/>
    </row>
    <row r="489">
      <c r="A489" s="66">
        <f>IFERROR(__xludf.DUMMYFUNCTION("""COMPUTED_VALUE"""),46140.0)</f>
        <v>46140</v>
      </c>
      <c r="B489" s="67">
        <f>IFERROR(__xludf.DUMMYFUNCTION("""COMPUTED_VALUE"""),262.0)</f>
        <v>262</v>
      </c>
      <c r="C489" s="69">
        <f>IFERROR(__xludf.DUMMYFUNCTION("""COMPUTED_VALUE"""),2499654.49)</f>
        <v>2499654.49</v>
      </c>
      <c r="D489" s="1" t="str">
        <f>IFERROR(__xludf.DUMMYFUNCTION("""COMPUTED_VALUE"""),"VES")</f>
        <v>VES</v>
      </c>
      <c r="E489" s="1" t="str">
        <f>IFERROR(__xludf.DUMMYFUNCTION("""COMPUTED_VALUE"""),"Venezuela")</f>
        <v>Venezuela</v>
      </c>
      <c r="F489" s="1" t="str">
        <f>IFERROR(__xludf.DUMMYFUNCTION("""COMPUTED_VALUE"""),"Desarrollo Agrario Integral DAI Los Pucheros 13, C. A.")</f>
        <v>Desarrollo Agrario Integral DAI Los Pucheros 13, C. A.</v>
      </c>
      <c r="G489" s="70">
        <f>IFERROR(__xludf.DUMMYFUNCTION("""COMPUTED_VALUE"""),486.1955)</f>
        <v>486.1955</v>
      </c>
      <c r="H489" s="1"/>
      <c r="I489" s="71">
        <f>IFERROR(__xludf.DUMMYFUNCTION("""COMPUTED_VALUE"""),5141.253857758865)</f>
        <v>5141.253858</v>
      </c>
      <c r="J489" s="69">
        <f>IFERROR(__xludf.DUMMYFUNCTION("""COMPUTED_VALUE"""),0.0)</f>
        <v>0</v>
      </c>
      <c r="K489" s="4">
        <f>IFERROR(__xludf.DUMMYFUNCTION("""COMPUTED_VALUE"""),5141.253857758865)</f>
        <v>5141.253858</v>
      </c>
      <c r="N489" s="67"/>
      <c r="R489" s="4"/>
    </row>
    <row r="490">
      <c r="A490" s="66">
        <f>IFERROR(__xludf.DUMMYFUNCTION("""COMPUTED_VALUE"""),46163.0)</f>
        <v>46163</v>
      </c>
      <c r="B490" s="67">
        <f>IFERROR(__xludf.DUMMYFUNCTION("""COMPUTED_VALUE"""),428.0)</f>
        <v>428</v>
      </c>
      <c r="C490" s="69">
        <f>IFERROR(__xludf.DUMMYFUNCTION("""COMPUTED_VALUE"""),76.0)</f>
        <v>76</v>
      </c>
      <c r="D490" s="1" t="str">
        <f>IFERROR(__xludf.DUMMYFUNCTION("""COMPUTED_VALUE"""),"USD")</f>
        <v>USD</v>
      </c>
      <c r="E490" s="1" t="str">
        <f>IFERROR(__xludf.DUMMYFUNCTION("""COMPUTED_VALUE"""),"Efectivo USD")</f>
        <v>Efectivo USD</v>
      </c>
      <c r="F490" s="1" t="str">
        <f>IFERROR(__xludf.DUMMYFUNCTION("""COMPUTED_VALUE"""),"Angel ARMAS")</f>
        <v>Angel ARMAS</v>
      </c>
      <c r="G490" s="70">
        <f>IFERROR(__xludf.DUMMYFUNCTION("""COMPUTED_VALUE"""),523.675)</f>
        <v>523.675</v>
      </c>
      <c r="H490" s="1"/>
      <c r="I490" s="71">
        <f>IFERROR(__xludf.DUMMYFUNCTION("""COMPUTED_VALUE"""),76.0)</f>
        <v>76</v>
      </c>
      <c r="J490" s="69">
        <f>IFERROR(__xludf.DUMMYFUNCTION("""COMPUTED_VALUE"""),76.0)</f>
        <v>76</v>
      </c>
      <c r="K490" s="4">
        <f>IFERROR(__xludf.DUMMYFUNCTION("""COMPUTED_VALUE"""),76.0)</f>
        <v>76</v>
      </c>
      <c r="N490" s="67"/>
      <c r="R490" s="4"/>
    </row>
    <row r="491">
      <c r="A491" s="66">
        <f>IFERROR(__xludf.DUMMYFUNCTION("""COMPUTED_VALUE"""),46178.0)</f>
        <v>46178</v>
      </c>
      <c r="B491" s="67">
        <f>IFERROR(__xludf.DUMMYFUNCTION("""COMPUTED_VALUE"""),506.0)</f>
        <v>506</v>
      </c>
      <c r="C491" s="69">
        <f>IFERROR(__xludf.DUMMYFUNCTION("""COMPUTED_VALUE"""),75.0)</f>
        <v>75</v>
      </c>
      <c r="D491" s="1" t="str">
        <f>IFERROR(__xludf.DUMMYFUNCTION("""COMPUTED_VALUE"""),"USD")</f>
        <v>USD</v>
      </c>
      <c r="E491" s="1" t="str">
        <f>IFERROR(__xludf.DUMMYFUNCTION("""COMPUTED_VALUE"""),"Efectivo USD")</f>
        <v>Efectivo USD</v>
      </c>
      <c r="F491" s="1" t="str">
        <f>IFERROR(__xludf.DUMMYFUNCTION("""COMPUTED_VALUE"""),"Angel ARMAS")</f>
        <v>Angel ARMAS</v>
      </c>
      <c r="G491" s="70">
        <f>IFERROR(__xludf.DUMMYFUNCTION("""COMPUTED_VALUE"""),563.2892)</f>
        <v>563.2892</v>
      </c>
      <c r="H491" s="1"/>
      <c r="I491" s="71">
        <f>IFERROR(__xludf.DUMMYFUNCTION("""COMPUTED_VALUE"""),75.0)</f>
        <v>75</v>
      </c>
      <c r="J491" s="69">
        <f>IFERROR(__xludf.DUMMYFUNCTION("""COMPUTED_VALUE"""),75.0)</f>
        <v>75</v>
      </c>
      <c r="K491" s="4">
        <f>IFERROR(__xludf.DUMMYFUNCTION("""COMPUTED_VALUE"""),75.0)</f>
        <v>75</v>
      </c>
      <c r="N491" s="67"/>
      <c r="R491" s="4"/>
    </row>
    <row r="492">
      <c r="A492" s="66">
        <f>IFERROR(__xludf.DUMMYFUNCTION("""COMPUTED_VALUE"""),46178.0)</f>
        <v>46178</v>
      </c>
      <c r="B492" s="67">
        <f>IFERROR(__xludf.DUMMYFUNCTION("""COMPUTED_VALUE"""),428.0)</f>
        <v>428</v>
      </c>
      <c r="C492" s="69">
        <f>IFERROR(__xludf.DUMMYFUNCTION("""COMPUTED_VALUE"""),282.0)</f>
        <v>282</v>
      </c>
      <c r="D492" s="1" t="str">
        <f>IFERROR(__xludf.DUMMYFUNCTION("""COMPUTED_VALUE"""),"USD")</f>
        <v>USD</v>
      </c>
      <c r="E492" s="1" t="str">
        <f>IFERROR(__xludf.DUMMYFUNCTION("""COMPUTED_VALUE"""),"Efectivo USD")</f>
        <v>Efectivo USD</v>
      </c>
      <c r="F492" s="1" t="str">
        <f>IFERROR(__xludf.DUMMYFUNCTION("""COMPUTED_VALUE"""),"Angel ARMAS")</f>
        <v>Angel ARMAS</v>
      </c>
      <c r="G492" s="70">
        <f>IFERROR(__xludf.DUMMYFUNCTION("""COMPUTED_VALUE"""),563.2892)</f>
        <v>563.2892</v>
      </c>
      <c r="H492" s="1"/>
      <c r="I492" s="71">
        <f>IFERROR(__xludf.DUMMYFUNCTION("""COMPUTED_VALUE"""),282.0)</f>
        <v>282</v>
      </c>
      <c r="J492" s="69">
        <f>IFERROR(__xludf.DUMMYFUNCTION("""COMPUTED_VALUE"""),282.0)</f>
        <v>282</v>
      </c>
      <c r="K492" s="4">
        <f>IFERROR(__xludf.DUMMYFUNCTION("""COMPUTED_VALUE"""),282.0)</f>
        <v>282</v>
      </c>
      <c r="N492" s="67"/>
      <c r="R492" s="4"/>
    </row>
    <row r="493">
      <c r="A493" s="66">
        <f>IFERROR(__xludf.DUMMYFUNCTION("""COMPUTED_VALUE"""),46178.0)</f>
        <v>46178</v>
      </c>
      <c r="B493" s="67">
        <f>IFERROR(__xludf.DUMMYFUNCTION("""COMPUTED_VALUE"""),213.0)</f>
        <v>213</v>
      </c>
      <c r="C493" s="69">
        <f>IFERROR(__xludf.DUMMYFUNCTION("""COMPUTED_VALUE"""),75.0)</f>
        <v>75</v>
      </c>
      <c r="D493" s="1" t="str">
        <f>IFERROR(__xludf.DUMMYFUNCTION("""COMPUTED_VALUE"""),"USD")</f>
        <v>USD</v>
      </c>
      <c r="E493" s="1" t="str">
        <f>IFERROR(__xludf.DUMMYFUNCTION("""COMPUTED_VALUE"""),"Efectivo USD")</f>
        <v>Efectivo USD</v>
      </c>
      <c r="F493" s="1" t="str">
        <f>IFERROR(__xludf.DUMMYFUNCTION("""COMPUTED_VALUE"""),"Angel ARMAS")</f>
        <v>Angel ARMAS</v>
      </c>
      <c r="G493" s="70">
        <f>IFERROR(__xludf.DUMMYFUNCTION("""COMPUTED_VALUE"""),563.2892)</f>
        <v>563.2892</v>
      </c>
      <c r="H493" s="1"/>
      <c r="I493" s="71">
        <f>IFERROR(__xludf.DUMMYFUNCTION("""COMPUTED_VALUE"""),75.0)</f>
        <v>75</v>
      </c>
      <c r="J493" s="69">
        <f>IFERROR(__xludf.DUMMYFUNCTION("""COMPUTED_VALUE"""),75.0)</f>
        <v>75</v>
      </c>
      <c r="K493" s="4">
        <f>IFERROR(__xludf.DUMMYFUNCTION("""COMPUTED_VALUE"""),75.0)</f>
        <v>75</v>
      </c>
      <c r="N493" s="67"/>
      <c r="R493" s="4"/>
    </row>
    <row r="494">
      <c r="A494" s="66">
        <f>IFERROR(__xludf.DUMMYFUNCTION("""COMPUTED_VALUE"""),46178.0)</f>
        <v>46178</v>
      </c>
      <c r="B494" s="67">
        <f>IFERROR(__xludf.DUMMYFUNCTION("""COMPUTED_VALUE"""),61.0)</f>
        <v>61</v>
      </c>
      <c r="C494" s="69">
        <f>IFERROR(__xludf.DUMMYFUNCTION("""COMPUTED_VALUE"""),250.0)</f>
        <v>250</v>
      </c>
      <c r="D494" s="1" t="str">
        <f>IFERROR(__xludf.DUMMYFUNCTION("""COMPUTED_VALUE"""),"USD")</f>
        <v>USD</v>
      </c>
      <c r="E494" s="1" t="str">
        <f>IFERROR(__xludf.DUMMYFUNCTION("""COMPUTED_VALUE"""),"Efectivo USD")</f>
        <v>Efectivo USD</v>
      </c>
      <c r="F494" s="1" t="str">
        <f>IFERROR(__xludf.DUMMYFUNCTION("""COMPUTED_VALUE"""),"SJMG 2012 C.A")</f>
        <v>SJMG 2012 C.A</v>
      </c>
      <c r="G494" s="70">
        <f>IFERROR(__xludf.DUMMYFUNCTION("""COMPUTED_VALUE"""),563.2892)</f>
        <v>563.2892</v>
      </c>
      <c r="H494" s="1"/>
      <c r="I494" s="71">
        <f>IFERROR(__xludf.DUMMYFUNCTION("""COMPUTED_VALUE"""),250.0)</f>
        <v>250</v>
      </c>
      <c r="J494" s="69">
        <f>IFERROR(__xludf.DUMMYFUNCTION("""COMPUTED_VALUE"""),250.0)</f>
        <v>250</v>
      </c>
      <c r="K494" s="4">
        <f>IFERROR(__xludf.DUMMYFUNCTION("""COMPUTED_VALUE"""),250.0)</f>
        <v>250</v>
      </c>
      <c r="N494" s="67"/>
      <c r="R494" s="4"/>
    </row>
    <row r="495">
      <c r="A495" s="66">
        <f>IFERROR(__xludf.DUMMYFUNCTION("""COMPUTED_VALUE"""),46178.0)</f>
        <v>46178</v>
      </c>
      <c r="B495" s="67">
        <f>IFERROR(__xludf.DUMMYFUNCTION("""COMPUTED_VALUE"""),209.0)</f>
        <v>209</v>
      </c>
      <c r="C495" s="69">
        <f>IFERROR(__xludf.DUMMYFUNCTION("""COMPUTED_VALUE"""),60.0)</f>
        <v>60</v>
      </c>
      <c r="D495" s="1" t="str">
        <f>IFERROR(__xludf.DUMMYFUNCTION("""COMPUTED_VALUE"""),"USD")</f>
        <v>USD</v>
      </c>
      <c r="E495" s="1" t="str">
        <f>IFERROR(__xludf.DUMMYFUNCTION("""COMPUTED_VALUE"""),"Efectivo USD")</f>
        <v>Efectivo USD</v>
      </c>
      <c r="F495" s="1" t="str">
        <f>IFERROR(__xludf.DUMMYFUNCTION("""COMPUTED_VALUE"""),"Inversiones Mirelkys C.A")</f>
        <v>Inversiones Mirelkys C.A</v>
      </c>
      <c r="G495" s="70">
        <f>IFERROR(__xludf.DUMMYFUNCTION("""COMPUTED_VALUE"""),563.2892)</f>
        <v>563.2892</v>
      </c>
      <c r="H495" s="1"/>
      <c r="I495" s="71">
        <f>IFERROR(__xludf.DUMMYFUNCTION("""COMPUTED_VALUE"""),60.0)</f>
        <v>60</v>
      </c>
      <c r="J495" s="69">
        <f>IFERROR(__xludf.DUMMYFUNCTION("""COMPUTED_VALUE"""),60.0)</f>
        <v>60</v>
      </c>
      <c r="K495" s="4">
        <f>IFERROR(__xludf.DUMMYFUNCTION("""COMPUTED_VALUE"""),60.0)</f>
        <v>60</v>
      </c>
      <c r="N495" s="67"/>
      <c r="R495" s="4"/>
    </row>
    <row r="496">
      <c r="A496" s="66">
        <f>IFERROR(__xludf.DUMMYFUNCTION("""COMPUTED_VALUE"""),46178.0)</f>
        <v>46178</v>
      </c>
      <c r="B496" s="67">
        <f>IFERROR(__xludf.DUMMYFUNCTION("""COMPUTED_VALUE"""),298.0)</f>
        <v>298</v>
      </c>
      <c r="C496" s="69">
        <f>IFERROR(__xludf.DUMMYFUNCTION("""COMPUTED_VALUE"""),40.0)</f>
        <v>40</v>
      </c>
      <c r="D496" s="1" t="str">
        <f>IFERROR(__xludf.DUMMYFUNCTION("""COMPUTED_VALUE"""),"USD")</f>
        <v>USD</v>
      </c>
      <c r="E496" s="1" t="str">
        <f>IFERROR(__xludf.DUMMYFUNCTION("""COMPUTED_VALUE"""),"Efectivo USD")</f>
        <v>Efectivo USD</v>
      </c>
      <c r="F496" s="1" t="str">
        <f>IFERROR(__xludf.DUMMYFUNCTION("""COMPUTED_VALUE"""),"Inversiones Brayan CT C.A")</f>
        <v>Inversiones Brayan CT C.A</v>
      </c>
      <c r="G496" s="70">
        <f>IFERROR(__xludf.DUMMYFUNCTION("""COMPUTED_VALUE"""),563.2892)</f>
        <v>563.2892</v>
      </c>
      <c r="H496" s="1"/>
      <c r="I496" s="71">
        <f>IFERROR(__xludf.DUMMYFUNCTION("""COMPUTED_VALUE"""),40.0)</f>
        <v>40</v>
      </c>
      <c r="J496" s="69">
        <f>IFERROR(__xludf.DUMMYFUNCTION("""COMPUTED_VALUE"""),40.0)</f>
        <v>40</v>
      </c>
      <c r="K496" s="4">
        <f>IFERROR(__xludf.DUMMYFUNCTION("""COMPUTED_VALUE"""),40.0)</f>
        <v>40</v>
      </c>
      <c r="N496" s="67"/>
      <c r="R496" s="4"/>
    </row>
    <row r="497">
      <c r="A497" s="66">
        <f>IFERROR(__xludf.DUMMYFUNCTION("""COMPUTED_VALUE"""),46178.0)</f>
        <v>46178</v>
      </c>
      <c r="B497" s="67">
        <f>IFERROR(__xludf.DUMMYFUNCTION("""COMPUTED_VALUE"""),408.0)</f>
        <v>408</v>
      </c>
      <c r="C497" s="69">
        <f>IFERROR(__xludf.DUMMYFUNCTION("""COMPUTED_VALUE"""),105.0)</f>
        <v>105</v>
      </c>
      <c r="D497" s="1" t="str">
        <f>IFERROR(__xludf.DUMMYFUNCTION("""COMPUTED_VALUE"""),"USD")</f>
        <v>USD</v>
      </c>
      <c r="E497" s="1" t="str">
        <f>IFERROR(__xludf.DUMMYFUNCTION("""COMPUTED_VALUE"""),"Efectivo USD")</f>
        <v>Efectivo USD</v>
      </c>
      <c r="F497" s="1" t="str">
        <f>IFERROR(__xludf.DUMMYFUNCTION("""COMPUTED_VALUE"""),"HIDRAULICAS CAICEDO C.A.")</f>
        <v>HIDRAULICAS CAICEDO C.A.</v>
      </c>
      <c r="G497" s="70">
        <f>IFERROR(__xludf.DUMMYFUNCTION("""COMPUTED_VALUE"""),563.2892)</f>
        <v>563.2892</v>
      </c>
      <c r="H497" s="1"/>
      <c r="I497" s="71">
        <f>IFERROR(__xludf.DUMMYFUNCTION("""COMPUTED_VALUE"""),105.0)</f>
        <v>105</v>
      </c>
      <c r="J497" s="69">
        <f>IFERROR(__xludf.DUMMYFUNCTION("""COMPUTED_VALUE"""),105.0)</f>
        <v>105</v>
      </c>
      <c r="K497" s="4">
        <f>IFERROR(__xludf.DUMMYFUNCTION("""COMPUTED_VALUE"""),105.0)</f>
        <v>105</v>
      </c>
      <c r="N497" s="67"/>
      <c r="R497" s="4"/>
    </row>
    <row r="498">
      <c r="A498" s="66">
        <f>IFERROR(__xludf.DUMMYFUNCTION("""COMPUTED_VALUE"""),46178.0)</f>
        <v>46178</v>
      </c>
      <c r="B498" s="67">
        <f>IFERROR(__xludf.DUMMYFUNCTION("""COMPUTED_VALUE"""),330.0)</f>
        <v>330</v>
      </c>
      <c r="C498" s="69">
        <f>IFERROR(__xludf.DUMMYFUNCTION("""COMPUTED_VALUE"""),19670.0)</f>
        <v>19670</v>
      </c>
      <c r="D498" s="1" t="str">
        <f>IFERROR(__xludf.DUMMYFUNCTION("""COMPUTED_VALUE"""),"VES")</f>
        <v>VES</v>
      </c>
      <c r="E498" s="1" t="str">
        <f>IFERROR(__xludf.DUMMYFUNCTION("""COMPUTED_VALUE"""),"Bancamiga")</f>
        <v>Bancamiga</v>
      </c>
      <c r="F498" s="1" t="str">
        <f>IFERROR(__xludf.DUMMYFUNCTION("""COMPUTED_VALUE"""),"Diana Carolina Torres")</f>
        <v>Diana Carolina Torres</v>
      </c>
      <c r="G498" s="70">
        <f>IFERROR(__xludf.DUMMYFUNCTION("""COMPUTED_VALUE"""),563.2892)</f>
        <v>563.2892</v>
      </c>
      <c r="H498" s="1"/>
      <c r="I498" s="71">
        <f>IFERROR(__xludf.DUMMYFUNCTION("""COMPUTED_VALUE"""),34.9198954995054)</f>
        <v>34.9198955</v>
      </c>
      <c r="J498" s="69">
        <f>IFERROR(__xludf.DUMMYFUNCTION("""COMPUTED_VALUE"""),0.0)</f>
        <v>0</v>
      </c>
      <c r="K498" s="4">
        <f>IFERROR(__xludf.DUMMYFUNCTION("""COMPUTED_VALUE"""),34.9198954995054)</f>
        <v>34.9198955</v>
      </c>
      <c r="N498" s="67"/>
      <c r="R498" s="4"/>
    </row>
    <row r="499">
      <c r="A499" s="66">
        <f>IFERROR(__xludf.DUMMYFUNCTION("""COMPUTED_VALUE"""),46178.0)</f>
        <v>46178</v>
      </c>
      <c r="B499" s="67">
        <f>IFERROR(__xludf.DUMMYFUNCTION("""COMPUTED_VALUE"""),249.0)</f>
        <v>249</v>
      </c>
      <c r="C499" s="69">
        <f>IFERROR(__xludf.DUMMYFUNCTION("""COMPUTED_VALUE"""),200.0)</f>
        <v>200</v>
      </c>
      <c r="D499" s="1" t="str">
        <f>IFERROR(__xludf.DUMMYFUNCTION("""COMPUTED_VALUE"""),"USD")</f>
        <v>USD</v>
      </c>
      <c r="E499" s="1" t="str">
        <f>IFERROR(__xludf.DUMMYFUNCTION("""COMPUTED_VALUE"""),"Efectivo USD")</f>
        <v>Efectivo USD</v>
      </c>
      <c r="F499" s="1" t="str">
        <f>IFERROR(__xludf.DUMMYFUNCTION("""COMPUTED_VALUE"""),"Comercializadora Dimon c.a")</f>
        <v>Comercializadora Dimon c.a</v>
      </c>
      <c r="G499" s="70">
        <f>IFERROR(__xludf.DUMMYFUNCTION("""COMPUTED_VALUE"""),563.2892)</f>
        <v>563.2892</v>
      </c>
      <c r="H499" s="1"/>
      <c r="I499" s="71">
        <f>IFERROR(__xludf.DUMMYFUNCTION("""COMPUTED_VALUE"""),200.0)</f>
        <v>200</v>
      </c>
      <c r="J499" s="69">
        <f>IFERROR(__xludf.DUMMYFUNCTION("""COMPUTED_VALUE"""),200.0)</f>
        <v>200</v>
      </c>
      <c r="K499" s="4">
        <f>IFERROR(__xludf.DUMMYFUNCTION("""COMPUTED_VALUE"""),200.0)</f>
        <v>200</v>
      </c>
      <c r="N499" s="67"/>
      <c r="R499" s="4"/>
    </row>
    <row r="500">
      <c r="A500" s="66">
        <f>IFERROR(__xludf.DUMMYFUNCTION("""COMPUTED_VALUE"""),46178.0)</f>
        <v>46178</v>
      </c>
      <c r="B500" s="67">
        <f>IFERROR(__xludf.DUMMYFUNCTION("""COMPUTED_VALUE"""),44.0)</f>
        <v>44</v>
      </c>
      <c r="C500" s="69">
        <f>IFERROR(__xludf.DUMMYFUNCTION("""COMPUTED_VALUE"""),100.0)</f>
        <v>100</v>
      </c>
      <c r="D500" s="1" t="str">
        <f>IFERROR(__xludf.DUMMYFUNCTION("""COMPUTED_VALUE"""),"USD")</f>
        <v>USD</v>
      </c>
      <c r="E500" s="1" t="str">
        <f>IFERROR(__xludf.DUMMYFUNCTION("""COMPUTED_VALUE"""),"Efectivo USD")</f>
        <v>Efectivo USD</v>
      </c>
      <c r="F500" s="1" t="str">
        <f>IFERROR(__xludf.DUMMYFUNCTION("""COMPUTED_VALUE"""),"Comercializadora Garabote")</f>
        <v>Comercializadora Garabote</v>
      </c>
      <c r="G500" s="70">
        <f>IFERROR(__xludf.DUMMYFUNCTION("""COMPUTED_VALUE"""),563.2892)</f>
        <v>563.2892</v>
      </c>
      <c r="H500" s="1"/>
      <c r="I500" s="71">
        <f>IFERROR(__xludf.DUMMYFUNCTION("""COMPUTED_VALUE"""),100.0)</f>
        <v>100</v>
      </c>
      <c r="J500" s="69">
        <f>IFERROR(__xludf.DUMMYFUNCTION("""COMPUTED_VALUE"""),100.0)</f>
        <v>100</v>
      </c>
      <c r="K500" s="4">
        <f>IFERROR(__xludf.DUMMYFUNCTION("""COMPUTED_VALUE"""),100.0)</f>
        <v>100</v>
      </c>
      <c r="N500" s="67"/>
      <c r="R500" s="4"/>
    </row>
    <row r="501">
      <c r="A501" s="66">
        <f>IFERROR(__xludf.DUMMYFUNCTION("""COMPUTED_VALUE"""),46178.0)</f>
        <v>46178</v>
      </c>
      <c r="B501" s="67">
        <f>IFERROR(__xludf.DUMMYFUNCTION("""COMPUTED_VALUE"""),159.0)</f>
        <v>159</v>
      </c>
      <c r="C501" s="69">
        <f>IFERROR(__xludf.DUMMYFUNCTION("""COMPUTED_VALUE"""),223.0)</f>
        <v>223</v>
      </c>
      <c r="D501" s="1" t="str">
        <f>IFERROR(__xludf.DUMMYFUNCTION("""COMPUTED_VALUE"""),"USD")</f>
        <v>USD</v>
      </c>
      <c r="E501" s="1" t="str">
        <f>IFERROR(__xludf.DUMMYFUNCTION("""COMPUTED_VALUE"""),"Efectivo USD")</f>
        <v>Efectivo USD</v>
      </c>
      <c r="F501" s="1" t="str">
        <f>IFERROR(__xludf.DUMMYFUNCTION("""COMPUTED_VALUE"""),"Grupo 3030, C.A")</f>
        <v>Grupo 3030, C.A</v>
      </c>
      <c r="G501" s="70">
        <f>IFERROR(__xludf.DUMMYFUNCTION("""COMPUTED_VALUE"""),563.2892)</f>
        <v>563.2892</v>
      </c>
      <c r="H501" s="1"/>
      <c r="I501" s="71">
        <f>IFERROR(__xludf.DUMMYFUNCTION("""COMPUTED_VALUE"""),223.0)</f>
        <v>223</v>
      </c>
      <c r="J501" s="69">
        <f>IFERROR(__xludf.DUMMYFUNCTION("""COMPUTED_VALUE"""),223.0)</f>
        <v>223</v>
      </c>
      <c r="K501" s="4">
        <f>IFERROR(__xludf.DUMMYFUNCTION("""COMPUTED_VALUE"""),223.0)</f>
        <v>223</v>
      </c>
      <c r="N501" s="67"/>
      <c r="R501" s="4"/>
    </row>
    <row r="502">
      <c r="A502" s="66">
        <f>IFERROR(__xludf.DUMMYFUNCTION("""COMPUTED_VALUE"""),46181.0)</f>
        <v>46181</v>
      </c>
      <c r="B502" s="67">
        <f>IFERROR(__xludf.DUMMYFUNCTION("""COMPUTED_VALUE"""),205.0)</f>
        <v>205</v>
      </c>
      <c r="C502" s="69">
        <f>IFERROR(__xludf.DUMMYFUNCTION("""COMPUTED_VALUE"""),278.0)</f>
        <v>278</v>
      </c>
      <c r="D502" s="1" t="str">
        <f>IFERROR(__xludf.DUMMYFUNCTION("""COMPUTED_VALUE"""),"USD")</f>
        <v>USD</v>
      </c>
      <c r="E502" s="1" t="str">
        <f>IFERROR(__xludf.DUMMYFUNCTION("""COMPUTED_VALUE"""),"Efectivo USD")</f>
        <v>Efectivo USD</v>
      </c>
      <c r="F502" s="1" t="str">
        <f>IFERROR(__xludf.DUMMYFUNCTION("""COMPUTED_VALUE"""),"Inversiones Marfran 2025, C. A.")</f>
        <v>Inversiones Marfran 2025, C. A.</v>
      </c>
      <c r="G502" s="70">
        <f>IFERROR(__xludf.DUMMYFUNCTION("""COMPUTED_VALUE"""),567.6828)</f>
        <v>567.6828</v>
      </c>
      <c r="H502" s="1"/>
      <c r="I502" s="71">
        <f>IFERROR(__xludf.DUMMYFUNCTION("""COMPUTED_VALUE"""),278.0)</f>
        <v>278</v>
      </c>
      <c r="J502" s="69">
        <f>IFERROR(__xludf.DUMMYFUNCTION("""COMPUTED_VALUE"""),278.0)</f>
        <v>278</v>
      </c>
      <c r="K502" s="4">
        <f>IFERROR(__xludf.DUMMYFUNCTION("""COMPUTED_VALUE"""),278.0)</f>
        <v>278</v>
      </c>
      <c r="N502" s="67"/>
      <c r="R502" s="4"/>
    </row>
    <row r="503">
      <c r="A503" s="66">
        <f>IFERROR(__xludf.DUMMYFUNCTION("""COMPUTED_VALUE"""),46181.0)</f>
        <v>46181</v>
      </c>
      <c r="B503" s="67">
        <f>IFERROR(__xludf.DUMMYFUNCTION("""COMPUTED_VALUE"""),44.0)</f>
        <v>44</v>
      </c>
      <c r="C503" s="69">
        <f>IFERROR(__xludf.DUMMYFUNCTION("""COMPUTED_VALUE"""),300.0)</f>
        <v>300</v>
      </c>
      <c r="D503" s="1" t="str">
        <f>IFERROR(__xludf.DUMMYFUNCTION("""COMPUTED_VALUE"""),"USD")</f>
        <v>USD</v>
      </c>
      <c r="E503" s="1" t="str">
        <f>IFERROR(__xludf.DUMMYFUNCTION("""COMPUTED_VALUE"""),"Efectivo USD")</f>
        <v>Efectivo USD</v>
      </c>
      <c r="F503" s="1" t="str">
        <f>IFERROR(__xludf.DUMMYFUNCTION("""COMPUTED_VALUE"""),"Comercializadora Garabote")</f>
        <v>Comercializadora Garabote</v>
      </c>
      <c r="G503" s="70">
        <f>IFERROR(__xludf.DUMMYFUNCTION("""COMPUTED_VALUE"""),567.6828)</f>
        <v>567.6828</v>
      </c>
      <c r="H503" s="1"/>
      <c r="I503" s="71">
        <f>IFERROR(__xludf.DUMMYFUNCTION("""COMPUTED_VALUE"""),300.0)</f>
        <v>300</v>
      </c>
      <c r="J503" s="69">
        <f>IFERROR(__xludf.DUMMYFUNCTION("""COMPUTED_VALUE"""),300.0)</f>
        <v>300</v>
      </c>
      <c r="K503" s="4">
        <f>IFERROR(__xludf.DUMMYFUNCTION("""COMPUTED_VALUE"""),300.0)</f>
        <v>300</v>
      </c>
      <c r="N503" s="67"/>
      <c r="R503" s="4"/>
    </row>
    <row r="504">
      <c r="A504" s="66">
        <f>IFERROR(__xludf.DUMMYFUNCTION("""COMPUTED_VALUE"""),46181.0)</f>
        <v>46181</v>
      </c>
      <c r="B504" s="67">
        <f>IFERROR(__xludf.DUMMYFUNCTION("""COMPUTED_VALUE"""),10.0)</f>
        <v>10</v>
      </c>
      <c r="C504" s="69">
        <f>IFERROR(__xludf.DUMMYFUNCTION("""COMPUTED_VALUE"""),27781.08)</f>
        <v>27781.08</v>
      </c>
      <c r="D504" s="1" t="str">
        <f>IFERROR(__xludf.DUMMYFUNCTION("""COMPUTED_VALUE"""),"USD")</f>
        <v>USD</v>
      </c>
      <c r="E504" s="1" t="str">
        <f>IFERROR(__xludf.DUMMYFUNCTION("""COMPUTED_VALUE"""),"Efectivo USD")</f>
        <v>Efectivo USD</v>
      </c>
      <c r="F504" s="1" t="str">
        <f>IFERROR(__xludf.DUMMYFUNCTION("""COMPUTED_VALUE"""),"TERA INGENIERIA Y SERVICIOS INDUSTRIALES, C.A")</f>
        <v>TERA INGENIERIA Y SERVICIOS INDUSTRIALES, C.A</v>
      </c>
      <c r="G504" s="70">
        <f>IFERROR(__xludf.DUMMYFUNCTION("""COMPUTED_VALUE"""),567.6828)</f>
        <v>567.6828</v>
      </c>
      <c r="H504" s="1"/>
      <c r="I504" s="71">
        <f>IFERROR(__xludf.DUMMYFUNCTION("""COMPUTED_VALUE"""),27781.08)</f>
        <v>27781.08</v>
      </c>
      <c r="J504" s="69">
        <f>IFERROR(__xludf.DUMMYFUNCTION("""COMPUTED_VALUE"""),27781.08)</f>
        <v>27781.08</v>
      </c>
      <c r="K504" s="4">
        <f>IFERROR(__xludf.DUMMYFUNCTION("""COMPUTED_VALUE"""),27781.08)</f>
        <v>27781.08</v>
      </c>
      <c r="N504" s="67"/>
      <c r="R504" s="4"/>
    </row>
    <row r="505">
      <c r="A505" s="66">
        <f>IFERROR(__xludf.DUMMYFUNCTION("""COMPUTED_VALUE"""),46180.0)</f>
        <v>46180</v>
      </c>
      <c r="B505" s="67">
        <f>IFERROR(__xludf.DUMMYFUNCTION("""COMPUTED_VALUE"""),78.0)</f>
        <v>78</v>
      </c>
      <c r="C505" s="69">
        <f>IFERROR(__xludf.DUMMYFUNCTION("""COMPUTED_VALUE"""),22708.0)</f>
        <v>22708</v>
      </c>
      <c r="D505" s="1" t="str">
        <f>IFERROR(__xludf.DUMMYFUNCTION("""COMPUTED_VALUE"""),"VES")</f>
        <v>VES</v>
      </c>
      <c r="E505" s="1" t="str">
        <f>IFERROR(__xludf.DUMMYFUNCTION("""COMPUTED_VALUE"""),"Bancamiga")</f>
        <v>Bancamiga</v>
      </c>
      <c r="F505" s="1" t="str">
        <f>IFERROR(__xludf.DUMMYFUNCTION("""COMPUTED_VALUE"""),"MULTISERVICIOS RECAM13, C.A.")</f>
        <v>MULTISERVICIOS RECAM13, C.A.</v>
      </c>
      <c r="G505" s="70">
        <f>IFERROR(__xludf.DUMMYFUNCTION("""COMPUTED_VALUE"""),567.6828)</f>
        <v>567.6828</v>
      </c>
      <c r="H505" s="1"/>
      <c r="I505" s="71">
        <f>IFERROR(__xludf.DUMMYFUNCTION("""COMPUTED_VALUE"""),40.001211944416845)</f>
        <v>40.00121194</v>
      </c>
      <c r="J505" s="69">
        <f>IFERROR(__xludf.DUMMYFUNCTION("""COMPUTED_VALUE"""),0.0)</f>
        <v>0</v>
      </c>
      <c r="K505" s="4">
        <f>IFERROR(__xludf.DUMMYFUNCTION("""COMPUTED_VALUE"""),40.001211944416845)</f>
        <v>40.00121194</v>
      </c>
      <c r="N505" s="67"/>
      <c r="R505" s="4"/>
    </row>
    <row r="506">
      <c r="A506" s="66">
        <f>IFERROR(__xludf.DUMMYFUNCTION("""COMPUTED_VALUE"""),46181.0)</f>
        <v>46181</v>
      </c>
      <c r="B506" s="67">
        <f>IFERROR(__xludf.DUMMYFUNCTION("""COMPUTED_VALUE"""),400.0)</f>
        <v>400</v>
      </c>
      <c r="C506" s="69">
        <f>IFERROR(__xludf.DUMMYFUNCTION("""COMPUTED_VALUE"""),16898.68)</f>
        <v>16898.68</v>
      </c>
      <c r="D506" s="1" t="str">
        <f>IFERROR(__xludf.DUMMYFUNCTION("""COMPUTED_VALUE"""),"VES")</f>
        <v>VES</v>
      </c>
      <c r="E506" s="1" t="str">
        <f>IFERROR(__xludf.DUMMYFUNCTION("""COMPUTED_VALUE"""),"Bancamiga")</f>
        <v>Bancamiga</v>
      </c>
      <c r="F506" s="1" t="str">
        <f>IFERROR(__xludf.DUMMYFUNCTION("""COMPUTED_VALUE"""),"TALLER Y REPUESTOS CHOPPERS, C.A.")</f>
        <v>TALLER Y REPUESTOS CHOPPERS, C.A.</v>
      </c>
      <c r="G506" s="70">
        <f>IFERROR(__xludf.DUMMYFUNCTION("""COMPUTED_VALUE"""),567.6828)</f>
        <v>567.6828</v>
      </c>
      <c r="H506" s="1"/>
      <c r="I506" s="71">
        <f>IFERROR(__xludf.DUMMYFUNCTION("""COMPUTED_VALUE"""),29.76782104372371)</f>
        <v>29.76782104</v>
      </c>
      <c r="J506" s="69">
        <f>IFERROR(__xludf.DUMMYFUNCTION("""COMPUTED_VALUE"""),0.0)</f>
        <v>0</v>
      </c>
      <c r="K506" s="4">
        <f>IFERROR(__xludf.DUMMYFUNCTION("""COMPUTED_VALUE"""),29.76782104372371)</f>
        <v>29.76782104</v>
      </c>
      <c r="N506" s="67"/>
      <c r="R506" s="4"/>
    </row>
    <row r="507">
      <c r="A507" s="66">
        <f>IFERROR(__xludf.DUMMYFUNCTION("""COMPUTED_VALUE"""),46181.0)</f>
        <v>46181</v>
      </c>
      <c r="B507" s="67">
        <f>IFERROR(__xludf.DUMMYFUNCTION("""COMPUTED_VALUE"""),283.0)</f>
        <v>283</v>
      </c>
      <c r="C507" s="69">
        <f>IFERROR(__xludf.DUMMYFUNCTION("""COMPUTED_VALUE"""),63.0)</f>
        <v>63</v>
      </c>
      <c r="D507" s="1" t="str">
        <f>IFERROR(__xludf.DUMMYFUNCTION("""COMPUTED_VALUE"""),"USD")</f>
        <v>USD</v>
      </c>
      <c r="E507" s="1" t="str">
        <f>IFERROR(__xludf.DUMMYFUNCTION("""COMPUTED_VALUE"""),"Efectivo USD")</f>
        <v>Efectivo USD</v>
      </c>
      <c r="F507" s="1" t="str">
        <f>IFERROR(__xludf.DUMMYFUNCTION("""COMPUTED_VALUE"""),"LA CASA DE LAS BATERIAS")</f>
        <v>LA CASA DE LAS BATERIAS</v>
      </c>
      <c r="G507" s="70">
        <f>IFERROR(__xludf.DUMMYFUNCTION("""COMPUTED_VALUE"""),567.6828)</f>
        <v>567.6828</v>
      </c>
      <c r="H507" s="1"/>
      <c r="I507" s="71">
        <f>IFERROR(__xludf.DUMMYFUNCTION("""COMPUTED_VALUE"""),63.0)</f>
        <v>63</v>
      </c>
      <c r="J507" s="69">
        <f>IFERROR(__xludf.DUMMYFUNCTION("""COMPUTED_VALUE"""),63.0)</f>
        <v>63</v>
      </c>
      <c r="K507" s="4">
        <f>IFERROR(__xludf.DUMMYFUNCTION("""COMPUTED_VALUE"""),63.0)</f>
        <v>63</v>
      </c>
      <c r="N507" s="67"/>
      <c r="R507" s="4"/>
    </row>
    <row r="508">
      <c r="A508" s="66">
        <f>IFERROR(__xludf.DUMMYFUNCTION("""COMPUTED_VALUE"""),46181.0)</f>
        <v>46181</v>
      </c>
      <c r="B508" s="67">
        <f>IFERROR(__xludf.DUMMYFUNCTION("""COMPUTED_VALUE"""),376.0)</f>
        <v>376</v>
      </c>
      <c r="C508" s="69">
        <f>IFERROR(__xludf.DUMMYFUNCTION("""COMPUTED_VALUE"""),67.0)</f>
        <v>67</v>
      </c>
      <c r="D508" s="1" t="str">
        <f>IFERROR(__xludf.DUMMYFUNCTION("""COMPUTED_VALUE"""),"USD")</f>
        <v>USD</v>
      </c>
      <c r="E508" s="1" t="str">
        <f>IFERROR(__xludf.DUMMYFUNCTION("""COMPUTED_VALUE"""),"Efectivo USD")</f>
        <v>Efectivo USD</v>
      </c>
      <c r="F508" s="1" t="str">
        <f>IFERROR(__xludf.DUMMYFUNCTION("""COMPUTED_VALUE"""),"CLUDE CARVALHO DE ACOSTA")</f>
        <v>CLUDE CARVALHO DE ACOSTA</v>
      </c>
      <c r="G508" s="70">
        <f>IFERROR(__xludf.DUMMYFUNCTION("""COMPUTED_VALUE"""),567.6828)</f>
        <v>567.6828</v>
      </c>
      <c r="H508" s="1"/>
      <c r="I508" s="71">
        <f>IFERROR(__xludf.DUMMYFUNCTION("""COMPUTED_VALUE"""),67.0)</f>
        <v>67</v>
      </c>
      <c r="J508" s="69">
        <f>IFERROR(__xludf.DUMMYFUNCTION("""COMPUTED_VALUE"""),67.0)</f>
        <v>67</v>
      </c>
      <c r="K508" s="4">
        <f>IFERROR(__xludf.DUMMYFUNCTION("""COMPUTED_VALUE"""),67.0)</f>
        <v>67</v>
      </c>
      <c r="N508" s="67"/>
      <c r="R508" s="4"/>
    </row>
    <row r="509">
      <c r="A509" s="66">
        <f>IFERROR(__xludf.DUMMYFUNCTION("""COMPUTED_VALUE"""),46181.0)</f>
        <v>46181</v>
      </c>
      <c r="B509" s="67">
        <f>IFERROR(__xludf.DUMMYFUNCTION("""COMPUTED_VALUE"""),338.0)</f>
        <v>338</v>
      </c>
      <c r="C509" s="69">
        <f>IFERROR(__xludf.DUMMYFUNCTION("""COMPUTED_VALUE"""),66.0)</f>
        <v>66</v>
      </c>
      <c r="D509" s="1" t="str">
        <f>IFERROR(__xludf.DUMMYFUNCTION("""COMPUTED_VALUE"""),"USD")</f>
        <v>USD</v>
      </c>
      <c r="E509" s="1" t="str">
        <f>IFERROR(__xludf.DUMMYFUNCTION("""COMPUTED_VALUE"""),"Efectivo USD")</f>
        <v>Efectivo USD</v>
      </c>
      <c r="F509" s="1" t="str">
        <f>IFERROR(__xludf.DUMMYFUNCTION("""COMPUTED_VALUE"""),"TorniRepuesto BA 2015, C.A")</f>
        <v>TorniRepuesto BA 2015, C.A</v>
      </c>
      <c r="G509" s="70">
        <f>IFERROR(__xludf.DUMMYFUNCTION("""COMPUTED_VALUE"""),567.6828)</f>
        <v>567.6828</v>
      </c>
      <c r="H509" s="1"/>
      <c r="I509" s="71">
        <f>IFERROR(__xludf.DUMMYFUNCTION("""COMPUTED_VALUE"""),66.0)</f>
        <v>66</v>
      </c>
      <c r="J509" s="69">
        <f>IFERROR(__xludf.DUMMYFUNCTION("""COMPUTED_VALUE"""),66.0)</f>
        <v>66</v>
      </c>
      <c r="K509" s="4">
        <f>IFERROR(__xludf.DUMMYFUNCTION("""COMPUTED_VALUE"""),66.0)</f>
        <v>66</v>
      </c>
      <c r="N509" s="67"/>
      <c r="R509" s="4"/>
    </row>
    <row r="510">
      <c r="A510" s="66">
        <f>IFERROR(__xludf.DUMMYFUNCTION("""COMPUTED_VALUE"""),46181.0)</f>
        <v>46181</v>
      </c>
      <c r="B510" s="67">
        <f>IFERROR(__xludf.DUMMYFUNCTION("""COMPUTED_VALUE"""),233.0)</f>
        <v>233</v>
      </c>
      <c r="C510" s="69">
        <f>IFERROR(__xludf.DUMMYFUNCTION("""COMPUTED_VALUE"""),28384.0)</f>
        <v>28384</v>
      </c>
      <c r="D510" s="1" t="str">
        <f>IFERROR(__xludf.DUMMYFUNCTION("""COMPUTED_VALUE"""),"VES")</f>
        <v>VES</v>
      </c>
      <c r="E510" s="1" t="str">
        <f>IFERROR(__xludf.DUMMYFUNCTION("""COMPUTED_VALUE"""),"Bancamiga")</f>
        <v>Bancamiga</v>
      </c>
      <c r="F510" s="1" t="str">
        <f>IFERROR(__xludf.DUMMYFUNCTION("""COMPUTED_VALUE"""),"Auto Partes Y Repuestos Encava Express,c.a.")</f>
        <v>Auto Partes Y Repuestos Encava Express,c.a.</v>
      </c>
      <c r="G510" s="70">
        <f>IFERROR(__xludf.DUMMYFUNCTION("""COMPUTED_VALUE"""),567.6828)</f>
        <v>567.6828</v>
      </c>
      <c r="H510" s="1"/>
      <c r="I510" s="71">
        <f>IFERROR(__xludf.DUMMYFUNCTION("""COMPUTED_VALUE"""),49.999753383403544)</f>
        <v>49.99975338</v>
      </c>
      <c r="J510" s="69">
        <f>IFERROR(__xludf.DUMMYFUNCTION("""COMPUTED_VALUE"""),0.0)</f>
        <v>0</v>
      </c>
      <c r="K510" s="4">
        <f>IFERROR(__xludf.DUMMYFUNCTION("""COMPUTED_VALUE"""),49.999753383403544)</f>
        <v>49.99975338</v>
      </c>
      <c r="N510" s="67"/>
      <c r="R510" s="4"/>
    </row>
    <row r="511">
      <c r="A511" s="66">
        <f>IFERROR(__xludf.DUMMYFUNCTION("""COMPUTED_VALUE"""),46181.0)</f>
        <v>46181</v>
      </c>
      <c r="B511" s="67">
        <f>IFERROR(__xludf.DUMMYFUNCTION("""COMPUTED_VALUE"""),124.0)</f>
        <v>124</v>
      </c>
      <c r="C511" s="69">
        <f>IFERROR(__xludf.DUMMYFUNCTION("""COMPUTED_VALUE"""),300.0)</f>
        <v>300</v>
      </c>
      <c r="D511" s="1" t="str">
        <f>IFERROR(__xludf.DUMMYFUNCTION("""COMPUTED_VALUE"""),"USD")</f>
        <v>USD</v>
      </c>
      <c r="E511" s="1" t="str">
        <f>IFERROR(__xludf.DUMMYFUNCTION("""COMPUTED_VALUE"""),"Efectivo USD")</f>
        <v>Efectivo USD</v>
      </c>
      <c r="F511" s="1" t="str">
        <f>IFERROR(__xludf.DUMMYFUNCTION("""COMPUTED_VALUE"""),"M.L.P Repuestos y Otros, C.A")</f>
        <v>M.L.P Repuestos y Otros, C.A</v>
      </c>
      <c r="G511" s="70">
        <f>IFERROR(__xludf.DUMMYFUNCTION("""COMPUTED_VALUE"""),567.6828)</f>
        <v>567.6828</v>
      </c>
      <c r="H511" s="1"/>
      <c r="I511" s="71">
        <f>IFERROR(__xludf.DUMMYFUNCTION("""COMPUTED_VALUE"""),300.0)</f>
        <v>300</v>
      </c>
      <c r="J511" s="69">
        <f>IFERROR(__xludf.DUMMYFUNCTION("""COMPUTED_VALUE"""),300.0)</f>
        <v>300</v>
      </c>
      <c r="K511" s="4">
        <f>IFERROR(__xludf.DUMMYFUNCTION("""COMPUTED_VALUE"""),300.0)</f>
        <v>300</v>
      </c>
      <c r="N511" s="67"/>
      <c r="R511" s="4"/>
    </row>
    <row r="512">
      <c r="A512" s="66">
        <f>IFERROR(__xludf.DUMMYFUNCTION("""COMPUTED_VALUE"""),46147.0)</f>
        <v>46147</v>
      </c>
      <c r="B512" s="67">
        <f>IFERROR(__xludf.DUMMYFUNCTION("""COMPUTED_VALUE"""),441.0)</f>
        <v>441</v>
      </c>
      <c r="C512" s="69">
        <f>IFERROR(__xludf.DUMMYFUNCTION("""COMPUTED_VALUE"""),1203.0)</f>
        <v>1203</v>
      </c>
      <c r="D512" s="1" t="str">
        <f>IFERROR(__xludf.DUMMYFUNCTION("""COMPUTED_VALUE"""),"USD")</f>
        <v>USD</v>
      </c>
      <c r="E512" s="1" t="str">
        <f>IFERROR(__xludf.DUMMYFUNCTION("""COMPUTED_VALUE"""),"Zelle")</f>
        <v>Zelle</v>
      </c>
      <c r="F512" s="1" t="str">
        <f>IFERROR(__xludf.DUMMYFUNCTION("""COMPUTED_VALUE"""),"GASOLVEN DISTRIBUIDORA, C.A")</f>
        <v>GASOLVEN DISTRIBUIDORA, C.A</v>
      </c>
      <c r="G512" s="70">
        <f>IFERROR(__xludf.DUMMYFUNCTION("""COMPUTED_VALUE"""),563.2892)</f>
        <v>563.2892</v>
      </c>
      <c r="H512" s="1"/>
      <c r="I512" s="71">
        <f>IFERROR(__xludf.DUMMYFUNCTION("""COMPUTED_VALUE"""),1203.0)</f>
        <v>1203</v>
      </c>
      <c r="J512" s="69">
        <f>IFERROR(__xludf.DUMMYFUNCTION("""COMPUTED_VALUE"""),1203.0)</f>
        <v>1203</v>
      </c>
      <c r="K512" s="4">
        <f>IFERROR(__xludf.DUMMYFUNCTION("""COMPUTED_VALUE"""),1203.0)</f>
        <v>1203</v>
      </c>
      <c r="N512" s="67"/>
      <c r="R512" s="4"/>
    </row>
    <row r="513">
      <c r="A513" s="66">
        <f>IFERROR(__xludf.DUMMYFUNCTION("""COMPUTED_VALUE"""),46182.0)</f>
        <v>46182</v>
      </c>
      <c r="B513" s="67">
        <f>IFERROR(__xludf.DUMMYFUNCTION("""COMPUTED_VALUE"""),513.0)</f>
        <v>513</v>
      </c>
      <c r="C513" s="69">
        <f>IFERROR(__xludf.DUMMYFUNCTION("""COMPUTED_VALUE"""),70.0)</f>
        <v>70</v>
      </c>
      <c r="D513" s="1" t="str">
        <f>IFERROR(__xludf.DUMMYFUNCTION("""COMPUTED_VALUE"""),"USD")</f>
        <v>USD</v>
      </c>
      <c r="E513" s="1" t="str">
        <f>IFERROR(__xludf.DUMMYFUNCTION("""COMPUTED_VALUE"""),"Efectivo USD")</f>
        <v>Efectivo USD</v>
      </c>
      <c r="F513" s="1" t="str">
        <f>IFERROR(__xludf.DUMMYFUNCTION("""COMPUTED_VALUE"""),"ELENA MEJIAS")</f>
        <v>ELENA MEJIAS</v>
      </c>
      <c r="G513" s="70">
        <f>IFERROR(__xludf.DUMMYFUNCTION("""COMPUTED_VALUE"""),572.67)</f>
        <v>572.67</v>
      </c>
      <c r="H513" s="1"/>
      <c r="I513" s="71">
        <f>IFERROR(__xludf.DUMMYFUNCTION("""COMPUTED_VALUE"""),70.0)</f>
        <v>70</v>
      </c>
      <c r="J513" s="69">
        <f>IFERROR(__xludf.DUMMYFUNCTION("""COMPUTED_VALUE"""),70.0)</f>
        <v>70</v>
      </c>
      <c r="K513" s="4">
        <f>IFERROR(__xludf.DUMMYFUNCTION("""COMPUTED_VALUE"""),70.0)</f>
        <v>70</v>
      </c>
      <c r="N513" s="67"/>
      <c r="R513" s="4"/>
    </row>
    <row r="514">
      <c r="A514" s="66">
        <f>IFERROR(__xludf.DUMMYFUNCTION("""COMPUTED_VALUE"""),46182.0)</f>
        <v>46182</v>
      </c>
      <c r="B514" s="67">
        <f>IFERROR(__xludf.DUMMYFUNCTION("""COMPUTED_VALUE"""),44.0)</f>
        <v>44</v>
      </c>
      <c r="C514" s="69">
        <f>IFERROR(__xludf.DUMMYFUNCTION("""COMPUTED_VALUE"""),207.0)</f>
        <v>207</v>
      </c>
      <c r="D514" s="1" t="str">
        <f>IFERROR(__xludf.DUMMYFUNCTION("""COMPUTED_VALUE"""),"USD")</f>
        <v>USD</v>
      </c>
      <c r="E514" s="1" t="str">
        <f>IFERROR(__xludf.DUMMYFUNCTION("""COMPUTED_VALUE"""),"Efectivo USD")</f>
        <v>Efectivo USD</v>
      </c>
      <c r="F514" s="1" t="str">
        <f>IFERROR(__xludf.DUMMYFUNCTION("""COMPUTED_VALUE"""),"Comercializadora Garabote")</f>
        <v>Comercializadora Garabote</v>
      </c>
      <c r="G514" s="70">
        <f>IFERROR(__xludf.DUMMYFUNCTION("""COMPUTED_VALUE"""),572.67)</f>
        <v>572.67</v>
      </c>
      <c r="H514" s="1"/>
      <c r="I514" s="71">
        <f>IFERROR(__xludf.DUMMYFUNCTION("""COMPUTED_VALUE"""),207.0)</f>
        <v>207</v>
      </c>
      <c r="J514" s="69">
        <f>IFERROR(__xludf.DUMMYFUNCTION("""COMPUTED_VALUE"""),207.0)</f>
        <v>207</v>
      </c>
      <c r="K514" s="4">
        <f>IFERROR(__xludf.DUMMYFUNCTION("""COMPUTED_VALUE"""),207.0)</f>
        <v>207</v>
      </c>
      <c r="N514" s="67"/>
      <c r="R514" s="4"/>
    </row>
    <row r="515">
      <c r="A515" s="66">
        <f>IFERROR(__xludf.DUMMYFUNCTION("""COMPUTED_VALUE"""),46182.0)</f>
        <v>46182</v>
      </c>
      <c r="B515" s="67">
        <f>IFERROR(__xludf.DUMMYFUNCTION("""COMPUTED_VALUE"""),149.0)</f>
        <v>149</v>
      </c>
      <c r="C515" s="69">
        <f>IFERROR(__xludf.DUMMYFUNCTION("""COMPUTED_VALUE"""),300.0)</f>
        <v>300</v>
      </c>
      <c r="D515" s="1" t="str">
        <f>IFERROR(__xludf.DUMMYFUNCTION("""COMPUTED_VALUE"""),"USD")</f>
        <v>USD</v>
      </c>
      <c r="E515" s="1" t="str">
        <f>IFERROR(__xludf.DUMMYFUNCTION("""COMPUTED_VALUE"""),"Efectivo USD")</f>
        <v>Efectivo USD</v>
      </c>
      <c r="F515" s="1" t="str">
        <f>IFERROR(__xludf.DUMMYFUNCTION("""COMPUTED_VALUE"""),"Emprendimiento ilaris cancelo")</f>
        <v>Emprendimiento ilaris cancelo</v>
      </c>
      <c r="G515" s="70">
        <f>IFERROR(__xludf.DUMMYFUNCTION("""COMPUTED_VALUE"""),572.67)</f>
        <v>572.67</v>
      </c>
      <c r="H515" s="1"/>
      <c r="I515" s="71">
        <f>IFERROR(__xludf.DUMMYFUNCTION("""COMPUTED_VALUE"""),300.0)</f>
        <v>300</v>
      </c>
      <c r="J515" s="69">
        <f>IFERROR(__xludf.DUMMYFUNCTION("""COMPUTED_VALUE"""),300.0)</f>
        <v>300</v>
      </c>
      <c r="K515" s="4">
        <f>IFERROR(__xludf.DUMMYFUNCTION("""COMPUTED_VALUE"""),300.0)</f>
        <v>300</v>
      </c>
      <c r="N515" s="67"/>
      <c r="R515" s="4"/>
    </row>
    <row r="516">
      <c r="A516" s="66">
        <f>IFERROR(__xludf.DUMMYFUNCTION("""COMPUTED_VALUE"""),46154.0)</f>
        <v>46154</v>
      </c>
      <c r="B516" s="67">
        <f>IFERROR(__xludf.DUMMYFUNCTION("""COMPUTED_VALUE"""),369.0)</f>
        <v>369</v>
      </c>
      <c r="C516" s="69">
        <f>IFERROR(__xludf.DUMMYFUNCTION("""COMPUTED_VALUE"""),76.0)</f>
        <v>76</v>
      </c>
      <c r="D516" s="1" t="str">
        <f>IFERROR(__xludf.DUMMYFUNCTION("""COMPUTED_VALUE"""),"USD")</f>
        <v>USD</v>
      </c>
      <c r="E516" s="1" t="str">
        <f>IFERROR(__xludf.DUMMYFUNCTION("""COMPUTED_VALUE"""),"Efectivo USD")</f>
        <v>Efectivo USD</v>
      </c>
      <c r="F516" s="1" t="str">
        <f>IFERROR(__xludf.DUMMYFUNCTION("""COMPUTED_VALUE"""),"ELENA MEJIAS")</f>
        <v>ELENA MEJIAS</v>
      </c>
      <c r="G516" s="70">
        <f>IFERROR(__xludf.DUMMYFUNCTION("""COMPUTED_VALUE"""),572.67)</f>
        <v>572.67</v>
      </c>
      <c r="H516" s="1"/>
      <c r="I516" s="71">
        <f>IFERROR(__xludf.DUMMYFUNCTION("""COMPUTED_VALUE"""),76.0)</f>
        <v>76</v>
      </c>
      <c r="J516" s="69">
        <f>IFERROR(__xludf.DUMMYFUNCTION("""COMPUTED_VALUE"""),76.0)</f>
        <v>76</v>
      </c>
      <c r="K516" s="4">
        <f>IFERROR(__xludf.DUMMYFUNCTION("""COMPUTED_VALUE"""),76.0)</f>
        <v>76</v>
      </c>
      <c r="N516" s="67"/>
      <c r="R516" s="4"/>
    </row>
    <row r="517">
      <c r="A517" s="66">
        <f>IFERROR(__xludf.DUMMYFUNCTION("""COMPUTED_VALUE"""),46182.0)</f>
        <v>46182</v>
      </c>
      <c r="B517" s="67">
        <f>IFERROR(__xludf.DUMMYFUNCTION("""COMPUTED_VALUE"""),125.0)</f>
        <v>125</v>
      </c>
      <c r="C517" s="69">
        <f>IFERROR(__xludf.DUMMYFUNCTION("""COMPUTED_VALUE"""),15.0)</f>
        <v>15</v>
      </c>
      <c r="D517" s="1" t="str">
        <f>IFERROR(__xludf.DUMMYFUNCTION("""COMPUTED_VALUE"""),"USD")</f>
        <v>USD</v>
      </c>
      <c r="E517" s="1" t="str">
        <f>IFERROR(__xludf.DUMMYFUNCTION("""COMPUTED_VALUE"""),"Efectivo USD")</f>
        <v>Efectivo USD</v>
      </c>
      <c r="F517" s="1" t="str">
        <f>IFERROR(__xludf.DUMMYFUNCTION("""COMPUTED_VALUE"""),"Megacar2020.c.a")</f>
        <v>Megacar2020.c.a</v>
      </c>
      <c r="G517" s="70">
        <f>IFERROR(__xludf.DUMMYFUNCTION("""COMPUTED_VALUE"""),572.67)</f>
        <v>572.67</v>
      </c>
      <c r="H517" s="1"/>
      <c r="I517" s="71">
        <f>IFERROR(__xludf.DUMMYFUNCTION("""COMPUTED_VALUE"""),15.0)</f>
        <v>15</v>
      </c>
      <c r="J517" s="69">
        <f>IFERROR(__xludf.DUMMYFUNCTION("""COMPUTED_VALUE"""),15.0)</f>
        <v>15</v>
      </c>
      <c r="K517" s="4">
        <f>IFERROR(__xludf.DUMMYFUNCTION("""COMPUTED_VALUE"""),15.0)</f>
        <v>15</v>
      </c>
      <c r="N517" s="67"/>
      <c r="R517" s="4"/>
    </row>
    <row r="518">
      <c r="A518" s="66">
        <f>IFERROR(__xludf.DUMMYFUNCTION("""COMPUTED_VALUE"""),46182.0)</f>
        <v>46182</v>
      </c>
      <c r="B518" s="67">
        <f>IFERROR(__xludf.DUMMYFUNCTION("""COMPUTED_VALUE"""),364.0)</f>
        <v>364</v>
      </c>
      <c r="C518" s="69">
        <f>IFERROR(__xludf.DUMMYFUNCTION("""COMPUTED_VALUE"""),106.0)</f>
        <v>106</v>
      </c>
      <c r="D518" s="1" t="str">
        <f>IFERROR(__xludf.DUMMYFUNCTION("""COMPUTED_VALUE"""),"USD")</f>
        <v>USD</v>
      </c>
      <c r="E518" s="1" t="str">
        <f>IFERROR(__xludf.DUMMYFUNCTION("""COMPUTED_VALUE"""),"Efectivo USD")</f>
        <v>Efectivo USD</v>
      </c>
      <c r="F518" s="1" t="str">
        <f>IFERROR(__xludf.DUMMYFUNCTION("""COMPUTED_VALUE"""),"CAUCHOS NUÑEZ, C.A.")</f>
        <v>CAUCHOS NUÑEZ, C.A.</v>
      </c>
      <c r="G518" s="70">
        <f>IFERROR(__xludf.DUMMYFUNCTION("""COMPUTED_VALUE"""),572.67)</f>
        <v>572.67</v>
      </c>
      <c r="H518" s="1"/>
      <c r="I518" s="71">
        <f>IFERROR(__xludf.DUMMYFUNCTION("""COMPUTED_VALUE"""),106.0)</f>
        <v>106</v>
      </c>
      <c r="J518" s="69">
        <f>IFERROR(__xludf.DUMMYFUNCTION("""COMPUTED_VALUE"""),106.0)</f>
        <v>106</v>
      </c>
      <c r="K518" s="4">
        <f>IFERROR(__xludf.DUMMYFUNCTION("""COMPUTED_VALUE"""),106.0)</f>
        <v>106</v>
      </c>
      <c r="N518" s="67"/>
      <c r="R518" s="4"/>
    </row>
    <row r="519">
      <c r="A519" s="66">
        <f>IFERROR(__xludf.DUMMYFUNCTION("""COMPUTED_VALUE"""),46178.0)</f>
        <v>46178</v>
      </c>
      <c r="B519" s="67">
        <f>IFERROR(__xludf.DUMMYFUNCTION("""COMPUTED_VALUE"""),396.0)</f>
        <v>396</v>
      </c>
      <c r="C519" s="69">
        <f>IFERROR(__xludf.DUMMYFUNCTION("""COMPUTED_VALUE"""),72849.0)</f>
        <v>72849</v>
      </c>
      <c r="D519" s="1" t="str">
        <f>IFERROR(__xludf.DUMMYFUNCTION("""COMPUTED_VALUE"""),"VES")</f>
        <v>VES</v>
      </c>
      <c r="E519" s="1" t="str">
        <f>IFERROR(__xludf.DUMMYFUNCTION("""COMPUTED_VALUE"""),"Bancamiga")</f>
        <v>Bancamiga</v>
      </c>
      <c r="F519" s="1" t="str">
        <f>IFERROR(__xludf.DUMMYFUNCTION("""COMPUTED_VALUE"""),"INVERSIONES ARCOSOL 21, C.A.")</f>
        <v>INVERSIONES ARCOSOL 21, C.A.</v>
      </c>
      <c r="G519" s="70">
        <f>IFERROR(__xludf.DUMMYFUNCTION("""COMPUTED_VALUE"""),504.9146)</f>
        <v>504.9146</v>
      </c>
      <c r="H519" s="1"/>
      <c r="I519" s="71">
        <f>IFERROR(__xludf.DUMMYFUNCTION("""COMPUTED_VALUE"""),144.27984455193015)</f>
        <v>144.2798446</v>
      </c>
      <c r="J519" s="69">
        <f>IFERROR(__xludf.DUMMYFUNCTION("""COMPUTED_VALUE"""),0.0)</f>
        <v>0</v>
      </c>
      <c r="K519" s="4">
        <f>IFERROR(__xludf.DUMMYFUNCTION("""COMPUTED_VALUE"""),144.27984455193015)</f>
        <v>144.2798446</v>
      </c>
      <c r="N519" s="67"/>
      <c r="R519" s="4"/>
    </row>
    <row r="520">
      <c r="A520" s="66">
        <f>IFERROR(__xludf.DUMMYFUNCTION("""COMPUTED_VALUE"""),46182.0)</f>
        <v>46182</v>
      </c>
      <c r="B520" s="67">
        <f>IFERROR(__xludf.DUMMYFUNCTION("""COMPUTED_VALUE"""),207.0)</f>
        <v>207</v>
      </c>
      <c r="C520" s="69">
        <f>IFERROR(__xludf.DUMMYFUNCTION("""COMPUTED_VALUE"""),200.0)</f>
        <v>200</v>
      </c>
      <c r="D520" s="1" t="str">
        <f>IFERROR(__xludf.DUMMYFUNCTION("""COMPUTED_VALUE"""),"USD")</f>
        <v>USD</v>
      </c>
      <c r="E520" s="1" t="str">
        <f>IFERROR(__xludf.DUMMYFUNCTION("""COMPUTED_VALUE"""),"Efectivo USD")</f>
        <v>Efectivo USD</v>
      </c>
      <c r="F520" s="1" t="str">
        <f>IFERROR(__xludf.DUMMYFUNCTION("""COMPUTED_VALUE"""),"Ingrit Martinez")</f>
        <v>Ingrit Martinez</v>
      </c>
      <c r="G520" s="70">
        <f>IFERROR(__xludf.DUMMYFUNCTION("""COMPUTED_VALUE"""),572.67)</f>
        <v>572.67</v>
      </c>
      <c r="H520" s="1"/>
      <c r="I520" s="71">
        <f>IFERROR(__xludf.DUMMYFUNCTION("""COMPUTED_VALUE"""),200.0)</f>
        <v>200</v>
      </c>
      <c r="J520" s="69">
        <f>IFERROR(__xludf.DUMMYFUNCTION("""COMPUTED_VALUE"""),200.0)</f>
        <v>200</v>
      </c>
      <c r="K520" s="4">
        <f>IFERROR(__xludf.DUMMYFUNCTION("""COMPUTED_VALUE"""),200.0)</f>
        <v>200</v>
      </c>
      <c r="N520" s="67"/>
      <c r="R520" s="4"/>
    </row>
    <row r="521">
      <c r="A521" s="66">
        <f>IFERROR(__xludf.DUMMYFUNCTION("""COMPUTED_VALUE"""),46182.0)</f>
        <v>46182</v>
      </c>
      <c r="B521" s="67">
        <f>IFERROR(__xludf.DUMMYFUNCTION("""COMPUTED_VALUE"""),334.0)</f>
        <v>334</v>
      </c>
      <c r="C521" s="69">
        <f>IFERROR(__xludf.DUMMYFUNCTION("""COMPUTED_VALUE"""),195.0)</f>
        <v>195</v>
      </c>
      <c r="D521" s="1" t="str">
        <f>IFERROR(__xludf.DUMMYFUNCTION("""COMPUTED_VALUE"""),"USD")</f>
        <v>USD</v>
      </c>
      <c r="E521" s="1" t="str">
        <f>IFERROR(__xludf.DUMMYFUNCTION("""COMPUTED_VALUE"""),"Zelle")</f>
        <v>Zelle</v>
      </c>
      <c r="F521" s="1" t="str">
        <f>IFERROR(__xludf.DUMMYFUNCTION("""COMPUTED_VALUE"""),"LOGISTICA Y CONSULTORIA VINCARS, C.A.")</f>
        <v>LOGISTICA Y CONSULTORIA VINCARS, C.A.</v>
      </c>
      <c r="G521" s="70">
        <f>IFERROR(__xludf.DUMMYFUNCTION("""COMPUTED_VALUE"""),572.67)</f>
        <v>572.67</v>
      </c>
      <c r="H521" s="1"/>
      <c r="I521" s="71">
        <f>IFERROR(__xludf.DUMMYFUNCTION("""COMPUTED_VALUE"""),195.0)</f>
        <v>195</v>
      </c>
      <c r="J521" s="69">
        <f>IFERROR(__xludf.DUMMYFUNCTION("""COMPUTED_VALUE"""),195.0)</f>
        <v>195</v>
      </c>
      <c r="K521" s="4">
        <f>IFERROR(__xludf.DUMMYFUNCTION("""COMPUTED_VALUE"""),195.0)</f>
        <v>195</v>
      </c>
      <c r="N521" s="67"/>
      <c r="R521" s="4"/>
    </row>
    <row r="522">
      <c r="A522" s="66">
        <f>IFERROR(__xludf.DUMMYFUNCTION("""COMPUTED_VALUE"""),46182.0)</f>
        <v>46182</v>
      </c>
      <c r="B522" s="67">
        <f>IFERROR(__xludf.DUMMYFUNCTION("""COMPUTED_VALUE"""),59.0)</f>
        <v>59</v>
      </c>
      <c r="C522" s="69">
        <f>IFERROR(__xludf.DUMMYFUNCTION("""COMPUTED_VALUE"""),200.0)</f>
        <v>200</v>
      </c>
      <c r="D522" s="1" t="str">
        <f>IFERROR(__xludf.DUMMYFUNCTION("""COMPUTED_VALUE"""),"USD")</f>
        <v>USD</v>
      </c>
      <c r="E522" s="1" t="str">
        <f>IFERROR(__xludf.DUMMYFUNCTION("""COMPUTED_VALUE"""),"Efectivo USD")</f>
        <v>Efectivo USD</v>
      </c>
      <c r="F522" s="1" t="str">
        <f>IFERROR(__xludf.DUMMYFUNCTION("""COMPUTED_VALUE"""),"Rhino Toyo Parts, C.A.")</f>
        <v>Rhino Toyo Parts, C.A.</v>
      </c>
      <c r="G522" s="70">
        <f>IFERROR(__xludf.DUMMYFUNCTION("""COMPUTED_VALUE"""),572.67)</f>
        <v>572.67</v>
      </c>
      <c r="H522" s="1"/>
      <c r="I522" s="71">
        <f>IFERROR(__xludf.DUMMYFUNCTION("""COMPUTED_VALUE"""),200.0)</f>
        <v>200</v>
      </c>
      <c r="J522" s="69">
        <f>IFERROR(__xludf.DUMMYFUNCTION("""COMPUTED_VALUE"""),200.0)</f>
        <v>200</v>
      </c>
      <c r="K522" s="4">
        <f>IFERROR(__xludf.DUMMYFUNCTION("""COMPUTED_VALUE"""),200.0)</f>
        <v>200</v>
      </c>
      <c r="N522" s="67"/>
      <c r="R522" s="4"/>
    </row>
    <row r="523">
      <c r="A523" s="66">
        <f>IFERROR(__xludf.DUMMYFUNCTION("""COMPUTED_VALUE"""),46182.0)</f>
        <v>46182</v>
      </c>
      <c r="B523" s="67">
        <f>IFERROR(__xludf.DUMMYFUNCTION("""COMPUTED_VALUE"""),204.0)</f>
        <v>204</v>
      </c>
      <c r="C523" s="69">
        <f>IFERROR(__xludf.DUMMYFUNCTION("""COMPUTED_VALUE"""),120.0)</f>
        <v>120</v>
      </c>
      <c r="D523" s="1" t="str">
        <f>IFERROR(__xludf.DUMMYFUNCTION("""COMPUTED_VALUE"""),"USD")</f>
        <v>USD</v>
      </c>
      <c r="E523" s="1" t="str">
        <f>IFERROR(__xludf.DUMMYFUNCTION("""COMPUTED_VALUE"""),"Efectivo USD")</f>
        <v>Efectivo USD</v>
      </c>
      <c r="F523" s="1" t="str">
        <f>IFERROR(__xludf.DUMMYFUNCTION("""COMPUTED_VALUE"""),"Motolavado Yahir")</f>
        <v>Motolavado Yahir</v>
      </c>
      <c r="G523" s="70">
        <f>IFERROR(__xludf.DUMMYFUNCTION("""COMPUTED_VALUE"""),572.67)</f>
        <v>572.67</v>
      </c>
      <c r="H523" s="1"/>
      <c r="I523" s="71">
        <f>IFERROR(__xludf.DUMMYFUNCTION("""COMPUTED_VALUE"""),120.0)</f>
        <v>120</v>
      </c>
      <c r="J523" s="69">
        <f>IFERROR(__xludf.DUMMYFUNCTION("""COMPUTED_VALUE"""),120.0)</f>
        <v>120</v>
      </c>
      <c r="K523" s="4">
        <f>IFERROR(__xludf.DUMMYFUNCTION("""COMPUTED_VALUE"""),120.0)</f>
        <v>120</v>
      </c>
      <c r="N523" s="67"/>
      <c r="R523" s="4"/>
    </row>
    <row r="524">
      <c r="A524" s="66">
        <f>IFERROR(__xludf.DUMMYFUNCTION("""COMPUTED_VALUE"""),46182.0)</f>
        <v>46182</v>
      </c>
      <c r="B524" s="67">
        <f>IFERROR(__xludf.DUMMYFUNCTION("""COMPUTED_VALUE"""),518.0)</f>
        <v>518</v>
      </c>
      <c r="C524" s="69">
        <f>IFERROR(__xludf.DUMMYFUNCTION("""COMPUTED_VALUE"""),103.0)</f>
        <v>103</v>
      </c>
      <c r="D524" s="1" t="str">
        <f>IFERROR(__xludf.DUMMYFUNCTION("""COMPUTED_VALUE"""),"USD")</f>
        <v>USD</v>
      </c>
      <c r="E524" s="1" t="str">
        <f>IFERROR(__xludf.DUMMYFUNCTION("""COMPUTED_VALUE"""),"Efectivo USD")</f>
        <v>Efectivo USD</v>
      </c>
      <c r="F524" s="1" t="str">
        <f>IFERROR(__xludf.DUMMYFUNCTION("""COMPUTED_VALUE"""),"EMPRENDIMIENTO IRMA RODRIGUEZ 6")</f>
        <v>EMPRENDIMIENTO IRMA RODRIGUEZ 6</v>
      </c>
      <c r="G524" s="70">
        <f>IFERROR(__xludf.DUMMYFUNCTION("""COMPUTED_VALUE"""),572.67)</f>
        <v>572.67</v>
      </c>
      <c r="H524" s="1"/>
      <c r="I524" s="71">
        <f>IFERROR(__xludf.DUMMYFUNCTION("""COMPUTED_VALUE"""),103.0)</f>
        <v>103</v>
      </c>
      <c r="J524" s="69">
        <f>IFERROR(__xludf.DUMMYFUNCTION("""COMPUTED_VALUE"""),103.0)</f>
        <v>103</v>
      </c>
      <c r="K524" s="4">
        <f>IFERROR(__xludf.DUMMYFUNCTION("""COMPUTED_VALUE"""),103.0)</f>
        <v>103</v>
      </c>
      <c r="N524" s="67"/>
      <c r="R524" s="4"/>
    </row>
    <row r="525">
      <c r="A525" s="66">
        <f>IFERROR(__xludf.DUMMYFUNCTION("""COMPUTED_VALUE"""),46182.0)</f>
        <v>46182</v>
      </c>
      <c r="B525" s="67">
        <f>IFERROR(__xludf.DUMMYFUNCTION("""COMPUTED_VALUE"""),222.0)</f>
        <v>222</v>
      </c>
      <c r="C525" s="69">
        <f>IFERROR(__xludf.DUMMYFUNCTION("""COMPUTED_VALUE"""),80.0)</f>
        <v>80</v>
      </c>
      <c r="D525" s="1" t="str">
        <f>IFERROR(__xludf.DUMMYFUNCTION("""COMPUTED_VALUE"""),"USD")</f>
        <v>USD</v>
      </c>
      <c r="E525" s="1" t="str">
        <f>IFERROR(__xludf.DUMMYFUNCTION("""COMPUTED_VALUE"""),"Efectivo USD")</f>
        <v>Efectivo USD</v>
      </c>
      <c r="F525" s="1" t="str">
        <f>IFERROR(__xludf.DUMMYFUNCTION("""COMPUTED_VALUE"""),"Braulio R. Cedeño Gonzalez.")</f>
        <v>Braulio R. Cedeño Gonzalez.</v>
      </c>
      <c r="G525" s="70">
        <f>IFERROR(__xludf.DUMMYFUNCTION("""COMPUTED_VALUE"""),572.67)</f>
        <v>572.67</v>
      </c>
      <c r="H525" s="1"/>
      <c r="I525" s="71">
        <f>IFERROR(__xludf.DUMMYFUNCTION("""COMPUTED_VALUE"""),80.0)</f>
        <v>80</v>
      </c>
      <c r="J525" s="69">
        <f>IFERROR(__xludf.DUMMYFUNCTION("""COMPUTED_VALUE"""),80.0)</f>
        <v>80</v>
      </c>
      <c r="K525" s="4">
        <f>IFERROR(__xludf.DUMMYFUNCTION("""COMPUTED_VALUE"""),80.0)</f>
        <v>80</v>
      </c>
      <c r="N525" s="67"/>
      <c r="R525" s="4"/>
    </row>
    <row r="526">
      <c r="A526" s="66">
        <f>IFERROR(__xludf.DUMMYFUNCTION("""COMPUTED_VALUE"""),46182.0)</f>
        <v>46182</v>
      </c>
      <c r="B526" s="67">
        <f>IFERROR(__xludf.DUMMYFUNCTION("""COMPUTED_VALUE"""),298.0)</f>
        <v>298</v>
      </c>
      <c r="C526" s="69">
        <f>IFERROR(__xludf.DUMMYFUNCTION("""COMPUTED_VALUE"""),30.0)</f>
        <v>30</v>
      </c>
      <c r="D526" s="1" t="str">
        <f>IFERROR(__xludf.DUMMYFUNCTION("""COMPUTED_VALUE"""),"USD")</f>
        <v>USD</v>
      </c>
      <c r="E526" s="1" t="str">
        <f>IFERROR(__xludf.DUMMYFUNCTION("""COMPUTED_VALUE"""),"Efectivo USD")</f>
        <v>Efectivo USD</v>
      </c>
      <c r="F526" s="1" t="str">
        <f>IFERROR(__xludf.DUMMYFUNCTION("""COMPUTED_VALUE"""),"Inversiones Brayan CT C.A")</f>
        <v>Inversiones Brayan CT C.A</v>
      </c>
      <c r="G526" s="70">
        <f>IFERROR(__xludf.DUMMYFUNCTION("""COMPUTED_VALUE"""),572.67)</f>
        <v>572.67</v>
      </c>
      <c r="H526" s="1"/>
      <c r="I526" s="71">
        <f>IFERROR(__xludf.DUMMYFUNCTION("""COMPUTED_VALUE"""),30.0)</f>
        <v>30</v>
      </c>
      <c r="J526" s="69">
        <f>IFERROR(__xludf.DUMMYFUNCTION("""COMPUTED_VALUE"""),30.0)</f>
        <v>30</v>
      </c>
      <c r="K526" s="4">
        <f>IFERROR(__xludf.DUMMYFUNCTION("""COMPUTED_VALUE"""),30.0)</f>
        <v>30</v>
      </c>
      <c r="N526" s="67"/>
      <c r="R526" s="4"/>
    </row>
    <row r="527">
      <c r="A527" s="66">
        <f>IFERROR(__xludf.DUMMYFUNCTION("""COMPUTED_VALUE"""),46182.0)</f>
        <v>46182</v>
      </c>
      <c r="B527" s="67">
        <f>IFERROR(__xludf.DUMMYFUNCTION("""COMPUTED_VALUE"""),366.0)</f>
        <v>366</v>
      </c>
      <c r="C527" s="69">
        <f>IFERROR(__xludf.DUMMYFUNCTION("""COMPUTED_VALUE"""),76.0)</f>
        <v>76</v>
      </c>
      <c r="D527" s="1" t="str">
        <f>IFERROR(__xludf.DUMMYFUNCTION("""COMPUTED_VALUE"""),"USD")</f>
        <v>USD</v>
      </c>
      <c r="E527" s="1" t="str">
        <f>IFERROR(__xludf.DUMMYFUNCTION("""COMPUTED_VALUE"""),"Efectivo USD")</f>
        <v>Efectivo USD</v>
      </c>
      <c r="F527" s="1" t="str">
        <f>IFERROR(__xludf.DUMMYFUNCTION("""COMPUTED_VALUE"""),"Auto repuestos Fontalvo")</f>
        <v>Auto repuestos Fontalvo</v>
      </c>
      <c r="G527" s="70">
        <f>IFERROR(__xludf.DUMMYFUNCTION("""COMPUTED_VALUE"""),572.67)</f>
        <v>572.67</v>
      </c>
      <c r="H527" s="1"/>
      <c r="I527" s="71">
        <f>IFERROR(__xludf.DUMMYFUNCTION("""COMPUTED_VALUE"""),76.0)</f>
        <v>76</v>
      </c>
      <c r="J527" s="69">
        <f>IFERROR(__xludf.DUMMYFUNCTION("""COMPUTED_VALUE"""),76.0)</f>
        <v>76</v>
      </c>
      <c r="K527" s="4">
        <f>IFERROR(__xludf.DUMMYFUNCTION("""COMPUTED_VALUE"""),76.0)</f>
        <v>76</v>
      </c>
      <c r="N527" s="67"/>
      <c r="R527" s="4"/>
    </row>
    <row r="528">
      <c r="A528" s="66">
        <f>IFERROR(__xludf.DUMMYFUNCTION("""COMPUTED_VALUE"""),46182.0)</f>
        <v>46182</v>
      </c>
      <c r="B528" s="67">
        <f>IFERROR(__xludf.DUMMYFUNCTION("""COMPUTED_VALUE"""),335.0)</f>
        <v>335</v>
      </c>
      <c r="C528" s="69">
        <f>IFERROR(__xludf.DUMMYFUNCTION("""COMPUTED_VALUE"""),50.0)</f>
        <v>50</v>
      </c>
      <c r="D528" s="1" t="str">
        <f>IFERROR(__xludf.DUMMYFUNCTION("""COMPUTED_VALUE"""),"USD")</f>
        <v>USD</v>
      </c>
      <c r="E528" s="1" t="str">
        <f>IFERROR(__xludf.DUMMYFUNCTION("""COMPUTED_VALUE"""),"Efectivo USD")</f>
        <v>Efectivo USD</v>
      </c>
      <c r="F528" s="1" t="str">
        <f>IFERROR(__xludf.DUMMYFUNCTION("""COMPUTED_VALUE"""),"Wili Mervin León Romero")</f>
        <v>Wili Mervin León Romero</v>
      </c>
      <c r="G528" s="70">
        <f>IFERROR(__xludf.DUMMYFUNCTION("""COMPUTED_VALUE"""),572.67)</f>
        <v>572.67</v>
      </c>
      <c r="H528" s="1"/>
      <c r="I528" s="71">
        <f>IFERROR(__xludf.DUMMYFUNCTION("""COMPUTED_VALUE"""),50.0)</f>
        <v>50</v>
      </c>
      <c r="J528" s="69">
        <f>IFERROR(__xludf.DUMMYFUNCTION("""COMPUTED_VALUE"""),50.0)</f>
        <v>50</v>
      </c>
      <c r="K528" s="4">
        <f>IFERROR(__xludf.DUMMYFUNCTION("""COMPUTED_VALUE"""),50.0)</f>
        <v>50</v>
      </c>
      <c r="N528" s="67"/>
      <c r="R528" s="4"/>
    </row>
    <row r="529">
      <c r="A529" s="66">
        <f>IFERROR(__xludf.DUMMYFUNCTION("""COMPUTED_VALUE"""),46182.0)</f>
        <v>46182</v>
      </c>
      <c r="B529" s="67">
        <f>IFERROR(__xludf.DUMMYFUNCTION("""COMPUTED_VALUE"""),324.0)</f>
        <v>324</v>
      </c>
      <c r="C529" s="69">
        <f>IFERROR(__xludf.DUMMYFUNCTION("""COMPUTED_VALUE"""),40.0)</f>
        <v>40</v>
      </c>
      <c r="D529" s="1" t="str">
        <f>IFERROR(__xludf.DUMMYFUNCTION("""COMPUTED_VALUE"""),"USD")</f>
        <v>USD</v>
      </c>
      <c r="E529" s="1" t="str">
        <f>IFERROR(__xludf.DUMMYFUNCTION("""COMPUTED_VALUE"""),"Efectivo USD")</f>
        <v>Efectivo USD</v>
      </c>
      <c r="F529" s="1" t="str">
        <f>IFERROR(__xludf.DUMMYFUNCTION("""COMPUTED_VALUE"""),"Nemer Bourji")</f>
        <v>Nemer Bourji</v>
      </c>
      <c r="G529" s="70">
        <f>IFERROR(__xludf.DUMMYFUNCTION("""COMPUTED_VALUE"""),572.67)</f>
        <v>572.67</v>
      </c>
      <c r="H529" s="1"/>
      <c r="I529" s="71">
        <f>IFERROR(__xludf.DUMMYFUNCTION("""COMPUTED_VALUE"""),40.0)</f>
        <v>40</v>
      </c>
      <c r="J529" s="69">
        <f>IFERROR(__xludf.DUMMYFUNCTION("""COMPUTED_VALUE"""),40.0)</f>
        <v>40</v>
      </c>
      <c r="K529" s="4">
        <f>IFERROR(__xludf.DUMMYFUNCTION("""COMPUTED_VALUE"""),40.0)</f>
        <v>40</v>
      </c>
      <c r="N529" s="67"/>
      <c r="R529" s="4"/>
    </row>
    <row r="530">
      <c r="A530" s="66">
        <f>IFERROR(__xludf.DUMMYFUNCTION("""COMPUTED_VALUE"""),46182.0)</f>
        <v>46182</v>
      </c>
      <c r="B530" s="67">
        <f>IFERROR(__xludf.DUMMYFUNCTION("""COMPUTED_VALUE"""),27.0)</f>
        <v>27</v>
      </c>
      <c r="C530" s="69">
        <f>IFERROR(__xludf.DUMMYFUNCTION("""COMPUTED_VALUE"""),20.0)</f>
        <v>20</v>
      </c>
      <c r="D530" s="1" t="str">
        <f>IFERROR(__xludf.DUMMYFUNCTION("""COMPUTED_VALUE"""),"USD")</f>
        <v>USD</v>
      </c>
      <c r="E530" s="1" t="str">
        <f>IFERROR(__xludf.DUMMYFUNCTION("""COMPUTED_VALUE"""),"Efectivo USD")</f>
        <v>Efectivo USD</v>
      </c>
      <c r="F530" s="1" t="str">
        <f>IFERROR(__xludf.DUMMYFUNCTION("""COMPUTED_VALUE"""),"Moises Alejandro Mares")</f>
        <v>Moises Alejandro Mares</v>
      </c>
      <c r="G530" s="70">
        <f>IFERROR(__xludf.DUMMYFUNCTION("""COMPUTED_VALUE"""),572.67)</f>
        <v>572.67</v>
      </c>
      <c r="H530" s="1"/>
      <c r="I530" s="71">
        <f>IFERROR(__xludf.DUMMYFUNCTION("""COMPUTED_VALUE"""),20.0)</f>
        <v>20</v>
      </c>
      <c r="J530" s="69">
        <f>IFERROR(__xludf.DUMMYFUNCTION("""COMPUTED_VALUE"""),20.0)</f>
        <v>20</v>
      </c>
      <c r="K530" s="4">
        <f>IFERROR(__xludf.DUMMYFUNCTION("""COMPUTED_VALUE"""),20.0)</f>
        <v>20</v>
      </c>
      <c r="N530" s="67"/>
      <c r="R530" s="4"/>
    </row>
    <row r="531">
      <c r="A531" s="66">
        <f>IFERROR(__xludf.DUMMYFUNCTION("""COMPUTED_VALUE"""),46182.0)</f>
        <v>46182</v>
      </c>
      <c r="B531" s="67">
        <f>IFERROR(__xludf.DUMMYFUNCTION("""COMPUTED_VALUE"""),61.0)</f>
        <v>61</v>
      </c>
      <c r="C531" s="69">
        <f>IFERROR(__xludf.DUMMYFUNCTION("""COMPUTED_VALUE"""),150.0)</f>
        <v>150</v>
      </c>
      <c r="D531" s="1" t="str">
        <f>IFERROR(__xludf.DUMMYFUNCTION("""COMPUTED_VALUE"""),"USD")</f>
        <v>USD</v>
      </c>
      <c r="E531" s="1" t="str">
        <f>IFERROR(__xludf.DUMMYFUNCTION("""COMPUTED_VALUE"""),"Zelle")</f>
        <v>Zelle</v>
      </c>
      <c r="F531" s="1" t="str">
        <f>IFERROR(__xludf.DUMMYFUNCTION("""COMPUTED_VALUE"""),"SJMG 2012 C.A")</f>
        <v>SJMG 2012 C.A</v>
      </c>
      <c r="G531" s="70">
        <f>IFERROR(__xludf.DUMMYFUNCTION("""COMPUTED_VALUE"""),572.67)</f>
        <v>572.67</v>
      </c>
      <c r="H531" s="1"/>
      <c r="I531" s="71">
        <f>IFERROR(__xludf.DUMMYFUNCTION("""COMPUTED_VALUE"""),150.0)</f>
        <v>150</v>
      </c>
      <c r="J531" s="69">
        <f>IFERROR(__xludf.DUMMYFUNCTION("""COMPUTED_VALUE"""),150.0)</f>
        <v>150</v>
      </c>
      <c r="K531" s="4">
        <f>IFERROR(__xludf.DUMMYFUNCTION("""COMPUTED_VALUE"""),150.0)</f>
        <v>150</v>
      </c>
      <c r="N531" s="67"/>
      <c r="R531" s="4"/>
    </row>
    <row r="532">
      <c r="A532" s="66">
        <f>IFERROR(__xludf.DUMMYFUNCTION("""COMPUTED_VALUE"""),46182.0)</f>
        <v>46182</v>
      </c>
      <c r="B532" s="67">
        <f>IFERROR(__xludf.DUMMYFUNCTION("""COMPUTED_VALUE"""),525.0)</f>
        <v>525</v>
      </c>
      <c r="C532" s="69">
        <f>IFERROR(__xludf.DUMMYFUNCTION("""COMPUTED_VALUE"""),56.0)</f>
        <v>56</v>
      </c>
      <c r="D532" s="1" t="str">
        <f>IFERROR(__xludf.DUMMYFUNCTION("""COMPUTED_VALUE"""),"USD")</f>
        <v>USD</v>
      </c>
      <c r="E532" s="1" t="str">
        <f>IFERROR(__xludf.DUMMYFUNCTION("""COMPUTED_VALUE"""),"Efectivo USD")</f>
        <v>Efectivo USD</v>
      </c>
      <c r="F532" s="1" t="str">
        <f>IFERROR(__xludf.DUMMYFUNCTION("""COMPUTED_VALUE"""),"Juan antonio salaverria herrera")</f>
        <v>Juan antonio salaverria herrera</v>
      </c>
      <c r="G532" s="70">
        <f>IFERROR(__xludf.DUMMYFUNCTION("""COMPUTED_VALUE"""),572.67)</f>
        <v>572.67</v>
      </c>
      <c r="H532" s="1"/>
      <c r="I532" s="71">
        <f>IFERROR(__xludf.DUMMYFUNCTION("""COMPUTED_VALUE"""),56.0)</f>
        <v>56</v>
      </c>
      <c r="J532" s="69">
        <f>IFERROR(__xludf.DUMMYFUNCTION("""COMPUTED_VALUE"""),56.0)</f>
        <v>56</v>
      </c>
      <c r="K532" s="4">
        <f>IFERROR(__xludf.DUMMYFUNCTION("""COMPUTED_VALUE"""),56.0)</f>
        <v>56</v>
      </c>
      <c r="N532" s="67"/>
      <c r="R532" s="4"/>
    </row>
    <row r="533">
      <c r="A533" s="66">
        <f>IFERROR(__xludf.DUMMYFUNCTION("""COMPUTED_VALUE"""),46182.0)</f>
        <v>46182</v>
      </c>
      <c r="B533" s="67">
        <f>IFERROR(__xludf.DUMMYFUNCTION("""COMPUTED_VALUE"""),310.0)</f>
        <v>310</v>
      </c>
      <c r="C533" s="69">
        <f>IFERROR(__xludf.DUMMYFUNCTION("""COMPUTED_VALUE"""),35.0)</f>
        <v>35</v>
      </c>
      <c r="D533" s="1" t="str">
        <f>IFERROR(__xludf.DUMMYFUNCTION("""COMPUTED_VALUE"""),"USD")</f>
        <v>USD</v>
      </c>
      <c r="E533" s="1" t="str">
        <f>IFERROR(__xludf.DUMMYFUNCTION("""COMPUTED_VALUE"""),"Efectivo USD")</f>
        <v>Efectivo USD</v>
      </c>
      <c r="F533" s="1" t="str">
        <f>IFERROR(__xludf.DUMMYFUNCTION("""COMPUTED_VALUE"""),"Multiservicio SOS Cars, C.A")</f>
        <v>Multiservicio SOS Cars, C.A</v>
      </c>
      <c r="G533" s="70">
        <f>IFERROR(__xludf.DUMMYFUNCTION("""COMPUTED_VALUE"""),572.67)</f>
        <v>572.67</v>
      </c>
      <c r="H533" s="1"/>
      <c r="I533" s="71">
        <f>IFERROR(__xludf.DUMMYFUNCTION("""COMPUTED_VALUE"""),35.0)</f>
        <v>35</v>
      </c>
      <c r="J533" s="69">
        <f>IFERROR(__xludf.DUMMYFUNCTION("""COMPUTED_VALUE"""),35.0)</f>
        <v>35</v>
      </c>
      <c r="K533" s="4">
        <f>IFERROR(__xludf.DUMMYFUNCTION("""COMPUTED_VALUE"""),35.0)</f>
        <v>35</v>
      </c>
      <c r="N533" s="67"/>
      <c r="R533" s="4"/>
    </row>
    <row r="534">
      <c r="A534" s="66">
        <f>IFERROR(__xludf.DUMMYFUNCTION("""COMPUTED_VALUE"""),46181.0)</f>
        <v>46181</v>
      </c>
      <c r="B534" s="67">
        <f>IFERROR(__xludf.DUMMYFUNCTION("""COMPUTED_VALUE"""),427.0)</f>
        <v>427</v>
      </c>
      <c r="C534" s="69">
        <f>IFERROR(__xludf.DUMMYFUNCTION("""COMPUTED_VALUE"""),1541764.04)</f>
        <v>1541764.04</v>
      </c>
      <c r="D534" s="1" t="str">
        <f>IFERROR(__xludf.DUMMYFUNCTION("""COMPUTED_VALUE"""),"VES")</f>
        <v>VES</v>
      </c>
      <c r="E534" s="1" t="str">
        <f>IFERROR(__xludf.DUMMYFUNCTION("""COMPUTED_VALUE"""),"Bancamiga")</f>
        <v>Bancamiga</v>
      </c>
      <c r="F534" s="1" t="str">
        <f>IFERROR(__xludf.DUMMYFUNCTION("""COMPUTED_VALUE"""),"CONSTRUCTORA GRANO AGREGADO, C.A")</f>
        <v>CONSTRUCTORA GRANO AGREGADO, C.A</v>
      </c>
      <c r="G534" s="70">
        <f>IFERROR(__xludf.DUMMYFUNCTION("""COMPUTED_VALUE"""),567.6828)</f>
        <v>567.6828</v>
      </c>
      <c r="H534" s="1"/>
      <c r="I534" s="71">
        <f>IFERROR(__xludf.DUMMYFUNCTION("""COMPUTED_VALUE"""),2715.890000542556)</f>
        <v>2715.890001</v>
      </c>
      <c r="J534" s="69">
        <f>IFERROR(__xludf.DUMMYFUNCTION("""COMPUTED_VALUE"""),0.0)</f>
        <v>0</v>
      </c>
      <c r="K534" s="4">
        <f>IFERROR(__xludf.DUMMYFUNCTION("""COMPUTED_VALUE"""),2715.890000542556)</f>
        <v>2715.890001</v>
      </c>
      <c r="N534" s="67"/>
      <c r="R534" s="4"/>
    </row>
    <row r="535">
      <c r="A535" s="66">
        <f>IFERROR(__xludf.DUMMYFUNCTION("""COMPUTED_VALUE"""),46183.0)</f>
        <v>46183</v>
      </c>
      <c r="B535" s="67">
        <f>IFERROR(__xludf.DUMMYFUNCTION("""COMPUTED_VALUE"""),472.0)</f>
        <v>472</v>
      </c>
      <c r="C535" s="69">
        <f>IFERROR(__xludf.DUMMYFUNCTION("""COMPUTED_VALUE"""),94080.0)</f>
        <v>94080</v>
      </c>
      <c r="D535" s="1" t="str">
        <f>IFERROR(__xludf.DUMMYFUNCTION("""COMPUTED_VALUE"""),"VES")</f>
        <v>VES</v>
      </c>
      <c r="E535" s="1" t="str">
        <f>IFERROR(__xludf.DUMMYFUNCTION("""COMPUTED_VALUE"""),"Bancamiga")</f>
        <v>Bancamiga</v>
      </c>
      <c r="F535" s="1" t="str">
        <f>IFERROR(__xludf.DUMMYFUNCTION("""COMPUTED_VALUE"""),"Antonio Terán")</f>
        <v>Antonio Terán</v>
      </c>
      <c r="G535" s="70">
        <f>IFERROR(__xludf.DUMMYFUNCTION("""COMPUTED_VALUE"""),572.6784)</f>
        <v>572.6784</v>
      </c>
      <c r="H535" s="1"/>
      <c r="I535" s="71">
        <f>IFERROR(__xludf.DUMMYFUNCTION("""COMPUTED_VALUE"""),164.28068528514433)</f>
        <v>164.2806853</v>
      </c>
      <c r="J535" s="69">
        <f>IFERROR(__xludf.DUMMYFUNCTION("""COMPUTED_VALUE"""),0.0)</f>
        <v>0</v>
      </c>
      <c r="K535" s="4">
        <f>IFERROR(__xludf.DUMMYFUNCTION("""COMPUTED_VALUE"""),164.28068528514433)</f>
        <v>164.2806853</v>
      </c>
      <c r="N535" s="67"/>
      <c r="R535" s="4"/>
    </row>
    <row r="536">
      <c r="A536" s="66">
        <f>IFERROR(__xludf.DUMMYFUNCTION("""COMPUTED_VALUE"""),46183.0)</f>
        <v>46183</v>
      </c>
      <c r="B536" s="67">
        <f>IFERROR(__xludf.DUMMYFUNCTION("""COMPUTED_VALUE"""),114.0)</f>
        <v>114</v>
      </c>
      <c r="C536" s="69">
        <f>IFERROR(__xludf.DUMMYFUNCTION("""COMPUTED_VALUE"""),20.0)</f>
        <v>20</v>
      </c>
      <c r="D536" s="1" t="str">
        <f>IFERROR(__xludf.DUMMYFUNCTION("""COMPUTED_VALUE"""),"USD")</f>
        <v>USD</v>
      </c>
      <c r="E536" s="1" t="str">
        <f>IFERROR(__xludf.DUMMYFUNCTION("""COMPUTED_VALUE"""),"Efectivo USD")</f>
        <v>Efectivo USD</v>
      </c>
      <c r="F536" s="1" t="str">
        <f>IFERROR(__xludf.DUMMYFUNCTION("""COMPUTED_VALUE"""),"Autoasesorio maxi motor")</f>
        <v>Autoasesorio maxi motor</v>
      </c>
      <c r="G536" s="70">
        <f>IFERROR(__xludf.DUMMYFUNCTION("""COMPUTED_VALUE"""),572.6784)</f>
        <v>572.6784</v>
      </c>
      <c r="H536" s="1"/>
      <c r="I536" s="71">
        <f>IFERROR(__xludf.DUMMYFUNCTION("""COMPUTED_VALUE"""),20.0)</f>
        <v>20</v>
      </c>
      <c r="J536" s="69">
        <f>IFERROR(__xludf.DUMMYFUNCTION("""COMPUTED_VALUE"""),20.0)</f>
        <v>20</v>
      </c>
      <c r="K536" s="4">
        <f>IFERROR(__xludf.DUMMYFUNCTION("""COMPUTED_VALUE"""),20.0)</f>
        <v>20</v>
      </c>
      <c r="N536" s="67"/>
      <c r="R536" s="4"/>
    </row>
    <row r="537">
      <c r="A537" s="66">
        <f>IFERROR(__xludf.DUMMYFUNCTION("""COMPUTED_VALUE"""),46183.0)</f>
        <v>46183</v>
      </c>
      <c r="B537" s="67">
        <f>IFERROR(__xludf.DUMMYFUNCTION("""COMPUTED_VALUE"""),226.0)</f>
        <v>226</v>
      </c>
      <c r="C537" s="69">
        <f>IFERROR(__xludf.DUMMYFUNCTION("""COMPUTED_VALUE"""),30.0)</f>
        <v>30</v>
      </c>
      <c r="D537" s="1" t="str">
        <f>IFERROR(__xludf.DUMMYFUNCTION("""COMPUTED_VALUE"""),"USD")</f>
        <v>USD</v>
      </c>
      <c r="E537" s="1" t="str">
        <f>IFERROR(__xludf.DUMMYFUNCTION("""COMPUTED_VALUE"""),"Efectivo USD")</f>
        <v>Efectivo USD</v>
      </c>
      <c r="F537" s="1" t="str">
        <f>IFERROR(__xludf.DUMMYFUNCTION("""COMPUTED_VALUE"""),"Josefina Guevera")</f>
        <v>Josefina Guevera</v>
      </c>
      <c r="G537" s="70">
        <f>IFERROR(__xludf.DUMMYFUNCTION("""COMPUTED_VALUE"""),572.6784)</f>
        <v>572.6784</v>
      </c>
      <c r="H537" s="1"/>
      <c r="I537" s="71">
        <f>IFERROR(__xludf.DUMMYFUNCTION("""COMPUTED_VALUE"""),30.0)</f>
        <v>30</v>
      </c>
      <c r="J537" s="69">
        <f>IFERROR(__xludf.DUMMYFUNCTION("""COMPUTED_VALUE"""),30.0)</f>
        <v>30</v>
      </c>
      <c r="K537" s="4">
        <f>IFERROR(__xludf.DUMMYFUNCTION("""COMPUTED_VALUE"""),30.0)</f>
        <v>30</v>
      </c>
      <c r="N537" s="67"/>
      <c r="R537" s="4"/>
    </row>
    <row r="538">
      <c r="A538" s="66">
        <f>IFERROR(__xludf.DUMMYFUNCTION("""COMPUTED_VALUE"""),46182.0)</f>
        <v>46182</v>
      </c>
      <c r="B538" s="67">
        <f>IFERROR(__xludf.DUMMYFUNCTION("""COMPUTED_VALUE"""),330.0)</f>
        <v>330</v>
      </c>
      <c r="C538" s="69">
        <f>IFERROR(__xludf.DUMMYFUNCTION("""COMPUTED_VALUE"""),19880.0)</f>
        <v>19880</v>
      </c>
      <c r="D538" s="1" t="str">
        <f>IFERROR(__xludf.DUMMYFUNCTION("""COMPUTED_VALUE"""),"VES")</f>
        <v>VES</v>
      </c>
      <c r="E538" s="1" t="str">
        <f>IFERROR(__xludf.DUMMYFUNCTION("""COMPUTED_VALUE"""),"Bancamiga")</f>
        <v>Bancamiga</v>
      </c>
      <c r="F538" s="1" t="str">
        <f>IFERROR(__xludf.DUMMYFUNCTION("""COMPUTED_VALUE"""),"Diana Carolina Torres")</f>
        <v>Diana Carolina Torres</v>
      </c>
      <c r="G538" s="70">
        <f>IFERROR(__xludf.DUMMYFUNCTION("""COMPUTED_VALUE"""),572.67)</f>
        <v>572.67</v>
      </c>
      <c r="H538" s="1"/>
      <c r="I538" s="71">
        <f>IFERROR(__xludf.DUMMYFUNCTION("""COMPUTED_VALUE"""),34.71458256936805)</f>
        <v>34.71458257</v>
      </c>
      <c r="J538" s="69">
        <f>IFERROR(__xludf.DUMMYFUNCTION("""COMPUTED_VALUE"""),0.0)</f>
        <v>0</v>
      </c>
      <c r="K538" s="4">
        <f>IFERROR(__xludf.DUMMYFUNCTION("""COMPUTED_VALUE"""),34.71458256936805)</f>
        <v>34.71458257</v>
      </c>
      <c r="N538" s="67"/>
      <c r="R538" s="4"/>
    </row>
    <row r="539">
      <c r="A539" s="66">
        <f>IFERROR(__xludf.DUMMYFUNCTION("""COMPUTED_VALUE"""),46183.0)</f>
        <v>46183</v>
      </c>
      <c r="B539" s="67">
        <f>IFERROR(__xludf.DUMMYFUNCTION("""COMPUTED_VALUE"""),330.0)</f>
        <v>330</v>
      </c>
      <c r="C539" s="69">
        <f>IFERROR(__xludf.DUMMYFUNCTION("""COMPUTED_VALUE"""),10465.0)</f>
        <v>10465</v>
      </c>
      <c r="D539" s="1" t="str">
        <f>IFERROR(__xludf.DUMMYFUNCTION("""COMPUTED_VALUE"""),"VES")</f>
        <v>VES</v>
      </c>
      <c r="E539" s="1" t="str">
        <f>IFERROR(__xludf.DUMMYFUNCTION("""COMPUTED_VALUE"""),"Bancamiga")</f>
        <v>Bancamiga</v>
      </c>
      <c r="F539" s="1" t="str">
        <f>IFERROR(__xludf.DUMMYFUNCTION("""COMPUTED_VALUE"""),"Diana Carolina Torres")</f>
        <v>Diana Carolina Torres</v>
      </c>
      <c r="G539" s="70">
        <f>IFERROR(__xludf.DUMMYFUNCTION("""COMPUTED_VALUE"""),572.6784)</f>
        <v>572.6784</v>
      </c>
      <c r="H539" s="1"/>
      <c r="I539" s="71">
        <f>IFERROR(__xludf.DUMMYFUNCTION("""COMPUTED_VALUE"""),18.27378158491747)</f>
        <v>18.27378158</v>
      </c>
      <c r="J539" s="69">
        <f>IFERROR(__xludf.DUMMYFUNCTION("""COMPUTED_VALUE"""),0.0)</f>
        <v>0</v>
      </c>
      <c r="K539" s="4">
        <f>IFERROR(__xludf.DUMMYFUNCTION("""COMPUTED_VALUE"""),18.27378158491747)</f>
        <v>18.27378158</v>
      </c>
      <c r="N539" s="67"/>
      <c r="R539" s="4"/>
    </row>
    <row r="540">
      <c r="A540" s="66">
        <f>IFERROR(__xludf.DUMMYFUNCTION("""COMPUTED_VALUE"""),46183.0)</f>
        <v>46183</v>
      </c>
      <c r="B540" s="67">
        <f>IFERROR(__xludf.DUMMYFUNCTION("""COMPUTED_VALUE"""),373.0)</f>
        <v>373</v>
      </c>
      <c r="C540" s="69">
        <f>IFERROR(__xludf.DUMMYFUNCTION("""COMPUTED_VALUE"""),80.0)</f>
        <v>80</v>
      </c>
      <c r="D540" s="1" t="str">
        <f>IFERROR(__xludf.DUMMYFUNCTION("""COMPUTED_VALUE"""),"USD")</f>
        <v>USD</v>
      </c>
      <c r="E540" s="1" t="str">
        <f>IFERROR(__xludf.DUMMYFUNCTION("""COMPUTED_VALUE"""),"Efectivo USD")</f>
        <v>Efectivo USD</v>
      </c>
      <c r="F540" s="1" t="str">
        <f>IFERROR(__xludf.DUMMYFUNCTION("""COMPUTED_VALUE"""),"INVERSIONES DA &amp; JE,")</f>
        <v>INVERSIONES DA &amp; JE,</v>
      </c>
      <c r="G540" s="70">
        <f>IFERROR(__xludf.DUMMYFUNCTION("""COMPUTED_VALUE"""),572.6784)</f>
        <v>572.6784</v>
      </c>
      <c r="H540" s="1"/>
      <c r="I540" s="71">
        <f>IFERROR(__xludf.DUMMYFUNCTION("""COMPUTED_VALUE"""),80.0)</f>
        <v>80</v>
      </c>
      <c r="J540" s="69">
        <f>IFERROR(__xludf.DUMMYFUNCTION("""COMPUTED_VALUE"""),80.0)</f>
        <v>80</v>
      </c>
      <c r="K540" s="4">
        <f>IFERROR(__xludf.DUMMYFUNCTION("""COMPUTED_VALUE"""),80.0)</f>
        <v>80</v>
      </c>
      <c r="N540" s="67"/>
      <c r="R540" s="4"/>
    </row>
    <row r="541">
      <c r="A541" s="66">
        <f>IFERROR(__xludf.DUMMYFUNCTION("""COMPUTED_VALUE"""),46183.0)</f>
        <v>46183</v>
      </c>
      <c r="B541" s="67">
        <f>IFERROR(__xludf.DUMMYFUNCTION("""COMPUTED_VALUE"""),449.0)</f>
        <v>449</v>
      </c>
      <c r="C541" s="69">
        <f>IFERROR(__xludf.DUMMYFUNCTION("""COMPUTED_VALUE"""),354.0)</f>
        <v>354</v>
      </c>
      <c r="D541" s="1" t="str">
        <f>IFERROR(__xludf.DUMMYFUNCTION("""COMPUTED_VALUE"""),"USD")</f>
        <v>USD</v>
      </c>
      <c r="E541" s="1" t="str">
        <f>IFERROR(__xludf.DUMMYFUNCTION("""COMPUTED_VALUE"""),"Efectivo USD")</f>
        <v>Efectivo USD</v>
      </c>
      <c r="F541" s="1" t="str">
        <f>IFERROR(__xludf.DUMMYFUNCTION("""COMPUTED_VALUE"""),"Alexander Quiroz")</f>
        <v>Alexander Quiroz</v>
      </c>
      <c r="G541" s="70">
        <f>IFERROR(__xludf.DUMMYFUNCTION("""COMPUTED_VALUE"""),572.6784)</f>
        <v>572.6784</v>
      </c>
      <c r="H541" s="1"/>
      <c r="I541" s="71">
        <f>IFERROR(__xludf.DUMMYFUNCTION("""COMPUTED_VALUE"""),354.0)</f>
        <v>354</v>
      </c>
      <c r="J541" s="69">
        <f>IFERROR(__xludf.DUMMYFUNCTION("""COMPUTED_VALUE"""),354.0)</f>
        <v>354</v>
      </c>
      <c r="K541" s="4">
        <f>IFERROR(__xludf.DUMMYFUNCTION("""COMPUTED_VALUE"""),354.0)</f>
        <v>354</v>
      </c>
      <c r="N541" s="67"/>
      <c r="R541" s="4"/>
    </row>
    <row r="542">
      <c r="A542" s="66">
        <f>IFERROR(__xludf.DUMMYFUNCTION("""COMPUTED_VALUE"""),46183.0)</f>
        <v>46183</v>
      </c>
      <c r="B542" s="67">
        <f>IFERROR(__xludf.DUMMYFUNCTION("""COMPUTED_VALUE"""),261.0)</f>
        <v>261</v>
      </c>
      <c r="C542" s="69">
        <f>IFERROR(__xludf.DUMMYFUNCTION("""COMPUTED_VALUE"""),150.0)</f>
        <v>150</v>
      </c>
      <c r="D542" s="1" t="str">
        <f>IFERROR(__xludf.DUMMYFUNCTION("""COMPUTED_VALUE"""),"USD")</f>
        <v>USD</v>
      </c>
      <c r="E542" s="1" t="str">
        <f>IFERROR(__xludf.DUMMYFUNCTION("""COMPUTED_VALUE"""),"Efectivo USD")</f>
        <v>Efectivo USD</v>
      </c>
      <c r="F542" s="1" t="str">
        <f>IFERROR(__xludf.DUMMYFUNCTION("""COMPUTED_VALUE"""),"Autopartes Munich PH 168 C.A.")</f>
        <v>Autopartes Munich PH 168 C.A.</v>
      </c>
      <c r="G542" s="70">
        <f>IFERROR(__xludf.DUMMYFUNCTION("""COMPUTED_VALUE"""),572.6784)</f>
        <v>572.6784</v>
      </c>
      <c r="H542" s="1"/>
      <c r="I542" s="71">
        <f>IFERROR(__xludf.DUMMYFUNCTION("""COMPUTED_VALUE"""),150.0)</f>
        <v>150</v>
      </c>
      <c r="J542" s="69">
        <f>IFERROR(__xludf.DUMMYFUNCTION("""COMPUTED_VALUE"""),150.0)</f>
        <v>150</v>
      </c>
      <c r="K542" s="4">
        <f>IFERROR(__xludf.DUMMYFUNCTION("""COMPUTED_VALUE"""),150.0)</f>
        <v>150</v>
      </c>
      <c r="N542" s="67"/>
      <c r="R542" s="4"/>
    </row>
    <row r="543">
      <c r="A543" s="66">
        <f>IFERROR(__xludf.DUMMYFUNCTION("""COMPUTED_VALUE"""),46183.0)</f>
        <v>46183</v>
      </c>
      <c r="B543" s="67">
        <f>IFERROR(__xludf.DUMMYFUNCTION("""COMPUTED_VALUE"""),422.0)</f>
        <v>422</v>
      </c>
      <c r="C543" s="69">
        <f>IFERROR(__xludf.DUMMYFUNCTION("""COMPUTED_VALUE"""),60.0)</f>
        <v>60</v>
      </c>
      <c r="D543" s="1" t="str">
        <f>IFERROR(__xludf.DUMMYFUNCTION("""COMPUTED_VALUE"""),"USD")</f>
        <v>USD</v>
      </c>
      <c r="E543" s="1" t="str">
        <f>IFERROR(__xludf.DUMMYFUNCTION("""COMPUTED_VALUE"""),"Efectivo USD")</f>
        <v>Efectivo USD</v>
      </c>
      <c r="F543" s="1" t="str">
        <f>IFERROR(__xludf.DUMMYFUNCTION("""COMPUTED_VALUE"""),"INVERSIONES R&amp;C 1817,  c.a.")</f>
        <v>INVERSIONES R&amp;C 1817,  c.a.</v>
      </c>
      <c r="G543" s="70">
        <f>IFERROR(__xludf.DUMMYFUNCTION("""COMPUTED_VALUE"""),572.6784)</f>
        <v>572.6784</v>
      </c>
      <c r="H543" s="1"/>
      <c r="I543" s="71">
        <f>IFERROR(__xludf.DUMMYFUNCTION("""COMPUTED_VALUE"""),60.0)</f>
        <v>60</v>
      </c>
      <c r="J543" s="69">
        <f>IFERROR(__xludf.DUMMYFUNCTION("""COMPUTED_VALUE"""),60.0)</f>
        <v>60</v>
      </c>
      <c r="K543" s="4">
        <f>IFERROR(__xludf.DUMMYFUNCTION("""COMPUTED_VALUE"""),60.0)</f>
        <v>60</v>
      </c>
      <c r="N543" s="67"/>
      <c r="R543" s="4"/>
    </row>
    <row r="544">
      <c r="A544" s="66">
        <f>IFERROR(__xludf.DUMMYFUNCTION("""COMPUTED_VALUE"""),46183.0)</f>
        <v>46183</v>
      </c>
      <c r="B544" s="67">
        <f>IFERROR(__xludf.DUMMYFUNCTION("""COMPUTED_VALUE"""),31.0)</f>
        <v>31</v>
      </c>
      <c r="C544" s="69">
        <f>IFERROR(__xludf.DUMMYFUNCTION("""COMPUTED_VALUE"""),28633.92)</f>
        <v>28633.92</v>
      </c>
      <c r="D544" s="1" t="str">
        <f>IFERROR(__xludf.DUMMYFUNCTION("""COMPUTED_VALUE"""),"VES")</f>
        <v>VES</v>
      </c>
      <c r="E544" s="1" t="str">
        <f>IFERROR(__xludf.DUMMYFUNCTION("""COMPUTED_VALUE"""),"Bancamiga")</f>
        <v>Bancamiga</v>
      </c>
      <c r="F544" s="1" t="str">
        <f>IFERROR(__xludf.DUMMYFUNCTION("""COMPUTED_VALUE"""),"COMERCIAL REPUESTOS MUNDIALES RMS 2022 C.A.")</f>
        <v>COMERCIAL REPUESTOS MUNDIALES RMS 2022 C.A.</v>
      </c>
      <c r="G544" s="70">
        <f>IFERROR(__xludf.DUMMYFUNCTION("""COMPUTED_VALUE"""),572.6784)</f>
        <v>572.6784</v>
      </c>
      <c r="H544" s="1"/>
      <c r="I544" s="71">
        <f>IFERROR(__xludf.DUMMYFUNCTION("""COMPUTED_VALUE"""),49.99999999999999)</f>
        <v>50</v>
      </c>
      <c r="J544" s="69">
        <f>IFERROR(__xludf.DUMMYFUNCTION("""COMPUTED_VALUE"""),0.0)</f>
        <v>0</v>
      </c>
      <c r="K544" s="4">
        <f>IFERROR(__xludf.DUMMYFUNCTION("""COMPUTED_VALUE"""),49.99999999999999)</f>
        <v>50</v>
      </c>
      <c r="N544" s="67"/>
      <c r="R544" s="4"/>
    </row>
    <row r="545">
      <c r="A545" s="66">
        <f>IFERROR(__xludf.DUMMYFUNCTION("""COMPUTED_VALUE"""),46183.0)</f>
        <v>46183</v>
      </c>
      <c r="B545" s="67">
        <f>IFERROR(__xludf.DUMMYFUNCTION("""COMPUTED_VALUE"""),133.0)</f>
        <v>133</v>
      </c>
      <c r="C545" s="69">
        <f>IFERROR(__xludf.DUMMYFUNCTION("""COMPUTED_VALUE"""),500.0)</f>
        <v>500</v>
      </c>
      <c r="D545" s="1" t="str">
        <f>IFERROR(__xludf.DUMMYFUNCTION("""COMPUTED_VALUE"""),"USD")</f>
        <v>USD</v>
      </c>
      <c r="E545" s="1" t="str">
        <f>IFERROR(__xludf.DUMMYFUNCTION("""COMPUTED_VALUE"""),"Efectivo USD")</f>
        <v>Efectivo USD</v>
      </c>
      <c r="F545" s="1" t="str">
        <f>IFERROR(__xludf.DUMMYFUNCTION("""COMPUTED_VALUE"""),"Inversiones La Bendición del Nazareno, C.A")</f>
        <v>Inversiones La Bendición del Nazareno, C.A</v>
      </c>
      <c r="G545" s="70">
        <f>IFERROR(__xludf.DUMMYFUNCTION("""COMPUTED_VALUE"""),572.6784)</f>
        <v>572.6784</v>
      </c>
      <c r="H545" s="1"/>
      <c r="I545" s="71">
        <f>IFERROR(__xludf.DUMMYFUNCTION("""COMPUTED_VALUE"""),500.0)</f>
        <v>500</v>
      </c>
      <c r="J545" s="69">
        <f>IFERROR(__xludf.DUMMYFUNCTION("""COMPUTED_VALUE"""),500.0)</f>
        <v>500</v>
      </c>
      <c r="K545" s="4">
        <f>IFERROR(__xludf.DUMMYFUNCTION("""COMPUTED_VALUE"""),500.0)</f>
        <v>500</v>
      </c>
      <c r="N545" s="67"/>
      <c r="R545" s="4"/>
    </row>
    <row r="546">
      <c r="A546" s="66">
        <f>IFERROR(__xludf.DUMMYFUNCTION("""COMPUTED_VALUE"""),46184.0)</f>
        <v>46184</v>
      </c>
      <c r="B546" s="67">
        <f>IFERROR(__xludf.DUMMYFUNCTION("""COMPUTED_VALUE"""),274.0)</f>
        <v>274</v>
      </c>
      <c r="C546" s="69">
        <f>IFERROR(__xludf.DUMMYFUNCTION("""COMPUTED_VALUE"""),34.0)</f>
        <v>34</v>
      </c>
      <c r="D546" s="1" t="str">
        <f>IFERROR(__xludf.DUMMYFUNCTION("""COMPUTED_VALUE"""),"USD")</f>
        <v>USD</v>
      </c>
      <c r="E546" s="1" t="str">
        <f>IFERROR(__xludf.DUMMYFUNCTION("""COMPUTED_VALUE"""),"Efectivo USD")</f>
        <v>Efectivo USD</v>
      </c>
      <c r="F546" s="1" t="str">
        <f>IFERROR(__xludf.DUMMYFUNCTION("""COMPUTED_VALUE"""),"ADS SERVICE C.A")</f>
        <v>ADS SERVICE C.A</v>
      </c>
      <c r="G546" s="70">
        <f>IFERROR(__xludf.DUMMYFUNCTION("""COMPUTED_VALUE"""),577.5461)</f>
        <v>577.5461</v>
      </c>
      <c r="H546" s="1"/>
      <c r="I546" s="71">
        <f>IFERROR(__xludf.DUMMYFUNCTION("""COMPUTED_VALUE"""),34.0)</f>
        <v>34</v>
      </c>
      <c r="J546" s="69">
        <f>IFERROR(__xludf.DUMMYFUNCTION("""COMPUTED_VALUE"""),34.0)</f>
        <v>34</v>
      </c>
      <c r="K546" s="4">
        <f>IFERROR(__xludf.DUMMYFUNCTION("""COMPUTED_VALUE"""),34.0)</f>
        <v>34</v>
      </c>
      <c r="N546" s="67"/>
      <c r="R546" s="4"/>
    </row>
    <row r="547">
      <c r="A547" s="66">
        <f>IFERROR(__xludf.DUMMYFUNCTION("""COMPUTED_VALUE"""),46184.0)</f>
        <v>46184</v>
      </c>
      <c r="B547" s="67">
        <f>IFERROR(__xludf.DUMMYFUNCTION("""COMPUTED_VALUE"""),61.0)</f>
        <v>61</v>
      </c>
      <c r="C547" s="69">
        <f>IFERROR(__xludf.DUMMYFUNCTION("""COMPUTED_VALUE"""),400.0)</f>
        <v>400</v>
      </c>
      <c r="D547" s="1" t="str">
        <f>IFERROR(__xludf.DUMMYFUNCTION("""COMPUTED_VALUE"""),"USD")</f>
        <v>USD</v>
      </c>
      <c r="E547" s="1" t="str">
        <f>IFERROR(__xludf.DUMMYFUNCTION("""COMPUTED_VALUE"""),"Zelle")</f>
        <v>Zelle</v>
      </c>
      <c r="F547" s="1" t="str">
        <f>IFERROR(__xludf.DUMMYFUNCTION("""COMPUTED_VALUE"""),"SJMG 2012 C.A")</f>
        <v>SJMG 2012 C.A</v>
      </c>
      <c r="G547" s="70">
        <f>IFERROR(__xludf.DUMMYFUNCTION("""COMPUTED_VALUE"""),577.5461)</f>
        <v>577.5461</v>
      </c>
      <c r="H547" s="1"/>
      <c r="I547" s="71">
        <f>IFERROR(__xludf.DUMMYFUNCTION("""COMPUTED_VALUE"""),400.0)</f>
        <v>400</v>
      </c>
      <c r="J547" s="69">
        <f>IFERROR(__xludf.DUMMYFUNCTION("""COMPUTED_VALUE"""),400.0)</f>
        <v>400</v>
      </c>
      <c r="K547" s="4">
        <f>IFERROR(__xludf.DUMMYFUNCTION("""COMPUTED_VALUE"""),400.0)</f>
        <v>400</v>
      </c>
      <c r="N547" s="67"/>
      <c r="R547" s="4"/>
    </row>
    <row r="548">
      <c r="A548" s="66">
        <f>IFERROR(__xludf.DUMMYFUNCTION("""COMPUTED_VALUE"""),46184.0)</f>
        <v>46184</v>
      </c>
      <c r="B548" s="67">
        <f>IFERROR(__xludf.DUMMYFUNCTION("""COMPUTED_VALUE"""),243.0)</f>
        <v>243</v>
      </c>
      <c r="C548" s="69">
        <f>IFERROR(__xludf.DUMMYFUNCTION("""COMPUTED_VALUE"""),38.0)</f>
        <v>38</v>
      </c>
      <c r="D548" s="1" t="str">
        <f>IFERROR(__xludf.DUMMYFUNCTION("""COMPUTED_VALUE"""),"USD")</f>
        <v>USD</v>
      </c>
      <c r="E548" s="1" t="str">
        <f>IFERROR(__xludf.DUMMYFUNCTION("""COMPUTED_VALUE"""),"Efectivo USD")</f>
        <v>Efectivo USD</v>
      </c>
      <c r="F548" s="1" t="str">
        <f>IFERROR(__xludf.DUMMYFUNCTION("""COMPUTED_VALUE"""),"Cauchera William 2018, C.A")</f>
        <v>Cauchera William 2018, C.A</v>
      </c>
      <c r="G548" s="70">
        <f>IFERROR(__xludf.DUMMYFUNCTION("""COMPUTED_VALUE"""),577.5461)</f>
        <v>577.5461</v>
      </c>
      <c r="H548" s="1"/>
      <c r="I548" s="71">
        <f>IFERROR(__xludf.DUMMYFUNCTION("""COMPUTED_VALUE"""),38.0)</f>
        <v>38</v>
      </c>
      <c r="J548" s="69">
        <f>IFERROR(__xludf.DUMMYFUNCTION("""COMPUTED_VALUE"""),38.0)</f>
        <v>38</v>
      </c>
      <c r="K548" s="4">
        <f>IFERROR(__xludf.DUMMYFUNCTION("""COMPUTED_VALUE"""),38.0)</f>
        <v>38</v>
      </c>
      <c r="N548" s="67"/>
      <c r="R548" s="4"/>
    </row>
    <row r="549">
      <c r="A549" s="66">
        <f>IFERROR(__xludf.DUMMYFUNCTION("""COMPUTED_VALUE"""),46184.0)</f>
        <v>46184</v>
      </c>
      <c r="B549" s="67">
        <f>IFERROR(__xludf.DUMMYFUNCTION("""COMPUTED_VALUE"""),231.0)</f>
        <v>231</v>
      </c>
      <c r="C549" s="69">
        <f>IFERROR(__xludf.DUMMYFUNCTION("""COMPUTED_VALUE"""),174.0)</f>
        <v>174</v>
      </c>
      <c r="D549" s="1" t="str">
        <f>IFERROR(__xludf.DUMMYFUNCTION("""COMPUTED_VALUE"""),"USD")</f>
        <v>USD</v>
      </c>
      <c r="E549" s="1" t="str">
        <f>IFERROR(__xludf.DUMMYFUNCTION("""COMPUTED_VALUE"""),"Efectivo USD")</f>
        <v>Efectivo USD</v>
      </c>
      <c r="F549" s="1" t="str">
        <f>IFERROR(__xludf.DUMMYFUNCTION("""COMPUTED_VALUE"""),"Constructora  Campo Urbano,c.a.")</f>
        <v>Constructora  Campo Urbano,c.a.</v>
      </c>
      <c r="G549" s="70">
        <f>IFERROR(__xludf.DUMMYFUNCTION("""COMPUTED_VALUE"""),577.5461)</f>
        <v>577.5461</v>
      </c>
      <c r="H549" s="1"/>
      <c r="I549" s="71">
        <f>IFERROR(__xludf.DUMMYFUNCTION("""COMPUTED_VALUE"""),174.0)</f>
        <v>174</v>
      </c>
      <c r="J549" s="69">
        <f>IFERROR(__xludf.DUMMYFUNCTION("""COMPUTED_VALUE"""),174.0)</f>
        <v>174</v>
      </c>
      <c r="K549" s="4">
        <f>IFERROR(__xludf.DUMMYFUNCTION("""COMPUTED_VALUE"""),174.0)</f>
        <v>174</v>
      </c>
      <c r="N549" s="67"/>
      <c r="R549" s="4"/>
    </row>
    <row r="550">
      <c r="A550" s="66">
        <f>IFERROR(__xludf.DUMMYFUNCTION("""COMPUTED_VALUE"""),46184.0)</f>
        <v>46184</v>
      </c>
      <c r="B550" s="67">
        <f>IFERROR(__xludf.DUMMYFUNCTION("""COMPUTED_VALUE"""),341.0)</f>
        <v>341</v>
      </c>
      <c r="C550" s="69">
        <f>IFERROR(__xludf.DUMMYFUNCTION("""COMPUTED_VALUE"""),33.5)</f>
        <v>33.5</v>
      </c>
      <c r="D550" s="1" t="str">
        <f>IFERROR(__xludf.DUMMYFUNCTION("""COMPUTED_VALUE"""),"USD")</f>
        <v>USD</v>
      </c>
      <c r="E550" s="1" t="str">
        <f>IFERROR(__xludf.DUMMYFUNCTION("""COMPUTED_VALUE"""),"Efectivo USD")</f>
        <v>Efectivo USD</v>
      </c>
      <c r="F550" s="1" t="str">
        <f>IFERROR(__xludf.DUMMYFUNCTION("""COMPUTED_VALUE"""),"Automecanica Marilu 2014, C.A")</f>
        <v>Automecanica Marilu 2014, C.A</v>
      </c>
      <c r="G550" s="70">
        <f>IFERROR(__xludf.DUMMYFUNCTION("""COMPUTED_VALUE"""),577.5461)</f>
        <v>577.5461</v>
      </c>
      <c r="H550" s="1"/>
      <c r="I550" s="71">
        <f>IFERROR(__xludf.DUMMYFUNCTION("""COMPUTED_VALUE"""),33.5)</f>
        <v>33.5</v>
      </c>
      <c r="J550" s="69">
        <f>IFERROR(__xludf.DUMMYFUNCTION("""COMPUTED_VALUE"""),33.5)</f>
        <v>33.5</v>
      </c>
      <c r="K550" s="4">
        <f>IFERROR(__xludf.DUMMYFUNCTION("""COMPUTED_VALUE"""),33.5)</f>
        <v>33.5</v>
      </c>
      <c r="N550" s="67"/>
      <c r="R550" s="4"/>
    </row>
    <row r="551">
      <c r="A551" s="66">
        <f>IFERROR(__xludf.DUMMYFUNCTION("""COMPUTED_VALUE"""),46184.0)</f>
        <v>46184</v>
      </c>
      <c r="B551" s="67">
        <f>IFERROR(__xludf.DUMMYFUNCTION("""COMPUTED_VALUE"""),96.0)</f>
        <v>96</v>
      </c>
      <c r="C551" s="69">
        <f>IFERROR(__xludf.DUMMYFUNCTION("""COMPUTED_VALUE"""),68000.0)</f>
        <v>68000</v>
      </c>
      <c r="D551" s="1" t="str">
        <f>IFERROR(__xludf.DUMMYFUNCTION("""COMPUTED_VALUE"""),"VES")</f>
        <v>VES</v>
      </c>
      <c r="E551" s="1" t="str">
        <f>IFERROR(__xludf.DUMMYFUNCTION("""COMPUTED_VALUE"""),"Bancamiga")</f>
        <v>Bancamiga</v>
      </c>
      <c r="F551" s="1" t="str">
        <f>IFERROR(__xludf.DUMMYFUNCTION("""COMPUTED_VALUE"""),"Video Electrónica Fermat, C.A")</f>
        <v>Video Electrónica Fermat, C.A</v>
      </c>
      <c r="G551" s="70">
        <f>IFERROR(__xludf.DUMMYFUNCTION("""COMPUTED_VALUE"""),577.5461)</f>
        <v>577.5461</v>
      </c>
      <c r="H551" s="1"/>
      <c r="I551" s="71">
        <f>IFERROR(__xludf.DUMMYFUNCTION("""COMPUTED_VALUE"""),117.73951897519522)</f>
        <v>117.739519</v>
      </c>
      <c r="J551" s="69">
        <f>IFERROR(__xludf.DUMMYFUNCTION("""COMPUTED_VALUE"""),0.0)</f>
        <v>0</v>
      </c>
      <c r="K551" s="4">
        <f>IFERROR(__xludf.DUMMYFUNCTION("""COMPUTED_VALUE"""),117.73951897519522)</f>
        <v>117.739519</v>
      </c>
      <c r="N551" s="67"/>
      <c r="R551" s="4"/>
    </row>
    <row r="552">
      <c r="A552" s="66">
        <f>IFERROR(__xludf.DUMMYFUNCTION("""COMPUTED_VALUE"""),46184.0)</f>
        <v>46184</v>
      </c>
      <c r="B552" s="67">
        <f>IFERROR(__xludf.DUMMYFUNCTION("""COMPUTED_VALUE"""),379.0)</f>
        <v>379</v>
      </c>
      <c r="C552" s="69">
        <f>IFERROR(__xludf.DUMMYFUNCTION("""COMPUTED_VALUE"""),40428.23)</f>
        <v>40428.23</v>
      </c>
      <c r="D552" s="1" t="str">
        <f>IFERROR(__xludf.DUMMYFUNCTION("""COMPUTED_VALUE"""),"VES")</f>
        <v>VES</v>
      </c>
      <c r="E552" s="1" t="str">
        <f>IFERROR(__xludf.DUMMYFUNCTION("""COMPUTED_VALUE"""),"Venezuela")</f>
        <v>Venezuela</v>
      </c>
      <c r="F552" s="1" t="str">
        <f>IFERROR(__xludf.DUMMYFUNCTION("""COMPUTED_VALUE"""),"DISTRIBUIDORA PINOS 181297 C.A")</f>
        <v>DISTRIBUIDORA PINOS 181297 C.A</v>
      </c>
      <c r="G552" s="70">
        <f>IFERROR(__xludf.DUMMYFUNCTION("""COMPUTED_VALUE"""),577.5461)</f>
        <v>577.5461</v>
      </c>
      <c r="H552" s="1"/>
      <c r="I552" s="71">
        <f>IFERROR(__xludf.DUMMYFUNCTION("""COMPUTED_VALUE"""),70.00000519439054)</f>
        <v>70.00000519</v>
      </c>
      <c r="J552" s="69">
        <f>IFERROR(__xludf.DUMMYFUNCTION("""COMPUTED_VALUE"""),0.0)</f>
        <v>0</v>
      </c>
      <c r="K552" s="4">
        <f>IFERROR(__xludf.DUMMYFUNCTION("""COMPUTED_VALUE"""),70.00000519439054)</f>
        <v>70.00000519</v>
      </c>
      <c r="N552" s="67"/>
      <c r="R552" s="4"/>
    </row>
    <row r="553">
      <c r="A553" s="66">
        <f>IFERROR(__xludf.DUMMYFUNCTION("""COMPUTED_VALUE"""),46185.0)</f>
        <v>46185</v>
      </c>
      <c r="B553" s="67">
        <f>IFERROR(__xludf.DUMMYFUNCTION("""COMPUTED_VALUE"""),331.0)</f>
        <v>331</v>
      </c>
      <c r="C553" s="69">
        <f>IFERROR(__xludf.DUMMYFUNCTION("""COMPUTED_VALUE"""),64.0)</f>
        <v>64</v>
      </c>
      <c r="D553" s="1" t="str">
        <f>IFERROR(__xludf.DUMMYFUNCTION("""COMPUTED_VALUE"""),"USD")</f>
        <v>USD</v>
      </c>
      <c r="E553" s="1" t="str">
        <f>IFERROR(__xludf.DUMMYFUNCTION("""COMPUTED_VALUE"""),"Efectivo USD")</f>
        <v>Efectivo USD</v>
      </c>
      <c r="F553" s="1" t="str">
        <f>IFERROR(__xludf.DUMMYFUNCTION("""COMPUTED_VALUE"""),"ALI ALEXANDER MORENO FIGUEREDO")</f>
        <v>ALI ALEXANDER MORENO FIGUEREDO</v>
      </c>
      <c r="G553" s="70">
        <f>IFERROR(__xludf.DUMMYFUNCTION("""COMPUTED_VALUE"""),582.6862)</f>
        <v>582.6862</v>
      </c>
      <c r="H553" s="1"/>
      <c r="I553" s="71">
        <f>IFERROR(__xludf.DUMMYFUNCTION("""COMPUTED_VALUE"""),64.0)</f>
        <v>64</v>
      </c>
      <c r="J553" s="69">
        <f>IFERROR(__xludf.DUMMYFUNCTION("""COMPUTED_VALUE"""),64.0)</f>
        <v>64</v>
      </c>
      <c r="K553" s="4">
        <f>IFERROR(__xludf.DUMMYFUNCTION("""COMPUTED_VALUE"""),64.0)</f>
        <v>64</v>
      </c>
      <c r="N553" s="67"/>
      <c r="R553" s="4"/>
    </row>
    <row r="554">
      <c r="A554" s="66">
        <f>IFERROR(__xludf.DUMMYFUNCTION("""COMPUTED_VALUE"""),46185.0)</f>
        <v>46185</v>
      </c>
      <c r="B554" s="67">
        <f>IFERROR(__xludf.DUMMYFUNCTION("""COMPUTED_VALUE"""),93.0)</f>
        <v>93</v>
      </c>
      <c r="C554" s="69">
        <f>IFERROR(__xludf.DUMMYFUNCTION("""COMPUTED_VALUE"""),20.0)</f>
        <v>20</v>
      </c>
      <c r="D554" s="1" t="str">
        <f>IFERROR(__xludf.DUMMYFUNCTION("""COMPUTED_VALUE"""),"USD")</f>
        <v>USD</v>
      </c>
      <c r="E554" s="1" t="str">
        <f>IFERROR(__xludf.DUMMYFUNCTION("""COMPUTED_VALUE"""),"Efectivo USD")</f>
        <v>Efectivo USD</v>
      </c>
      <c r="F554" s="1" t="str">
        <f>IFERROR(__xludf.DUMMYFUNCTION("""COMPUTED_VALUE"""),"Emprendimiento YSKRA")</f>
        <v>Emprendimiento YSKRA</v>
      </c>
      <c r="G554" s="70">
        <f>IFERROR(__xludf.DUMMYFUNCTION("""COMPUTED_VALUE"""),582.6862)</f>
        <v>582.6862</v>
      </c>
      <c r="H554" s="1"/>
      <c r="I554" s="71">
        <f>IFERROR(__xludf.DUMMYFUNCTION("""COMPUTED_VALUE"""),20.0)</f>
        <v>20</v>
      </c>
      <c r="J554" s="69">
        <f>IFERROR(__xludf.DUMMYFUNCTION("""COMPUTED_VALUE"""),20.0)</f>
        <v>20</v>
      </c>
      <c r="K554" s="4">
        <f>IFERROR(__xludf.DUMMYFUNCTION("""COMPUTED_VALUE"""),20.0)</f>
        <v>20</v>
      </c>
      <c r="N554" s="67"/>
      <c r="R554" s="4"/>
    </row>
    <row r="555">
      <c r="A555" s="66">
        <f>IFERROR(__xludf.DUMMYFUNCTION("""COMPUTED_VALUE"""),46185.0)</f>
        <v>46185</v>
      </c>
      <c r="B555" s="67">
        <f>IFERROR(__xludf.DUMMYFUNCTION("""COMPUTED_VALUE"""),429.0)</f>
        <v>429</v>
      </c>
      <c r="C555" s="69">
        <f>IFERROR(__xludf.DUMMYFUNCTION("""COMPUTED_VALUE"""),55.0)</f>
        <v>55</v>
      </c>
      <c r="D555" s="1" t="str">
        <f>IFERROR(__xludf.DUMMYFUNCTION("""COMPUTED_VALUE"""),"USD")</f>
        <v>USD</v>
      </c>
      <c r="E555" s="1" t="str">
        <f>IFERROR(__xludf.DUMMYFUNCTION("""COMPUTED_VALUE"""),"Efectivo USD")</f>
        <v>Efectivo USD</v>
      </c>
      <c r="F555" s="1" t="str">
        <f>IFERROR(__xludf.DUMMYFUNCTION("""COMPUTED_VALUE"""),"INVERSIONES SM 2191, C.A.")</f>
        <v>INVERSIONES SM 2191, C.A.</v>
      </c>
      <c r="G555" s="70">
        <f>IFERROR(__xludf.DUMMYFUNCTION("""COMPUTED_VALUE"""),582.6862)</f>
        <v>582.6862</v>
      </c>
      <c r="H555" s="1"/>
      <c r="I555" s="71">
        <f>IFERROR(__xludf.DUMMYFUNCTION("""COMPUTED_VALUE"""),55.0)</f>
        <v>55</v>
      </c>
      <c r="J555" s="69">
        <f>IFERROR(__xludf.DUMMYFUNCTION("""COMPUTED_VALUE"""),55.0)</f>
        <v>55</v>
      </c>
      <c r="K555" s="4">
        <f>IFERROR(__xludf.DUMMYFUNCTION("""COMPUTED_VALUE"""),55.0)</f>
        <v>55</v>
      </c>
      <c r="N555" s="67"/>
      <c r="R555" s="4"/>
    </row>
    <row r="556">
      <c r="A556" s="66">
        <f>IFERROR(__xludf.DUMMYFUNCTION("""COMPUTED_VALUE"""),46185.0)</f>
        <v>46185</v>
      </c>
      <c r="B556" s="67">
        <f>IFERROR(__xludf.DUMMYFUNCTION("""COMPUTED_VALUE"""),413.0)</f>
        <v>413</v>
      </c>
      <c r="C556" s="69">
        <f>IFERROR(__xludf.DUMMYFUNCTION("""COMPUTED_VALUE"""),23.0)</f>
        <v>23</v>
      </c>
      <c r="D556" s="1" t="str">
        <f>IFERROR(__xludf.DUMMYFUNCTION("""COMPUTED_VALUE"""),"USD")</f>
        <v>USD</v>
      </c>
      <c r="E556" s="1" t="str">
        <f>IFERROR(__xludf.DUMMYFUNCTION("""COMPUTED_VALUE"""),"Efectivo USD")</f>
        <v>Efectivo USD</v>
      </c>
      <c r="F556" s="1" t="str">
        <f>IFERROR(__xludf.DUMMYFUNCTION("""COMPUTED_VALUE"""),"ERICH GILBERTO CASERES MELENDEZ")</f>
        <v>ERICH GILBERTO CASERES MELENDEZ</v>
      </c>
      <c r="G556" s="70">
        <f>IFERROR(__xludf.DUMMYFUNCTION("""COMPUTED_VALUE"""),582.6862)</f>
        <v>582.6862</v>
      </c>
      <c r="H556" s="1"/>
      <c r="I556" s="71">
        <f>IFERROR(__xludf.DUMMYFUNCTION("""COMPUTED_VALUE"""),23.0)</f>
        <v>23</v>
      </c>
      <c r="J556" s="69">
        <f>IFERROR(__xludf.DUMMYFUNCTION("""COMPUTED_VALUE"""),23.0)</f>
        <v>23</v>
      </c>
      <c r="K556" s="4">
        <f>IFERROR(__xludf.DUMMYFUNCTION("""COMPUTED_VALUE"""),23.0)</f>
        <v>23</v>
      </c>
      <c r="N556" s="67"/>
      <c r="R556" s="4"/>
    </row>
    <row r="557">
      <c r="A557" s="66">
        <f>IFERROR(__xludf.DUMMYFUNCTION("""COMPUTED_VALUE"""),46185.0)</f>
        <v>46185</v>
      </c>
      <c r="B557" s="67">
        <f>IFERROR(__xludf.DUMMYFUNCTION("""COMPUTED_VALUE"""),325.0)</f>
        <v>325</v>
      </c>
      <c r="C557" s="69">
        <f>IFERROR(__xludf.DUMMYFUNCTION("""COMPUTED_VALUE"""),52.0)</f>
        <v>52</v>
      </c>
      <c r="D557" s="1" t="str">
        <f>IFERROR(__xludf.DUMMYFUNCTION("""COMPUTED_VALUE"""),"USD")</f>
        <v>USD</v>
      </c>
      <c r="E557" s="1" t="str">
        <f>IFERROR(__xludf.DUMMYFUNCTION("""COMPUTED_VALUE"""),"Efectivo USD")</f>
        <v>Efectivo USD</v>
      </c>
      <c r="F557" s="1" t="str">
        <f>IFERROR(__xludf.DUMMYFUNCTION("""COMPUTED_VALUE"""),"Comercializadora El Fénix de Catia")</f>
        <v>Comercializadora El Fénix de Catia</v>
      </c>
      <c r="G557" s="70">
        <f>IFERROR(__xludf.DUMMYFUNCTION("""COMPUTED_VALUE"""),582.6862)</f>
        <v>582.6862</v>
      </c>
      <c r="H557" s="1"/>
      <c r="I557" s="71">
        <f>IFERROR(__xludf.DUMMYFUNCTION("""COMPUTED_VALUE"""),52.0)</f>
        <v>52</v>
      </c>
      <c r="J557" s="69">
        <f>IFERROR(__xludf.DUMMYFUNCTION("""COMPUTED_VALUE"""),52.0)</f>
        <v>52</v>
      </c>
      <c r="K557" s="4">
        <f>IFERROR(__xludf.DUMMYFUNCTION("""COMPUTED_VALUE"""),52.0)</f>
        <v>52</v>
      </c>
      <c r="N557" s="67"/>
      <c r="R557" s="4"/>
    </row>
    <row r="558">
      <c r="A558" s="66">
        <f>IFERROR(__xludf.DUMMYFUNCTION("""COMPUTED_VALUE"""),46185.0)</f>
        <v>46185</v>
      </c>
      <c r="B558" s="67">
        <f>IFERROR(__xludf.DUMMYFUNCTION("""COMPUTED_VALUE"""),356.0)</f>
        <v>356</v>
      </c>
      <c r="C558" s="69">
        <f>IFERROR(__xludf.DUMMYFUNCTION("""COMPUTED_VALUE"""),75.0)</f>
        <v>75</v>
      </c>
      <c r="D558" s="1" t="str">
        <f>IFERROR(__xludf.DUMMYFUNCTION("""COMPUTED_VALUE"""),"USD")</f>
        <v>USD</v>
      </c>
      <c r="E558" s="1" t="str">
        <f>IFERROR(__xludf.DUMMYFUNCTION("""COMPUTED_VALUE"""),"Efectivo USD")</f>
        <v>Efectivo USD</v>
      </c>
      <c r="F558" s="1" t="str">
        <f>IFERROR(__xludf.DUMMYFUNCTION("""COMPUTED_VALUE"""),"Asociación Cooperativa la Esquina del Lubricante 9999 R.L")</f>
        <v>Asociación Cooperativa la Esquina del Lubricante 9999 R.L</v>
      </c>
      <c r="G558" s="70">
        <f>IFERROR(__xludf.DUMMYFUNCTION("""COMPUTED_VALUE"""),582.6862)</f>
        <v>582.6862</v>
      </c>
      <c r="H558" s="1"/>
      <c r="I558" s="71">
        <f>IFERROR(__xludf.DUMMYFUNCTION("""COMPUTED_VALUE"""),75.0)</f>
        <v>75</v>
      </c>
      <c r="J558" s="69">
        <f>IFERROR(__xludf.DUMMYFUNCTION("""COMPUTED_VALUE"""),75.0)</f>
        <v>75</v>
      </c>
      <c r="K558" s="4">
        <f>IFERROR(__xludf.DUMMYFUNCTION("""COMPUTED_VALUE"""),75.0)</f>
        <v>75</v>
      </c>
      <c r="N558" s="67"/>
      <c r="R558" s="4"/>
    </row>
    <row r="559">
      <c r="A559" s="66">
        <f>IFERROR(__xludf.DUMMYFUNCTION("""COMPUTED_VALUE"""),46185.0)</f>
        <v>46185</v>
      </c>
      <c r="B559" s="67">
        <f>IFERROR(__xludf.DUMMYFUNCTION("""COMPUTED_VALUE"""),298.0)</f>
        <v>298</v>
      </c>
      <c r="C559" s="69">
        <f>IFERROR(__xludf.DUMMYFUNCTION("""COMPUTED_VALUE"""),30.0)</f>
        <v>30</v>
      </c>
      <c r="D559" s="1" t="str">
        <f>IFERROR(__xludf.DUMMYFUNCTION("""COMPUTED_VALUE"""),"USD")</f>
        <v>USD</v>
      </c>
      <c r="E559" s="1" t="str">
        <f>IFERROR(__xludf.DUMMYFUNCTION("""COMPUTED_VALUE"""),"Efectivo USD")</f>
        <v>Efectivo USD</v>
      </c>
      <c r="F559" s="1" t="str">
        <f>IFERROR(__xludf.DUMMYFUNCTION("""COMPUTED_VALUE"""),"Inversiones Brayan CT C.A")</f>
        <v>Inversiones Brayan CT C.A</v>
      </c>
      <c r="G559" s="70">
        <f>IFERROR(__xludf.DUMMYFUNCTION("""COMPUTED_VALUE"""),582.6862)</f>
        <v>582.6862</v>
      </c>
      <c r="H559" s="1"/>
      <c r="I559" s="71">
        <f>IFERROR(__xludf.DUMMYFUNCTION("""COMPUTED_VALUE"""),30.0)</f>
        <v>30</v>
      </c>
      <c r="J559" s="69">
        <f>IFERROR(__xludf.DUMMYFUNCTION("""COMPUTED_VALUE"""),30.0)</f>
        <v>30</v>
      </c>
      <c r="K559" s="4">
        <f>IFERROR(__xludf.DUMMYFUNCTION("""COMPUTED_VALUE"""),30.0)</f>
        <v>30</v>
      </c>
      <c r="N559" s="67"/>
      <c r="R559" s="4"/>
    </row>
    <row r="560">
      <c r="A560" s="66">
        <f>IFERROR(__xludf.DUMMYFUNCTION("""COMPUTED_VALUE"""),46185.0)</f>
        <v>46185</v>
      </c>
      <c r="B560" s="67">
        <f>IFERROR(__xludf.DUMMYFUNCTION("""COMPUTED_VALUE"""),179.0)</f>
        <v>179</v>
      </c>
      <c r="C560" s="69">
        <f>IFERROR(__xludf.DUMMYFUNCTION("""COMPUTED_VALUE"""),160.0)</f>
        <v>160</v>
      </c>
      <c r="D560" s="1" t="str">
        <f>IFERROR(__xludf.DUMMYFUNCTION("""COMPUTED_VALUE"""),"USD")</f>
        <v>USD</v>
      </c>
      <c r="E560" s="1" t="str">
        <f>IFERROR(__xludf.DUMMYFUNCTION("""COMPUTED_VALUE"""),"Efectivo USD")</f>
        <v>Efectivo USD</v>
      </c>
      <c r="F560" s="1" t="str">
        <f>IFERROR(__xludf.DUMMYFUNCTION("""COMPUTED_VALUE"""),"Inversiones Vercris 17 C.A")</f>
        <v>Inversiones Vercris 17 C.A</v>
      </c>
      <c r="G560" s="70">
        <f>IFERROR(__xludf.DUMMYFUNCTION("""COMPUTED_VALUE"""),582.6862)</f>
        <v>582.6862</v>
      </c>
      <c r="H560" s="1"/>
      <c r="I560" s="71">
        <f>IFERROR(__xludf.DUMMYFUNCTION("""COMPUTED_VALUE"""),160.0)</f>
        <v>160</v>
      </c>
      <c r="J560" s="69">
        <f>IFERROR(__xludf.DUMMYFUNCTION("""COMPUTED_VALUE"""),160.0)</f>
        <v>160</v>
      </c>
      <c r="K560" s="4">
        <f>IFERROR(__xludf.DUMMYFUNCTION("""COMPUTED_VALUE"""),160.0)</f>
        <v>160</v>
      </c>
      <c r="N560" s="67"/>
      <c r="R560" s="4"/>
    </row>
    <row r="561">
      <c r="A561" s="66">
        <f>IFERROR(__xludf.DUMMYFUNCTION("""COMPUTED_VALUE"""),46185.0)</f>
        <v>46185</v>
      </c>
      <c r="B561" s="67">
        <f>IFERROR(__xludf.DUMMYFUNCTION("""COMPUTED_VALUE"""),209.0)</f>
        <v>209</v>
      </c>
      <c r="C561" s="69">
        <f>IFERROR(__xludf.DUMMYFUNCTION("""COMPUTED_VALUE"""),50.0)</f>
        <v>50</v>
      </c>
      <c r="D561" s="1" t="str">
        <f>IFERROR(__xludf.DUMMYFUNCTION("""COMPUTED_VALUE"""),"USD")</f>
        <v>USD</v>
      </c>
      <c r="E561" s="1" t="str">
        <f>IFERROR(__xludf.DUMMYFUNCTION("""COMPUTED_VALUE"""),"Efectivo USD")</f>
        <v>Efectivo USD</v>
      </c>
      <c r="F561" s="1" t="str">
        <f>IFERROR(__xludf.DUMMYFUNCTION("""COMPUTED_VALUE"""),"Inversiones Mirelkys C.A")</f>
        <v>Inversiones Mirelkys C.A</v>
      </c>
      <c r="G561" s="70">
        <f>IFERROR(__xludf.DUMMYFUNCTION("""COMPUTED_VALUE"""),582.6862)</f>
        <v>582.6862</v>
      </c>
      <c r="H561" s="1"/>
      <c r="I561" s="71">
        <f>IFERROR(__xludf.DUMMYFUNCTION("""COMPUTED_VALUE"""),50.0)</f>
        <v>50</v>
      </c>
      <c r="J561" s="69">
        <f>IFERROR(__xludf.DUMMYFUNCTION("""COMPUTED_VALUE"""),50.0)</f>
        <v>50</v>
      </c>
      <c r="K561" s="4">
        <f>IFERROR(__xludf.DUMMYFUNCTION("""COMPUTED_VALUE"""),50.0)</f>
        <v>50</v>
      </c>
      <c r="N561" s="67"/>
      <c r="R561" s="4"/>
    </row>
    <row r="562">
      <c r="A562" s="66">
        <f>IFERROR(__xludf.DUMMYFUNCTION("""COMPUTED_VALUE"""),46185.0)</f>
        <v>46185</v>
      </c>
      <c r="B562" s="67">
        <f>IFERROR(__xludf.DUMMYFUNCTION("""COMPUTED_VALUE"""),336.0)</f>
        <v>336</v>
      </c>
      <c r="C562" s="69">
        <f>IFERROR(__xludf.DUMMYFUNCTION("""COMPUTED_VALUE"""),60.0)</f>
        <v>60</v>
      </c>
      <c r="D562" s="1" t="str">
        <f>IFERROR(__xludf.DUMMYFUNCTION("""COMPUTED_VALUE"""),"USD")</f>
        <v>USD</v>
      </c>
      <c r="E562" s="1" t="str">
        <f>IFERROR(__xludf.DUMMYFUNCTION("""COMPUTED_VALUE"""),"Efectivo USD")</f>
        <v>Efectivo USD</v>
      </c>
      <c r="F562" s="1" t="str">
        <f>IFERROR(__xludf.DUMMYFUNCTION("""COMPUTED_VALUE"""),"Asociación Cooperativa la Esquina del Lubricante 9999 R.L")</f>
        <v>Asociación Cooperativa la Esquina del Lubricante 9999 R.L</v>
      </c>
      <c r="G562" s="70">
        <f>IFERROR(__xludf.DUMMYFUNCTION("""COMPUTED_VALUE"""),582.6862)</f>
        <v>582.6862</v>
      </c>
      <c r="H562" s="1"/>
      <c r="I562" s="71">
        <f>IFERROR(__xludf.DUMMYFUNCTION("""COMPUTED_VALUE"""),60.0)</f>
        <v>60</v>
      </c>
      <c r="J562" s="69">
        <f>IFERROR(__xludf.DUMMYFUNCTION("""COMPUTED_VALUE"""),60.0)</f>
        <v>60</v>
      </c>
      <c r="K562" s="4">
        <f>IFERROR(__xludf.DUMMYFUNCTION("""COMPUTED_VALUE"""),60.0)</f>
        <v>60</v>
      </c>
      <c r="N562" s="67"/>
      <c r="R562" s="4"/>
    </row>
    <row r="563">
      <c r="A563" s="66">
        <f>IFERROR(__xludf.DUMMYFUNCTION("""COMPUTED_VALUE"""),46185.0)</f>
        <v>46185</v>
      </c>
      <c r="B563" s="67">
        <f>IFERROR(__xludf.DUMMYFUNCTION("""COMPUTED_VALUE"""),218.0)</f>
        <v>218</v>
      </c>
      <c r="C563" s="69">
        <f>IFERROR(__xludf.DUMMYFUNCTION("""COMPUTED_VALUE"""),40.0)</f>
        <v>40</v>
      </c>
      <c r="D563" s="1" t="str">
        <f>IFERROR(__xludf.DUMMYFUNCTION("""COMPUTED_VALUE"""),"USD")</f>
        <v>USD</v>
      </c>
      <c r="E563" s="1" t="str">
        <f>IFERROR(__xludf.DUMMYFUNCTION("""COMPUTED_VALUE"""),"Efectivo USD")</f>
        <v>Efectivo USD</v>
      </c>
      <c r="F563" s="1" t="str">
        <f>IFERROR(__xludf.DUMMYFUNCTION("""COMPUTED_VALUE"""),"Cooperativa Dios mi Amparo, R.L.")</f>
        <v>Cooperativa Dios mi Amparo, R.L.</v>
      </c>
      <c r="G563" s="70">
        <f>IFERROR(__xludf.DUMMYFUNCTION("""COMPUTED_VALUE"""),582.6862)</f>
        <v>582.6862</v>
      </c>
      <c r="H563" s="1"/>
      <c r="I563" s="71">
        <f>IFERROR(__xludf.DUMMYFUNCTION("""COMPUTED_VALUE"""),40.0)</f>
        <v>40</v>
      </c>
      <c r="J563" s="69">
        <f>IFERROR(__xludf.DUMMYFUNCTION("""COMPUTED_VALUE"""),40.0)</f>
        <v>40</v>
      </c>
      <c r="K563" s="4">
        <f>IFERROR(__xludf.DUMMYFUNCTION("""COMPUTED_VALUE"""),40.0)</f>
        <v>40</v>
      </c>
      <c r="N563" s="67"/>
      <c r="R563" s="4"/>
    </row>
    <row r="564">
      <c r="A564" s="66">
        <f>IFERROR(__xludf.DUMMYFUNCTION("""COMPUTED_VALUE"""),46185.0)</f>
        <v>46185</v>
      </c>
      <c r="B564" s="67">
        <f>IFERROR(__xludf.DUMMYFUNCTION("""COMPUTED_VALUE"""),178.0)</f>
        <v>178</v>
      </c>
      <c r="C564" s="69">
        <f>IFERROR(__xludf.DUMMYFUNCTION("""COMPUTED_VALUE"""),80.0)</f>
        <v>80</v>
      </c>
      <c r="D564" s="1" t="str">
        <f>IFERROR(__xludf.DUMMYFUNCTION("""COMPUTED_VALUE"""),"USD")</f>
        <v>USD</v>
      </c>
      <c r="E564" s="1" t="str">
        <f>IFERROR(__xludf.DUMMYFUNCTION("""COMPUTED_VALUE"""),"Efectivo USD")</f>
        <v>Efectivo USD</v>
      </c>
      <c r="F564" s="1" t="str">
        <f>IFERROR(__xludf.DUMMYFUNCTION("""COMPUTED_VALUE"""),"Distribuidora Nesmari 2050 c.a")</f>
        <v>Distribuidora Nesmari 2050 c.a</v>
      </c>
      <c r="G564" s="70">
        <f>IFERROR(__xludf.DUMMYFUNCTION("""COMPUTED_VALUE"""),582.6862)</f>
        <v>582.6862</v>
      </c>
      <c r="H564" s="1"/>
      <c r="I564" s="71">
        <f>IFERROR(__xludf.DUMMYFUNCTION("""COMPUTED_VALUE"""),80.0)</f>
        <v>80</v>
      </c>
      <c r="J564" s="69">
        <f>IFERROR(__xludf.DUMMYFUNCTION("""COMPUTED_VALUE"""),80.0)</f>
        <v>80</v>
      </c>
      <c r="K564" s="4">
        <f>IFERROR(__xludf.DUMMYFUNCTION("""COMPUTED_VALUE"""),80.0)</f>
        <v>80</v>
      </c>
      <c r="N564" s="67"/>
      <c r="R564" s="4"/>
    </row>
    <row r="565">
      <c r="A565" s="66">
        <f>IFERROR(__xludf.DUMMYFUNCTION("""COMPUTED_VALUE"""),46185.0)</f>
        <v>46185</v>
      </c>
      <c r="B565" s="67">
        <f>IFERROR(__xludf.DUMMYFUNCTION("""COMPUTED_VALUE"""),249.0)</f>
        <v>249</v>
      </c>
      <c r="C565" s="69">
        <f>IFERROR(__xludf.DUMMYFUNCTION("""COMPUTED_VALUE"""),100.0)</f>
        <v>100</v>
      </c>
      <c r="D565" s="1" t="str">
        <f>IFERROR(__xludf.DUMMYFUNCTION("""COMPUTED_VALUE"""),"USD")</f>
        <v>USD</v>
      </c>
      <c r="E565" s="1" t="str">
        <f>IFERROR(__xludf.DUMMYFUNCTION("""COMPUTED_VALUE"""),"Efectivo USD")</f>
        <v>Efectivo USD</v>
      </c>
      <c r="F565" s="1" t="str">
        <f>IFERROR(__xludf.DUMMYFUNCTION("""COMPUTED_VALUE"""),"Comercializadora Dimon c.a")</f>
        <v>Comercializadora Dimon c.a</v>
      </c>
      <c r="G565" s="70">
        <f>IFERROR(__xludf.DUMMYFUNCTION("""COMPUTED_VALUE"""),582.6862)</f>
        <v>582.6862</v>
      </c>
      <c r="H565" s="1"/>
      <c r="I565" s="71">
        <f>IFERROR(__xludf.DUMMYFUNCTION("""COMPUTED_VALUE"""),100.0)</f>
        <v>100</v>
      </c>
      <c r="J565" s="69">
        <f>IFERROR(__xludf.DUMMYFUNCTION("""COMPUTED_VALUE"""),100.0)</f>
        <v>100</v>
      </c>
      <c r="K565" s="4">
        <f>IFERROR(__xludf.DUMMYFUNCTION("""COMPUTED_VALUE"""),100.0)</f>
        <v>100</v>
      </c>
      <c r="N565" s="67"/>
      <c r="R565" s="4"/>
    </row>
    <row r="566">
      <c r="A566" s="66">
        <f>IFERROR(__xludf.DUMMYFUNCTION("""COMPUTED_VALUE"""),46188.0)</f>
        <v>46188</v>
      </c>
      <c r="B566" s="67">
        <f>IFERROR(__xludf.DUMMYFUNCTION("""COMPUTED_VALUE"""),149.0)</f>
        <v>149</v>
      </c>
      <c r="C566" s="69">
        <f>IFERROR(__xludf.DUMMYFUNCTION("""COMPUTED_VALUE"""),650.0)</f>
        <v>650</v>
      </c>
      <c r="D566" s="1" t="str">
        <f>IFERROR(__xludf.DUMMYFUNCTION("""COMPUTED_VALUE"""),"USD")</f>
        <v>USD</v>
      </c>
      <c r="E566" s="1" t="str">
        <f>IFERROR(__xludf.DUMMYFUNCTION("""COMPUTED_VALUE"""),"Binance")</f>
        <v>Binance</v>
      </c>
      <c r="F566" s="1" t="str">
        <f>IFERROR(__xludf.DUMMYFUNCTION("""COMPUTED_VALUE"""),"Emprendimiento ilaris cancelo")</f>
        <v>Emprendimiento ilaris cancelo</v>
      </c>
      <c r="G566" s="70">
        <f>IFERROR(__xludf.DUMMYFUNCTION("""COMPUTED_VALUE"""),587.4059)</f>
        <v>587.4059</v>
      </c>
      <c r="H566" s="1"/>
      <c r="I566" s="71">
        <f>IFERROR(__xludf.DUMMYFUNCTION("""COMPUTED_VALUE"""),650.0)</f>
        <v>650</v>
      </c>
      <c r="J566" s="69">
        <f>IFERROR(__xludf.DUMMYFUNCTION("""COMPUTED_VALUE"""),650.0)</f>
        <v>650</v>
      </c>
      <c r="K566" s="4">
        <f>IFERROR(__xludf.DUMMYFUNCTION("""COMPUTED_VALUE"""),650.0)</f>
        <v>650</v>
      </c>
      <c r="N566" s="67"/>
      <c r="R566" s="4"/>
    </row>
    <row r="567">
      <c r="A567" s="66">
        <f>IFERROR(__xludf.DUMMYFUNCTION("""COMPUTED_VALUE"""),46188.0)</f>
        <v>46188</v>
      </c>
      <c r="B567" s="67">
        <f>IFERROR(__xludf.DUMMYFUNCTION("""COMPUTED_VALUE"""),339.0)</f>
        <v>339</v>
      </c>
      <c r="C567" s="69">
        <f>IFERROR(__xludf.DUMMYFUNCTION("""COMPUTED_VALUE"""),100.0)</f>
        <v>100</v>
      </c>
      <c r="D567" s="1" t="str">
        <f>IFERROR(__xludf.DUMMYFUNCTION("""COMPUTED_VALUE"""),"USD")</f>
        <v>USD</v>
      </c>
      <c r="E567" s="1" t="str">
        <f>IFERROR(__xludf.DUMMYFUNCTION("""COMPUTED_VALUE"""),"Efectivo USD")</f>
        <v>Efectivo USD</v>
      </c>
      <c r="F567" s="1" t="str">
        <f>IFERROR(__xludf.DUMMYFUNCTION("""COMPUTED_VALUE"""),"La cámara perfecta")</f>
        <v>La cámara perfecta</v>
      </c>
      <c r="G567" s="70">
        <f>IFERROR(__xludf.DUMMYFUNCTION("""COMPUTED_VALUE"""),587.4059)</f>
        <v>587.4059</v>
      </c>
      <c r="H567" s="1"/>
      <c r="I567" s="71">
        <f>IFERROR(__xludf.DUMMYFUNCTION("""COMPUTED_VALUE"""),100.0)</f>
        <v>100</v>
      </c>
      <c r="J567" s="69">
        <f>IFERROR(__xludf.DUMMYFUNCTION("""COMPUTED_VALUE"""),100.0)</f>
        <v>100</v>
      </c>
      <c r="K567" s="4">
        <f>IFERROR(__xludf.DUMMYFUNCTION("""COMPUTED_VALUE"""),100.0)</f>
        <v>100</v>
      </c>
      <c r="N567" s="67"/>
      <c r="R567" s="4"/>
    </row>
    <row r="568">
      <c r="A568" s="66">
        <f>IFERROR(__xludf.DUMMYFUNCTION("""COMPUTED_VALUE"""),46188.0)</f>
        <v>46188</v>
      </c>
      <c r="B568" s="67">
        <f>IFERROR(__xludf.DUMMYFUNCTION("""COMPUTED_VALUE"""),317.0)</f>
        <v>317</v>
      </c>
      <c r="C568" s="69">
        <f>IFERROR(__xludf.DUMMYFUNCTION("""COMPUTED_VALUE"""),100.0)</f>
        <v>100</v>
      </c>
      <c r="D568" s="1" t="str">
        <f>IFERROR(__xludf.DUMMYFUNCTION("""COMPUTED_VALUE"""),"USD")</f>
        <v>USD</v>
      </c>
      <c r="E568" s="1" t="str">
        <f>IFERROR(__xludf.DUMMYFUNCTION("""COMPUTED_VALUE"""),"Efectivo USD")</f>
        <v>Efectivo USD</v>
      </c>
      <c r="F568" s="1" t="str">
        <f>IFERROR(__xludf.DUMMYFUNCTION("""COMPUTED_VALUE"""),"ACCESORIOS Y REPUESTOS MOTO CAR 20-11-C.A")</f>
        <v>ACCESORIOS Y REPUESTOS MOTO CAR 20-11-C.A</v>
      </c>
      <c r="G568" s="70">
        <f>IFERROR(__xludf.DUMMYFUNCTION("""COMPUTED_VALUE"""),587.4059)</f>
        <v>587.4059</v>
      </c>
      <c r="H568" s="1"/>
      <c r="I568" s="71">
        <f>IFERROR(__xludf.DUMMYFUNCTION("""COMPUTED_VALUE"""),100.0)</f>
        <v>100</v>
      </c>
      <c r="J568" s="69">
        <f>IFERROR(__xludf.DUMMYFUNCTION("""COMPUTED_VALUE"""),100.0)</f>
        <v>100</v>
      </c>
      <c r="K568" s="4">
        <f>IFERROR(__xludf.DUMMYFUNCTION("""COMPUTED_VALUE"""),100.0)</f>
        <v>100</v>
      </c>
      <c r="N568" s="67"/>
      <c r="R568" s="4"/>
    </row>
    <row r="569">
      <c r="A569" s="66">
        <f>IFERROR(__xludf.DUMMYFUNCTION("""COMPUTED_VALUE"""),46188.0)</f>
        <v>46188</v>
      </c>
      <c r="B569" s="67">
        <f>IFERROR(__xludf.DUMMYFUNCTION("""COMPUTED_VALUE"""),346.0)</f>
        <v>346</v>
      </c>
      <c r="C569" s="69">
        <f>IFERROR(__xludf.DUMMYFUNCTION("""COMPUTED_VALUE"""),100.0)</f>
        <v>100</v>
      </c>
      <c r="D569" s="1" t="str">
        <f>IFERROR(__xludf.DUMMYFUNCTION("""COMPUTED_VALUE"""),"USD")</f>
        <v>USD</v>
      </c>
      <c r="E569" s="1" t="str">
        <f>IFERROR(__xludf.DUMMYFUNCTION("""COMPUTED_VALUE"""),"Efectivo USD")</f>
        <v>Efectivo USD</v>
      </c>
      <c r="F569" s="1" t="str">
        <f>IFERROR(__xludf.DUMMYFUNCTION("""COMPUTED_VALUE"""),"AUTOPERIQUITO EL PEQUEÑO CHAMOY, C.A.")</f>
        <v>AUTOPERIQUITO EL PEQUEÑO CHAMOY, C.A.</v>
      </c>
      <c r="G569" s="70">
        <f>IFERROR(__xludf.DUMMYFUNCTION("""COMPUTED_VALUE"""),587.4059)</f>
        <v>587.4059</v>
      </c>
      <c r="H569" s="1"/>
      <c r="I569" s="71">
        <f>IFERROR(__xludf.DUMMYFUNCTION("""COMPUTED_VALUE"""),100.0)</f>
        <v>100</v>
      </c>
      <c r="J569" s="69">
        <f>IFERROR(__xludf.DUMMYFUNCTION("""COMPUTED_VALUE"""),100.0)</f>
        <v>100</v>
      </c>
      <c r="K569" s="4">
        <f>IFERROR(__xludf.DUMMYFUNCTION("""COMPUTED_VALUE"""),100.0)</f>
        <v>100</v>
      </c>
      <c r="N569" s="67"/>
      <c r="R569" s="4"/>
    </row>
    <row r="570">
      <c r="A570" s="66">
        <f>IFERROR(__xludf.DUMMYFUNCTION("""COMPUTED_VALUE"""),46186.0)</f>
        <v>46186</v>
      </c>
      <c r="B570" s="67">
        <f>IFERROR(__xludf.DUMMYFUNCTION("""COMPUTED_VALUE"""),174.0)</f>
        <v>174</v>
      </c>
      <c r="C570" s="69">
        <f>IFERROR(__xludf.DUMMYFUNCTION("""COMPUTED_VALUE"""),47040.0)</f>
        <v>47040</v>
      </c>
      <c r="D570" s="1" t="str">
        <f>IFERROR(__xludf.DUMMYFUNCTION("""COMPUTED_VALUE"""),"VES")</f>
        <v>VES</v>
      </c>
      <c r="E570" s="1" t="str">
        <f>IFERROR(__xludf.DUMMYFUNCTION("""COMPUTED_VALUE"""),"Bancamiga")</f>
        <v>Bancamiga</v>
      </c>
      <c r="F570" s="1" t="str">
        <f>IFERROR(__xludf.DUMMYFUNCTION("""COMPUTED_VALUE"""),"DISTRIBUIDORA E.P.L.C  2017, c.a.")</f>
        <v>DISTRIBUIDORA E.P.L.C  2017, c.a.</v>
      </c>
      <c r="G570" s="70">
        <f>IFERROR(__xludf.DUMMYFUNCTION("""COMPUTED_VALUE"""),582.6862)</f>
        <v>582.6862</v>
      </c>
      <c r="H570" s="1"/>
      <c r="I570" s="71">
        <f>IFERROR(__xludf.DUMMYFUNCTION("""COMPUTED_VALUE"""),80.72955906626929)</f>
        <v>80.72955907</v>
      </c>
      <c r="J570" s="69">
        <f>IFERROR(__xludf.DUMMYFUNCTION("""COMPUTED_VALUE"""),0.0)</f>
        <v>0</v>
      </c>
      <c r="K570" s="4">
        <f>IFERROR(__xludf.DUMMYFUNCTION("""COMPUTED_VALUE"""),80.72955906626929)</f>
        <v>80.72955907</v>
      </c>
      <c r="N570" s="67"/>
      <c r="R570" s="4"/>
    </row>
    <row r="571">
      <c r="A571" s="66">
        <f>IFERROR(__xludf.DUMMYFUNCTION("""COMPUTED_VALUE"""),46188.0)</f>
        <v>46188</v>
      </c>
      <c r="B571" s="67">
        <f>IFERROR(__xludf.DUMMYFUNCTION("""COMPUTED_VALUE"""),349.0)</f>
        <v>349</v>
      </c>
      <c r="C571" s="69">
        <f>IFERROR(__xludf.DUMMYFUNCTION("""COMPUTED_VALUE"""),36654.4)</f>
        <v>36654.4</v>
      </c>
      <c r="D571" s="1" t="str">
        <f>IFERROR(__xludf.DUMMYFUNCTION("""COMPUTED_VALUE"""),"VES")</f>
        <v>VES</v>
      </c>
      <c r="E571" s="1" t="str">
        <f>IFERROR(__xludf.DUMMYFUNCTION("""COMPUTED_VALUE"""),"Bancamiga")</f>
        <v>Bancamiga</v>
      </c>
      <c r="F571" s="1" t="str">
        <f>IFERROR(__xludf.DUMMYFUNCTION("""COMPUTED_VALUE"""),"INVERSIONES BECLA PARTS C.A.")</f>
        <v>INVERSIONES BECLA PARTS C.A.</v>
      </c>
      <c r="G571" s="70">
        <f>IFERROR(__xludf.DUMMYFUNCTION("""COMPUTED_VALUE"""),587.4059)</f>
        <v>587.4059</v>
      </c>
      <c r="H571" s="1"/>
      <c r="I571" s="71">
        <f>IFERROR(__xludf.DUMMYFUNCTION("""COMPUTED_VALUE"""),62.400462780506636)</f>
        <v>62.40046278</v>
      </c>
      <c r="J571" s="69">
        <f>IFERROR(__xludf.DUMMYFUNCTION("""COMPUTED_VALUE"""),0.0)</f>
        <v>0</v>
      </c>
      <c r="K571" s="4">
        <f>IFERROR(__xludf.DUMMYFUNCTION("""COMPUTED_VALUE"""),62.400462780506636)</f>
        <v>62.40046278</v>
      </c>
      <c r="N571" s="67"/>
      <c r="R571" s="4"/>
    </row>
    <row r="572">
      <c r="A572" s="66">
        <f>IFERROR(__xludf.DUMMYFUNCTION("""COMPUTED_VALUE"""),46183.0)</f>
        <v>46183</v>
      </c>
      <c r="B572" s="67">
        <f>IFERROR(__xludf.DUMMYFUNCTION("""COMPUTED_VALUE"""),361.0)</f>
        <v>361</v>
      </c>
      <c r="C572" s="69">
        <f>IFERROR(__xludf.DUMMYFUNCTION("""COMPUTED_VALUE"""),182461.0)</f>
        <v>182461</v>
      </c>
      <c r="D572" s="1" t="str">
        <f>IFERROR(__xludf.DUMMYFUNCTION("""COMPUTED_VALUE"""),"VES")</f>
        <v>VES</v>
      </c>
      <c r="E572" s="1" t="str">
        <f>IFERROR(__xludf.DUMMYFUNCTION("""COMPUTED_VALUE"""),"Bancamiga")</f>
        <v>Bancamiga</v>
      </c>
      <c r="F572" s="1" t="str">
        <f>IFERROR(__xludf.DUMMYFUNCTION("""COMPUTED_VALUE"""),"Comercializadora Estoril 25,c.a.")</f>
        <v>Comercializadora Estoril 25,c.a.</v>
      </c>
      <c r="G572" s="70">
        <f>IFERROR(__xludf.DUMMYFUNCTION("""COMPUTED_VALUE"""),572.6748)</f>
        <v>572.6748</v>
      </c>
      <c r="H572" s="1"/>
      <c r="I572" s="71">
        <f>IFERROR(__xludf.DUMMYFUNCTION("""COMPUTED_VALUE"""),318.611889330559)</f>
        <v>318.6118893</v>
      </c>
      <c r="J572" s="69">
        <f>IFERROR(__xludf.DUMMYFUNCTION("""COMPUTED_VALUE"""),0.0)</f>
        <v>0</v>
      </c>
      <c r="K572" s="4">
        <f>IFERROR(__xludf.DUMMYFUNCTION("""COMPUTED_VALUE"""),318.611889330559)</f>
        <v>318.6118893</v>
      </c>
      <c r="N572" s="67"/>
      <c r="R572" s="4"/>
    </row>
    <row r="573">
      <c r="A573" s="66">
        <f>IFERROR(__xludf.DUMMYFUNCTION("""COMPUTED_VALUE"""),46189.0)</f>
        <v>46189</v>
      </c>
      <c r="B573" s="67">
        <f>IFERROR(__xludf.DUMMYFUNCTION("""COMPUTED_VALUE"""),540.0)</f>
        <v>540</v>
      </c>
      <c r="C573" s="69">
        <f>IFERROR(__xludf.DUMMYFUNCTION("""COMPUTED_VALUE"""),162503.52)</f>
        <v>162503.52</v>
      </c>
      <c r="D573" s="1" t="str">
        <f>IFERROR(__xludf.DUMMYFUNCTION("""COMPUTED_VALUE"""),"VES")</f>
        <v>VES</v>
      </c>
      <c r="E573" s="1" t="str">
        <f>IFERROR(__xludf.DUMMYFUNCTION("""COMPUTED_VALUE"""),"Bancamiga")</f>
        <v>Bancamiga</v>
      </c>
      <c r="F573" s="1" t="str">
        <f>IFERROR(__xludf.DUMMYFUNCTION("""COMPUTED_VALUE"""),"GARAJE Y TALLERES FRIDELBA, C.A")</f>
        <v>GARAJE Y TALLERES FRIDELBA, C.A</v>
      </c>
      <c r="G573" s="70">
        <f>IFERROR(__xludf.DUMMYFUNCTION("""COMPUTED_VALUE"""),592.5163)</f>
        <v>592.5163</v>
      </c>
      <c r="H573" s="1"/>
      <c r="I573" s="71">
        <f>IFERROR(__xludf.DUMMYFUNCTION("""COMPUTED_VALUE"""),274.2599992607798)</f>
        <v>274.2599993</v>
      </c>
      <c r="J573" s="69">
        <f>IFERROR(__xludf.DUMMYFUNCTION("""COMPUTED_VALUE"""),0.0)</f>
        <v>0</v>
      </c>
      <c r="K573" s="4">
        <f>IFERROR(__xludf.DUMMYFUNCTION("""COMPUTED_VALUE"""),274.2599992607798)</f>
        <v>274.2599993</v>
      </c>
      <c r="N573" s="67"/>
      <c r="R573" s="4"/>
    </row>
    <row r="574">
      <c r="A574" s="66">
        <f>IFERROR(__xludf.DUMMYFUNCTION("""COMPUTED_VALUE"""),46189.0)</f>
        <v>46189</v>
      </c>
      <c r="B574" s="67">
        <f>IFERROR(__xludf.DUMMYFUNCTION("""COMPUTED_VALUE"""),414.0)</f>
        <v>414</v>
      </c>
      <c r="C574" s="69">
        <f>IFERROR(__xludf.DUMMYFUNCTION("""COMPUTED_VALUE"""),59300.0)</f>
        <v>59300</v>
      </c>
      <c r="D574" s="1" t="str">
        <f>IFERROR(__xludf.DUMMYFUNCTION("""COMPUTED_VALUE"""),"VES")</f>
        <v>VES</v>
      </c>
      <c r="E574" s="1" t="str">
        <f>IFERROR(__xludf.DUMMYFUNCTION("""COMPUTED_VALUE"""),"Bancamiga")</f>
        <v>Bancamiga</v>
      </c>
      <c r="F574" s="1" t="str">
        <f>IFERROR(__xludf.DUMMYFUNCTION("""COMPUTED_VALUE"""),"Javier Cardenas Prato.")</f>
        <v>Javier Cardenas Prato.</v>
      </c>
      <c r="G574" s="70">
        <f>IFERROR(__xludf.DUMMYFUNCTION("""COMPUTED_VALUE"""),592.5163)</f>
        <v>592.5163</v>
      </c>
      <c r="H574" s="1"/>
      <c r="I574" s="71">
        <f>IFERROR(__xludf.DUMMYFUNCTION("""COMPUTED_VALUE"""),100.08163488498123)</f>
        <v>100.0816349</v>
      </c>
      <c r="J574" s="69">
        <f>IFERROR(__xludf.DUMMYFUNCTION("""COMPUTED_VALUE"""),0.0)</f>
        <v>0</v>
      </c>
      <c r="K574" s="4">
        <f>IFERROR(__xludf.DUMMYFUNCTION("""COMPUTED_VALUE"""),100.08163488498123)</f>
        <v>100.0816349</v>
      </c>
      <c r="N574" s="67"/>
      <c r="R574" s="4"/>
    </row>
    <row r="575">
      <c r="A575" s="66">
        <f>IFERROR(__xludf.DUMMYFUNCTION("""COMPUTED_VALUE"""),46189.0)</f>
        <v>46189</v>
      </c>
      <c r="B575" s="67">
        <f>IFERROR(__xludf.DUMMYFUNCTION("""COMPUTED_VALUE"""),457.0)</f>
        <v>457</v>
      </c>
      <c r="C575" s="69">
        <f>IFERROR(__xludf.DUMMYFUNCTION("""COMPUTED_VALUE"""),885.0)</f>
        <v>885</v>
      </c>
      <c r="D575" s="1" t="str">
        <f>IFERROR(__xludf.DUMMYFUNCTION("""COMPUTED_VALUE"""),"USD")</f>
        <v>USD</v>
      </c>
      <c r="E575" s="1" t="str">
        <f>IFERROR(__xludf.DUMMYFUNCTION("""COMPUTED_VALUE"""),"Efectivo USD")</f>
        <v>Efectivo USD</v>
      </c>
      <c r="F575" s="1" t="str">
        <f>IFERROR(__xludf.DUMMYFUNCTION("""COMPUTED_VALUE"""),"Anthony Jose Quijada Diaz.")</f>
        <v>Anthony Jose Quijada Diaz.</v>
      </c>
      <c r="G575" s="70">
        <f>IFERROR(__xludf.DUMMYFUNCTION("""COMPUTED_VALUE"""),592.5163)</f>
        <v>592.5163</v>
      </c>
      <c r="H575" s="1"/>
      <c r="I575" s="71">
        <f>IFERROR(__xludf.DUMMYFUNCTION("""COMPUTED_VALUE"""),885.0)</f>
        <v>885</v>
      </c>
      <c r="J575" s="69">
        <f>IFERROR(__xludf.DUMMYFUNCTION("""COMPUTED_VALUE"""),885.0)</f>
        <v>885</v>
      </c>
      <c r="K575" s="4">
        <f>IFERROR(__xludf.DUMMYFUNCTION("""COMPUTED_VALUE"""),885.0)</f>
        <v>885</v>
      </c>
      <c r="N575" s="67"/>
      <c r="R575" s="4"/>
    </row>
    <row r="576">
      <c r="A576" s="66">
        <f>IFERROR(__xludf.DUMMYFUNCTION("""COMPUTED_VALUE"""),46189.0)</f>
        <v>46189</v>
      </c>
      <c r="B576" s="67">
        <f>IFERROR(__xludf.DUMMYFUNCTION("""COMPUTED_VALUE"""),61.0)</f>
        <v>61</v>
      </c>
      <c r="C576" s="69">
        <f>IFERROR(__xludf.DUMMYFUNCTION("""COMPUTED_VALUE"""),100.0)</f>
        <v>100</v>
      </c>
      <c r="D576" s="1" t="str">
        <f>IFERROR(__xludf.DUMMYFUNCTION("""COMPUTED_VALUE"""),"USD")</f>
        <v>USD</v>
      </c>
      <c r="E576" s="1" t="str">
        <f>IFERROR(__xludf.DUMMYFUNCTION("""COMPUTED_VALUE"""),"Efectivo USD")</f>
        <v>Efectivo USD</v>
      </c>
      <c r="F576" s="1" t="str">
        <f>IFERROR(__xludf.DUMMYFUNCTION("""COMPUTED_VALUE"""),"SJMG 2012 C.A")</f>
        <v>SJMG 2012 C.A</v>
      </c>
      <c r="G576" s="70">
        <f>IFERROR(__xludf.DUMMYFUNCTION("""COMPUTED_VALUE"""),592.5163)</f>
        <v>592.5163</v>
      </c>
      <c r="H576" s="1"/>
      <c r="I576" s="71">
        <f>IFERROR(__xludf.DUMMYFUNCTION("""COMPUTED_VALUE"""),100.0)</f>
        <v>100</v>
      </c>
      <c r="J576" s="69">
        <f>IFERROR(__xludf.DUMMYFUNCTION("""COMPUTED_VALUE"""),100.0)</f>
        <v>100</v>
      </c>
      <c r="K576" s="4">
        <f>IFERROR(__xludf.DUMMYFUNCTION("""COMPUTED_VALUE"""),100.0)</f>
        <v>100</v>
      </c>
      <c r="N576" s="67"/>
      <c r="R576" s="4"/>
    </row>
    <row r="577">
      <c r="A577" s="66">
        <f>IFERROR(__xludf.DUMMYFUNCTION("""COMPUTED_VALUE"""),46189.0)</f>
        <v>46189</v>
      </c>
      <c r="B577" s="67">
        <f>IFERROR(__xludf.DUMMYFUNCTION("""COMPUTED_VALUE"""),354.0)</f>
        <v>354</v>
      </c>
      <c r="C577" s="69">
        <f>IFERROR(__xludf.DUMMYFUNCTION("""COMPUTED_VALUE"""),100.0)</f>
        <v>100</v>
      </c>
      <c r="D577" s="1" t="str">
        <f>IFERROR(__xludf.DUMMYFUNCTION("""COMPUTED_VALUE"""),"USD")</f>
        <v>USD</v>
      </c>
      <c r="E577" s="1" t="str">
        <f>IFERROR(__xludf.DUMMYFUNCTION("""COMPUTED_VALUE"""),"Efectivo USD")</f>
        <v>Efectivo USD</v>
      </c>
      <c r="F577" s="1" t="str">
        <f>IFERROR(__xludf.DUMMYFUNCTION("""COMPUTED_VALUE"""),"REPRESENTACIONES LAGUS MEL, C. A")</f>
        <v>REPRESENTACIONES LAGUS MEL, C. A</v>
      </c>
      <c r="G577" s="70">
        <f>IFERROR(__xludf.DUMMYFUNCTION("""COMPUTED_VALUE"""),592.5163)</f>
        <v>592.5163</v>
      </c>
      <c r="H577" s="1"/>
      <c r="I577" s="71">
        <f>IFERROR(__xludf.DUMMYFUNCTION("""COMPUTED_VALUE"""),100.0)</f>
        <v>100</v>
      </c>
      <c r="J577" s="69">
        <f>IFERROR(__xludf.DUMMYFUNCTION("""COMPUTED_VALUE"""),100.0)</f>
        <v>100</v>
      </c>
      <c r="K577" s="4">
        <f>IFERROR(__xludf.DUMMYFUNCTION("""COMPUTED_VALUE"""),100.0)</f>
        <v>100</v>
      </c>
      <c r="N577" s="67"/>
      <c r="R577" s="4"/>
    </row>
    <row r="578">
      <c r="A578" s="66">
        <f>IFERROR(__xludf.DUMMYFUNCTION("""COMPUTED_VALUE"""),46189.0)</f>
        <v>46189</v>
      </c>
      <c r="B578" s="67">
        <f>IFERROR(__xludf.DUMMYFUNCTION("""COMPUTED_VALUE"""),472.0)</f>
        <v>472</v>
      </c>
      <c r="C578" s="69">
        <f>IFERROR(__xludf.DUMMYFUNCTION("""COMPUTED_VALUE"""),191167.2)</f>
        <v>191167.2</v>
      </c>
      <c r="D578" s="1" t="str">
        <f>IFERROR(__xludf.DUMMYFUNCTION("""COMPUTED_VALUE"""),"VES")</f>
        <v>VES</v>
      </c>
      <c r="E578" s="1" t="str">
        <f>IFERROR(__xludf.DUMMYFUNCTION("""COMPUTED_VALUE"""),"Bancamiga")</f>
        <v>Bancamiga</v>
      </c>
      <c r="F578" s="1" t="str">
        <f>IFERROR(__xludf.DUMMYFUNCTION("""COMPUTED_VALUE"""),"Antonio Terán")</f>
        <v>Antonio Terán</v>
      </c>
      <c r="G578" s="70">
        <f>IFERROR(__xludf.DUMMYFUNCTION("""COMPUTED_VALUE"""),592.5163)</f>
        <v>592.5163</v>
      </c>
      <c r="H578" s="1"/>
      <c r="I578" s="71">
        <f>IFERROR(__xludf.DUMMYFUNCTION("""COMPUTED_VALUE"""),322.63618739265064)</f>
        <v>322.6361874</v>
      </c>
      <c r="J578" s="69">
        <f>IFERROR(__xludf.DUMMYFUNCTION("""COMPUTED_VALUE"""),0.0)</f>
        <v>0</v>
      </c>
      <c r="K578" s="4">
        <f>IFERROR(__xludf.DUMMYFUNCTION("""COMPUTED_VALUE"""),322.63618739265064)</f>
        <v>322.6361874</v>
      </c>
      <c r="N578" s="67"/>
      <c r="R578" s="4"/>
    </row>
    <row r="579">
      <c r="A579" s="66">
        <f>IFERROR(__xludf.DUMMYFUNCTION("""COMPUTED_VALUE"""),46189.0)</f>
        <v>46189</v>
      </c>
      <c r="B579" s="67">
        <f>IFERROR(__xludf.DUMMYFUNCTION("""COMPUTED_VALUE"""),350.0)</f>
        <v>350</v>
      </c>
      <c r="C579" s="69">
        <f>IFERROR(__xludf.DUMMYFUNCTION("""COMPUTED_VALUE"""),200.0)</f>
        <v>200</v>
      </c>
      <c r="D579" s="1" t="str">
        <f>IFERROR(__xludf.DUMMYFUNCTION("""COMPUTED_VALUE"""),"USD")</f>
        <v>USD</v>
      </c>
      <c r="E579" s="1" t="str">
        <f>IFERROR(__xludf.DUMMYFUNCTION("""COMPUTED_VALUE"""),"Efectivo USD")</f>
        <v>Efectivo USD</v>
      </c>
      <c r="F579" s="1" t="str">
        <f>IFERROR(__xludf.DUMMYFUNCTION("""COMPUTED_VALUE"""),"Melany Madrid")</f>
        <v>Melany Madrid</v>
      </c>
      <c r="G579" s="70">
        <f>IFERROR(__xludf.DUMMYFUNCTION("""COMPUTED_VALUE"""),592.5163)</f>
        <v>592.5163</v>
      </c>
      <c r="H579" s="1"/>
      <c r="I579" s="71">
        <f>IFERROR(__xludf.DUMMYFUNCTION("""COMPUTED_VALUE"""),200.0)</f>
        <v>200</v>
      </c>
      <c r="J579" s="69">
        <f>IFERROR(__xludf.DUMMYFUNCTION("""COMPUTED_VALUE"""),200.0)</f>
        <v>200</v>
      </c>
      <c r="K579" s="4">
        <f>IFERROR(__xludf.DUMMYFUNCTION("""COMPUTED_VALUE"""),200.0)</f>
        <v>200</v>
      </c>
      <c r="N579" s="67"/>
      <c r="R579" s="4"/>
    </row>
    <row r="580">
      <c r="A580" s="66">
        <f>IFERROR(__xludf.DUMMYFUNCTION("""COMPUTED_VALUE"""),46189.0)</f>
        <v>46189</v>
      </c>
      <c r="B580" s="67">
        <f>IFERROR(__xludf.DUMMYFUNCTION("""COMPUTED_VALUE"""),138.0)</f>
        <v>138</v>
      </c>
      <c r="C580" s="69">
        <f>IFERROR(__xludf.DUMMYFUNCTION("""COMPUTED_VALUE"""),100.0)</f>
        <v>100</v>
      </c>
      <c r="D580" s="1" t="str">
        <f>IFERROR(__xludf.DUMMYFUNCTION("""COMPUTED_VALUE"""),"USD")</f>
        <v>USD</v>
      </c>
      <c r="E580" s="1" t="str">
        <f>IFERROR(__xludf.DUMMYFUNCTION("""COMPUTED_VALUE"""),"Efectivo USD")</f>
        <v>Efectivo USD</v>
      </c>
      <c r="F580" s="1" t="str">
        <f>IFERROR(__xludf.DUMMYFUNCTION("""COMPUTED_VALUE"""),"Benefit c.a")</f>
        <v>Benefit c.a</v>
      </c>
      <c r="G580" s="70">
        <f>IFERROR(__xludf.DUMMYFUNCTION("""COMPUTED_VALUE"""),592.5163)</f>
        <v>592.5163</v>
      </c>
      <c r="H580" s="1"/>
      <c r="I580" s="71">
        <f>IFERROR(__xludf.DUMMYFUNCTION("""COMPUTED_VALUE"""),100.0)</f>
        <v>100</v>
      </c>
      <c r="J580" s="69">
        <f>IFERROR(__xludf.DUMMYFUNCTION("""COMPUTED_VALUE"""),100.0)</f>
        <v>100</v>
      </c>
      <c r="K580" s="4">
        <f>IFERROR(__xludf.DUMMYFUNCTION("""COMPUTED_VALUE"""),100.0)</f>
        <v>100</v>
      </c>
      <c r="N580" s="67"/>
      <c r="R580" s="4"/>
    </row>
    <row r="581">
      <c r="A581" s="66">
        <f>IFERROR(__xludf.DUMMYFUNCTION("""COMPUTED_VALUE"""),46189.0)</f>
        <v>46189</v>
      </c>
      <c r="B581" s="67">
        <f>IFERROR(__xludf.DUMMYFUNCTION("""COMPUTED_VALUE"""),49.0)</f>
        <v>49</v>
      </c>
      <c r="C581" s="69">
        <f>IFERROR(__xludf.DUMMYFUNCTION("""COMPUTED_VALUE"""),100.0)</f>
        <v>100</v>
      </c>
      <c r="D581" s="1" t="str">
        <f>IFERROR(__xludf.DUMMYFUNCTION("""COMPUTED_VALUE"""),"USD")</f>
        <v>USD</v>
      </c>
      <c r="E581" s="1" t="str">
        <f>IFERROR(__xludf.DUMMYFUNCTION("""COMPUTED_VALUE"""),"Efectivo USD")</f>
        <v>Efectivo USD</v>
      </c>
      <c r="F581" s="1" t="str">
        <f>IFERROR(__xludf.DUMMYFUNCTION("""COMPUTED_VALUE"""),"Marlene Herrera")</f>
        <v>Marlene Herrera</v>
      </c>
      <c r="G581" s="70">
        <f>IFERROR(__xludf.DUMMYFUNCTION("""COMPUTED_VALUE"""),592.5163)</f>
        <v>592.5163</v>
      </c>
      <c r="H581" s="1"/>
      <c r="I581" s="71">
        <f>IFERROR(__xludf.DUMMYFUNCTION("""COMPUTED_VALUE"""),100.0)</f>
        <v>100</v>
      </c>
      <c r="J581" s="69">
        <f>IFERROR(__xludf.DUMMYFUNCTION("""COMPUTED_VALUE"""),100.0)</f>
        <v>100</v>
      </c>
      <c r="K581" s="4">
        <f>IFERROR(__xludf.DUMMYFUNCTION("""COMPUTED_VALUE"""),100.0)</f>
        <v>100</v>
      </c>
      <c r="N581" s="67"/>
      <c r="R581" s="4"/>
    </row>
    <row r="582">
      <c r="A582" s="66">
        <f>IFERROR(__xludf.DUMMYFUNCTION("""COMPUTED_VALUE"""),46189.0)</f>
        <v>46189</v>
      </c>
      <c r="B582" s="67">
        <f>IFERROR(__xludf.DUMMYFUNCTION("""COMPUTED_VALUE"""),126.0)</f>
        <v>126</v>
      </c>
      <c r="C582" s="69">
        <f>IFERROR(__xludf.DUMMYFUNCTION("""COMPUTED_VALUE"""),360.0)</f>
        <v>360</v>
      </c>
      <c r="D582" s="1" t="str">
        <f>IFERROR(__xludf.DUMMYFUNCTION("""COMPUTED_VALUE"""),"USD")</f>
        <v>USD</v>
      </c>
      <c r="E582" s="1" t="str">
        <f>IFERROR(__xludf.DUMMYFUNCTION("""COMPUTED_VALUE"""),"Efectivo USD")</f>
        <v>Efectivo USD</v>
      </c>
      <c r="F582" s="1" t="str">
        <f>IFERROR(__xludf.DUMMYFUNCTION("""COMPUTED_VALUE"""),"Victor Ordaz")</f>
        <v>Victor Ordaz</v>
      </c>
      <c r="G582" s="70">
        <f>IFERROR(__xludf.DUMMYFUNCTION("""COMPUTED_VALUE"""),592.5163)</f>
        <v>592.5163</v>
      </c>
      <c r="H582" s="1"/>
      <c r="I582" s="71">
        <f>IFERROR(__xludf.DUMMYFUNCTION("""COMPUTED_VALUE"""),360.0)</f>
        <v>360</v>
      </c>
      <c r="J582" s="69">
        <f>IFERROR(__xludf.DUMMYFUNCTION("""COMPUTED_VALUE"""),360.0)</f>
        <v>360</v>
      </c>
      <c r="K582" s="4">
        <f>IFERROR(__xludf.DUMMYFUNCTION("""COMPUTED_VALUE"""),360.0)</f>
        <v>360</v>
      </c>
      <c r="N582" s="67"/>
      <c r="R582" s="4"/>
    </row>
    <row r="583">
      <c r="A583" s="66">
        <f>IFERROR(__xludf.DUMMYFUNCTION("""COMPUTED_VALUE"""),46189.0)</f>
        <v>46189</v>
      </c>
      <c r="B583" s="67">
        <f>IFERROR(__xludf.DUMMYFUNCTION("""COMPUTED_VALUE"""),177.0)</f>
        <v>177</v>
      </c>
      <c r="C583" s="69">
        <f>IFERROR(__xludf.DUMMYFUNCTION("""COMPUTED_VALUE"""),50.0)</f>
        <v>50</v>
      </c>
      <c r="D583" s="1" t="str">
        <f>IFERROR(__xludf.DUMMYFUNCTION("""COMPUTED_VALUE"""),"USD")</f>
        <v>USD</v>
      </c>
      <c r="E583" s="1" t="str">
        <f>IFERROR(__xludf.DUMMYFUNCTION("""COMPUTED_VALUE"""),"Efectivo USD")</f>
        <v>Efectivo USD</v>
      </c>
      <c r="F583" s="1" t="str">
        <f>IFERROR(__xludf.DUMMYFUNCTION("""COMPUTED_VALUE"""),"Jhon Morales")</f>
        <v>Jhon Morales</v>
      </c>
      <c r="G583" s="70">
        <f>IFERROR(__xludf.DUMMYFUNCTION("""COMPUTED_VALUE"""),592.5163)</f>
        <v>592.5163</v>
      </c>
      <c r="H583" s="1"/>
      <c r="I583" s="71">
        <f>IFERROR(__xludf.DUMMYFUNCTION("""COMPUTED_VALUE"""),50.0)</f>
        <v>50</v>
      </c>
      <c r="J583" s="69">
        <f>IFERROR(__xludf.DUMMYFUNCTION("""COMPUTED_VALUE"""),50.0)</f>
        <v>50</v>
      </c>
      <c r="K583" s="4">
        <f>IFERROR(__xludf.DUMMYFUNCTION("""COMPUTED_VALUE"""),50.0)</f>
        <v>50</v>
      </c>
      <c r="N583" s="67"/>
      <c r="R583" s="4"/>
    </row>
    <row r="584">
      <c r="A584" s="66">
        <f>IFERROR(__xludf.DUMMYFUNCTION("""COMPUTED_VALUE"""),46190.0)</f>
        <v>46190</v>
      </c>
      <c r="B584" s="67">
        <f>IFERROR(__xludf.DUMMYFUNCTION("""COMPUTED_VALUE"""),93.0)</f>
        <v>93</v>
      </c>
      <c r="C584" s="69">
        <f>IFERROR(__xludf.DUMMYFUNCTION("""COMPUTED_VALUE"""),28.0)</f>
        <v>28</v>
      </c>
      <c r="D584" s="1" t="str">
        <f>IFERROR(__xludf.DUMMYFUNCTION("""COMPUTED_VALUE"""),"USD")</f>
        <v>USD</v>
      </c>
      <c r="E584" s="1" t="str">
        <f>IFERROR(__xludf.DUMMYFUNCTION("""COMPUTED_VALUE"""),"Efectivo USD")</f>
        <v>Efectivo USD</v>
      </c>
      <c r="F584" s="1" t="str">
        <f>IFERROR(__xludf.DUMMYFUNCTION("""COMPUTED_VALUE"""),"Emprendimiento YSKRA")</f>
        <v>Emprendimiento YSKRA</v>
      </c>
      <c r="G584" s="70">
        <f>IFERROR(__xludf.DUMMYFUNCTION("""COMPUTED_VALUE"""),596.7824)</f>
        <v>596.7824</v>
      </c>
      <c r="H584" s="1"/>
      <c r="I584" s="71">
        <f>IFERROR(__xludf.DUMMYFUNCTION("""COMPUTED_VALUE"""),28.0)</f>
        <v>28</v>
      </c>
      <c r="J584" s="69">
        <f>IFERROR(__xludf.DUMMYFUNCTION("""COMPUTED_VALUE"""),28.0)</f>
        <v>28</v>
      </c>
      <c r="K584" s="4">
        <f>IFERROR(__xludf.DUMMYFUNCTION("""COMPUTED_VALUE"""),28.0)</f>
        <v>28</v>
      </c>
      <c r="N584" s="67"/>
      <c r="R584" s="4"/>
    </row>
    <row r="585">
      <c r="A585" s="66">
        <f>IFERROR(__xludf.DUMMYFUNCTION("""COMPUTED_VALUE"""),46190.0)</f>
        <v>46190</v>
      </c>
      <c r="B585" s="67">
        <f>IFERROR(__xludf.DUMMYFUNCTION("""COMPUTED_VALUE"""),248.0)</f>
        <v>248</v>
      </c>
      <c r="C585" s="69">
        <f>IFERROR(__xludf.DUMMYFUNCTION("""COMPUTED_VALUE"""),32.0)</f>
        <v>32</v>
      </c>
      <c r="D585" s="1" t="str">
        <f>IFERROR(__xludf.DUMMYFUNCTION("""COMPUTED_VALUE"""),"USD")</f>
        <v>USD</v>
      </c>
      <c r="E585" s="1" t="str">
        <f>IFERROR(__xludf.DUMMYFUNCTION("""COMPUTED_VALUE"""),"Efectivo USD")</f>
        <v>Efectivo USD</v>
      </c>
      <c r="F585" s="1" t="str">
        <f>IFERROR(__xludf.DUMMYFUNCTION("""COMPUTED_VALUE"""),"Abraham almenar")</f>
        <v>Abraham almenar</v>
      </c>
      <c r="G585" s="70">
        <f>IFERROR(__xludf.DUMMYFUNCTION("""COMPUTED_VALUE"""),596.7824)</f>
        <v>596.7824</v>
      </c>
      <c r="H585" s="1"/>
      <c r="I585" s="71">
        <f>IFERROR(__xludf.DUMMYFUNCTION("""COMPUTED_VALUE"""),32.0)</f>
        <v>32</v>
      </c>
      <c r="J585" s="69">
        <f>IFERROR(__xludf.DUMMYFUNCTION("""COMPUTED_VALUE"""),32.0)</f>
        <v>32</v>
      </c>
      <c r="K585" s="4">
        <f>IFERROR(__xludf.DUMMYFUNCTION("""COMPUTED_VALUE"""),32.0)</f>
        <v>32</v>
      </c>
      <c r="N585" s="67"/>
      <c r="R585" s="4"/>
    </row>
    <row r="586">
      <c r="A586" s="66">
        <f>IFERROR(__xludf.DUMMYFUNCTION("""COMPUTED_VALUE"""),46189.0)</f>
        <v>46189</v>
      </c>
      <c r="B586" s="67">
        <f>IFERROR(__xludf.DUMMYFUNCTION("""COMPUTED_VALUE"""),507.0)</f>
        <v>507</v>
      </c>
      <c r="C586" s="69">
        <f>IFERROR(__xludf.DUMMYFUNCTION("""COMPUTED_VALUE"""),83567.0)</f>
        <v>83567</v>
      </c>
      <c r="D586" s="1" t="str">
        <f>IFERROR(__xludf.DUMMYFUNCTION("""COMPUTED_VALUE"""),"VES")</f>
        <v>VES</v>
      </c>
      <c r="E586" s="1" t="str">
        <f>IFERROR(__xludf.DUMMYFUNCTION("""COMPUTED_VALUE"""),"Bancamiga")</f>
        <v>Bancamiga</v>
      </c>
      <c r="F586" s="1" t="str">
        <f>IFERROR(__xludf.DUMMYFUNCTION("""COMPUTED_VALUE"""),"Sandra Katherine Quintero Crespo")</f>
        <v>Sandra Katherine Quintero Crespo</v>
      </c>
      <c r="G586" s="70">
        <f>IFERROR(__xludf.DUMMYFUNCTION("""COMPUTED_VALUE"""),592.5163)</f>
        <v>592.5163</v>
      </c>
      <c r="H586" s="1"/>
      <c r="I586" s="71">
        <f>IFERROR(__xludf.DUMMYFUNCTION("""COMPUTED_VALUE"""),141.03747019280314)</f>
        <v>141.0374702</v>
      </c>
      <c r="J586" s="69">
        <f>IFERROR(__xludf.DUMMYFUNCTION("""COMPUTED_VALUE"""),0.0)</f>
        <v>0</v>
      </c>
      <c r="K586" s="4">
        <f>IFERROR(__xludf.DUMMYFUNCTION("""COMPUTED_VALUE"""),141.03747019280314)</f>
        <v>141.0374702</v>
      </c>
      <c r="N586" s="67"/>
      <c r="R586" s="4"/>
    </row>
    <row r="587">
      <c r="A587" s="66">
        <f>IFERROR(__xludf.DUMMYFUNCTION("""COMPUTED_VALUE"""),46190.0)</f>
        <v>46190</v>
      </c>
      <c r="B587" s="67">
        <f>IFERROR(__xludf.DUMMYFUNCTION("""COMPUTED_VALUE"""),574.0)</f>
        <v>574</v>
      </c>
      <c r="C587" s="69">
        <f>IFERROR(__xludf.DUMMYFUNCTION("""COMPUTED_VALUE"""),140.0)</f>
        <v>140</v>
      </c>
      <c r="D587" s="1" t="str">
        <f>IFERROR(__xludf.DUMMYFUNCTION("""COMPUTED_VALUE"""),"USD")</f>
        <v>USD</v>
      </c>
      <c r="E587" s="1" t="str">
        <f>IFERROR(__xludf.DUMMYFUNCTION("""COMPUTED_VALUE"""),"Efectivo USD")</f>
        <v>Efectivo USD</v>
      </c>
      <c r="F587" s="1" t="str">
        <f>IFERROR(__xludf.DUMMYFUNCTION("""COMPUTED_VALUE"""),"Katiuska Alejandra Curvelo")</f>
        <v>Katiuska Alejandra Curvelo</v>
      </c>
      <c r="G587" s="70">
        <f>IFERROR(__xludf.DUMMYFUNCTION("""COMPUTED_VALUE"""),596.7824)</f>
        <v>596.7824</v>
      </c>
      <c r="H587" s="1"/>
      <c r="I587" s="71">
        <f>IFERROR(__xludf.DUMMYFUNCTION("""COMPUTED_VALUE"""),140.0)</f>
        <v>140</v>
      </c>
      <c r="J587" s="69">
        <f>IFERROR(__xludf.DUMMYFUNCTION("""COMPUTED_VALUE"""),140.0)</f>
        <v>140</v>
      </c>
      <c r="K587" s="4">
        <f>IFERROR(__xludf.DUMMYFUNCTION("""COMPUTED_VALUE"""),140.0)</f>
        <v>140</v>
      </c>
      <c r="N587" s="67"/>
      <c r="R587" s="4"/>
    </row>
    <row r="588">
      <c r="A588" s="66">
        <f>IFERROR(__xludf.DUMMYFUNCTION("""COMPUTED_VALUE"""),46190.0)</f>
        <v>46190</v>
      </c>
      <c r="B588" s="67">
        <f>IFERROR(__xludf.DUMMYFUNCTION("""COMPUTED_VALUE"""),355.0)</f>
        <v>355</v>
      </c>
      <c r="C588" s="69">
        <f>IFERROR(__xludf.DUMMYFUNCTION("""COMPUTED_VALUE"""),120.0)</f>
        <v>120</v>
      </c>
      <c r="D588" s="1" t="str">
        <f>IFERROR(__xludf.DUMMYFUNCTION("""COMPUTED_VALUE"""),"USD")</f>
        <v>USD</v>
      </c>
      <c r="E588" s="1" t="str">
        <f>IFERROR(__xludf.DUMMYFUNCTION("""COMPUTED_VALUE"""),"Efectivo USD")</f>
        <v>Efectivo USD</v>
      </c>
      <c r="F588" s="1" t="str">
        <f>IFERROR(__xludf.DUMMYFUNCTION("""COMPUTED_VALUE"""),"DIADOMHAN AUTOMOTRIZ, C.A.")</f>
        <v>DIADOMHAN AUTOMOTRIZ, C.A.</v>
      </c>
      <c r="G588" s="70">
        <f>IFERROR(__xludf.DUMMYFUNCTION("""COMPUTED_VALUE"""),596.7824)</f>
        <v>596.7824</v>
      </c>
      <c r="H588" s="1"/>
      <c r="I588" s="71">
        <f>IFERROR(__xludf.DUMMYFUNCTION("""COMPUTED_VALUE"""),120.0)</f>
        <v>120</v>
      </c>
      <c r="J588" s="69">
        <f>IFERROR(__xludf.DUMMYFUNCTION("""COMPUTED_VALUE"""),120.0)</f>
        <v>120</v>
      </c>
      <c r="K588" s="4">
        <f>IFERROR(__xludf.DUMMYFUNCTION("""COMPUTED_VALUE"""),120.0)</f>
        <v>120</v>
      </c>
      <c r="N588" s="67"/>
      <c r="R588" s="4"/>
    </row>
    <row r="589">
      <c r="A589" s="66">
        <f>IFERROR(__xludf.DUMMYFUNCTION("""COMPUTED_VALUE"""),46190.0)</f>
        <v>46190</v>
      </c>
      <c r="B589" s="67">
        <f>IFERROR(__xludf.DUMMYFUNCTION("""COMPUTED_VALUE"""),422.0)</f>
        <v>422</v>
      </c>
      <c r="C589" s="69">
        <f>IFERROR(__xludf.DUMMYFUNCTION("""COMPUTED_VALUE"""),66.0)</f>
        <v>66</v>
      </c>
      <c r="D589" s="1" t="str">
        <f>IFERROR(__xludf.DUMMYFUNCTION("""COMPUTED_VALUE"""),"USD")</f>
        <v>USD</v>
      </c>
      <c r="E589" s="1" t="str">
        <f>IFERROR(__xludf.DUMMYFUNCTION("""COMPUTED_VALUE"""),"Efectivo USD")</f>
        <v>Efectivo USD</v>
      </c>
      <c r="F589" s="1" t="str">
        <f>IFERROR(__xludf.DUMMYFUNCTION("""COMPUTED_VALUE"""),"INVERSIONES R&amp;C 1817, c.a.")</f>
        <v>INVERSIONES R&amp;C 1817, c.a.</v>
      </c>
      <c r="G589" s="70">
        <f>IFERROR(__xludf.DUMMYFUNCTION("""COMPUTED_VALUE"""),596.7824)</f>
        <v>596.7824</v>
      </c>
      <c r="H589" s="1"/>
      <c r="I589" s="71">
        <f>IFERROR(__xludf.DUMMYFUNCTION("""COMPUTED_VALUE"""),66.0)</f>
        <v>66</v>
      </c>
      <c r="J589" s="69">
        <f>IFERROR(__xludf.DUMMYFUNCTION("""COMPUTED_VALUE"""),66.0)</f>
        <v>66</v>
      </c>
      <c r="K589" s="4">
        <f>IFERROR(__xludf.DUMMYFUNCTION("""COMPUTED_VALUE"""),66.0)</f>
        <v>66</v>
      </c>
      <c r="N589" s="67"/>
      <c r="R589" s="4"/>
    </row>
    <row r="590">
      <c r="A590" s="66">
        <f>IFERROR(__xludf.DUMMYFUNCTION("""COMPUTED_VALUE"""),46191.0)</f>
        <v>46191</v>
      </c>
      <c r="B590" s="67">
        <f>IFERROR(__xludf.DUMMYFUNCTION("""COMPUTED_VALUE"""),434.0)</f>
        <v>434</v>
      </c>
      <c r="C590" s="69">
        <f>IFERROR(__xludf.DUMMYFUNCTION("""COMPUTED_VALUE"""),68.0)</f>
        <v>68</v>
      </c>
      <c r="D590" s="1" t="str">
        <f>IFERROR(__xludf.DUMMYFUNCTION("""COMPUTED_VALUE"""),"USD")</f>
        <v>USD</v>
      </c>
      <c r="E590" s="1" t="str">
        <f>IFERROR(__xludf.DUMMYFUNCTION("""COMPUTED_VALUE"""),"Efectivo USD")</f>
        <v>Efectivo USD</v>
      </c>
      <c r="F590" s="1" t="str">
        <f>IFERROR(__xludf.DUMMYFUNCTION("""COMPUTED_VALUE"""),"EMPRENDIMIENTO FRANCISCO VEGAS 3")</f>
        <v>EMPRENDIMIENTO FRANCISCO VEGAS 3</v>
      </c>
      <c r="G590" s="70">
        <f>IFERROR(__xludf.DUMMYFUNCTION("""COMPUTED_VALUE"""),602.3324)</f>
        <v>602.3324</v>
      </c>
      <c r="H590" s="1"/>
      <c r="I590" s="71">
        <f>IFERROR(__xludf.DUMMYFUNCTION("""COMPUTED_VALUE"""),68.0)</f>
        <v>68</v>
      </c>
      <c r="J590" s="69">
        <f>IFERROR(__xludf.DUMMYFUNCTION("""COMPUTED_VALUE"""),68.0)</f>
        <v>68</v>
      </c>
      <c r="K590" s="4">
        <f>IFERROR(__xludf.DUMMYFUNCTION("""COMPUTED_VALUE"""),68.0)</f>
        <v>68</v>
      </c>
      <c r="N590" s="67"/>
      <c r="R590" s="4"/>
    </row>
    <row r="591">
      <c r="A591" s="66">
        <f>IFERROR(__xludf.DUMMYFUNCTION("""COMPUTED_VALUE"""),46191.0)</f>
        <v>46191</v>
      </c>
      <c r="B591" s="67">
        <f>IFERROR(__xludf.DUMMYFUNCTION("""COMPUTED_VALUE"""),257.0)</f>
        <v>257</v>
      </c>
      <c r="C591" s="69">
        <f>IFERROR(__xludf.DUMMYFUNCTION("""COMPUTED_VALUE"""),100.0)</f>
        <v>100</v>
      </c>
      <c r="D591" s="1" t="str">
        <f>IFERROR(__xludf.DUMMYFUNCTION("""COMPUTED_VALUE"""),"USD")</f>
        <v>USD</v>
      </c>
      <c r="E591" s="1" t="str">
        <f>IFERROR(__xludf.DUMMYFUNCTION("""COMPUTED_VALUE"""),"Efectivo USD")</f>
        <v>Efectivo USD</v>
      </c>
      <c r="F591" s="1" t="str">
        <f>IFERROR(__xludf.DUMMYFUNCTION("""COMPUTED_VALUE"""),"AUTOREPUESTOS SION C.A.")</f>
        <v>AUTOREPUESTOS SION C.A.</v>
      </c>
      <c r="G591" s="70">
        <f>IFERROR(__xludf.DUMMYFUNCTION("""COMPUTED_VALUE"""),602.3324)</f>
        <v>602.3324</v>
      </c>
      <c r="H591" s="1"/>
      <c r="I591" s="71">
        <f>IFERROR(__xludf.DUMMYFUNCTION("""COMPUTED_VALUE"""),100.0)</f>
        <v>100</v>
      </c>
      <c r="J591" s="69">
        <f>IFERROR(__xludf.DUMMYFUNCTION("""COMPUTED_VALUE"""),100.0)</f>
        <v>100</v>
      </c>
      <c r="K591" s="4">
        <f>IFERROR(__xludf.DUMMYFUNCTION("""COMPUTED_VALUE"""),100.0)</f>
        <v>100</v>
      </c>
      <c r="N591" s="67"/>
      <c r="R591" s="4"/>
    </row>
    <row r="592">
      <c r="A592" s="66">
        <f>IFERROR(__xludf.DUMMYFUNCTION("""COMPUTED_VALUE"""),46191.0)</f>
        <v>46191</v>
      </c>
      <c r="B592" s="67">
        <f>IFERROR(__xludf.DUMMYFUNCTION("""COMPUTED_VALUE"""),243.0)</f>
        <v>243</v>
      </c>
      <c r="C592" s="69">
        <f>IFERROR(__xludf.DUMMYFUNCTION("""COMPUTED_VALUE"""),30000.0)</f>
        <v>30000</v>
      </c>
      <c r="D592" s="1" t="str">
        <f>IFERROR(__xludf.DUMMYFUNCTION("""COMPUTED_VALUE"""),"VES")</f>
        <v>VES</v>
      </c>
      <c r="E592" s="1" t="str">
        <f>IFERROR(__xludf.DUMMYFUNCTION("""COMPUTED_VALUE"""),"Bancamiga")</f>
        <v>Bancamiga</v>
      </c>
      <c r="F592" s="1" t="str">
        <f>IFERROR(__xludf.DUMMYFUNCTION("""COMPUTED_VALUE"""),"Cauchera William 2018, C.A")</f>
        <v>Cauchera William 2018, C.A</v>
      </c>
      <c r="G592" s="70">
        <f>IFERROR(__xludf.DUMMYFUNCTION("""COMPUTED_VALUE"""),602.3324)</f>
        <v>602.3324</v>
      </c>
      <c r="H592" s="1"/>
      <c r="I592" s="71">
        <f>IFERROR(__xludf.DUMMYFUNCTION("""COMPUTED_VALUE"""),49.80638597558424)</f>
        <v>49.80638598</v>
      </c>
      <c r="J592" s="69">
        <f>IFERROR(__xludf.DUMMYFUNCTION("""COMPUTED_VALUE"""),0.0)</f>
        <v>0</v>
      </c>
      <c r="K592" s="4">
        <f>IFERROR(__xludf.DUMMYFUNCTION("""COMPUTED_VALUE"""),49.80638597558424)</f>
        <v>49.80638598</v>
      </c>
      <c r="N592" s="67"/>
      <c r="R592" s="4"/>
    </row>
    <row r="593">
      <c r="A593" s="66">
        <f>IFERROR(__xludf.DUMMYFUNCTION("""COMPUTED_VALUE"""),46191.0)</f>
        <v>46191</v>
      </c>
      <c r="B593" s="67">
        <f>IFERROR(__xludf.DUMMYFUNCTION("""COMPUTED_VALUE"""),265.0)</f>
        <v>265</v>
      </c>
      <c r="C593" s="69">
        <f>IFERROR(__xludf.DUMMYFUNCTION("""COMPUTED_VALUE"""),15.0)</f>
        <v>15</v>
      </c>
      <c r="D593" s="1" t="str">
        <f>IFERROR(__xludf.DUMMYFUNCTION("""COMPUTED_VALUE"""),"USD")</f>
        <v>USD</v>
      </c>
      <c r="E593" s="1" t="str">
        <f>IFERROR(__xludf.DUMMYFUNCTION("""COMPUTED_VALUE"""),"Efectivo USD")</f>
        <v>Efectivo USD</v>
      </c>
      <c r="F593" s="1" t="str">
        <f>IFERROR(__xludf.DUMMYFUNCTION("""COMPUTED_VALUE"""),"Repuestos Guia Dios Nuestro Camino,c.a.")</f>
        <v>Repuestos Guia Dios Nuestro Camino,c.a.</v>
      </c>
      <c r="G593" s="70">
        <f>IFERROR(__xludf.DUMMYFUNCTION("""COMPUTED_VALUE"""),602.3324)</f>
        <v>602.3324</v>
      </c>
      <c r="H593" s="1"/>
      <c r="I593" s="71">
        <f>IFERROR(__xludf.DUMMYFUNCTION("""COMPUTED_VALUE"""),15.0)</f>
        <v>15</v>
      </c>
      <c r="J593" s="69">
        <f>IFERROR(__xludf.DUMMYFUNCTION("""COMPUTED_VALUE"""),15.0)</f>
        <v>15</v>
      </c>
      <c r="K593" s="4">
        <f>IFERROR(__xludf.DUMMYFUNCTION("""COMPUTED_VALUE"""),15.0)</f>
        <v>15</v>
      </c>
      <c r="N593" s="67"/>
      <c r="R593" s="4"/>
    </row>
    <row r="594">
      <c r="A594" s="66">
        <f>IFERROR(__xludf.DUMMYFUNCTION("""COMPUTED_VALUE"""),46191.0)</f>
        <v>46191</v>
      </c>
      <c r="B594" s="67">
        <f>IFERROR(__xludf.DUMMYFUNCTION("""COMPUTED_VALUE"""),264.0)</f>
        <v>264</v>
      </c>
      <c r="C594" s="69">
        <f>IFERROR(__xludf.DUMMYFUNCTION("""COMPUTED_VALUE"""),20.0)</f>
        <v>20</v>
      </c>
      <c r="D594" s="1" t="str">
        <f>IFERROR(__xludf.DUMMYFUNCTION("""COMPUTED_VALUE"""),"USD")</f>
        <v>USD</v>
      </c>
      <c r="E594" s="1" t="str">
        <f>IFERROR(__xludf.DUMMYFUNCTION("""COMPUTED_VALUE"""),"Efectivo USD")</f>
        <v>Efectivo USD</v>
      </c>
      <c r="F594" s="1" t="str">
        <f>IFERROR(__xludf.DUMMYFUNCTION("""COMPUTED_VALUE"""),"Inversiones Los compadres 7686, c.a.")</f>
        <v>Inversiones Los compadres 7686, c.a.</v>
      </c>
      <c r="G594" s="70">
        <f>IFERROR(__xludf.DUMMYFUNCTION("""COMPUTED_VALUE"""),602.3324)</f>
        <v>602.3324</v>
      </c>
      <c r="H594" s="1"/>
      <c r="I594" s="71">
        <f>IFERROR(__xludf.DUMMYFUNCTION("""COMPUTED_VALUE"""),20.0)</f>
        <v>20</v>
      </c>
      <c r="J594" s="69">
        <f>IFERROR(__xludf.DUMMYFUNCTION("""COMPUTED_VALUE"""),20.0)</f>
        <v>20</v>
      </c>
      <c r="K594" s="4">
        <f>IFERROR(__xludf.DUMMYFUNCTION("""COMPUTED_VALUE"""),20.0)</f>
        <v>20</v>
      </c>
      <c r="N594" s="67"/>
      <c r="R594" s="4"/>
    </row>
    <row r="595">
      <c r="A595" s="66">
        <f>IFERROR(__xludf.DUMMYFUNCTION("""COMPUTED_VALUE"""),46191.0)</f>
        <v>46191</v>
      </c>
      <c r="B595" s="67">
        <f>IFERROR(__xludf.DUMMYFUNCTION("""COMPUTED_VALUE"""),475.0)</f>
        <v>475</v>
      </c>
      <c r="C595" s="69">
        <f>IFERROR(__xludf.DUMMYFUNCTION("""COMPUTED_VALUE"""),20.0)</f>
        <v>20</v>
      </c>
      <c r="D595" s="1" t="str">
        <f>IFERROR(__xludf.DUMMYFUNCTION("""COMPUTED_VALUE"""),"USD")</f>
        <v>USD</v>
      </c>
      <c r="E595" s="1" t="str">
        <f>IFERROR(__xludf.DUMMYFUNCTION("""COMPUTED_VALUE"""),"Efectivo USD")</f>
        <v>Efectivo USD</v>
      </c>
      <c r="F595" s="1" t="str">
        <f>IFERROR(__xludf.DUMMYFUNCTION("""COMPUTED_VALUE"""),"Emprendimiento Eduardo Pérez 6")</f>
        <v>Emprendimiento Eduardo Pérez 6</v>
      </c>
      <c r="G595" s="70">
        <f>IFERROR(__xludf.DUMMYFUNCTION("""COMPUTED_VALUE"""),602.3324)</f>
        <v>602.3324</v>
      </c>
      <c r="H595" s="1"/>
      <c r="I595" s="71">
        <f>IFERROR(__xludf.DUMMYFUNCTION("""COMPUTED_VALUE"""),20.0)</f>
        <v>20</v>
      </c>
      <c r="J595" s="69">
        <f>IFERROR(__xludf.DUMMYFUNCTION("""COMPUTED_VALUE"""),20.0)</f>
        <v>20</v>
      </c>
      <c r="K595" s="4">
        <f>IFERROR(__xludf.DUMMYFUNCTION("""COMPUTED_VALUE"""),20.0)</f>
        <v>20</v>
      </c>
      <c r="N595" s="67"/>
      <c r="R595" s="4"/>
    </row>
    <row r="596">
      <c r="A596" s="66">
        <f>IFERROR(__xludf.DUMMYFUNCTION("""COMPUTED_VALUE"""),46191.0)</f>
        <v>46191</v>
      </c>
      <c r="B596" s="67">
        <f>IFERROR(__xludf.DUMMYFUNCTION("""COMPUTED_VALUE"""),36.0)</f>
        <v>36</v>
      </c>
      <c r="C596" s="69">
        <f>IFERROR(__xludf.DUMMYFUNCTION("""COMPUTED_VALUE"""),27928.95)</f>
        <v>27928.95</v>
      </c>
      <c r="D596" s="1" t="str">
        <f>IFERROR(__xludf.DUMMYFUNCTION("""COMPUTED_VALUE"""),"VES")</f>
        <v>VES</v>
      </c>
      <c r="E596" s="1" t="str">
        <f>IFERROR(__xludf.DUMMYFUNCTION("""COMPUTED_VALUE"""),"Bancamiga")</f>
        <v>Bancamiga</v>
      </c>
      <c r="F596" s="1" t="str">
        <f>IFERROR(__xludf.DUMMYFUNCTION("""COMPUTED_VALUE"""),"inversiones El Gran Charles C.A")</f>
        <v>inversiones El Gran Charles C.A</v>
      </c>
      <c r="G596" s="70">
        <f>IFERROR(__xludf.DUMMYFUNCTION("""COMPUTED_VALUE"""),602.3324)</f>
        <v>602.3324</v>
      </c>
      <c r="H596" s="1"/>
      <c r="I596" s="71">
        <f>IFERROR(__xludf.DUMMYFUNCTION("""COMPUTED_VALUE"""),46.36800211975979)</f>
        <v>46.36800212</v>
      </c>
      <c r="J596" s="69">
        <f>IFERROR(__xludf.DUMMYFUNCTION("""COMPUTED_VALUE"""),0.0)</f>
        <v>0</v>
      </c>
      <c r="K596" s="4">
        <f>IFERROR(__xludf.DUMMYFUNCTION("""COMPUTED_VALUE"""),46.36800211975979)</f>
        <v>46.36800212</v>
      </c>
      <c r="N596" s="67"/>
      <c r="R596" s="4"/>
    </row>
    <row r="597">
      <c r="A597" s="66">
        <f>IFERROR(__xludf.DUMMYFUNCTION("""COMPUTED_VALUE"""),46192.0)</f>
        <v>46192</v>
      </c>
      <c r="B597" s="67">
        <f>IFERROR(__xludf.DUMMYFUNCTION("""COMPUTED_VALUE"""),209.0)</f>
        <v>209</v>
      </c>
      <c r="C597" s="69">
        <f>IFERROR(__xludf.DUMMYFUNCTION("""COMPUTED_VALUE"""),50.0)</f>
        <v>50</v>
      </c>
      <c r="D597" s="1" t="str">
        <f>IFERROR(__xludf.DUMMYFUNCTION("""COMPUTED_VALUE"""),"USD")</f>
        <v>USD</v>
      </c>
      <c r="E597" s="1" t="str">
        <f>IFERROR(__xludf.DUMMYFUNCTION("""COMPUTED_VALUE"""),"Efectivo USD")</f>
        <v>Efectivo USD</v>
      </c>
      <c r="F597" s="1" t="str">
        <f>IFERROR(__xludf.DUMMYFUNCTION("""COMPUTED_VALUE"""),"Inversiones Mirelkys C.A")</f>
        <v>Inversiones Mirelkys C.A</v>
      </c>
      <c r="G597" s="70">
        <f>IFERROR(__xludf.DUMMYFUNCTION("""COMPUTED_VALUE"""),607.3919)</f>
        <v>607.3919</v>
      </c>
      <c r="H597" s="1"/>
      <c r="I597" s="71">
        <f>IFERROR(__xludf.DUMMYFUNCTION("""COMPUTED_VALUE"""),50.0)</f>
        <v>50</v>
      </c>
      <c r="J597" s="69">
        <f>IFERROR(__xludf.DUMMYFUNCTION("""COMPUTED_VALUE"""),50.0)</f>
        <v>50</v>
      </c>
      <c r="K597" s="4">
        <f>IFERROR(__xludf.DUMMYFUNCTION("""COMPUTED_VALUE"""),50.0)</f>
        <v>50</v>
      </c>
      <c r="N597" s="67"/>
      <c r="R597" s="4"/>
    </row>
    <row r="598">
      <c r="A598" s="66">
        <f>IFERROR(__xludf.DUMMYFUNCTION("""COMPUTED_VALUE"""),46192.0)</f>
        <v>46192</v>
      </c>
      <c r="B598" s="67">
        <f>IFERROR(__xludf.DUMMYFUNCTION("""COMPUTED_VALUE"""),44.0)</f>
        <v>44</v>
      </c>
      <c r="C598" s="69">
        <f>IFERROR(__xludf.DUMMYFUNCTION("""COMPUTED_VALUE"""),100.0)</f>
        <v>100</v>
      </c>
      <c r="D598" s="1" t="str">
        <f>IFERROR(__xludf.DUMMYFUNCTION("""COMPUTED_VALUE"""),"USD")</f>
        <v>USD</v>
      </c>
      <c r="E598" s="1" t="str">
        <f>IFERROR(__xludf.DUMMYFUNCTION("""COMPUTED_VALUE"""),"Efectivo USD")</f>
        <v>Efectivo USD</v>
      </c>
      <c r="F598" s="1" t="str">
        <f>IFERROR(__xludf.DUMMYFUNCTION("""COMPUTED_VALUE"""),"Comercializadora Garabote")</f>
        <v>Comercializadora Garabote</v>
      </c>
      <c r="G598" s="70">
        <f>IFERROR(__xludf.DUMMYFUNCTION("""COMPUTED_VALUE"""),607.3919)</f>
        <v>607.3919</v>
      </c>
      <c r="H598" s="1"/>
      <c r="I598" s="71">
        <f>IFERROR(__xludf.DUMMYFUNCTION("""COMPUTED_VALUE"""),100.0)</f>
        <v>100</v>
      </c>
      <c r="J598" s="69">
        <f>IFERROR(__xludf.DUMMYFUNCTION("""COMPUTED_VALUE"""),100.0)</f>
        <v>100</v>
      </c>
      <c r="K598" s="4">
        <f>IFERROR(__xludf.DUMMYFUNCTION("""COMPUTED_VALUE"""),100.0)</f>
        <v>100</v>
      </c>
      <c r="N598" s="67"/>
      <c r="R598" s="4"/>
    </row>
    <row r="599">
      <c r="A599" s="66">
        <f>IFERROR(__xludf.DUMMYFUNCTION("""COMPUTED_VALUE"""),46192.0)</f>
        <v>46192</v>
      </c>
      <c r="B599" s="67">
        <f>IFERROR(__xludf.DUMMYFUNCTION("""COMPUTED_VALUE"""),27.0)</f>
        <v>27</v>
      </c>
      <c r="C599" s="69">
        <f>IFERROR(__xludf.DUMMYFUNCTION("""COMPUTED_VALUE"""),20.0)</f>
        <v>20</v>
      </c>
      <c r="D599" s="1" t="str">
        <f>IFERROR(__xludf.DUMMYFUNCTION("""COMPUTED_VALUE"""),"USD")</f>
        <v>USD</v>
      </c>
      <c r="E599" s="1" t="str">
        <f>IFERROR(__xludf.DUMMYFUNCTION("""COMPUTED_VALUE"""),"Efectivo USD")</f>
        <v>Efectivo USD</v>
      </c>
      <c r="F599" s="1" t="str">
        <f>IFERROR(__xludf.DUMMYFUNCTION("""COMPUTED_VALUE"""),"Moises Alejandro Mares")</f>
        <v>Moises Alejandro Mares</v>
      </c>
      <c r="G599" s="70">
        <f>IFERROR(__xludf.DUMMYFUNCTION("""COMPUTED_VALUE"""),607.3919)</f>
        <v>607.3919</v>
      </c>
      <c r="H599" s="1"/>
      <c r="I599" s="71">
        <f>IFERROR(__xludf.DUMMYFUNCTION("""COMPUTED_VALUE"""),20.0)</f>
        <v>20</v>
      </c>
      <c r="J599" s="69">
        <f>IFERROR(__xludf.DUMMYFUNCTION("""COMPUTED_VALUE"""),20.0)</f>
        <v>20</v>
      </c>
      <c r="K599" s="4">
        <f>IFERROR(__xludf.DUMMYFUNCTION("""COMPUTED_VALUE"""),20.0)</f>
        <v>20</v>
      </c>
      <c r="N599" s="67"/>
      <c r="R599" s="4"/>
    </row>
    <row r="600">
      <c r="A600" s="66">
        <f>IFERROR(__xludf.DUMMYFUNCTION("""COMPUTED_VALUE"""),46192.0)</f>
        <v>46192</v>
      </c>
      <c r="B600" s="67">
        <f>IFERROR(__xludf.DUMMYFUNCTION("""COMPUTED_VALUE"""),503.0)</f>
        <v>503</v>
      </c>
      <c r="C600" s="69">
        <f>IFERROR(__xludf.DUMMYFUNCTION("""COMPUTED_VALUE"""),61390.52)</f>
        <v>61390.52</v>
      </c>
      <c r="D600" s="1" t="str">
        <f>IFERROR(__xludf.DUMMYFUNCTION("""COMPUTED_VALUE"""),"VES")</f>
        <v>VES</v>
      </c>
      <c r="E600" s="1" t="str">
        <f>IFERROR(__xludf.DUMMYFUNCTION("""COMPUTED_VALUE"""),"Bancamiga")</f>
        <v>Bancamiga</v>
      </c>
      <c r="F600" s="1" t="str">
        <f>IFERROR(__xludf.DUMMYFUNCTION("""COMPUTED_VALUE"""),"Inversiones maxgad &amp; ef")</f>
        <v>Inversiones maxgad &amp; ef</v>
      </c>
      <c r="G600" s="70">
        <f>IFERROR(__xludf.DUMMYFUNCTION("""COMPUTED_VALUE"""),607.33919)</f>
        <v>607.33919</v>
      </c>
      <c r="H600" s="1"/>
      <c r="I600" s="71">
        <f>IFERROR(__xludf.DUMMYFUNCTION("""COMPUTED_VALUE"""),101.08111086985839)</f>
        <v>101.0811109</v>
      </c>
      <c r="J600" s="69">
        <f>IFERROR(__xludf.DUMMYFUNCTION("""COMPUTED_VALUE"""),0.0)</f>
        <v>0</v>
      </c>
      <c r="K600" s="4">
        <f>IFERROR(__xludf.DUMMYFUNCTION("""COMPUTED_VALUE"""),101.08111086985839)</f>
        <v>101.0811109</v>
      </c>
      <c r="N600" s="67"/>
      <c r="R600" s="4"/>
    </row>
    <row r="601">
      <c r="A601" s="66">
        <f>IFERROR(__xludf.DUMMYFUNCTION("""COMPUTED_VALUE"""),46192.0)</f>
        <v>46192</v>
      </c>
      <c r="B601" s="67">
        <f>IFERROR(__xludf.DUMMYFUNCTION("""COMPUTED_VALUE"""),429.0)</f>
        <v>429</v>
      </c>
      <c r="C601" s="69">
        <f>IFERROR(__xludf.DUMMYFUNCTION("""COMPUTED_VALUE"""),100.0)</f>
        <v>100</v>
      </c>
      <c r="D601" s="1" t="str">
        <f>IFERROR(__xludf.DUMMYFUNCTION("""COMPUTED_VALUE"""),"USD")</f>
        <v>USD</v>
      </c>
      <c r="E601" s="1" t="str">
        <f>IFERROR(__xludf.DUMMYFUNCTION("""COMPUTED_VALUE"""),"Efectivo USD")</f>
        <v>Efectivo USD</v>
      </c>
      <c r="F601" s="1" t="str">
        <f>IFERROR(__xludf.DUMMYFUNCTION("""COMPUTED_VALUE"""),"INVERSIONES SM 2191, C.A.")</f>
        <v>INVERSIONES SM 2191, C.A.</v>
      </c>
      <c r="G601" s="70">
        <f>IFERROR(__xludf.DUMMYFUNCTION("""COMPUTED_VALUE"""),607.3919)</f>
        <v>607.3919</v>
      </c>
      <c r="H601" s="1"/>
      <c r="I601" s="71">
        <f>IFERROR(__xludf.DUMMYFUNCTION("""COMPUTED_VALUE"""),100.0)</f>
        <v>100</v>
      </c>
      <c r="J601" s="69">
        <f>IFERROR(__xludf.DUMMYFUNCTION("""COMPUTED_VALUE"""),100.0)</f>
        <v>100</v>
      </c>
      <c r="K601" s="4">
        <f>IFERROR(__xludf.DUMMYFUNCTION("""COMPUTED_VALUE"""),100.0)</f>
        <v>100</v>
      </c>
      <c r="N601" s="67"/>
      <c r="R601" s="4"/>
    </row>
    <row r="602">
      <c r="A602" s="66">
        <f>IFERROR(__xludf.DUMMYFUNCTION("""COMPUTED_VALUE"""),46192.0)</f>
        <v>46192</v>
      </c>
      <c r="B602" s="67">
        <f>IFERROR(__xludf.DUMMYFUNCTION("""COMPUTED_VALUE"""),439.0)</f>
        <v>439</v>
      </c>
      <c r="C602" s="69">
        <f>IFERROR(__xludf.DUMMYFUNCTION("""COMPUTED_VALUE"""),40.0)</f>
        <v>40</v>
      </c>
      <c r="D602" s="1" t="str">
        <f>IFERROR(__xludf.DUMMYFUNCTION("""COMPUTED_VALUE"""),"USD")</f>
        <v>USD</v>
      </c>
      <c r="E602" s="1" t="str">
        <f>IFERROR(__xludf.DUMMYFUNCTION("""COMPUTED_VALUE"""),"Efectivo USD")</f>
        <v>Efectivo USD</v>
      </c>
      <c r="F602" s="1" t="str">
        <f>IFERROR(__xludf.DUMMYFUNCTION("""COMPUTED_VALUE"""),"MOTOREPUESTOS EL GUANÁBANO YRM C.A.")</f>
        <v>MOTOREPUESTOS EL GUANÁBANO YRM C.A.</v>
      </c>
      <c r="G602" s="70">
        <f>IFERROR(__xludf.DUMMYFUNCTION("""COMPUTED_VALUE"""),607.3919)</f>
        <v>607.3919</v>
      </c>
      <c r="H602" s="1"/>
      <c r="I602" s="71">
        <f>IFERROR(__xludf.DUMMYFUNCTION("""COMPUTED_VALUE"""),40.0)</f>
        <v>40</v>
      </c>
      <c r="J602" s="69">
        <f>IFERROR(__xludf.DUMMYFUNCTION("""COMPUTED_VALUE"""),40.0)</f>
        <v>40</v>
      </c>
      <c r="K602" s="4">
        <f>IFERROR(__xludf.DUMMYFUNCTION("""COMPUTED_VALUE"""),40.0)</f>
        <v>40</v>
      </c>
      <c r="N602" s="67"/>
      <c r="R602" s="4"/>
    </row>
    <row r="603">
      <c r="A603" s="66">
        <f>IFERROR(__xludf.DUMMYFUNCTION("""COMPUTED_VALUE"""),46190.0)</f>
        <v>46190</v>
      </c>
      <c r="B603" s="67">
        <f>IFERROR(__xludf.DUMMYFUNCTION("""COMPUTED_VALUE"""),489.0)</f>
        <v>489</v>
      </c>
      <c r="C603" s="69">
        <f>IFERROR(__xludf.DUMMYFUNCTION("""COMPUTED_VALUE"""),265346.29)</f>
        <v>265346.29</v>
      </c>
      <c r="D603" s="1" t="str">
        <f>IFERROR(__xludf.DUMMYFUNCTION("""COMPUTED_VALUE"""),"VES")</f>
        <v>VES</v>
      </c>
      <c r="E603" s="1" t="str">
        <f>IFERROR(__xludf.DUMMYFUNCTION("""COMPUTED_VALUE"""),"Bancamiga")</f>
        <v>Bancamiga</v>
      </c>
      <c r="F603" s="1" t="str">
        <f>IFERROR(__xludf.DUMMYFUNCTION("""COMPUTED_VALUE"""),"Cauchera El Gordo 0410,c.a.")</f>
        <v>Cauchera El Gordo 0410,c.a.</v>
      </c>
      <c r="G603" s="70">
        <f>IFERROR(__xludf.DUMMYFUNCTION("""COMPUTED_VALUE"""),596.7824)</f>
        <v>596.7824</v>
      </c>
      <c r="H603" s="1"/>
      <c r="I603" s="71">
        <f>IFERROR(__xludf.DUMMYFUNCTION("""COMPUTED_VALUE"""),444.62820954505355)</f>
        <v>444.6282095</v>
      </c>
      <c r="J603" s="69">
        <f>IFERROR(__xludf.DUMMYFUNCTION("""COMPUTED_VALUE"""),0.0)</f>
        <v>0</v>
      </c>
      <c r="K603" s="4">
        <f>IFERROR(__xludf.DUMMYFUNCTION("""COMPUTED_VALUE"""),444.62820954505355)</f>
        <v>444.6282095</v>
      </c>
      <c r="N603" s="67"/>
      <c r="R603" s="4"/>
    </row>
    <row r="604">
      <c r="A604" s="66">
        <f>IFERROR(__xludf.DUMMYFUNCTION("""COMPUTED_VALUE"""),46192.0)</f>
        <v>46192</v>
      </c>
      <c r="B604" s="67">
        <f>IFERROR(__xludf.DUMMYFUNCTION("""COMPUTED_VALUE"""),380.0)</f>
        <v>380</v>
      </c>
      <c r="C604" s="69">
        <f>IFERROR(__xludf.DUMMYFUNCTION("""COMPUTED_VALUE"""),39.0)</f>
        <v>39</v>
      </c>
      <c r="D604" s="1" t="str">
        <f>IFERROR(__xludf.DUMMYFUNCTION("""COMPUTED_VALUE"""),"USD")</f>
        <v>USD</v>
      </c>
      <c r="E604" s="1" t="str">
        <f>IFERROR(__xludf.DUMMYFUNCTION("""COMPUTED_VALUE"""),"Efectivo USD")</f>
        <v>Efectivo USD</v>
      </c>
      <c r="F604" s="1" t="str">
        <f>IFERROR(__xludf.DUMMYFUNCTION("""COMPUTED_VALUE"""),"Junior Marco Antonio Vivas Navas")</f>
        <v>Junior Marco Antonio Vivas Navas</v>
      </c>
      <c r="G604" s="70">
        <f>IFERROR(__xludf.DUMMYFUNCTION("""COMPUTED_VALUE"""),607.3919)</f>
        <v>607.3919</v>
      </c>
      <c r="H604" s="1"/>
      <c r="I604" s="71">
        <f>IFERROR(__xludf.DUMMYFUNCTION("""COMPUTED_VALUE"""),39.0)</f>
        <v>39</v>
      </c>
      <c r="J604" s="69">
        <f>IFERROR(__xludf.DUMMYFUNCTION("""COMPUTED_VALUE"""),39.0)</f>
        <v>39</v>
      </c>
      <c r="K604" s="4">
        <f>IFERROR(__xludf.DUMMYFUNCTION("""COMPUTED_VALUE"""),39.0)</f>
        <v>39</v>
      </c>
      <c r="N604" s="67"/>
      <c r="R604" s="4"/>
    </row>
    <row r="605">
      <c r="A605" s="66">
        <f>IFERROR(__xludf.DUMMYFUNCTION("""COMPUTED_VALUE"""),46192.0)</f>
        <v>46192</v>
      </c>
      <c r="B605" s="67">
        <f>IFERROR(__xludf.DUMMYFUNCTION("""COMPUTED_VALUE"""),133.0)</f>
        <v>133</v>
      </c>
      <c r="C605" s="69">
        <f>IFERROR(__xludf.DUMMYFUNCTION("""COMPUTED_VALUE"""),500.0)</f>
        <v>500</v>
      </c>
      <c r="D605" s="1" t="str">
        <f>IFERROR(__xludf.DUMMYFUNCTION("""COMPUTED_VALUE"""),"USD")</f>
        <v>USD</v>
      </c>
      <c r="E605" s="1" t="str">
        <f>IFERROR(__xludf.DUMMYFUNCTION("""COMPUTED_VALUE"""),"Efectivo USD")</f>
        <v>Efectivo USD</v>
      </c>
      <c r="F605" s="1" t="str">
        <f>IFERROR(__xludf.DUMMYFUNCTION("""COMPUTED_VALUE"""),"Inversiones La Bendición del Nazareno, C.A")</f>
        <v>Inversiones La Bendición del Nazareno, C.A</v>
      </c>
      <c r="G605" s="70">
        <f>IFERROR(__xludf.DUMMYFUNCTION("""COMPUTED_VALUE"""),607.3919)</f>
        <v>607.3919</v>
      </c>
      <c r="H605" s="1"/>
      <c r="I605" s="71">
        <f>IFERROR(__xludf.DUMMYFUNCTION("""COMPUTED_VALUE"""),500.0)</f>
        <v>500</v>
      </c>
      <c r="J605" s="69">
        <f>IFERROR(__xludf.DUMMYFUNCTION("""COMPUTED_VALUE"""),500.0)</f>
        <v>500</v>
      </c>
      <c r="K605" s="4">
        <f>IFERROR(__xludf.DUMMYFUNCTION("""COMPUTED_VALUE"""),500.0)</f>
        <v>500</v>
      </c>
      <c r="N605" s="67"/>
      <c r="R605" s="4"/>
    </row>
    <row r="606">
      <c r="A606" s="66">
        <f>IFERROR(__xludf.DUMMYFUNCTION("""COMPUTED_VALUE"""),46192.0)</f>
        <v>46192</v>
      </c>
      <c r="B606" s="67">
        <f>IFERROR(__xludf.DUMMYFUNCTION("""COMPUTED_VALUE"""),129.0)</f>
        <v>129</v>
      </c>
      <c r="C606" s="69">
        <f>IFERROR(__xludf.DUMMYFUNCTION("""COMPUTED_VALUE"""),80.0)</f>
        <v>80</v>
      </c>
      <c r="D606" s="1" t="str">
        <f>IFERROR(__xludf.DUMMYFUNCTION("""COMPUTED_VALUE"""),"USD")</f>
        <v>USD</v>
      </c>
      <c r="E606" s="1" t="str">
        <f>IFERROR(__xludf.DUMMYFUNCTION("""COMPUTED_VALUE"""),"Efectivo USD")</f>
        <v>Efectivo USD</v>
      </c>
      <c r="F606" s="1" t="str">
        <f>IFERROR(__xludf.DUMMYFUNCTION("""COMPUTED_VALUE"""),"Emprendimiento Jordy Valencia")</f>
        <v>Emprendimiento Jordy Valencia</v>
      </c>
      <c r="G606" s="70">
        <f>IFERROR(__xludf.DUMMYFUNCTION("""COMPUTED_VALUE"""),607.3919)</f>
        <v>607.3919</v>
      </c>
      <c r="H606" s="1"/>
      <c r="I606" s="71">
        <f>IFERROR(__xludf.DUMMYFUNCTION("""COMPUTED_VALUE"""),80.0)</f>
        <v>80</v>
      </c>
      <c r="J606" s="69">
        <f>IFERROR(__xludf.DUMMYFUNCTION("""COMPUTED_VALUE"""),80.0)</f>
        <v>80</v>
      </c>
      <c r="K606" s="4">
        <f>IFERROR(__xludf.DUMMYFUNCTION("""COMPUTED_VALUE"""),80.0)</f>
        <v>80</v>
      </c>
      <c r="N606" s="67"/>
      <c r="R606" s="4"/>
    </row>
    <row r="607">
      <c r="A607" s="66">
        <f>IFERROR(__xludf.DUMMYFUNCTION("""COMPUTED_VALUE"""),46192.0)</f>
        <v>46192</v>
      </c>
      <c r="B607" s="67">
        <f>IFERROR(__xludf.DUMMYFUNCTION("""COMPUTED_VALUE"""),542.0)</f>
        <v>542</v>
      </c>
      <c r="C607" s="69">
        <f>IFERROR(__xludf.DUMMYFUNCTION("""COMPUTED_VALUE"""),700.0)</f>
        <v>700</v>
      </c>
      <c r="D607" s="1" t="str">
        <f>IFERROR(__xludf.DUMMYFUNCTION("""COMPUTED_VALUE"""),"USD")</f>
        <v>USD</v>
      </c>
      <c r="E607" s="1" t="str">
        <f>IFERROR(__xludf.DUMMYFUNCTION("""COMPUTED_VALUE"""),"Efectivo USD")</f>
        <v>Efectivo USD</v>
      </c>
      <c r="F607" s="1" t="str">
        <f>IFERROR(__xludf.DUMMYFUNCTION("""COMPUTED_VALUE"""),"Alexander Quiroz")</f>
        <v>Alexander Quiroz</v>
      </c>
      <c r="G607" s="70">
        <f>IFERROR(__xludf.DUMMYFUNCTION("""COMPUTED_VALUE"""),607.3919)</f>
        <v>607.3919</v>
      </c>
      <c r="H607" s="1"/>
      <c r="I607" s="71">
        <f>IFERROR(__xludf.DUMMYFUNCTION("""COMPUTED_VALUE"""),700.0)</f>
        <v>700</v>
      </c>
      <c r="J607" s="69">
        <f>IFERROR(__xludf.DUMMYFUNCTION("""COMPUTED_VALUE"""),700.0)</f>
        <v>700</v>
      </c>
      <c r="K607" s="4">
        <f>IFERROR(__xludf.DUMMYFUNCTION("""COMPUTED_VALUE"""),700.0)</f>
        <v>700</v>
      </c>
      <c r="N607" s="67"/>
      <c r="R607" s="4"/>
    </row>
    <row r="608">
      <c r="A608" s="66">
        <f>IFERROR(__xludf.DUMMYFUNCTION("""COMPUTED_VALUE"""),46192.0)</f>
        <v>46192</v>
      </c>
      <c r="B608" s="67">
        <f>IFERROR(__xludf.DUMMYFUNCTION("""COMPUTED_VALUE"""),585.0)</f>
        <v>585</v>
      </c>
      <c r="C608" s="69">
        <f>IFERROR(__xludf.DUMMYFUNCTION("""COMPUTED_VALUE"""),390.0)</f>
        <v>390</v>
      </c>
      <c r="D608" s="1" t="str">
        <f>IFERROR(__xludf.DUMMYFUNCTION("""COMPUTED_VALUE"""),"USD")</f>
        <v>USD</v>
      </c>
      <c r="E608" s="1" t="str">
        <f>IFERROR(__xludf.DUMMYFUNCTION("""COMPUTED_VALUE"""),"Efectivo USD")</f>
        <v>Efectivo USD</v>
      </c>
      <c r="F608" s="1" t="str">
        <f>IFERROR(__xludf.DUMMYFUNCTION("""COMPUTED_VALUE"""),"E&amp;M CAR SHOP C.A")</f>
        <v>E&amp;M CAR SHOP C.A</v>
      </c>
      <c r="G608" s="70">
        <f>IFERROR(__xludf.DUMMYFUNCTION("""COMPUTED_VALUE"""),607.3919)</f>
        <v>607.3919</v>
      </c>
      <c r="H608" s="1"/>
      <c r="I608" s="71">
        <f>IFERROR(__xludf.DUMMYFUNCTION("""COMPUTED_VALUE"""),390.0)</f>
        <v>390</v>
      </c>
      <c r="J608" s="69">
        <f>IFERROR(__xludf.DUMMYFUNCTION("""COMPUTED_VALUE"""),390.0)</f>
        <v>390</v>
      </c>
      <c r="K608" s="4">
        <f>IFERROR(__xludf.DUMMYFUNCTION("""COMPUTED_VALUE"""),390.0)</f>
        <v>390</v>
      </c>
      <c r="N608" s="67"/>
      <c r="R608" s="4"/>
    </row>
    <row r="609">
      <c r="A609" s="66">
        <f>IFERROR(__xludf.DUMMYFUNCTION("""COMPUTED_VALUE"""),46195.0)</f>
        <v>46195</v>
      </c>
      <c r="B609" s="67">
        <f>IFERROR(__xludf.DUMMYFUNCTION("""COMPUTED_VALUE"""),472.0)</f>
        <v>472</v>
      </c>
      <c r="C609" s="69">
        <f>IFERROR(__xludf.DUMMYFUNCTION("""COMPUTED_VALUE"""),240537.0)</f>
        <v>240537</v>
      </c>
      <c r="D609" s="1" t="str">
        <f>IFERROR(__xludf.DUMMYFUNCTION("""COMPUTED_VALUE"""),"VES")</f>
        <v>VES</v>
      </c>
      <c r="E609" s="1" t="str">
        <f>IFERROR(__xludf.DUMMYFUNCTION("""COMPUTED_VALUE"""),"Bancamiga")</f>
        <v>Bancamiga</v>
      </c>
      <c r="F609" s="1" t="str">
        <f>IFERROR(__xludf.DUMMYFUNCTION("""COMPUTED_VALUE"""),"Antonio Terán")</f>
        <v>Antonio Terán</v>
      </c>
      <c r="G609" s="70">
        <f>IFERROR(__xludf.DUMMYFUNCTION("""COMPUTED_VALUE"""),612.4332)</f>
        <v>612.4332</v>
      </c>
      <c r="H609" s="1"/>
      <c r="I609" s="71">
        <f>IFERROR(__xludf.DUMMYFUNCTION("""COMPUTED_VALUE"""),392.75630387118133)</f>
        <v>392.7563039</v>
      </c>
      <c r="J609" s="69">
        <f>IFERROR(__xludf.DUMMYFUNCTION("""COMPUTED_VALUE"""),0.0)</f>
        <v>0</v>
      </c>
      <c r="K609" s="4">
        <f>IFERROR(__xludf.DUMMYFUNCTION("""COMPUTED_VALUE"""),392.75630387118133)</f>
        <v>392.7563039</v>
      </c>
      <c r="N609" s="67"/>
      <c r="R609" s="4"/>
    </row>
    <row r="610">
      <c r="A610" s="66">
        <f>IFERROR(__xludf.DUMMYFUNCTION("""COMPUTED_VALUE"""),46195.0)</f>
        <v>46195</v>
      </c>
      <c r="B610" s="67">
        <f>IFERROR(__xludf.DUMMYFUNCTION("""COMPUTED_VALUE"""),373.0)</f>
        <v>373</v>
      </c>
      <c r="C610" s="69">
        <f>IFERROR(__xludf.DUMMYFUNCTION("""COMPUTED_VALUE"""),20.0)</f>
        <v>20</v>
      </c>
      <c r="D610" s="1" t="str">
        <f>IFERROR(__xludf.DUMMYFUNCTION("""COMPUTED_VALUE"""),"USD")</f>
        <v>USD</v>
      </c>
      <c r="E610" s="1" t="str">
        <f>IFERROR(__xludf.DUMMYFUNCTION("""COMPUTED_VALUE"""),"Efectivo USD")</f>
        <v>Efectivo USD</v>
      </c>
      <c r="F610" s="1" t="str">
        <f>IFERROR(__xludf.DUMMYFUNCTION("""COMPUTED_VALUE"""),"INVERSIONES DA &amp; JE,")</f>
        <v>INVERSIONES DA &amp; JE,</v>
      </c>
      <c r="G610" s="70">
        <f>IFERROR(__xludf.DUMMYFUNCTION("""COMPUTED_VALUE"""),612.4332)</f>
        <v>612.4332</v>
      </c>
      <c r="H610" s="1"/>
      <c r="I610" s="71">
        <f>IFERROR(__xludf.DUMMYFUNCTION("""COMPUTED_VALUE"""),20.0)</f>
        <v>20</v>
      </c>
      <c r="J610" s="69">
        <f>IFERROR(__xludf.DUMMYFUNCTION("""COMPUTED_VALUE"""),20.0)</f>
        <v>20</v>
      </c>
      <c r="K610" s="4">
        <f>IFERROR(__xludf.DUMMYFUNCTION("""COMPUTED_VALUE"""),20.0)</f>
        <v>20</v>
      </c>
      <c r="N610" s="67"/>
      <c r="R610" s="4"/>
    </row>
    <row r="611">
      <c r="A611" s="66">
        <f>IFERROR(__xludf.DUMMYFUNCTION("""COMPUTED_VALUE"""),46195.0)</f>
        <v>46195</v>
      </c>
      <c r="B611" s="67">
        <f>IFERROR(__xludf.DUMMYFUNCTION("""COMPUTED_VALUE"""),492.0)</f>
        <v>492</v>
      </c>
      <c r="C611" s="69">
        <f>IFERROR(__xludf.DUMMYFUNCTION("""COMPUTED_VALUE"""),73.0)</f>
        <v>73</v>
      </c>
      <c r="D611" s="1" t="str">
        <f>IFERROR(__xludf.DUMMYFUNCTION("""COMPUTED_VALUE"""),"USD")</f>
        <v>USD</v>
      </c>
      <c r="E611" s="1" t="str">
        <f>IFERROR(__xludf.DUMMYFUNCTION("""COMPUTED_VALUE"""),"Efectivo USD")</f>
        <v>Efectivo USD</v>
      </c>
      <c r="F611" s="1" t="str">
        <f>IFERROR(__xludf.DUMMYFUNCTION("""COMPUTED_VALUE"""),"Luis Eduardo Piñero Calcurian")</f>
        <v>Luis Eduardo Piñero Calcurian</v>
      </c>
      <c r="G611" s="70">
        <f>IFERROR(__xludf.DUMMYFUNCTION("""COMPUTED_VALUE"""),612.4332)</f>
        <v>612.4332</v>
      </c>
      <c r="H611" s="1"/>
      <c r="I611" s="71">
        <f>IFERROR(__xludf.DUMMYFUNCTION("""COMPUTED_VALUE"""),73.0)</f>
        <v>73</v>
      </c>
      <c r="J611" s="69">
        <f>IFERROR(__xludf.DUMMYFUNCTION("""COMPUTED_VALUE"""),73.0)</f>
        <v>73</v>
      </c>
      <c r="K611" s="4">
        <f>IFERROR(__xludf.DUMMYFUNCTION("""COMPUTED_VALUE"""),73.0)</f>
        <v>73</v>
      </c>
      <c r="N611" s="67"/>
      <c r="R611" s="4"/>
    </row>
    <row r="612">
      <c r="A612" s="66">
        <f>IFERROR(__xludf.DUMMYFUNCTION("""COMPUTED_VALUE"""),46195.0)</f>
        <v>46195</v>
      </c>
      <c r="B612" s="67">
        <f>IFERROR(__xludf.DUMMYFUNCTION("""COMPUTED_VALUE"""),244.0)</f>
        <v>244</v>
      </c>
      <c r="C612" s="69">
        <f>IFERROR(__xludf.DUMMYFUNCTION("""COMPUTED_VALUE"""),100.0)</f>
        <v>100</v>
      </c>
      <c r="D612" s="1" t="str">
        <f>IFERROR(__xludf.DUMMYFUNCTION("""COMPUTED_VALUE"""),"USD")</f>
        <v>USD</v>
      </c>
      <c r="E612" s="1" t="str">
        <f>IFERROR(__xludf.DUMMYFUNCTION("""COMPUTED_VALUE"""),"Efectivo USD")</f>
        <v>Efectivo USD</v>
      </c>
      <c r="F612" s="1" t="str">
        <f>IFERROR(__xludf.DUMMYFUNCTION("""COMPUTED_VALUE"""),"Lubricantes BK C.A")</f>
        <v>Lubricantes BK C.A</v>
      </c>
      <c r="G612" s="70">
        <f>IFERROR(__xludf.DUMMYFUNCTION("""COMPUTED_VALUE"""),612.4332)</f>
        <v>612.4332</v>
      </c>
      <c r="H612" s="1"/>
      <c r="I612" s="71">
        <f>IFERROR(__xludf.DUMMYFUNCTION("""COMPUTED_VALUE"""),100.0)</f>
        <v>100</v>
      </c>
      <c r="J612" s="69">
        <f>IFERROR(__xludf.DUMMYFUNCTION("""COMPUTED_VALUE"""),100.0)</f>
        <v>100</v>
      </c>
      <c r="K612" s="4">
        <f>IFERROR(__xludf.DUMMYFUNCTION("""COMPUTED_VALUE"""),100.0)</f>
        <v>100</v>
      </c>
      <c r="N612" s="67"/>
      <c r="R612" s="4"/>
    </row>
    <row r="613">
      <c r="A613" s="66">
        <f>IFERROR(__xludf.DUMMYFUNCTION("""COMPUTED_VALUE"""),46195.0)</f>
        <v>46195</v>
      </c>
      <c r="B613" s="67">
        <f>IFERROR(__xludf.DUMMYFUNCTION("""COMPUTED_VALUE"""),431.0)</f>
        <v>431</v>
      </c>
      <c r="C613" s="69">
        <f>IFERROR(__xludf.DUMMYFUNCTION("""COMPUTED_VALUE"""),167763.83)</f>
        <v>167763.83</v>
      </c>
      <c r="D613" s="1" t="str">
        <f>IFERROR(__xludf.DUMMYFUNCTION("""COMPUTED_VALUE"""),"VES")</f>
        <v>VES</v>
      </c>
      <c r="E613" s="1" t="str">
        <f>IFERROR(__xludf.DUMMYFUNCTION("""COMPUTED_VALUE"""),"Bancamiga")</f>
        <v>Bancamiga</v>
      </c>
      <c r="F613" s="1" t="str">
        <f>IFERROR(__xludf.DUMMYFUNCTION("""COMPUTED_VALUE"""),"Carlos Eduardo Ascension Matos")</f>
        <v>Carlos Eduardo Ascension Matos</v>
      </c>
      <c r="G613" s="70">
        <f>IFERROR(__xludf.DUMMYFUNCTION("""COMPUTED_VALUE"""),612.4332)</f>
        <v>612.4332</v>
      </c>
      <c r="H613" s="1"/>
      <c r="I613" s="71">
        <f>IFERROR(__xludf.DUMMYFUNCTION("""COMPUTED_VALUE"""),273.9300057540969)</f>
        <v>273.9300058</v>
      </c>
      <c r="J613" s="69">
        <f>IFERROR(__xludf.DUMMYFUNCTION("""COMPUTED_VALUE"""),0.0)</f>
        <v>0</v>
      </c>
      <c r="K613" s="4">
        <f>IFERROR(__xludf.DUMMYFUNCTION("""COMPUTED_VALUE"""),273.9300057540969)</f>
        <v>273.9300058</v>
      </c>
      <c r="N613" s="67"/>
      <c r="R613" s="4"/>
    </row>
    <row r="614">
      <c r="A614" s="66">
        <f>IFERROR(__xludf.DUMMYFUNCTION("""COMPUTED_VALUE"""),46195.0)</f>
        <v>46195</v>
      </c>
      <c r="B614" s="67">
        <f>IFERROR(__xludf.DUMMYFUNCTION("""COMPUTED_VALUE"""),283.0)</f>
        <v>283</v>
      </c>
      <c r="C614" s="69">
        <f>IFERROR(__xludf.DUMMYFUNCTION("""COMPUTED_VALUE"""),18372.9)</f>
        <v>18372.9</v>
      </c>
      <c r="D614" s="1" t="str">
        <f>IFERROR(__xludf.DUMMYFUNCTION("""COMPUTED_VALUE"""),"VES")</f>
        <v>VES</v>
      </c>
      <c r="E614" s="1" t="str">
        <f>IFERROR(__xludf.DUMMYFUNCTION("""COMPUTED_VALUE"""),"Bancamiga")</f>
        <v>Bancamiga</v>
      </c>
      <c r="F614" s="1" t="str">
        <f>IFERROR(__xludf.DUMMYFUNCTION("""COMPUTED_VALUE"""),"LA CASA DE LAS BATERIAS")</f>
        <v>LA CASA DE LAS BATERIAS</v>
      </c>
      <c r="G614" s="70">
        <f>IFERROR(__xludf.DUMMYFUNCTION("""COMPUTED_VALUE"""),612.4332)</f>
        <v>612.4332</v>
      </c>
      <c r="H614" s="1"/>
      <c r="I614" s="71">
        <f>IFERROR(__xludf.DUMMYFUNCTION("""COMPUTED_VALUE"""),29.99984324821058)</f>
        <v>29.99984325</v>
      </c>
      <c r="J614" s="69">
        <f>IFERROR(__xludf.DUMMYFUNCTION("""COMPUTED_VALUE"""),0.0)</f>
        <v>0</v>
      </c>
      <c r="K614" s="4">
        <f>IFERROR(__xludf.DUMMYFUNCTION("""COMPUTED_VALUE"""),29.99984324821058)</f>
        <v>29.99984325</v>
      </c>
      <c r="N614" s="67"/>
      <c r="R614" s="4"/>
    </row>
    <row r="615">
      <c r="A615" s="66">
        <f>IFERROR(__xludf.DUMMYFUNCTION("""COMPUTED_VALUE"""),46195.0)</f>
        <v>46195</v>
      </c>
      <c r="B615" s="67">
        <f>IFERROR(__xludf.DUMMYFUNCTION("""COMPUTED_VALUE"""),563.0)</f>
        <v>563</v>
      </c>
      <c r="C615" s="69">
        <f>IFERROR(__xludf.DUMMYFUNCTION("""COMPUTED_VALUE"""),100.0)</f>
        <v>100</v>
      </c>
      <c r="D615" s="1" t="str">
        <f>IFERROR(__xludf.DUMMYFUNCTION("""COMPUTED_VALUE"""),"USD")</f>
        <v>USD</v>
      </c>
      <c r="E615" s="1" t="str">
        <f>IFERROR(__xludf.DUMMYFUNCTION("""COMPUTED_VALUE"""),"Efectivo USD")</f>
        <v>Efectivo USD</v>
      </c>
      <c r="F615" s="1" t="str">
        <f>IFERROR(__xludf.DUMMYFUNCTION("""COMPUTED_VALUE"""),"Carlos Ruiz")</f>
        <v>Carlos Ruiz</v>
      </c>
      <c r="G615" s="70">
        <f>IFERROR(__xludf.DUMMYFUNCTION("""COMPUTED_VALUE"""),612.4332)</f>
        <v>612.4332</v>
      </c>
      <c r="H615" s="1"/>
      <c r="I615" s="71">
        <f>IFERROR(__xludf.DUMMYFUNCTION("""COMPUTED_VALUE"""),100.0)</f>
        <v>100</v>
      </c>
      <c r="J615" s="69">
        <f>IFERROR(__xludf.DUMMYFUNCTION("""COMPUTED_VALUE"""),100.0)</f>
        <v>100</v>
      </c>
      <c r="K615" s="4">
        <f>IFERROR(__xludf.DUMMYFUNCTION("""COMPUTED_VALUE"""),100.0)</f>
        <v>100</v>
      </c>
      <c r="N615" s="67"/>
      <c r="R615" s="4"/>
    </row>
    <row r="616">
      <c r="A616" s="66">
        <f>IFERROR(__xludf.DUMMYFUNCTION("""COMPUTED_VALUE"""),46195.0)</f>
        <v>46195</v>
      </c>
      <c r="B616" s="67">
        <f>IFERROR(__xludf.DUMMYFUNCTION("""COMPUTED_VALUE"""),563.0)</f>
        <v>563</v>
      </c>
      <c r="C616" s="69">
        <f>IFERROR(__xludf.DUMMYFUNCTION("""COMPUTED_VALUE"""),79600.0)</f>
        <v>79600</v>
      </c>
      <c r="D616" s="1" t="str">
        <f>IFERROR(__xludf.DUMMYFUNCTION("""COMPUTED_VALUE"""),"VES")</f>
        <v>VES</v>
      </c>
      <c r="E616" s="1" t="str">
        <f>IFERROR(__xludf.DUMMYFUNCTION("""COMPUTED_VALUE"""),"Bancamiga")</f>
        <v>Bancamiga</v>
      </c>
      <c r="F616" s="1" t="str">
        <f>IFERROR(__xludf.DUMMYFUNCTION("""COMPUTED_VALUE"""),"Carlos Ruiz")</f>
        <v>Carlos Ruiz</v>
      </c>
      <c r="G616" s="70">
        <f>IFERROR(__xludf.DUMMYFUNCTION("""COMPUTED_VALUE"""),612.4332)</f>
        <v>612.4332</v>
      </c>
      <c r="H616" s="1"/>
      <c r="I616" s="71">
        <f>IFERROR(__xludf.DUMMYFUNCTION("""COMPUTED_VALUE"""),129.9733587271232)</f>
        <v>129.9733587</v>
      </c>
      <c r="J616" s="69">
        <f>IFERROR(__xludf.DUMMYFUNCTION("""COMPUTED_VALUE"""),0.0)</f>
        <v>0</v>
      </c>
      <c r="K616" s="4">
        <f>IFERROR(__xludf.DUMMYFUNCTION("""COMPUTED_VALUE"""),129.9733587271232)</f>
        <v>129.9733587</v>
      </c>
      <c r="N616" s="67"/>
      <c r="R616" s="4"/>
    </row>
    <row r="617">
      <c r="A617" s="66">
        <f>IFERROR(__xludf.DUMMYFUNCTION("""COMPUTED_VALUE"""),46195.0)</f>
        <v>46195</v>
      </c>
      <c r="B617" s="67">
        <f>IFERROR(__xludf.DUMMYFUNCTION("""COMPUTED_VALUE"""),178.0)</f>
        <v>178</v>
      </c>
      <c r="C617" s="69">
        <f>IFERROR(__xludf.DUMMYFUNCTION("""COMPUTED_VALUE"""),45000.0)</f>
        <v>45000</v>
      </c>
      <c r="D617" s="1" t="str">
        <f>IFERROR(__xludf.DUMMYFUNCTION("""COMPUTED_VALUE"""),"VES")</f>
        <v>VES</v>
      </c>
      <c r="E617" s="1" t="str">
        <f>IFERROR(__xludf.DUMMYFUNCTION("""COMPUTED_VALUE"""),"Bancamiga")</f>
        <v>Bancamiga</v>
      </c>
      <c r="F617" s="1" t="str">
        <f>IFERROR(__xludf.DUMMYFUNCTION("""COMPUTED_VALUE"""),"Distribuidora Nesmari 2050 c.a")</f>
        <v>Distribuidora Nesmari 2050 c.a</v>
      </c>
      <c r="G617" s="70">
        <f>IFERROR(__xludf.DUMMYFUNCTION("""COMPUTED_VALUE"""),612.4332)</f>
        <v>612.4332</v>
      </c>
      <c r="H617" s="1"/>
      <c r="I617" s="71">
        <f>IFERROR(__xludf.DUMMYFUNCTION("""COMPUTED_VALUE"""),73.4774012904591)</f>
        <v>73.47740129</v>
      </c>
      <c r="J617" s="69">
        <f>IFERROR(__xludf.DUMMYFUNCTION("""COMPUTED_VALUE"""),0.0)</f>
        <v>0</v>
      </c>
      <c r="K617" s="4">
        <f>IFERROR(__xludf.DUMMYFUNCTION("""COMPUTED_VALUE"""),73.4774012904591)</f>
        <v>73.47740129</v>
      </c>
      <c r="N617" s="67"/>
      <c r="R617" s="4"/>
    </row>
    <row r="618">
      <c r="A618" s="66">
        <f>IFERROR(__xludf.DUMMYFUNCTION("""COMPUTED_VALUE"""),46196.0)</f>
        <v>46196</v>
      </c>
      <c r="B618" s="67">
        <f>IFERROR(__xludf.DUMMYFUNCTION("""COMPUTED_VALUE"""),78.0)</f>
        <v>78</v>
      </c>
      <c r="C618" s="69">
        <f>IFERROR(__xludf.DUMMYFUNCTION("""COMPUTED_VALUE"""),24500.0)</f>
        <v>24500</v>
      </c>
      <c r="D618" s="1" t="str">
        <f>IFERROR(__xludf.DUMMYFUNCTION("""COMPUTED_VALUE"""),"VES")</f>
        <v>VES</v>
      </c>
      <c r="E618" s="1" t="str">
        <f>IFERROR(__xludf.DUMMYFUNCTION("""COMPUTED_VALUE"""),"Bancamiga")</f>
        <v>Bancamiga</v>
      </c>
      <c r="F618" s="1" t="str">
        <f>IFERROR(__xludf.DUMMYFUNCTION("""COMPUTED_VALUE"""),"MULTISERVICIOS RECAM13, C.A.")</f>
        <v>MULTISERVICIOS RECAM13, C.A.</v>
      </c>
      <c r="G618" s="70">
        <f>IFERROR(__xludf.DUMMYFUNCTION("""COMPUTED_VALUE"""),617.6388)</f>
        <v>617.6388</v>
      </c>
      <c r="H618" s="1"/>
      <c r="I618" s="71">
        <f>IFERROR(__xludf.DUMMYFUNCTION("""COMPUTED_VALUE"""),39.66719707375897)</f>
        <v>39.66719707</v>
      </c>
      <c r="J618" s="69">
        <f>IFERROR(__xludf.DUMMYFUNCTION("""COMPUTED_VALUE"""),0.0)</f>
        <v>0</v>
      </c>
      <c r="K618" s="4">
        <f>IFERROR(__xludf.DUMMYFUNCTION("""COMPUTED_VALUE"""),39.66719707375897)</f>
        <v>39.66719707</v>
      </c>
      <c r="N618" s="67"/>
      <c r="R618" s="4"/>
    </row>
    <row r="619">
      <c r="A619" s="66">
        <f>IFERROR(__xludf.DUMMYFUNCTION("""COMPUTED_VALUE"""),46196.0)</f>
        <v>46196</v>
      </c>
      <c r="B619" s="67">
        <f>IFERROR(__xludf.DUMMYFUNCTION("""COMPUTED_VALUE"""),49.0)</f>
        <v>49</v>
      </c>
      <c r="C619" s="69">
        <f>IFERROR(__xludf.DUMMYFUNCTION("""COMPUTED_VALUE"""),80.0)</f>
        <v>80</v>
      </c>
      <c r="D619" s="1" t="str">
        <f>IFERROR(__xludf.DUMMYFUNCTION("""COMPUTED_VALUE"""),"USD")</f>
        <v>USD</v>
      </c>
      <c r="E619" s="1" t="str">
        <f>IFERROR(__xludf.DUMMYFUNCTION("""COMPUTED_VALUE"""),"Efectivo USD")</f>
        <v>Efectivo USD</v>
      </c>
      <c r="F619" s="1" t="str">
        <f>IFERROR(__xludf.DUMMYFUNCTION("""COMPUTED_VALUE"""),"Marlene Herrera")</f>
        <v>Marlene Herrera</v>
      </c>
      <c r="G619" s="70">
        <f>IFERROR(__xludf.DUMMYFUNCTION("""COMPUTED_VALUE"""),617.6388)</f>
        <v>617.6388</v>
      </c>
      <c r="H619" s="1"/>
      <c r="I619" s="71">
        <f>IFERROR(__xludf.DUMMYFUNCTION("""COMPUTED_VALUE"""),80.0)</f>
        <v>80</v>
      </c>
      <c r="J619" s="69">
        <f>IFERROR(__xludf.DUMMYFUNCTION("""COMPUTED_VALUE"""),80.0)</f>
        <v>80</v>
      </c>
      <c r="K619" s="4">
        <f>IFERROR(__xludf.DUMMYFUNCTION("""COMPUTED_VALUE"""),80.0)</f>
        <v>80</v>
      </c>
      <c r="N619" s="67"/>
      <c r="R619" s="4"/>
    </row>
    <row r="620">
      <c r="A620" s="66">
        <f>IFERROR(__xludf.DUMMYFUNCTION("""COMPUTED_VALUE"""),46196.0)</f>
        <v>46196</v>
      </c>
      <c r="B620" s="67">
        <f>IFERROR(__xludf.DUMMYFUNCTION("""COMPUTED_VALUE"""),114.0)</f>
        <v>114</v>
      </c>
      <c r="C620" s="69">
        <f>IFERROR(__xludf.DUMMYFUNCTION("""COMPUTED_VALUE"""),20.0)</f>
        <v>20</v>
      </c>
      <c r="D620" s="1" t="str">
        <f>IFERROR(__xludf.DUMMYFUNCTION("""COMPUTED_VALUE"""),"USD")</f>
        <v>USD</v>
      </c>
      <c r="E620" s="1" t="str">
        <f>IFERROR(__xludf.DUMMYFUNCTION("""COMPUTED_VALUE"""),"Efectivo USD")</f>
        <v>Efectivo USD</v>
      </c>
      <c r="F620" s="1" t="str">
        <f>IFERROR(__xludf.DUMMYFUNCTION("""COMPUTED_VALUE"""),"Autoasesorio maxi motor")</f>
        <v>Autoasesorio maxi motor</v>
      </c>
      <c r="G620" s="70">
        <f>IFERROR(__xludf.DUMMYFUNCTION("""COMPUTED_VALUE"""),617.6388)</f>
        <v>617.6388</v>
      </c>
      <c r="H620" s="1"/>
      <c r="I620" s="71">
        <f>IFERROR(__xludf.DUMMYFUNCTION("""COMPUTED_VALUE"""),20.0)</f>
        <v>20</v>
      </c>
      <c r="J620" s="69">
        <f>IFERROR(__xludf.DUMMYFUNCTION("""COMPUTED_VALUE"""),20.0)</f>
        <v>20</v>
      </c>
      <c r="K620" s="4">
        <f>IFERROR(__xludf.DUMMYFUNCTION("""COMPUTED_VALUE"""),20.0)</f>
        <v>20</v>
      </c>
      <c r="N620" s="67"/>
      <c r="R620" s="4"/>
    </row>
    <row r="621">
      <c r="A621" s="66">
        <f>IFERROR(__xludf.DUMMYFUNCTION("""COMPUTED_VALUE"""),46196.0)</f>
        <v>46196</v>
      </c>
      <c r="B621" s="67">
        <f>IFERROR(__xludf.DUMMYFUNCTION("""COMPUTED_VALUE"""),44.0)</f>
        <v>44</v>
      </c>
      <c r="C621" s="69">
        <f>IFERROR(__xludf.DUMMYFUNCTION("""COMPUTED_VALUE"""),200.0)</f>
        <v>200</v>
      </c>
      <c r="D621" s="1" t="str">
        <f>IFERROR(__xludf.DUMMYFUNCTION("""COMPUTED_VALUE"""),"USD")</f>
        <v>USD</v>
      </c>
      <c r="E621" s="1" t="str">
        <f>IFERROR(__xludf.DUMMYFUNCTION("""COMPUTED_VALUE"""),"Efectivo USD")</f>
        <v>Efectivo USD</v>
      </c>
      <c r="F621" s="1" t="str">
        <f>IFERROR(__xludf.DUMMYFUNCTION("""COMPUTED_VALUE"""),"Comercializadora Garabote")</f>
        <v>Comercializadora Garabote</v>
      </c>
      <c r="G621" s="70">
        <f>IFERROR(__xludf.DUMMYFUNCTION("""COMPUTED_VALUE"""),617.6388)</f>
        <v>617.6388</v>
      </c>
      <c r="H621" s="1"/>
      <c r="I621" s="71">
        <f>IFERROR(__xludf.DUMMYFUNCTION("""COMPUTED_VALUE"""),200.0)</f>
        <v>200</v>
      </c>
      <c r="J621" s="69">
        <f>IFERROR(__xludf.DUMMYFUNCTION("""COMPUTED_VALUE"""),200.0)</f>
        <v>200</v>
      </c>
      <c r="K621" s="4">
        <f>IFERROR(__xludf.DUMMYFUNCTION("""COMPUTED_VALUE"""),200.0)</f>
        <v>200</v>
      </c>
      <c r="N621" s="67"/>
      <c r="R621" s="4"/>
    </row>
    <row r="622">
      <c r="A622" s="66">
        <f>IFERROR(__xludf.DUMMYFUNCTION("""COMPUTED_VALUE"""),46196.0)</f>
        <v>46196</v>
      </c>
      <c r="B622" s="67">
        <f>IFERROR(__xludf.DUMMYFUNCTION("""COMPUTED_VALUE"""),324.0)</f>
        <v>324</v>
      </c>
      <c r="C622" s="69">
        <f>IFERROR(__xludf.DUMMYFUNCTION("""COMPUTED_VALUE"""),40.0)</f>
        <v>40</v>
      </c>
      <c r="D622" s="1" t="str">
        <f>IFERROR(__xludf.DUMMYFUNCTION("""COMPUTED_VALUE"""),"USD")</f>
        <v>USD</v>
      </c>
      <c r="E622" s="1" t="str">
        <f>IFERROR(__xludf.DUMMYFUNCTION("""COMPUTED_VALUE"""),"Efectivo USD")</f>
        <v>Efectivo USD</v>
      </c>
      <c r="F622" s="1" t="str">
        <f>IFERROR(__xludf.DUMMYFUNCTION("""COMPUTED_VALUE"""),"Nemer Bourji")</f>
        <v>Nemer Bourji</v>
      </c>
      <c r="G622" s="70">
        <f>IFERROR(__xludf.DUMMYFUNCTION("""COMPUTED_VALUE"""),617.6388)</f>
        <v>617.6388</v>
      </c>
      <c r="H622" s="1"/>
      <c r="I622" s="71">
        <f>IFERROR(__xludf.DUMMYFUNCTION("""COMPUTED_VALUE"""),40.0)</f>
        <v>40</v>
      </c>
      <c r="J622" s="69">
        <f>IFERROR(__xludf.DUMMYFUNCTION("""COMPUTED_VALUE"""),40.0)</f>
        <v>40</v>
      </c>
      <c r="K622" s="4">
        <f>IFERROR(__xludf.DUMMYFUNCTION("""COMPUTED_VALUE"""),40.0)</f>
        <v>40</v>
      </c>
      <c r="N622" s="67"/>
      <c r="R622" s="4"/>
    </row>
    <row r="623">
      <c r="A623" s="66">
        <f>IFERROR(__xludf.DUMMYFUNCTION("""COMPUTED_VALUE"""),46196.0)</f>
        <v>46196</v>
      </c>
      <c r="B623" s="67">
        <f>IFERROR(__xludf.DUMMYFUNCTION("""COMPUTED_VALUE"""),433.0)</f>
        <v>433</v>
      </c>
      <c r="C623" s="69">
        <f>IFERROR(__xludf.DUMMYFUNCTION("""COMPUTED_VALUE"""),100.0)</f>
        <v>100</v>
      </c>
      <c r="D623" s="1" t="str">
        <f>IFERROR(__xludf.DUMMYFUNCTION("""COMPUTED_VALUE"""),"USD")</f>
        <v>USD</v>
      </c>
      <c r="E623" s="1" t="str">
        <f>IFERROR(__xludf.DUMMYFUNCTION("""COMPUTED_VALUE"""),"Efectivo USD")</f>
        <v>Efectivo USD</v>
      </c>
      <c r="F623" s="1" t="str">
        <f>IFERROR(__xludf.DUMMYFUNCTION("""COMPUTED_VALUE"""),"INVERSIONES JOSCAR XXI, S.A.")</f>
        <v>INVERSIONES JOSCAR XXI, S.A.</v>
      </c>
      <c r="G623" s="70">
        <f>IFERROR(__xludf.DUMMYFUNCTION("""COMPUTED_VALUE"""),617.6388)</f>
        <v>617.6388</v>
      </c>
      <c r="H623" s="1"/>
      <c r="I623" s="71">
        <f>IFERROR(__xludf.DUMMYFUNCTION("""COMPUTED_VALUE"""),100.0)</f>
        <v>100</v>
      </c>
      <c r="J623" s="69">
        <f>IFERROR(__xludf.DUMMYFUNCTION("""COMPUTED_VALUE"""),100.0)</f>
        <v>100</v>
      </c>
      <c r="K623" s="4">
        <f>IFERROR(__xludf.DUMMYFUNCTION("""COMPUTED_VALUE"""),100.0)</f>
        <v>100</v>
      </c>
      <c r="N623" s="67"/>
      <c r="R623" s="4"/>
    </row>
    <row r="624">
      <c r="A624" s="66">
        <f>IFERROR(__xludf.DUMMYFUNCTION("""COMPUTED_VALUE"""),46196.0)</f>
        <v>46196</v>
      </c>
      <c r="B624" s="67">
        <f>IFERROR(__xludf.DUMMYFUNCTION("""COMPUTED_VALUE"""),326.0)</f>
        <v>326</v>
      </c>
      <c r="C624" s="69">
        <f>IFERROR(__xludf.DUMMYFUNCTION("""COMPUTED_VALUE"""),49.0)</f>
        <v>49</v>
      </c>
      <c r="D624" s="1" t="str">
        <f>IFERROR(__xludf.DUMMYFUNCTION("""COMPUTED_VALUE"""),"USD")</f>
        <v>USD</v>
      </c>
      <c r="E624" s="1" t="str">
        <f>IFERROR(__xludf.DUMMYFUNCTION("""COMPUTED_VALUE"""),"Efectivo USD")</f>
        <v>Efectivo USD</v>
      </c>
      <c r="F624" s="1" t="str">
        <f>IFERROR(__xludf.DUMMYFUNCTION("""COMPUTED_VALUE"""),"Encamotors Catia C.A")</f>
        <v>Encamotors Catia C.A</v>
      </c>
      <c r="G624" s="70">
        <f>IFERROR(__xludf.DUMMYFUNCTION("""COMPUTED_VALUE"""),617.6388)</f>
        <v>617.6388</v>
      </c>
      <c r="H624" s="1"/>
      <c r="I624" s="71">
        <f>IFERROR(__xludf.DUMMYFUNCTION("""COMPUTED_VALUE"""),49.0)</f>
        <v>49</v>
      </c>
      <c r="J624" s="69">
        <f>IFERROR(__xludf.DUMMYFUNCTION("""COMPUTED_VALUE"""),49.0)</f>
        <v>49</v>
      </c>
      <c r="K624" s="4">
        <f>IFERROR(__xludf.DUMMYFUNCTION("""COMPUTED_VALUE"""),49.0)</f>
        <v>49</v>
      </c>
      <c r="N624" s="67"/>
      <c r="R624" s="4"/>
    </row>
    <row r="625">
      <c r="A625" s="66">
        <f>IFERROR(__xludf.DUMMYFUNCTION("""COMPUTED_VALUE"""),46196.0)</f>
        <v>46196</v>
      </c>
      <c r="B625" s="67">
        <f>IFERROR(__xludf.DUMMYFUNCTION("""COMPUTED_VALUE"""),245.0)</f>
        <v>245</v>
      </c>
      <c r="C625" s="69">
        <f>IFERROR(__xludf.DUMMYFUNCTION("""COMPUTED_VALUE"""),72.0)</f>
        <v>72</v>
      </c>
      <c r="D625" s="1" t="str">
        <f>IFERROR(__xludf.DUMMYFUNCTION("""COMPUTED_VALUE"""),"USD")</f>
        <v>USD</v>
      </c>
      <c r="E625" s="1" t="str">
        <f>IFERROR(__xludf.DUMMYFUNCTION("""COMPUTED_VALUE"""),"Efectivo USD")</f>
        <v>Efectivo USD</v>
      </c>
      <c r="F625" s="1" t="str">
        <f>IFERROR(__xludf.DUMMYFUNCTION("""COMPUTED_VALUE"""),"Barrios Rodríguez Marlon Enrique")</f>
        <v>Barrios Rodríguez Marlon Enrique</v>
      </c>
      <c r="G625" s="70">
        <f>IFERROR(__xludf.DUMMYFUNCTION("""COMPUTED_VALUE"""),617.6388)</f>
        <v>617.6388</v>
      </c>
      <c r="H625" s="1"/>
      <c r="I625" s="71">
        <f>IFERROR(__xludf.DUMMYFUNCTION("""COMPUTED_VALUE"""),72.0)</f>
        <v>72</v>
      </c>
      <c r="J625" s="69">
        <f>IFERROR(__xludf.DUMMYFUNCTION("""COMPUTED_VALUE"""),72.0)</f>
        <v>72</v>
      </c>
      <c r="K625" s="4">
        <f>IFERROR(__xludf.DUMMYFUNCTION("""COMPUTED_VALUE"""),72.0)</f>
        <v>72</v>
      </c>
      <c r="N625" s="67"/>
      <c r="R625" s="4"/>
    </row>
    <row r="626">
      <c r="A626" s="66">
        <f>IFERROR(__xludf.DUMMYFUNCTION("""COMPUTED_VALUE"""),46196.0)</f>
        <v>46196</v>
      </c>
      <c r="B626" s="67">
        <f>IFERROR(__xludf.DUMMYFUNCTION("""COMPUTED_VALUE"""),222.0)</f>
        <v>222</v>
      </c>
      <c r="C626" s="69">
        <f>IFERROR(__xludf.DUMMYFUNCTION("""COMPUTED_VALUE"""),40.0)</f>
        <v>40</v>
      </c>
      <c r="D626" s="1" t="str">
        <f>IFERROR(__xludf.DUMMYFUNCTION("""COMPUTED_VALUE"""),"USD")</f>
        <v>USD</v>
      </c>
      <c r="E626" s="1" t="str">
        <f>IFERROR(__xludf.DUMMYFUNCTION("""COMPUTED_VALUE"""),"Efectivo USD")</f>
        <v>Efectivo USD</v>
      </c>
      <c r="F626" s="1" t="str">
        <f>IFERROR(__xludf.DUMMYFUNCTION("""COMPUTED_VALUE"""),"Braulio R. Cedeño Gonzalez.")</f>
        <v>Braulio R. Cedeño Gonzalez.</v>
      </c>
      <c r="G626" s="70">
        <f>IFERROR(__xludf.DUMMYFUNCTION("""COMPUTED_VALUE"""),617.6388)</f>
        <v>617.6388</v>
      </c>
      <c r="H626" s="1"/>
      <c r="I626" s="71">
        <f>IFERROR(__xludf.DUMMYFUNCTION("""COMPUTED_VALUE"""),40.0)</f>
        <v>40</v>
      </c>
      <c r="J626" s="69">
        <f>IFERROR(__xludf.DUMMYFUNCTION("""COMPUTED_VALUE"""),40.0)</f>
        <v>40</v>
      </c>
      <c r="K626" s="4">
        <f>IFERROR(__xludf.DUMMYFUNCTION("""COMPUTED_VALUE"""),40.0)</f>
        <v>40</v>
      </c>
      <c r="N626" s="67"/>
      <c r="R626" s="4"/>
    </row>
    <row r="627">
      <c r="A627" s="66">
        <f>IFERROR(__xludf.DUMMYFUNCTION("""COMPUTED_VALUE"""),46196.0)</f>
        <v>46196</v>
      </c>
      <c r="B627" s="67">
        <f>IFERROR(__xludf.DUMMYFUNCTION("""COMPUTED_VALUE"""),243.0)</f>
        <v>243</v>
      </c>
      <c r="C627" s="69">
        <f>IFERROR(__xludf.DUMMYFUNCTION("""COMPUTED_VALUE"""),30000.0)</f>
        <v>30000</v>
      </c>
      <c r="D627" s="1" t="str">
        <f>IFERROR(__xludf.DUMMYFUNCTION("""COMPUTED_VALUE"""),"VES")</f>
        <v>VES</v>
      </c>
      <c r="E627" s="1" t="str">
        <f>IFERROR(__xludf.DUMMYFUNCTION("""COMPUTED_VALUE"""),"Bancamiga")</f>
        <v>Bancamiga</v>
      </c>
      <c r="F627" s="1" t="str">
        <f>IFERROR(__xludf.DUMMYFUNCTION("""COMPUTED_VALUE"""),"Cauchera William 2018, C.A")</f>
        <v>Cauchera William 2018, C.A</v>
      </c>
      <c r="G627" s="70">
        <f>IFERROR(__xludf.DUMMYFUNCTION("""COMPUTED_VALUE"""),617.6388)</f>
        <v>617.6388</v>
      </c>
      <c r="H627" s="1"/>
      <c r="I627" s="71">
        <f>IFERROR(__xludf.DUMMYFUNCTION("""COMPUTED_VALUE"""),48.57207804950078)</f>
        <v>48.57207805</v>
      </c>
      <c r="J627" s="69">
        <f>IFERROR(__xludf.DUMMYFUNCTION("""COMPUTED_VALUE"""),0.0)</f>
        <v>0</v>
      </c>
      <c r="K627" s="4">
        <f>IFERROR(__xludf.DUMMYFUNCTION("""COMPUTED_VALUE"""),48.57207804950078)</f>
        <v>48.57207805</v>
      </c>
      <c r="N627" s="67"/>
      <c r="R627" s="4"/>
    </row>
    <row r="628">
      <c r="A628" s="66">
        <f>IFERROR(__xludf.DUMMYFUNCTION("""COMPUTED_VALUE"""),46196.0)</f>
        <v>46196</v>
      </c>
      <c r="B628" s="67">
        <f>IFERROR(__xludf.DUMMYFUNCTION("""COMPUTED_VALUE"""),179.0)</f>
        <v>179</v>
      </c>
      <c r="C628" s="69">
        <f>IFERROR(__xludf.DUMMYFUNCTION("""COMPUTED_VALUE"""),120.0)</f>
        <v>120</v>
      </c>
      <c r="D628" s="1" t="str">
        <f>IFERROR(__xludf.DUMMYFUNCTION("""COMPUTED_VALUE"""),"USD")</f>
        <v>USD</v>
      </c>
      <c r="E628" s="1" t="str">
        <f>IFERROR(__xludf.DUMMYFUNCTION("""COMPUTED_VALUE"""),"Efectivo USD")</f>
        <v>Efectivo USD</v>
      </c>
      <c r="F628" s="1" t="str">
        <f>IFERROR(__xludf.DUMMYFUNCTION("""COMPUTED_VALUE"""),"Inversiones Vercris 17 C.A")</f>
        <v>Inversiones Vercris 17 C.A</v>
      </c>
      <c r="G628" s="70">
        <f>IFERROR(__xludf.DUMMYFUNCTION("""COMPUTED_VALUE"""),617.6388)</f>
        <v>617.6388</v>
      </c>
      <c r="H628" s="1"/>
      <c r="I628" s="71">
        <f>IFERROR(__xludf.DUMMYFUNCTION("""COMPUTED_VALUE"""),120.0)</f>
        <v>120</v>
      </c>
      <c r="J628" s="69">
        <f>IFERROR(__xludf.DUMMYFUNCTION("""COMPUTED_VALUE"""),120.0)</f>
        <v>120</v>
      </c>
      <c r="K628" s="4">
        <f>IFERROR(__xludf.DUMMYFUNCTION("""COMPUTED_VALUE"""),120.0)</f>
        <v>120</v>
      </c>
      <c r="N628" s="67"/>
      <c r="R628" s="4"/>
    </row>
    <row r="629">
      <c r="A629" s="66">
        <f>IFERROR(__xludf.DUMMYFUNCTION("""COMPUTED_VALUE"""),46196.0)</f>
        <v>46196</v>
      </c>
      <c r="B629" s="67">
        <f>IFERROR(__xludf.DUMMYFUNCTION("""COMPUTED_VALUE"""),243.0)</f>
        <v>243</v>
      </c>
      <c r="C629" s="69">
        <f>IFERROR(__xludf.DUMMYFUNCTION("""COMPUTED_VALUE"""),20.0)</f>
        <v>20</v>
      </c>
      <c r="D629" s="1" t="str">
        <f>IFERROR(__xludf.DUMMYFUNCTION("""COMPUTED_VALUE"""),"USD")</f>
        <v>USD</v>
      </c>
      <c r="E629" s="1" t="str">
        <f>IFERROR(__xludf.DUMMYFUNCTION("""COMPUTED_VALUE"""),"Efectivo USD")</f>
        <v>Efectivo USD</v>
      </c>
      <c r="F629" s="1" t="str">
        <f>IFERROR(__xludf.DUMMYFUNCTION("""COMPUTED_VALUE"""),"Cauchera William 2018, C.A")</f>
        <v>Cauchera William 2018, C.A</v>
      </c>
      <c r="G629" s="70">
        <f>IFERROR(__xludf.DUMMYFUNCTION("""COMPUTED_VALUE"""),617.6388)</f>
        <v>617.6388</v>
      </c>
      <c r="H629" s="1"/>
      <c r="I629" s="71">
        <f>IFERROR(__xludf.DUMMYFUNCTION("""COMPUTED_VALUE"""),20.0)</f>
        <v>20</v>
      </c>
      <c r="J629" s="69">
        <f>IFERROR(__xludf.DUMMYFUNCTION("""COMPUTED_VALUE"""),20.0)</f>
        <v>20</v>
      </c>
      <c r="K629" s="4">
        <f>IFERROR(__xludf.DUMMYFUNCTION("""COMPUTED_VALUE"""),20.0)</f>
        <v>20</v>
      </c>
      <c r="N629" s="67"/>
      <c r="R629" s="4"/>
    </row>
    <row r="630">
      <c r="A630" s="66">
        <f>IFERROR(__xludf.DUMMYFUNCTION("""COMPUTED_VALUE"""),46196.0)</f>
        <v>46196</v>
      </c>
      <c r="B630" s="67">
        <f>IFERROR(__xludf.DUMMYFUNCTION("""COMPUTED_VALUE"""),467.0)</f>
        <v>467</v>
      </c>
      <c r="C630" s="69">
        <f>IFERROR(__xludf.DUMMYFUNCTION("""COMPUTED_VALUE"""),150.0)</f>
        <v>150</v>
      </c>
      <c r="D630" s="1" t="str">
        <f>IFERROR(__xludf.DUMMYFUNCTION("""COMPUTED_VALUE"""),"USD")</f>
        <v>USD</v>
      </c>
      <c r="E630" s="1" t="str">
        <f>IFERROR(__xludf.DUMMYFUNCTION("""COMPUTED_VALUE"""),"Efectivo USD")</f>
        <v>Efectivo USD</v>
      </c>
      <c r="F630" s="1" t="str">
        <f>IFERROR(__xludf.DUMMYFUNCTION("""COMPUTED_VALUE"""),"PROYECTO MAQUIVEIRO 21 C.A.")</f>
        <v>PROYECTO MAQUIVEIRO 21 C.A.</v>
      </c>
      <c r="G630" s="70">
        <f>IFERROR(__xludf.DUMMYFUNCTION("""COMPUTED_VALUE"""),617.6388)</f>
        <v>617.6388</v>
      </c>
      <c r="H630" s="1"/>
      <c r="I630" s="71">
        <f>IFERROR(__xludf.DUMMYFUNCTION("""COMPUTED_VALUE"""),150.0)</f>
        <v>150</v>
      </c>
      <c r="J630" s="69">
        <f>IFERROR(__xludf.DUMMYFUNCTION("""COMPUTED_VALUE"""),150.0)</f>
        <v>150</v>
      </c>
      <c r="K630" s="4">
        <f>IFERROR(__xludf.DUMMYFUNCTION("""COMPUTED_VALUE"""),150.0)</f>
        <v>150</v>
      </c>
      <c r="N630" s="67"/>
      <c r="R630" s="4"/>
    </row>
    <row r="631">
      <c r="A631" s="66">
        <f>IFERROR(__xludf.DUMMYFUNCTION("""COMPUTED_VALUE"""),46196.0)</f>
        <v>46196</v>
      </c>
      <c r="B631" s="67">
        <f>IFERROR(__xludf.DUMMYFUNCTION("""COMPUTED_VALUE"""),36.0)</f>
        <v>36</v>
      </c>
      <c r="C631" s="69">
        <f>IFERROR(__xludf.DUMMYFUNCTION("""COMPUTED_VALUE"""),28276.74)</f>
        <v>28276.74</v>
      </c>
      <c r="D631" s="1" t="str">
        <f>IFERROR(__xludf.DUMMYFUNCTION("""COMPUTED_VALUE"""),"VES")</f>
        <v>VES</v>
      </c>
      <c r="E631" s="1" t="str">
        <f>IFERROR(__xludf.DUMMYFUNCTION("""COMPUTED_VALUE"""),"Bancamiga")</f>
        <v>Bancamiga</v>
      </c>
      <c r="F631" s="1" t="str">
        <f>IFERROR(__xludf.DUMMYFUNCTION("""COMPUTED_VALUE"""),"inversiones El Gran Charles C.A")</f>
        <v>inversiones El Gran Charles C.A</v>
      </c>
      <c r="G631" s="70">
        <f>IFERROR(__xludf.DUMMYFUNCTION("""COMPUTED_VALUE"""),617.6388)</f>
        <v>617.6388</v>
      </c>
      <c r="H631" s="1"/>
      <c r="I631" s="71">
        <f>IFERROR(__xludf.DUMMYFUNCTION("""COMPUTED_VALUE"""),45.78200074218136)</f>
        <v>45.78200074</v>
      </c>
      <c r="J631" s="69">
        <f>IFERROR(__xludf.DUMMYFUNCTION("""COMPUTED_VALUE"""),0.0)</f>
        <v>0</v>
      </c>
      <c r="K631" s="4">
        <f>IFERROR(__xludf.DUMMYFUNCTION("""COMPUTED_VALUE"""),45.78200074218136)</f>
        <v>45.78200074</v>
      </c>
      <c r="N631" s="67"/>
      <c r="R631" s="4"/>
    </row>
    <row r="632">
      <c r="A632" s="66">
        <f>IFERROR(__xludf.DUMMYFUNCTION("""COMPUTED_VALUE"""),46196.0)</f>
        <v>46196</v>
      </c>
      <c r="B632" s="67">
        <f>IFERROR(__xludf.DUMMYFUNCTION("""COMPUTED_VALUE"""),555.0)</f>
        <v>555</v>
      </c>
      <c r="C632" s="69">
        <f>IFERROR(__xludf.DUMMYFUNCTION("""COMPUTED_VALUE"""),21577.54)</f>
        <v>21577.54</v>
      </c>
      <c r="D632" s="1" t="str">
        <f>IFERROR(__xludf.DUMMYFUNCTION("""COMPUTED_VALUE"""),"USD")</f>
        <v>USD</v>
      </c>
      <c r="E632" s="1" t="str">
        <f>IFERROR(__xludf.DUMMYFUNCTION("""COMPUTED_VALUE"""),"Conciliacion")</f>
        <v>Conciliacion</v>
      </c>
      <c r="F632" s="1" t="str">
        <f>IFERROR(__xludf.DUMMYFUNCTION("""COMPUTED_VALUE"""),"AGROPECUARIA LECHE Y MIEL, C.A")</f>
        <v>AGROPECUARIA LECHE Y MIEL, C.A</v>
      </c>
      <c r="G632" s="70">
        <f>IFERROR(__xludf.DUMMYFUNCTION("""COMPUTED_VALUE"""),617.6388)</f>
        <v>617.6388</v>
      </c>
      <c r="H632" s="1"/>
      <c r="I632" s="71">
        <f>IFERROR(__xludf.DUMMYFUNCTION("""COMPUTED_VALUE"""),21577.54)</f>
        <v>21577.54</v>
      </c>
      <c r="J632" s="69">
        <f>IFERROR(__xludf.DUMMYFUNCTION("""COMPUTED_VALUE"""),21577.54)</f>
        <v>21577.54</v>
      </c>
      <c r="K632" s="4">
        <f>IFERROR(__xludf.DUMMYFUNCTION("""COMPUTED_VALUE"""),21577.54)</f>
        <v>21577.54</v>
      </c>
      <c r="N632" s="67"/>
      <c r="R632" s="4"/>
    </row>
    <row r="633">
      <c r="A633" s="66"/>
      <c r="B633" s="67"/>
      <c r="C633" s="1"/>
      <c r="D633" s="1"/>
      <c r="E633" s="1"/>
      <c r="F633" s="1"/>
      <c r="G633" s="1"/>
      <c r="H633" s="1"/>
      <c r="I633" s="71">
        <f>IFERROR(__xludf.DUMMYFUNCTION("""COMPUTED_VALUE"""),0.0)</f>
        <v>0</v>
      </c>
      <c r="J633" s="69">
        <f>IFERROR(__xludf.DUMMYFUNCTION("""COMPUTED_VALUE"""),0.0)</f>
        <v>0</v>
      </c>
      <c r="K633" s="4">
        <f>IFERROR(__xludf.DUMMYFUNCTION("""COMPUTED_VALUE"""),0.0)</f>
        <v>0</v>
      </c>
      <c r="N633" s="67"/>
      <c r="R633" s="4"/>
    </row>
    <row r="634">
      <c r="A634" s="66"/>
      <c r="B634" s="67"/>
      <c r="C634" s="1"/>
      <c r="D634" s="1"/>
      <c r="E634" s="1"/>
      <c r="F634" s="1"/>
      <c r="G634" s="1"/>
      <c r="H634" s="1"/>
      <c r="I634" s="71">
        <f>IFERROR(__xludf.DUMMYFUNCTION("""COMPUTED_VALUE"""),0.0)</f>
        <v>0</v>
      </c>
      <c r="J634" s="69">
        <f>IFERROR(__xludf.DUMMYFUNCTION("""COMPUTED_VALUE"""),0.0)</f>
        <v>0</v>
      </c>
      <c r="K634" s="4">
        <f>IFERROR(__xludf.DUMMYFUNCTION("""COMPUTED_VALUE"""),0.0)</f>
        <v>0</v>
      </c>
      <c r="N634" s="67"/>
      <c r="R634" s="4"/>
    </row>
    <row r="635">
      <c r="A635" s="66"/>
      <c r="B635" s="67"/>
      <c r="C635" s="1"/>
      <c r="D635" s="1"/>
      <c r="E635" s="1"/>
      <c r="F635" s="1"/>
      <c r="G635" s="1"/>
      <c r="H635" s="1"/>
      <c r="I635" s="71">
        <f>IFERROR(__xludf.DUMMYFUNCTION("""COMPUTED_VALUE"""),0.0)</f>
        <v>0</v>
      </c>
      <c r="J635" s="69">
        <f>IFERROR(__xludf.DUMMYFUNCTION("""COMPUTED_VALUE"""),0.0)</f>
        <v>0</v>
      </c>
      <c r="K635" s="4">
        <f>IFERROR(__xludf.DUMMYFUNCTION("""COMPUTED_VALUE"""),0.0)</f>
        <v>0</v>
      </c>
      <c r="N635" s="67"/>
      <c r="R635" s="4"/>
    </row>
    <row r="636">
      <c r="A636" s="66"/>
      <c r="B636" s="67"/>
      <c r="C636" s="1"/>
      <c r="D636" s="1"/>
      <c r="E636" s="1"/>
      <c r="F636" s="1"/>
      <c r="G636" s="1"/>
      <c r="H636" s="1"/>
      <c r="I636" s="71">
        <f>IFERROR(__xludf.DUMMYFUNCTION("""COMPUTED_VALUE"""),0.0)</f>
        <v>0</v>
      </c>
      <c r="J636" s="69">
        <f>IFERROR(__xludf.DUMMYFUNCTION("""COMPUTED_VALUE"""),0.0)</f>
        <v>0</v>
      </c>
      <c r="K636" s="4">
        <f>IFERROR(__xludf.DUMMYFUNCTION("""COMPUTED_VALUE"""),0.0)</f>
        <v>0</v>
      </c>
      <c r="N636" s="67"/>
      <c r="R636" s="4"/>
    </row>
    <row r="637">
      <c r="A637" s="66"/>
      <c r="B637" s="67"/>
      <c r="C637" s="1"/>
      <c r="D637" s="1"/>
      <c r="E637" s="1"/>
      <c r="F637" s="1"/>
      <c r="G637" s="1"/>
      <c r="H637" s="1"/>
      <c r="I637" s="71">
        <f>IFERROR(__xludf.DUMMYFUNCTION("""COMPUTED_VALUE"""),0.0)</f>
        <v>0</v>
      </c>
      <c r="J637" s="69">
        <f>IFERROR(__xludf.DUMMYFUNCTION("""COMPUTED_VALUE"""),0.0)</f>
        <v>0</v>
      </c>
      <c r="K637" s="4">
        <f>IFERROR(__xludf.DUMMYFUNCTION("""COMPUTED_VALUE"""),0.0)</f>
        <v>0</v>
      </c>
      <c r="N637" s="67"/>
      <c r="R637" s="4"/>
    </row>
    <row r="638">
      <c r="A638" s="66"/>
      <c r="B638" s="67"/>
      <c r="C638" s="1"/>
      <c r="D638" s="1"/>
      <c r="E638" s="1"/>
      <c r="F638" s="1"/>
      <c r="G638" s="1"/>
      <c r="H638" s="1"/>
      <c r="I638" s="71">
        <f>IFERROR(__xludf.DUMMYFUNCTION("""COMPUTED_VALUE"""),0.0)</f>
        <v>0</v>
      </c>
      <c r="J638" s="69">
        <f>IFERROR(__xludf.DUMMYFUNCTION("""COMPUTED_VALUE"""),0.0)</f>
        <v>0</v>
      </c>
      <c r="K638" s="4">
        <f>IFERROR(__xludf.DUMMYFUNCTION("""COMPUTED_VALUE"""),0.0)</f>
        <v>0</v>
      </c>
      <c r="N638" s="67"/>
      <c r="R638" s="4"/>
    </row>
    <row r="639">
      <c r="A639" s="66"/>
      <c r="B639" s="67"/>
      <c r="C639" s="1"/>
      <c r="D639" s="1"/>
      <c r="E639" s="1"/>
      <c r="F639" s="1"/>
      <c r="G639" s="1"/>
      <c r="H639" s="1"/>
      <c r="I639" s="71">
        <f>IFERROR(__xludf.DUMMYFUNCTION("""COMPUTED_VALUE"""),0.0)</f>
        <v>0</v>
      </c>
      <c r="J639" s="69">
        <f>IFERROR(__xludf.DUMMYFUNCTION("""COMPUTED_VALUE"""),0.0)</f>
        <v>0</v>
      </c>
      <c r="K639" s="4">
        <f>IFERROR(__xludf.DUMMYFUNCTION("""COMPUTED_VALUE"""),0.0)</f>
        <v>0</v>
      </c>
      <c r="N639" s="67"/>
      <c r="R639" s="4"/>
    </row>
    <row r="640">
      <c r="A640" s="66"/>
      <c r="B640" s="67"/>
      <c r="C640" s="1"/>
      <c r="D640" s="1"/>
      <c r="E640" s="1"/>
      <c r="F640" s="1"/>
      <c r="G640" s="1"/>
      <c r="H640" s="1"/>
      <c r="I640" s="71">
        <f>IFERROR(__xludf.DUMMYFUNCTION("""COMPUTED_VALUE"""),0.0)</f>
        <v>0</v>
      </c>
      <c r="J640" s="69">
        <f>IFERROR(__xludf.DUMMYFUNCTION("""COMPUTED_VALUE"""),0.0)</f>
        <v>0</v>
      </c>
      <c r="K640" s="4">
        <f>IFERROR(__xludf.DUMMYFUNCTION("""COMPUTED_VALUE"""),0.0)</f>
        <v>0</v>
      </c>
      <c r="N640" s="67"/>
      <c r="R640" s="4"/>
    </row>
    <row r="641">
      <c r="A641" s="66"/>
      <c r="B641" s="67"/>
      <c r="C641" s="1"/>
      <c r="D641" s="1"/>
      <c r="E641" s="1"/>
      <c r="F641" s="1"/>
      <c r="G641" s="1"/>
      <c r="H641" s="1"/>
      <c r="I641" s="71">
        <f>IFERROR(__xludf.DUMMYFUNCTION("""COMPUTED_VALUE"""),0.0)</f>
        <v>0</v>
      </c>
      <c r="J641" s="69">
        <f>IFERROR(__xludf.DUMMYFUNCTION("""COMPUTED_VALUE"""),0.0)</f>
        <v>0</v>
      </c>
      <c r="K641" s="4">
        <f>IFERROR(__xludf.DUMMYFUNCTION("""COMPUTED_VALUE"""),0.0)</f>
        <v>0</v>
      </c>
      <c r="N641" s="67"/>
      <c r="R641" s="4"/>
    </row>
    <row r="642">
      <c r="A642" s="66"/>
      <c r="B642" s="67"/>
      <c r="C642" s="1"/>
      <c r="D642" s="1"/>
      <c r="E642" s="1"/>
      <c r="F642" s="1"/>
      <c r="G642" s="1"/>
      <c r="H642" s="1"/>
      <c r="I642" s="71">
        <f>IFERROR(__xludf.DUMMYFUNCTION("""COMPUTED_VALUE"""),0.0)</f>
        <v>0</v>
      </c>
      <c r="J642" s="69">
        <f>IFERROR(__xludf.DUMMYFUNCTION("""COMPUTED_VALUE"""),0.0)</f>
        <v>0</v>
      </c>
      <c r="K642" s="4">
        <f>IFERROR(__xludf.DUMMYFUNCTION("""COMPUTED_VALUE"""),0.0)</f>
        <v>0</v>
      </c>
      <c r="N642" s="67"/>
      <c r="R642" s="4"/>
    </row>
    <row r="643">
      <c r="A643" s="66"/>
      <c r="B643" s="67"/>
      <c r="C643" s="1"/>
      <c r="D643" s="1"/>
      <c r="E643" s="1"/>
      <c r="F643" s="1"/>
      <c r="G643" s="1"/>
      <c r="H643" s="1"/>
      <c r="I643" s="71">
        <f>IFERROR(__xludf.DUMMYFUNCTION("""COMPUTED_VALUE"""),0.0)</f>
        <v>0</v>
      </c>
      <c r="J643" s="69">
        <f>IFERROR(__xludf.DUMMYFUNCTION("""COMPUTED_VALUE"""),0.0)</f>
        <v>0</v>
      </c>
      <c r="K643" s="4">
        <f>IFERROR(__xludf.DUMMYFUNCTION("""COMPUTED_VALUE"""),0.0)</f>
        <v>0</v>
      </c>
      <c r="N643" s="67"/>
      <c r="R643" s="4"/>
    </row>
    <row r="644">
      <c r="A644" s="66"/>
      <c r="B644" s="67"/>
      <c r="C644" s="1"/>
      <c r="D644" s="1"/>
      <c r="E644" s="1"/>
      <c r="F644" s="1"/>
      <c r="G644" s="1"/>
      <c r="H644" s="1"/>
      <c r="I644" s="71">
        <f>IFERROR(__xludf.DUMMYFUNCTION("""COMPUTED_VALUE"""),0.0)</f>
        <v>0</v>
      </c>
      <c r="J644" s="69">
        <f>IFERROR(__xludf.DUMMYFUNCTION("""COMPUTED_VALUE"""),0.0)</f>
        <v>0</v>
      </c>
      <c r="K644" s="4">
        <f>IFERROR(__xludf.DUMMYFUNCTION("""COMPUTED_VALUE"""),0.0)</f>
        <v>0</v>
      </c>
      <c r="N644" s="67"/>
      <c r="R644" s="4"/>
    </row>
    <row r="645">
      <c r="A645" s="66"/>
      <c r="B645" s="67"/>
      <c r="C645" s="1"/>
      <c r="D645" s="1"/>
      <c r="E645" s="1"/>
      <c r="F645" s="1"/>
      <c r="G645" s="1"/>
      <c r="H645" s="1"/>
      <c r="I645" s="71">
        <f>IFERROR(__xludf.DUMMYFUNCTION("""COMPUTED_VALUE"""),0.0)</f>
        <v>0</v>
      </c>
      <c r="J645" s="69">
        <f>IFERROR(__xludf.DUMMYFUNCTION("""COMPUTED_VALUE"""),0.0)</f>
        <v>0</v>
      </c>
      <c r="K645" s="4">
        <f>IFERROR(__xludf.DUMMYFUNCTION("""COMPUTED_VALUE"""),0.0)</f>
        <v>0</v>
      </c>
      <c r="N645" s="67"/>
      <c r="R645" s="4"/>
    </row>
    <row r="646">
      <c r="A646" s="66"/>
      <c r="B646" s="67"/>
      <c r="C646" s="1"/>
      <c r="D646" s="1"/>
      <c r="E646" s="1"/>
      <c r="F646" s="1"/>
      <c r="G646" s="1"/>
      <c r="H646" s="1"/>
      <c r="I646" s="71">
        <f>IFERROR(__xludf.DUMMYFUNCTION("""COMPUTED_VALUE"""),0.0)</f>
        <v>0</v>
      </c>
      <c r="J646" s="69">
        <f>IFERROR(__xludf.DUMMYFUNCTION("""COMPUTED_VALUE"""),0.0)</f>
        <v>0</v>
      </c>
      <c r="K646" s="4">
        <f>IFERROR(__xludf.DUMMYFUNCTION("""COMPUTED_VALUE"""),0.0)</f>
        <v>0</v>
      </c>
      <c r="N646" s="67"/>
      <c r="R646" s="4"/>
    </row>
    <row r="647">
      <c r="A647" s="66"/>
      <c r="B647" s="67"/>
      <c r="C647" s="1"/>
      <c r="D647" s="1"/>
      <c r="E647" s="1"/>
      <c r="F647" s="1"/>
      <c r="G647" s="1"/>
      <c r="H647" s="1"/>
      <c r="I647" s="71">
        <f>IFERROR(__xludf.DUMMYFUNCTION("""COMPUTED_VALUE"""),0.0)</f>
        <v>0</v>
      </c>
      <c r="J647" s="69">
        <f>IFERROR(__xludf.DUMMYFUNCTION("""COMPUTED_VALUE"""),0.0)</f>
        <v>0</v>
      </c>
      <c r="K647" s="4">
        <f>IFERROR(__xludf.DUMMYFUNCTION("""COMPUTED_VALUE"""),0.0)</f>
        <v>0</v>
      </c>
      <c r="N647" s="67"/>
      <c r="R647" s="4"/>
    </row>
    <row r="648">
      <c r="A648" s="66"/>
      <c r="B648" s="67"/>
      <c r="C648" s="1"/>
      <c r="D648" s="1"/>
      <c r="E648" s="1"/>
      <c r="F648" s="1"/>
      <c r="G648" s="1"/>
      <c r="H648" s="1"/>
      <c r="I648" s="71">
        <f>IFERROR(__xludf.DUMMYFUNCTION("""COMPUTED_VALUE"""),0.0)</f>
        <v>0</v>
      </c>
      <c r="J648" s="69">
        <f>IFERROR(__xludf.DUMMYFUNCTION("""COMPUTED_VALUE"""),0.0)</f>
        <v>0</v>
      </c>
      <c r="K648" s="4">
        <f>IFERROR(__xludf.DUMMYFUNCTION("""COMPUTED_VALUE"""),0.0)</f>
        <v>0</v>
      </c>
      <c r="N648" s="67"/>
      <c r="R648" s="4"/>
    </row>
    <row r="649">
      <c r="A649" s="66"/>
      <c r="B649" s="67"/>
      <c r="C649" s="1"/>
      <c r="D649" s="1"/>
      <c r="E649" s="1"/>
      <c r="F649" s="1"/>
      <c r="G649" s="1"/>
      <c r="H649" s="1"/>
      <c r="I649" s="71">
        <f>IFERROR(__xludf.DUMMYFUNCTION("""COMPUTED_VALUE"""),0.0)</f>
        <v>0</v>
      </c>
      <c r="J649" s="69">
        <f>IFERROR(__xludf.DUMMYFUNCTION("""COMPUTED_VALUE"""),0.0)</f>
        <v>0</v>
      </c>
      <c r="K649" s="4">
        <f>IFERROR(__xludf.DUMMYFUNCTION("""COMPUTED_VALUE"""),0.0)</f>
        <v>0</v>
      </c>
      <c r="N649" s="67"/>
      <c r="R649" s="4"/>
    </row>
    <row r="650">
      <c r="A650" s="66"/>
      <c r="B650" s="67"/>
      <c r="C650" s="1"/>
      <c r="D650" s="1"/>
      <c r="E650" s="1"/>
      <c r="F650" s="1"/>
      <c r="G650" s="1"/>
      <c r="H650" s="1"/>
      <c r="I650" s="71">
        <f>IFERROR(__xludf.DUMMYFUNCTION("""COMPUTED_VALUE"""),0.0)</f>
        <v>0</v>
      </c>
      <c r="J650" s="69">
        <f>IFERROR(__xludf.DUMMYFUNCTION("""COMPUTED_VALUE"""),0.0)</f>
        <v>0</v>
      </c>
      <c r="K650" s="4">
        <f>IFERROR(__xludf.DUMMYFUNCTION("""COMPUTED_VALUE"""),0.0)</f>
        <v>0</v>
      </c>
      <c r="N650" s="67"/>
      <c r="R650" s="4"/>
    </row>
    <row r="651">
      <c r="A651" s="66"/>
      <c r="B651" s="67"/>
      <c r="C651" s="1"/>
      <c r="D651" s="1"/>
      <c r="E651" s="1"/>
      <c r="F651" s="1"/>
      <c r="G651" s="1"/>
      <c r="H651" s="1"/>
      <c r="I651" s="71">
        <f>IFERROR(__xludf.DUMMYFUNCTION("""COMPUTED_VALUE"""),0.0)</f>
        <v>0</v>
      </c>
      <c r="J651" s="69">
        <f>IFERROR(__xludf.DUMMYFUNCTION("""COMPUTED_VALUE"""),0.0)</f>
        <v>0</v>
      </c>
      <c r="K651" s="4">
        <f>IFERROR(__xludf.DUMMYFUNCTION("""COMPUTED_VALUE"""),0.0)</f>
        <v>0</v>
      </c>
      <c r="N651" s="67"/>
      <c r="R651" s="4"/>
    </row>
    <row r="652">
      <c r="A652" s="66"/>
      <c r="B652" s="67"/>
      <c r="C652" s="1"/>
      <c r="D652" s="1"/>
      <c r="E652" s="1"/>
      <c r="F652" s="1"/>
      <c r="G652" s="1"/>
      <c r="H652" s="1"/>
      <c r="I652" s="71">
        <f>IFERROR(__xludf.DUMMYFUNCTION("""COMPUTED_VALUE"""),0.0)</f>
        <v>0</v>
      </c>
      <c r="J652" s="69">
        <f>IFERROR(__xludf.DUMMYFUNCTION("""COMPUTED_VALUE"""),0.0)</f>
        <v>0</v>
      </c>
      <c r="K652" s="4">
        <f>IFERROR(__xludf.DUMMYFUNCTION("""COMPUTED_VALUE"""),0.0)</f>
        <v>0</v>
      </c>
      <c r="N652" s="67"/>
      <c r="R652" s="4"/>
    </row>
    <row r="653">
      <c r="A653" s="66"/>
      <c r="B653" s="67"/>
      <c r="C653" s="1"/>
      <c r="D653" s="1"/>
      <c r="E653" s="1"/>
      <c r="F653" s="1"/>
      <c r="G653" s="1"/>
      <c r="H653" s="1"/>
      <c r="I653" s="71">
        <f>IFERROR(__xludf.DUMMYFUNCTION("""COMPUTED_VALUE"""),0.0)</f>
        <v>0</v>
      </c>
      <c r="J653" s="69">
        <f>IFERROR(__xludf.DUMMYFUNCTION("""COMPUTED_VALUE"""),0.0)</f>
        <v>0</v>
      </c>
      <c r="K653" s="4">
        <f>IFERROR(__xludf.DUMMYFUNCTION("""COMPUTED_VALUE"""),0.0)</f>
        <v>0</v>
      </c>
      <c r="N653" s="67"/>
      <c r="R653" s="4"/>
    </row>
    <row r="654">
      <c r="A654" s="66"/>
      <c r="B654" s="67"/>
      <c r="C654" s="1"/>
      <c r="D654" s="1"/>
      <c r="E654" s="1"/>
      <c r="F654" s="1"/>
      <c r="G654" s="1"/>
      <c r="H654" s="1"/>
      <c r="I654" s="71">
        <f>IFERROR(__xludf.DUMMYFUNCTION("""COMPUTED_VALUE"""),0.0)</f>
        <v>0</v>
      </c>
      <c r="J654" s="69">
        <f>IFERROR(__xludf.DUMMYFUNCTION("""COMPUTED_VALUE"""),0.0)</f>
        <v>0</v>
      </c>
      <c r="K654" s="4">
        <f>IFERROR(__xludf.DUMMYFUNCTION("""COMPUTED_VALUE"""),0.0)</f>
        <v>0</v>
      </c>
      <c r="N654" s="67"/>
      <c r="R654" s="4"/>
    </row>
    <row r="655">
      <c r="A655" s="66"/>
      <c r="B655" s="67"/>
      <c r="C655" s="1"/>
      <c r="D655" s="1"/>
      <c r="E655" s="1"/>
      <c r="F655" s="1"/>
      <c r="G655" s="1"/>
      <c r="H655" s="1"/>
      <c r="I655" s="71">
        <f>IFERROR(__xludf.DUMMYFUNCTION("""COMPUTED_VALUE"""),0.0)</f>
        <v>0</v>
      </c>
      <c r="J655" s="69">
        <f>IFERROR(__xludf.DUMMYFUNCTION("""COMPUTED_VALUE"""),0.0)</f>
        <v>0</v>
      </c>
      <c r="K655" s="4">
        <f>IFERROR(__xludf.DUMMYFUNCTION("""COMPUTED_VALUE"""),0.0)</f>
        <v>0</v>
      </c>
      <c r="N655" s="67"/>
      <c r="R655" s="4"/>
    </row>
    <row r="656">
      <c r="A656" s="66"/>
      <c r="B656" s="67"/>
      <c r="C656" s="1"/>
      <c r="D656" s="1"/>
      <c r="E656" s="1"/>
      <c r="F656" s="1"/>
      <c r="G656" s="1"/>
      <c r="H656" s="1"/>
      <c r="I656" s="71">
        <f>IFERROR(__xludf.DUMMYFUNCTION("""COMPUTED_VALUE"""),0.0)</f>
        <v>0</v>
      </c>
      <c r="J656" s="69">
        <f>IFERROR(__xludf.DUMMYFUNCTION("""COMPUTED_VALUE"""),0.0)</f>
        <v>0</v>
      </c>
      <c r="K656" s="4">
        <f>IFERROR(__xludf.DUMMYFUNCTION("""COMPUTED_VALUE"""),0.0)</f>
        <v>0</v>
      </c>
      <c r="N656" s="67"/>
      <c r="R656" s="4"/>
    </row>
    <row r="657">
      <c r="A657" s="66"/>
      <c r="B657" s="67"/>
      <c r="C657" s="1"/>
      <c r="D657" s="1"/>
      <c r="E657" s="1"/>
      <c r="F657" s="1"/>
      <c r="G657" s="1"/>
      <c r="H657" s="1"/>
      <c r="I657" s="71">
        <f>IFERROR(__xludf.DUMMYFUNCTION("""COMPUTED_VALUE"""),0.0)</f>
        <v>0</v>
      </c>
      <c r="J657" s="69">
        <f>IFERROR(__xludf.DUMMYFUNCTION("""COMPUTED_VALUE"""),0.0)</f>
        <v>0</v>
      </c>
      <c r="K657" s="4">
        <f>IFERROR(__xludf.DUMMYFUNCTION("""COMPUTED_VALUE"""),0.0)</f>
        <v>0</v>
      </c>
      <c r="N657" s="67"/>
      <c r="R657" s="4"/>
    </row>
    <row r="658">
      <c r="A658" s="66"/>
      <c r="B658" s="67"/>
      <c r="C658" s="1"/>
      <c r="D658" s="1"/>
      <c r="E658" s="1"/>
      <c r="F658" s="1"/>
      <c r="G658" s="1"/>
      <c r="H658" s="1"/>
      <c r="I658" s="71">
        <f>IFERROR(__xludf.DUMMYFUNCTION("""COMPUTED_VALUE"""),0.0)</f>
        <v>0</v>
      </c>
      <c r="J658" s="69">
        <f>IFERROR(__xludf.DUMMYFUNCTION("""COMPUTED_VALUE"""),0.0)</f>
        <v>0</v>
      </c>
      <c r="K658" s="4">
        <f>IFERROR(__xludf.DUMMYFUNCTION("""COMPUTED_VALUE"""),0.0)</f>
        <v>0</v>
      </c>
      <c r="N658" s="67"/>
      <c r="R658" s="4"/>
    </row>
    <row r="659">
      <c r="A659" s="66"/>
      <c r="B659" s="67"/>
      <c r="C659" s="1"/>
      <c r="D659" s="1"/>
      <c r="E659" s="1"/>
      <c r="F659" s="1"/>
      <c r="G659" s="1"/>
      <c r="H659" s="1"/>
      <c r="I659" s="71">
        <f>IFERROR(__xludf.DUMMYFUNCTION("""COMPUTED_VALUE"""),0.0)</f>
        <v>0</v>
      </c>
      <c r="J659" s="69">
        <f>IFERROR(__xludf.DUMMYFUNCTION("""COMPUTED_VALUE"""),0.0)</f>
        <v>0</v>
      </c>
      <c r="K659" s="4">
        <f>IFERROR(__xludf.DUMMYFUNCTION("""COMPUTED_VALUE"""),0.0)</f>
        <v>0</v>
      </c>
      <c r="N659" s="67"/>
      <c r="R659" s="4"/>
    </row>
    <row r="660">
      <c r="A660" s="66"/>
      <c r="B660" s="67"/>
      <c r="C660" s="1"/>
      <c r="D660" s="1"/>
      <c r="E660" s="1"/>
      <c r="F660" s="1"/>
      <c r="G660" s="1"/>
      <c r="H660" s="1"/>
      <c r="I660" s="71">
        <f>IFERROR(__xludf.DUMMYFUNCTION("""COMPUTED_VALUE"""),0.0)</f>
        <v>0</v>
      </c>
      <c r="J660" s="69">
        <f>IFERROR(__xludf.DUMMYFUNCTION("""COMPUTED_VALUE"""),0.0)</f>
        <v>0</v>
      </c>
      <c r="K660" s="4">
        <f>IFERROR(__xludf.DUMMYFUNCTION("""COMPUTED_VALUE"""),0.0)</f>
        <v>0</v>
      </c>
      <c r="N660" s="67"/>
      <c r="R660" s="4"/>
    </row>
    <row r="661">
      <c r="A661" s="66"/>
      <c r="B661" s="67"/>
      <c r="C661" s="1"/>
      <c r="D661" s="1"/>
      <c r="E661" s="1"/>
      <c r="F661" s="1"/>
      <c r="G661" s="1"/>
      <c r="H661" s="1"/>
      <c r="I661" s="71">
        <f>IFERROR(__xludf.DUMMYFUNCTION("""COMPUTED_VALUE"""),0.0)</f>
        <v>0</v>
      </c>
      <c r="J661" s="69">
        <f>IFERROR(__xludf.DUMMYFUNCTION("""COMPUTED_VALUE"""),0.0)</f>
        <v>0</v>
      </c>
      <c r="K661" s="4">
        <f>IFERROR(__xludf.DUMMYFUNCTION("""COMPUTED_VALUE"""),0.0)</f>
        <v>0</v>
      </c>
      <c r="N661" s="67"/>
      <c r="R661" s="4"/>
    </row>
    <row r="662">
      <c r="A662" s="66"/>
      <c r="B662" s="67"/>
      <c r="C662" s="1"/>
      <c r="D662" s="1"/>
      <c r="E662" s="1"/>
      <c r="F662" s="1"/>
      <c r="G662" s="1"/>
      <c r="H662" s="1"/>
      <c r="I662" s="71">
        <f>IFERROR(__xludf.DUMMYFUNCTION("""COMPUTED_VALUE"""),0.0)</f>
        <v>0</v>
      </c>
      <c r="J662" s="69">
        <f>IFERROR(__xludf.DUMMYFUNCTION("""COMPUTED_VALUE"""),0.0)</f>
        <v>0</v>
      </c>
      <c r="K662" s="4">
        <f>IFERROR(__xludf.DUMMYFUNCTION("""COMPUTED_VALUE"""),0.0)</f>
        <v>0</v>
      </c>
      <c r="N662" s="67"/>
      <c r="R662" s="4"/>
    </row>
    <row r="663">
      <c r="A663" s="66"/>
      <c r="B663" s="67"/>
      <c r="C663" s="1"/>
      <c r="D663" s="1"/>
      <c r="E663" s="1"/>
      <c r="F663" s="1"/>
      <c r="G663" s="1"/>
      <c r="H663" s="1"/>
      <c r="I663" s="71">
        <f>IFERROR(__xludf.DUMMYFUNCTION("""COMPUTED_VALUE"""),0.0)</f>
        <v>0</v>
      </c>
      <c r="J663" s="69">
        <f>IFERROR(__xludf.DUMMYFUNCTION("""COMPUTED_VALUE"""),0.0)</f>
        <v>0</v>
      </c>
      <c r="K663" s="4">
        <f>IFERROR(__xludf.DUMMYFUNCTION("""COMPUTED_VALUE"""),0.0)</f>
        <v>0</v>
      </c>
      <c r="N663" s="67"/>
      <c r="R663" s="4"/>
    </row>
    <row r="664">
      <c r="A664" s="66"/>
      <c r="B664" s="67"/>
      <c r="C664" s="1"/>
      <c r="D664" s="1"/>
      <c r="E664" s="1"/>
      <c r="F664" s="1"/>
      <c r="G664" s="1"/>
      <c r="H664" s="1"/>
      <c r="I664" s="71">
        <f>IFERROR(__xludf.DUMMYFUNCTION("""COMPUTED_VALUE"""),0.0)</f>
        <v>0</v>
      </c>
      <c r="J664" s="69">
        <f>IFERROR(__xludf.DUMMYFUNCTION("""COMPUTED_VALUE"""),0.0)</f>
        <v>0</v>
      </c>
      <c r="K664" s="4">
        <f>IFERROR(__xludf.DUMMYFUNCTION("""COMPUTED_VALUE"""),0.0)</f>
        <v>0</v>
      </c>
      <c r="N664" s="67"/>
      <c r="R664" s="4"/>
    </row>
    <row r="665">
      <c r="A665" s="66"/>
      <c r="B665" s="67"/>
      <c r="C665" s="1"/>
      <c r="D665" s="1"/>
      <c r="E665" s="1"/>
      <c r="F665" s="1"/>
      <c r="G665" s="1"/>
      <c r="H665" s="1"/>
      <c r="I665" s="71">
        <f>IFERROR(__xludf.DUMMYFUNCTION("""COMPUTED_VALUE"""),0.0)</f>
        <v>0</v>
      </c>
      <c r="J665" s="69">
        <f>IFERROR(__xludf.DUMMYFUNCTION("""COMPUTED_VALUE"""),0.0)</f>
        <v>0</v>
      </c>
      <c r="K665" s="4">
        <f>IFERROR(__xludf.DUMMYFUNCTION("""COMPUTED_VALUE"""),0.0)</f>
        <v>0</v>
      </c>
      <c r="N665" s="67"/>
      <c r="R665" s="4"/>
    </row>
    <row r="666">
      <c r="A666" s="66"/>
      <c r="B666" s="67"/>
      <c r="C666" s="1"/>
      <c r="D666" s="1"/>
      <c r="E666" s="1"/>
      <c r="F666" s="1"/>
      <c r="G666" s="1"/>
      <c r="H666" s="1"/>
      <c r="I666" s="71">
        <f>IFERROR(__xludf.DUMMYFUNCTION("""COMPUTED_VALUE"""),0.0)</f>
        <v>0</v>
      </c>
      <c r="J666" s="69">
        <f>IFERROR(__xludf.DUMMYFUNCTION("""COMPUTED_VALUE"""),0.0)</f>
        <v>0</v>
      </c>
      <c r="K666" s="4">
        <f>IFERROR(__xludf.DUMMYFUNCTION("""COMPUTED_VALUE"""),0.0)</f>
        <v>0</v>
      </c>
      <c r="N666" s="67"/>
      <c r="R666" s="4"/>
    </row>
    <row r="667">
      <c r="A667" s="66"/>
      <c r="B667" s="67"/>
      <c r="C667" s="1"/>
      <c r="D667" s="1"/>
      <c r="E667" s="1"/>
      <c r="F667" s="1"/>
      <c r="G667" s="1"/>
      <c r="H667" s="1"/>
      <c r="I667" s="71">
        <f>IFERROR(__xludf.DUMMYFUNCTION("""COMPUTED_VALUE"""),0.0)</f>
        <v>0</v>
      </c>
      <c r="J667" s="69">
        <f>IFERROR(__xludf.DUMMYFUNCTION("""COMPUTED_VALUE"""),0.0)</f>
        <v>0</v>
      </c>
      <c r="K667" s="4">
        <f>IFERROR(__xludf.DUMMYFUNCTION("""COMPUTED_VALUE"""),0.0)</f>
        <v>0</v>
      </c>
      <c r="N667" s="67"/>
      <c r="R667" s="4"/>
    </row>
    <row r="668">
      <c r="A668" s="66"/>
      <c r="B668" s="67"/>
      <c r="C668" s="1"/>
      <c r="D668" s="1"/>
      <c r="E668" s="1"/>
      <c r="F668" s="1"/>
      <c r="G668" s="1"/>
      <c r="H668" s="1"/>
      <c r="I668" s="71">
        <f>IFERROR(__xludf.DUMMYFUNCTION("""COMPUTED_VALUE"""),0.0)</f>
        <v>0</v>
      </c>
      <c r="J668" s="69">
        <f>IFERROR(__xludf.DUMMYFUNCTION("""COMPUTED_VALUE"""),0.0)</f>
        <v>0</v>
      </c>
      <c r="K668" s="4">
        <f>IFERROR(__xludf.DUMMYFUNCTION("""COMPUTED_VALUE"""),0.0)</f>
        <v>0</v>
      </c>
      <c r="N668" s="67"/>
      <c r="R668" s="4"/>
    </row>
    <row r="669">
      <c r="A669" s="66"/>
      <c r="B669" s="67"/>
      <c r="C669" s="1"/>
      <c r="D669" s="1"/>
      <c r="E669" s="1"/>
      <c r="F669" s="1"/>
      <c r="G669" s="1"/>
      <c r="H669" s="1"/>
      <c r="I669" s="71">
        <f>IFERROR(__xludf.DUMMYFUNCTION("""COMPUTED_VALUE"""),0.0)</f>
        <v>0</v>
      </c>
      <c r="J669" s="69">
        <f>IFERROR(__xludf.DUMMYFUNCTION("""COMPUTED_VALUE"""),0.0)</f>
        <v>0</v>
      </c>
      <c r="K669" s="4">
        <f>IFERROR(__xludf.DUMMYFUNCTION("""COMPUTED_VALUE"""),0.0)</f>
        <v>0</v>
      </c>
      <c r="N669" s="67"/>
      <c r="R669" s="4"/>
    </row>
    <row r="670">
      <c r="A670" s="66"/>
      <c r="B670" s="67"/>
      <c r="C670" s="1"/>
      <c r="D670" s="1"/>
      <c r="E670" s="1"/>
      <c r="F670" s="1"/>
      <c r="G670" s="1"/>
      <c r="H670" s="1"/>
      <c r="I670" s="71">
        <f>IFERROR(__xludf.DUMMYFUNCTION("""COMPUTED_VALUE"""),0.0)</f>
        <v>0</v>
      </c>
      <c r="J670" s="69">
        <f>IFERROR(__xludf.DUMMYFUNCTION("""COMPUTED_VALUE"""),0.0)</f>
        <v>0</v>
      </c>
      <c r="K670" s="4">
        <f>IFERROR(__xludf.DUMMYFUNCTION("""COMPUTED_VALUE"""),0.0)</f>
        <v>0</v>
      </c>
      <c r="N670" s="67"/>
      <c r="R670" s="4"/>
    </row>
    <row r="671">
      <c r="A671" s="66"/>
      <c r="B671" s="67"/>
      <c r="C671" s="1"/>
      <c r="D671" s="1"/>
      <c r="E671" s="1"/>
      <c r="F671" s="1"/>
      <c r="G671" s="1"/>
      <c r="H671" s="1"/>
      <c r="I671" s="71">
        <f>IFERROR(__xludf.DUMMYFUNCTION("""COMPUTED_VALUE"""),0.0)</f>
        <v>0</v>
      </c>
      <c r="J671" s="69">
        <f>IFERROR(__xludf.DUMMYFUNCTION("""COMPUTED_VALUE"""),0.0)</f>
        <v>0</v>
      </c>
      <c r="K671" s="4">
        <f>IFERROR(__xludf.DUMMYFUNCTION("""COMPUTED_VALUE"""),0.0)</f>
        <v>0</v>
      </c>
      <c r="N671" s="67"/>
      <c r="R671" s="4"/>
    </row>
    <row r="672">
      <c r="A672" s="66"/>
      <c r="B672" s="67"/>
      <c r="C672" s="1"/>
      <c r="D672" s="1"/>
      <c r="E672" s="1"/>
      <c r="F672" s="1"/>
      <c r="G672" s="1"/>
      <c r="H672" s="1"/>
      <c r="I672" s="71">
        <f>IFERROR(__xludf.DUMMYFUNCTION("""COMPUTED_VALUE"""),0.0)</f>
        <v>0</v>
      </c>
      <c r="J672" s="69">
        <f>IFERROR(__xludf.DUMMYFUNCTION("""COMPUTED_VALUE"""),0.0)</f>
        <v>0</v>
      </c>
      <c r="K672" s="4">
        <f>IFERROR(__xludf.DUMMYFUNCTION("""COMPUTED_VALUE"""),0.0)</f>
        <v>0</v>
      </c>
      <c r="N672" s="67"/>
      <c r="R672" s="4"/>
    </row>
    <row r="673">
      <c r="A673" s="66"/>
      <c r="B673" s="67"/>
      <c r="C673" s="1"/>
      <c r="D673" s="1"/>
      <c r="E673" s="1"/>
      <c r="F673" s="1"/>
      <c r="G673" s="1"/>
      <c r="H673" s="1"/>
      <c r="I673" s="71">
        <f>IFERROR(__xludf.DUMMYFUNCTION("""COMPUTED_VALUE"""),0.0)</f>
        <v>0</v>
      </c>
      <c r="J673" s="69">
        <f>IFERROR(__xludf.DUMMYFUNCTION("""COMPUTED_VALUE"""),0.0)</f>
        <v>0</v>
      </c>
      <c r="K673" s="4">
        <f>IFERROR(__xludf.DUMMYFUNCTION("""COMPUTED_VALUE"""),0.0)</f>
        <v>0</v>
      </c>
      <c r="N673" s="67"/>
      <c r="R673" s="4"/>
    </row>
    <row r="674">
      <c r="A674" s="66"/>
      <c r="B674" s="67"/>
      <c r="C674" s="1"/>
      <c r="D674" s="1"/>
      <c r="E674" s="1"/>
      <c r="F674" s="1"/>
      <c r="G674" s="1"/>
      <c r="H674" s="1"/>
      <c r="I674" s="71">
        <f>IFERROR(__xludf.DUMMYFUNCTION("""COMPUTED_VALUE"""),0.0)</f>
        <v>0</v>
      </c>
      <c r="J674" s="69">
        <f>IFERROR(__xludf.DUMMYFUNCTION("""COMPUTED_VALUE"""),0.0)</f>
        <v>0</v>
      </c>
      <c r="K674" s="4">
        <f>IFERROR(__xludf.DUMMYFUNCTION("""COMPUTED_VALUE"""),0.0)</f>
        <v>0</v>
      </c>
      <c r="N674" s="67"/>
      <c r="R674" s="4"/>
    </row>
    <row r="675">
      <c r="A675" s="66"/>
      <c r="B675" s="67"/>
      <c r="C675" s="1"/>
      <c r="D675" s="1"/>
      <c r="E675" s="1"/>
      <c r="F675" s="1"/>
      <c r="G675" s="1"/>
      <c r="H675" s="1"/>
      <c r="I675" s="71">
        <f>IFERROR(__xludf.DUMMYFUNCTION("""COMPUTED_VALUE"""),0.0)</f>
        <v>0</v>
      </c>
      <c r="J675" s="69">
        <f>IFERROR(__xludf.DUMMYFUNCTION("""COMPUTED_VALUE"""),0.0)</f>
        <v>0</v>
      </c>
      <c r="K675" s="4">
        <f>IFERROR(__xludf.DUMMYFUNCTION("""COMPUTED_VALUE"""),0.0)</f>
        <v>0</v>
      </c>
      <c r="N675" s="67"/>
      <c r="R675" s="4"/>
    </row>
    <row r="676">
      <c r="A676" s="66"/>
      <c r="B676" s="67"/>
      <c r="C676" s="1"/>
      <c r="D676" s="1"/>
      <c r="E676" s="1"/>
      <c r="F676" s="1"/>
      <c r="G676" s="1"/>
      <c r="H676" s="1"/>
      <c r="I676" s="71">
        <f>IFERROR(__xludf.DUMMYFUNCTION("""COMPUTED_VALUE"""),0.0)</f>
        <v>0</v>
      </c>
      <c r="J676" s="69">
        <f>IFERROR(__xludf.DUMMYFUNCTION("""COMPUTED_VALUE"""),0.0)</f>
        <v>0</v>
      </c>
      <c r="K676" s="4">
        <f>IFERROR(__xludf.DUMMYFUNCTION("""COMPUTED_VALUE"""),0.0)</f>
        <v>0</v>
      </c>
      <c r="N676" s="67"/>
      <c r="R676" s="4"/>
    </row>
    <row r="677">
      <c r="A677" s="66"/>
      <c r="B677" s="67"/>
      <c r="C677" s="1"/>
      <c r="D677" s="1"/>
      <c r="E677" s="1"/>
      <c r="F677" s="1"/>
      <c r="G677" s="1"/>
      <c r="H677" s="1"/>
      <c r="I677" s="71">
        <f>IFERROR(__xludf.DUMMYFUNCTION("""COMPUTED_VALUE"""),0.0)</f>
        <v>0</v>
      </c>
      <c r="J677" s="69">
        <f>IFERROR(__xludf.DUMMYFUNCTION("""COMPUTED_VALUE"""),0.0)</f>
        <v>0</v>
      </c>
      <c r="K677" s="4">
        <f>IFERROR(__xludf.DUMMYFUNCTION("""COMPUTED_VALUE"""),0.0)</f>
        <v>0</v>
      </c>
      <c r="N677" s="67"/>
      <c r="R677" s="4"/>
    </row>
    <row r="678">
      <c r="A678" s="66"/>
      <c r="B678" s="67"/>
      <c r="C678" s="1"/>
      <c r="D678" s="1"/>
      <c r="E678" s="1"/>
      <c r="F678" s="1"/>
      <c r="G678" s="1"/>
      <c r="H678" s="1"/>
      <c r="I678" s="71">
        <f>IFERROR(__xludf.DUMMYFUNCTION("""COMPUTED_VALUE"""),0.0)</f>
        <v>0</v>
      </c>
      <c r="J678" s="69">
        <f>IFERROR(__xludf.DUMMYFUNCTION("""COMPUTED_VALUE"""),0.0)</f>
        <v>0</v>
      </c>
      <c r="K678" s="4">
        <f>IFERROR(__xludf.DUMMYFUNCTION("""COMPUTED_VALUE"""),0.0)</f>
        <v>0</v>
      </c>
      <c r="N678" s="67"/>
      <c r="R678" s="4"/>
    </row>
    <row r="679">
      <c r="A679" s="66"/>
      <c r="B679" s="67"/>
      <c r="C679" s="1"/>
      <c r="D679" s="1"/>
      <c r="E679" s="1"/>
      <c r="F679" s="1"/>
      <c r="G679" s="1"/>
      <c r="H679" s="1"/>
      <c r="I679" s="71">
        <f>IFERROR(__xludf.DUMMYFUNCTION("""COMPUTED_VALUE"""),0.0)</f>
        <v>0</v>
      </c>
      <c r="J679" s="69">
        <f>IFERROR(__xludf.DUMMYFUNCTION("""COMPUTED_VALUE"""),0.0)</f>
        <v>0</v>
      </c>
      <c r="K679" s="4">
        <f>IFERROR(__xludf.DUMMYFUNCTION("""COMPUTED_VALUE"""),0.0)</f>
        <v>0</v>
      </c>
      <c r="N679" s="67"/>
      <c r="R679" s="4"/>
    </row>
    <row r="680">
      <c r="A680" s="66"/>
      <c r="B680" s="67"/>
      <c r="C680" s="1"/>
      <c r="D680" s="1"/>
      <c r="E680" s="1"/>
      <c r="F680" s="1"/>
      <c r="G680" s="1"/>
      <c r="H680" s="1"/>
      <c r="I680" s="71">
        <f>IFERROR(__xludf.DUMMYFUNCTION("""COMPUTED_VALUE"""),0.0)</f>
        <v>0</v>
      </c>
      <c r="J680" s="69">
        <f>IFERROR(__xludf.DUMMYFUNCTION("""COMPUTED_VALUE"""),0.0)</f>
        <v>0</v>
      </c>
      <c r="K680" s="4">
        <f>IFERROR(__xludf.DUMMYFUNCTION("""COMPUTED_VALUE"""),0.0)</f>
        <v>0</v>
      </c>
      <c r="N680" s="67"/>
      <c r="R680" s="4"/>
    </row>
    <row r="681">
      <c r="A681" s="66"/>
      <c r="B681" s="67"/>
      <c r="C681" s="1"/>
      <c r="D681" s="1"/>
      <c r="E681" s="1"/>
      <c r="F681" s="1"/>
      <c r="G681" s="1"/>
      <c r="H681" s="1"/>
      <c r="I681" s="71">
        <f>IFERROR(__xludf.DUMMYFUNCTION("""COMPUTED_VALUE"""),0.0)</f>
        <v>0</v>
      </c>
      <c r="J681" s="69">
        <f>IFERROR(__xludf.DUMMYFUNCTION("""COMPUTED_VALUE"""),0.0)</f>
        <v>0</v>
      </c>
      <c r="K681" s="4">
        <f>IFERROR(__xludf.DUMMYFUNCTION("""COMPUTED_VALUE"""),0.0)</f>
        <v>0</v>
      </c>
      <c r="N681" s="67"/>
      <c r="R681" s="4"/>
    </row>
    <row r="682">
      <c r="A682" s="66"/>
      <c r="B682" s="67"/>
      <c r="C682" s="1"/>
      <c r="D682" s="1"/>
      <c r="E682" s="1"/>
      <c r="F682" s="1"/>
      <c r="G682" s="1"/>
      <c r="H682" s="1"/>
      <c r="I682" s="71">
        <f>IFERROR(__xludf.DUMMYFUNCTION("""COMPUTED_VALUE"""),0.0)</f>
        <v>0</v>
      </c>
      <c r="J682" s="69">
        <f>IFERROR(__xludf.DUMMYFUNCTION("""COMPUTED_VALUE"""),0.0)</f>
        <v>0</v>
      </c>
      <c r="K682" s="4">
        <f>IFERROR(__xludf.DUMMYFUNCTION("""COMPUTED_VALUE"""),0.0)</f>
        <v>0</v>
      </c>
      <c r="N682" s="67"/>
      <c r="R682" s="4"/>
    </row>
    <row r="683">
      <c r="A683" s="66"/>
      <c r="B683" s="67"/>
      <c r="C683" s="1"/>
      <c r="D683" s="1"/>
      <c r="E683" s="1"/>
      <c r="F683" s="1"/>
      <c r="G683" s="1"/>
      <c r="H683" s="1"/>
      <c r="I683" s="71">
        <f>IFERROR(__xludf.DUMMYFUNCTION("""COMPUTED_VALUE"""),0.0)</f>
        <v>0</v>
      </c>
      <c r="J683" s="69">
        <f>IFERROR(__xludf.DUMMYFUNCTION("""COMPUTED_VALUE"""),0.0)</f>
        <v>0</v>
      </c>
      <c r="K683" s="4">
        <f>IFERROR(__xludf.DUMMYFUNCTION("""COMPUTED_VALUE"""),0.0)</f>
        <v>0</v>
      </c>
      <c r="N683" s="67"/>
      <c r="R683" s="4"/>
    </row>
    <row r="684">
      <c r="A684" s="66"/>
      <c r="B684" s="67"/>
      <c r="C684" s="1"/>
      <c r="D684" s="1"/>
      <c r="E684" s="1"/>
      <c r="F684" s="1"/>
      <c r="G684" s="1"/>
      <c r="H684" s="1"/>
      <c r="I684" s="71">
        <f>IFERROR(__xludf.DUMMYFUNCTION("""COMPUTED_VALUE"""),0.0)</f>
        <v>0</v>
      </c>
      <c r="J684" s="69">
        <f>IFERROR(__xludf.DUMMYFUNCTION("""COMPUTED_VALUE"""),0.0)</f>
        <v>0</v>
      </c>
      <c r="K684" s="4">
        <f>IFERROR(__xludf.DUMMYFUNCTION("""COMPUTED_VALUE"""),0.0)</f>
        <v>0</v>
      </c>
      <c r="N684" s="67"/>
      <c r="R684" s="4"/>
    </row>
    <row r="685">
      <c r="A685" s="66"/>
      <c r="B685" s="67"/>
      <c r="C685" s="1"/>
      <c r="D685" s="1"/>
      <c r="E685" s="1"/>
      <c r="F685" s="1"/>
      <c r="G685" s="1"/>
      <c r="H685" s="1"/>
      <c r="I685" s="71">
        <f>IFERROR(__xludf.DUMMYFUNCTION("""COMPUTED_VALUE"""),0.0)</f>
        <v>0</v>
      </c>
      <c r="J685" s="69">
        <f>IFERROR(__xludf.DUMMYFUNCTION("""COMPUTED_VALUE"""),0.0)</f>
        <v>0</v>
      </c>
      <c r="K685" s="4">
        <f>IFERROR(__xludf.DUMMYFUNCTION("""COMPUTED_VALUE"""),0.0)</f>
        <v>0</v>
      </c>
      <c r="N685" s="67"/>
      <c r="R685" s="4"/>
    </row>
    <row r="686">
      <c r="A686" s="66"/>
      <c r="B686" s="67"/>
      <c r="C686" s="1"/>
      <c r="D686" s="1"/>
      <c r="E686" s="1"/>
      <c r="F686" s="1"/>
      <c r="G686" s="1"/>
      <c r="H686" s="1"/>
      <c r="I686" s="71">
        <f>IFERROR(__xludf.DUMMYFUNCTION("""COMPUTED_VALUE"""),0.0)</f>
        <v>0</v>
      </c>
      <c r="J686" s="69">
        <f>IFERROR(__xludf.DUMMYFUNCTION("""COMPUTED_VALUE"""),0.0)</f>
        <v>0</v>
      </c>
      <c r="K686" s="4">
        <f>IFERROR(__xludf.DUMMYFUNCTION("""COMPUTED_VALUE"""),0.0)</f>
        <v>0</v>
      </c>
      <c r="N686" s="67"/>
      <c r="R686" s="4"/>
    </row>
    <row r="687">
      <c r="A687" s="66"/>
      <c r="B687" s="67"/>
      <c r="C687" s="1"/>
      <c r="D687" s="1"/>
      <c r="E687" s="1"/>
      <c r="F687" s="1"/>
      <c r="G687" s="1"/>
      <c r="H687" s="1"/>
      <c r="I687" s="71">
        <f>IFERROR(__xludf.DUMMYFUNCTION("""COMPUTED_VALUE"""),0.0)</f>
        <v>0</v>
      </c>
      <c r="J687" s="69">
        <f>IFERROR(__xludf.DUMMYFUNCTION("""COMPUTED_VALUE"""),0.0)</f>
        <v>0</v>
      </c>
      <c r="K687" s="4">
        <f>IFERROR(__xludf.DUMMYFUNCTION("""COMPUTED_VALUE"""),0.0)</f>
        <v>0</v>
      </c>
      <c r="N687" s="67"/>
      <c r="R687" s="4"/>
    </row>
    <row r="688">
      <c r="A688" s="66"/>
      <c r="B688" s="67"/>
      <c r="C688" s="1"/>
      <c r="D688" s="1"/>
      <c r="E688" s="1"/>
      <c r="F688" s="1"/>
      <c r="G688" s="1"/>
      <c r="H688" s="1"/>
      <c r="I688" s="71">
        <f>IFERROR(__xludf.DUMMYFUNCTION("""COMPUTED_VALUE"""),0.0)</f>
        <v>0</v>
      </c>
      <c r="J688" s="69">
        <f>IFERROR(__xludf.DUMMYFUNCTION("""COMPUTED_VALUE"""),0.0)</f>
        <v>0</v>
      </c>
      <c r="K688" s="4">
        <f>IFERROR(__xludf.DUMMYFUNCTION("""COMPUTED_VALUE"""),0.0)</f>
        <v>0</v>
      </c>
      <c r="N688" s="67"/>
      <c r="R688" s="4"/>
    </row>
    <row r="689">
      <c r="A689" s="66"/>
      <c r="B689" s="67"/>
      <c r="C689" s="1"/>
      <c r="D689" s="1"/>
      <c r="E689" s="1"/>
      <c r="F689" s="1"/>
      <c r="G689" s="1"/>
      <c r="H689" s="1"/>
      <c r="I689" s="71">
        <f>IFERROR(__xludf.DUMMYFUNCTION("""COMPUTED_VALUE"""),0.0)</f>
        <v>0</v>
      </c>
      <c r="J689" s="69">
        <f>IFERROR(__xludf.DUMMYFUNCTION("""COMPUTED_VALUE"""),0.0)</f>
        <v>0</v>
      </c>
      <c r="K689" s="4">
        <f>IFERROR(__xludf.DUMMYFUNCTION("""COMPUTED_VALUE"""),0.0)</f>
        <v>0</v>
      </c>
      <c r="N689" s="67"/>
      <c r="R689" s="4"/>
    </row>
    <row r="690">
      <c r="A690" s="66"/>
      <c r="B690" s="67"/>
      <c r="C690" s="1"/>
      <c r="D690" s="1"/>
      <c r="E690" s="1"/>
      <c r="F690" s="1"/>
      <c r="G690" s="1"/>
      <c r="H690" s="1"/>
      <c r="I690" s="71">
        <f>IFERROR(__xludf.DUMMYFUNCTION("""COMPUTED_VALUE"""),0.0)</f>
        <v>0</v>
      </c>
      <c r="J690" s="69">
        <f>IFERROR(__xludf.DUMMYFUNCTION("""COMPUTED_VALUE"""),0.0)</f>
        <v>0</v>
      </c>
      <c r="K690" s="4">
        <f>IFERROR(__xludf.DUMMYFUNCTION("""COMPUTED_VALUE"""),0.0)</f>
        <v>0</v>
      </c>
      <c r="N690" s="67"/>
      <c r="R690" s="4"/>
    </row>
    <row r="691">
      <c r="A691" s="66"/>
      <c r="B691" s="67"/>
      <c r="C691" s="1"/>
      <c r="D691" s="1"/>
      <c r="E691" s="1"/>
      <c r="F691" s="1"/>
      <c r="G691" s="1"/>
      <c r="H691" s="1"/>
      <c r="I691" s="71">
        <f>IFERROR(__xludf.DUMMYFUNCTION("""COMPUTED_VALUE"""),0.0)</f>
        <v>0</v>
      </c>
      <c r="J691" s="69">
        <f>IFERROR(__xludf.DUMMYFUNCTION("""COMPUTED_VALUE"""),0.0)</f>
        <v>0</v>
      </c>
      <c r="K691" s="4">
        <f>IFERROR(__xludf.DUMMYFUNCTION("""COMPUTED_VALUE"""),0.0)</f>
        <v>0</v>
      </c>
      <c r="N691" s="67"/>
      <c r="R691" s="4"/>
    </row>
    <row r="692">
      <c r="A692" s="66"/>
      <c r="B692" s="67"/>
      <c r="C692" s="1"/>
      <c r="D692" s="1"/>
      <c r="E692" s="1"/>
      <c r="F692" s="1"/>
      <c r="G692" s="1"/>
      <c r="H692" s="1"/>
      <c r="I692" s="71">
        <f>IFERROR(__xludf.DUMMYFUNCTION("""COMPUTED_VALUE"""),0.0)</f>
        <v>0</v>
      </c>
      <c r="J692" s="69">
        <f>IFERROR(__xludf.DUMMYFUNCTION("""COMPUTED_VALUE"""),0.0)</f>
        <v>0</v>
      </c>
      <c r="K692" s="4">
        <f>IFERROR(__xludf.DUMMYFUNCTION("""COMPUTED_VALUE"""),0.0)</f>
        <v>0</v>
      </c>
      <c r="N692" s="67"/>
      <c r="R692" s="4"/>
    </row>
    <row r="693">
      <c r="A693" s="66"/>
      <c r="B693" s="67"/>
      <c r="C693" s="1"/>
      <c r="D693" s="1"/>
      <c r="E693" s="1"/>
      <c r="F693" s="1"/>
      <c r="G693" s="1"/>
      <c r="H693" s="1"/>
      <c r="I693" s="71">
        <f>IFERROR(__xludf.DUMMYFUNCTION("""COMPUTED_VALUE"""),0.0)</f>
        <v>0</v>
      </c>
      <c r="J693" s="69">
        <f>IFERROR(__xludf.DUMMYFUNCTION("""COMPUTED_VALUE"""),0.0)</f>
        <v>0</v>
      </c>
      <c r="K693" s="4">
        <f>IFERROR(__xludf.DUMMYFUNCTION("""COMPUTED_VALUE"""),0.0)</f>
        <v>0</v>
      </c>
      <c r="N693" s="67"/>
      <c r="R693" s="4"/>
    </row>
    <row r="694">
      <c r="A694" s="66"/>
      <c r="B694" s="67"/>
      <c r="C694" s="1"/>
      <c r="D694" s="1"/>
      <c r="E694" s="1"/>
      <c r="F694" s="1"/>
      <c r="G694" s="1"/>
      <c r="H694" s="1"/>
      <c r="I694" s="71">
        <f>IFERROR(__xludf.DUMMYFUNCTION("""COMPUTED_VALUE"""),0.0)</f>
        <v>0</v>
      </c>
      <c r="J694" s="69">
        <f>IFERROR(__xludf.DUMMYFUNCTION("""COMPUTED_VALUE"""),0.0)</f>
        <v>0</v>
      </c>
      <c r="K694" s="4">
        <f>IFERROR(__xludf.DUMMYFUNCTION("""COMPUTED_VALUE"""),0.0)</f>
        <v>0</v>
      </c>
      <c r="N694" s="67"/>
      <c r="R694" s="4"/>
    </row>
    <row r="695">
      <c r="A695" s="66"/>
      <c r="B695" s="67"/>
      <c r="C695" s="1"/>
      <c r="D695" s="1"/>
      <c r="E695" s="1"/>
      <c r="F695" s="1"/>
      <c r="G695" s="1"/>
      <c r="H695" s="1"/>
      <c r="I695" s="71">
        <f>IFERROR(__xludf.DUMMYFUNCTION("""COMPUTED_VALUE"""),0.0)</f>
        <v>0</v>
      </c>
      <c r="J695" s="69">
        <f>IFERROR(__xludf.DUMMYFUNCTION("""COMPUTED_VALUE"""),0.0)</f>
        <v>0</v>
      </c>
      <c r="K695" s="4">
        <f>IFERROR(__xludf.DUMMYFUNCTION("""COMPUTED_VALUE"""),0.0)</f>
        <v>0</v>
      </c>
      <c r="N695" s="67"/>
      <c r="R695" s="4"/>
    </row>
    <row r="696">
      <c r="A696" s="66"/>
      <c r="B696" s="67"/>
      <c r="C696" s="1"/>
      <c r="D696" s="1"/>
      <c r="E696" s="1"/>
      <c r="F696" s="1"/>
      <c r="G696" s="1"/>
      <c r="H696" s="1"/>
      <c r="I696" s="71">
        <f>IFERROR(__xludf.DUMMYFUNCTION("""COMPUTED_VALUE"""),0.0)</f>
        <v>0</v>
      </c>
      <c r="J696" s="69">
        <f>IFERROR(__xludf.DUMMYFUNCTION("""COMPUTED_VALUE"""),0.0)</f>
        <v>0</v>
      </c>
      <c r="K696" s="4">
        <f>IFERROR(__xludf.DUMMYFUNCTION("""COMPUTED_VALUE"""),0.0)</f>
        <v>0</v>
      </c>
      <c r="N696" s="67"/>
      <c r="R696" s="4"/>
    </row>
    <row r="697">
      <c r="A697" s="66"/>
      <c r="B697" s="67"/>
      <c r="C697" s="1"/>
      <c r="D697" s="1"/>
      <c r="E697" s="1"/>
      <c r="F697" s="1"/>
      <c r="G697" s="1"/>
      <c r="H697" s="1"/>
      <c r="I697" s="71">
        <f>IFERROR(__xludf.DUMMYFUNCTION("""COMPUTED_VALUE"""),0.0)</f>
        <v>0</v>
      </c>
      <c r="J697" s="69">
        <f>IFERROR(__xludf.DUMMYFUNCTION("""COMPUTED_VALUE"""),0.0)</f>
        <v>0</v>
      </c>
      <c r="K697" s="4">
        <f>IFERROR(__xludf.DUMMYFUNCTION("""COMPUTED_VALUE"""),0.0)</f>
        <v>0</v>
      </c>
      <c r="N697" s="67"/>
      <c r="R697" s="4"/>
    </row>
    <row r="698">
      <c r="A698" s="66"/>
      <c r="B698" s="67"/>
      <c r="C698" s="1"/>
      <c r="D698" s="1"/>
      <c r="E698" s="1"/>
      <c r="F698" s="1"/>
      <c r="G698" s="1"/>
      <c r="H698" s="1"/>
      <c r="I698" s="71">
        <f>IFERROR(__xludf.DUMMYFUNCTION("""COMPUTED_VALUE"""),0.0)</f>
        <v>0</v>
      </c>
      <c r="J698" s="69">
        <f>IFERROR(__xludf.DUMMYFUNCTION("""COMPUTED_VALUE"""),0.0)</f>
        <v>0</v>
      </c>
      <c r="K698" s="4">
        <f>IFERROR(__xludf.DUMMYFUNCTION("""COMPUTED_VALUE"""),0.0)</f>
        <v>0</v>
      </c>
      <c r="N698" s="67"/>
      <c r="R698" s="4"/>
    </row>
    <row r="699">
      <c r="A699" s="66"/>
      <c r="B699" s="67"/>
      <c r="C699" s="1"/>
      <c r="D699" s="1"/>
      <c r="E699" s="1"/>
      <c r="F699" s="1"/>
      <c r="G699" s="1"/>
      <c r="H699" s="1"/>
      <c r="I699" s="71">
        <f>IFERROR(__xludf.DUMMYFUNCTION("""COMPUTED_VALUE"""),0.0)</f>
        <v>0</v>
      </c>
      <c r="J699" s="69">
        <f>IFERROR(__xludf.DUMMYFUNCTION("""COMPUTED_VALUE"""),0.0)</f>
        <v>0</v>
      </c>
      <c r="K699" s="4">
        <f>IFERROR(__xludf.DUMMYFUNCTION("""COMPUTED_VALUE"""),0.0)</f>
        <v>0</v>
      </c>
      <c r="N699" s="67"/>
      <c r="R699" s="4"/>
    </row>
    <row r="700">
      <c r="A700" s="66"/>
      <c r="B700" s="67"/>
      <c r="C700" s="1"/>
      <c r="D700" s="1"/>
      <c r="E700" s="1"/>
      <c r="F700" s="1"/>
      <c r="G700" s="1"/>
      <c r="H700" s="1"/>
      <c r="I700" s="71">
        <f>IFERROR(__xludf.DUMMYFUNCTION("""COMPUTED_VALUE"""),0.0)</f>
        <v>0</v>
      </c>
      <c r="J700" s="69">
        <f>IFERROR(__xludf.DUMMYFUNCTION("""COMPUTED_VALUE"""),0.0)</f>
        <v>0</v>
      </c>
      <c r="K700" s="4">
        <f>IFERROR(__xludf.DUMMYFUNCTION("""COMPUTED_VALUE"""),0.0)</f>
        <v>0</v>
      </c>
      <c r="N700" s="67"/>
      <c r="R700" s="4"/>
    </row>
    <row r="701">
      <c r="A701" s="66"/>
      <c r="B701" s="67"/>
      <c r="C701" s="1"/>
      <c r="D701" s="1"/>
      <c r="E701" s="1"/>
      <c r="F701" s="1"/>
      <c r="G701" s="1"/>
      <c r="H701" s="1"/>
      <c r="I701" s="71">
        <f>IFERROR(__xludf.DUMMYFUNCTION("""COMPUTED_VALUE"""),0.0)</f>
        <v>0</v>
      </c>
      <c r="J701" s="69">
        <f>IFERROR(__xludf.DUMMYFUNCTION("""COMPUTED_VALUE"""),0.0)</f>
        <v>0</v>
      </c>
      <c r="K701" s="4">
        <f>IFERROR(__xludf.DUMMYFUNCTION("""COMPUTED_VALUE"""),0.0)</f>
        <v>0</v>
      </c>
      <c r="N701" s="67"/>
      <c r="R701" s="4"/>
    </row>
    <row r="702">
      <c r="A702" s="66"/>
      <c r="B702" s="67"/>
      <c r="C702" s="1"/>
      <c r="D702" s="1"/>
      <c r="E702" s="1"/>
      <c r="F702" s="1"/>
      <c r="G702" s="1"/>
      <c r="H702" s="1"/>
      <c r="I702" s="71">
        <f>IFERROR(__xludf.DUMMYFUNCTION("""COMPUTED_VALUE"""),0.0)</f>
        <v>0</v>
      </c>
      <c r="J702" s="69">
        <f>IFERROR(__xludf.DUMMYFUNCTION("""COMPUTED_VALUE"""),0.0)</f>
        <v>0</v>
      </c>
      <c r="K702" s="4">
        <f>IFERROR(__xludf.DUMMYFUNCTION("""COMPUTED_VALUE"""),0.0)</f>
        <v>0</v>
      </c>
      <c r="N702" s="67"/>
      <c r="R702" s="4"/>
    </row>
    <row r="703">
      <c r="A703" s="66"/>
      <c r="B703" s="67"/>
      <c r="C703" s="1"/>
      <c r="D703" s="1"/>
      <c r="E703" s="1"/>
      <c r="F703" s="1"/>
      <c r="G703" s="1"/>
      <c r="H703" s="1"/>
      <c r="I703" s="71">
        <f>IFERROR(__xludf.DUMMYFUNCTION("""COMPUTED_VALUE"""),0.0)</f>
        <v>0</v>
      </c>
      <c r="J703" s="69">
        <f>IFERROR(__xludf.DUMMYFUNCTION("""COMPUTED_VALUE"""),0.0)</f>
        <v>0</v>
      </c>
      <c r="K703" s="4">
        <f>IFERROR(__xludf.DUMMYFUNCTION("""COMPUTED_VALUE"""),0.0)</f>
        <v>0</v>
      </c>
      <c r="N703" s="67"/>
      <c r="R703" s="4"/>
    </row>
    <row r="704">
      <c r="A704" s="66"/>
      <c r="B704" s="67"/>
      <c r="C704" s="1"/>
      <c r="D704" s="1"/>
      <c r="E704" s="1"/>
      <c r="F704" s="1"/>
      <c r="G704" s="1"/>
      <c r="H704" s="1"/>
      <c r="I704" s="71">
        <f>IFERROR(__xludf.DUMMYFUNCTION("""COMPUTED_VALUE"""),0.0)</f>
        <v>0</v>
      </c>
      <c r="J704" s="69">
        <f>IFERROR(__xludf.DUMMYFUNCTION("""COMPUTED_VALUE"""),0.0)</f>
        <v>0</v>
      </c>
      <c r="K704" s="4">
        <f>IFERROR(__xludf.DUMMYFUNCTION("""COMPUTED_VALUE"""),0.0)</f>
        <v>0</v>
      </c>
      <c r="N704" s="67"/>
      <c r="R704" s="4"/>
    </row>
    <row r="705">
      <c r="A705" s="66"/>
      <c r="B705" s="67"/>
      <c r="C705" s="1"/>
      <c r="D705" s="1"/>
      <c r="E705" s="1"/>
      <c r="F705" s="1"/>
      <c r="G705" s="1"/>
      <c r="H705" s="1"/>
      <c r="I705" s="71">
        <f>IFERROR(__xludf.DUMMYFUNCTION("""COMPUTED_VALUE"""),0.0)</f>
        <v>0</v>
      </c>
      <c r="J705" s="69">
        <f>IFERROR(__xludf.DUMMYFUNCTION("""COMPUTED_VALUE"""),0.0)</f>
        <v>0</v>
      </c>
      <c r="K705" s="4">
        <f>IFERROR(__xludf.DUMMYFUNCTION("""COMPUTED_VALUE"""),0.0)</f>
        <v>0</v>
      </c>
      <c r="N705" s="67"/>
      <c r="R705" s="4"/>
    </row>
    <row r="706">
      <c r="A706" s="66"/>
      <c r="B706" s="67"/>
      <c r="C706" s="1"/>
      <c r="D706" s="1"/>
      <c r="E706" s="1"/>
      <c r="F706" s="1"/>
      <c r="G706" s="1"/>
      <c r="H706" s="1"/>
      <c r="I706" s="71">
        <f>IFERROR(__xludf.DUMMYFUNCTION("""COMPUTED_VALUE"""),0.0)</f>
        <v>0</v>
      </c>
      <c r="J706" s="69">
        <f>IFERROR(__xludf.DUMMYFUNCTION("""COMPUTED_VALUE"""),0.0)</f>
        <v>0</v>
      </c>
      <c r="K706" s="4">
        <f>IFERROR(__xludf.DUMMYFUNCTION("""COMPUTED_VALUE"""),0.0)</f>
        <v>0</v>
      </c>
      <c r="N706" s="67"/>
      <c r="R706" s="4"/>
    </row>
    <row r="707">
      <c r="A707" s="66"/>
      <c r="B707" s="67"/>
      <c r="C707" s="1"/>
      <c r="D707" s="1"/>
      <c r="E707" s="1"/>
      <c r="F707" s="1"/>
      <c r="G707" s="1"/>
      <c r="H707" s="1"/>
      <c r="I707" s="71">
        <f>IFERROR(__xludf.DUMMYFUNCTION("""COMPUTED_VALUE"""),0.0)</f>
        <v>0</v>
      </c>
      <c r="J707" s="69">
        <f>IFERROR(__xludf.DUMMYFUNCTION("""COMPUTED_VALUE"""),0.0)</f>
        <v>0</v>
      </c>
      <c r="K707" s="4">
        <f>IFERROR(__xludf.DUMMYFUNCTION("""COMPUTED_VALUE"""),0.0)</f>
        <v>0</v>
      </c>
      <c r="N707" s="67"/>
      <c r="R707" s="4"/>
    </row>
    <row r="708">
      <c r="A708" s="66"/>
      <c r="B708" s="67"/>
      <c r="C708" s="1"/>
      <c r="D708" s="1"/>
      <c r="E708" s="1"/>
      <c r="F708" s="1"/>
      <c r="G708" s="1"/>
      <c r="H708" s="1"/>
      <c r="I708" s="71">
        <f>IFERROR(__xludf.DUMMYFUNCTION("""COMPUTED_VALUE"""),0.0)</f>
        <v>0</v>
      </c>
      <c r="J708" s="69">
        <f>IFERROR(__xludf.DUMMYFUNCTION("""COMPUTED_VALUE"""),0.0)</f>
        <v>0</v>
      </c>
      <c r="K708" s="4">
        <f>IFERROR(__xludf.DUMMYFUNCTION("""COMPUTED_VALUE"""),0.0)</f>
        <v>0</v>
      </c>
      <c r="N708" s="67"/>
      <c r="R708" s="4"/>
    </row>
    <row r="709">
      <c r="A709" s="66"/>
      <c r="B709" s="67"/>
      <c r="C709" s="1"/>
      <c r="D709" s="1"/>
      <c r="E709" s="1"/>
      <c r="F709" s="1"/>
      <c r="G709" s="1"/>
      <c r="H709" s="1"/>
      <c r="I709" s="71">
        <f>IFERROR(__xludf.DUMMYFUNCTION("""COMPUTED_VALUE"""),0.0)</f>
        <v>0</v>
      </c>
      <c r="J709" s="69">
        <f>IFERROR(__xludf.DUMMYFUNCTION("""COMPUTED_VALUE"""),0.0)</f>
        <v>0</v>
      </c>
      <c r="K709" s="4">
        <f>IFERROR(__xludf.DUMMYFUNCTION("""COMPUTED_VALUE"""),0.0)</f>
        <v>0</v>
      </c>
      <c r="N709" s="67"/>
      <c r="R709" s="4"/>
    </row>
    <row r="710">
      <c r="A710" s="66"/>
      <c r="B710" s="67"/>
      <c r="C710" s="1"/>
      <c r="D710" s="1"/>
      <c r="E710" s="1"/>
      <c r="F710" s="1"/>
      <c r="G710" s="1"/>
      <c r="H710" s="1"/>
      <c r="I710" s="71">
        <f>IFERROR(__xludf.DUMMYFUNCTION("""COMPUTED_VALUE"""),0.0)</f>
        <v>0</v>
      </c>
      <c r="J710" s="69">
        <f>IFERROR(__xludf.DUMMYFUNCTION("""COMPUTED_VALUE"""),0.0)</f>
        <v>0</v>
      </c>
      <c r="K710" s="4">
        <f>IFERROR(__xludf.DUMMYFUNCTION("""COMPUTED_VALUE"""),0.0)</f>
        <v>0</v>
      </c>
      <c r="N710" s="67"/>
      <c r="R710" s="4"/>
    </row>
    <row r="711">
      <c r="A711" s="66"/>
      <c r="B711" s="67"/>
      <c r="C711" s="1"/>
      <c r="D711" s="1"/>
      <c r="E711" s="1"/>
      <c r="F711" s="1"/>
      <c r="G711" s="1"/>
      <c r="H711" s="1"/>
      <c r="I711" s="71">
        <f>IFERROR(__xludf.DUMMYFUNCTION("""COMPUTED_VALUE"""),0.0)</f>
        <v>0</v>
      </c>
      <c r="J711" s="69">
        <f>IFERROR(__xludf.DUMMYFUNCTION("""COMPUTED_VALUE"""),0.0)</f>
        <v>0</v>
      </c>
      <c r="K711" s="4">
        <f>IFERROR(__xludf.DUMMYFUNCTION("""COMPUTED_VALUE"""),0.0)</f>
        <v>0</v>
      </c>
      <c r="N711" s="67"/>
      <c r="R711" s="4"/>
    </row>
    <row r="712">
      <c r="A712" s="66"/>
      <c r="B712" s="67"/>
      <c r="C712" s="1"/>
      <c r="D712" s="1"/>
      <c r="E712" s="1"/>
      <c r="F712" s="1"/>
      <c r="G712" s="1"/>
      <c r="H712" s="1"/>
      <c r="I712" s="71">
        <f>IFERROR(__xludf.DUMMYFUNCTION("""COMPUTED_VALUE"""),0.0)</f>
        <v>0</v>
      </c>
      <c r="J712" s="69">
        <f>IFERROR(__xludf.DUMMYFUNCTION("""COMPUTED_VALUE"""),0.0)</f>
        <v>0</v>
      </c>
      <c r="K712" s="4">
        <f>IFERROR(__xludf.DUMMYFUNCTION("""COMPUTED_VALUE"""),0.0)</f>
        <v>0</v>
      </c>
      <c r="N712" s="67"/>
      <c r="R712" s="4"/>
    </row>
    <row r="713">
      <c r="A713" s="66"/>
      <c r="B713" s="67"/>
      <c r="C713" s="1"/>
      <c r="D713" s="1"/>
      <c r="E713" s="1"/>
      <c r="F713" s="1"/>
      <c r="G713" s="1"/>
      <c r="H713" s="1"/>
      <c r="I713" s="71">
        <f>IFERROR(__xludf.DUMMYFUNCTION("""COMPUTED_VALUE"""),0.0)</f>
        <v>0</v>
      </c>
      <c r="J713" s="69">
        <f>IFERROR(__xludf.DUMMYFUNCTION("""COMPUTED_VALUE"""),0.0)</f>
        <v>0</v>
      </c>
      <c r="K713" s="4">
        <f>IFERROR(__xludf.DUMMYFUNCTION("""COMPUTED_VALUE"""),0.0)</f>
        <v>0</v>
      </c>
      <c r="N713" s="67"/>
      <c r="R713" s="4"/>
    </row>
    <row r="714">
      <c r="A714" s="66"/>
      <c r="B714" s="67"/>
      <c r="C714" s="1"/>
      <c r="D714" s="1"/>
      <c r="E714" s="1"/>
      <c r="F714" s="1"/>
      <c r="G714" s="1"/>
      <c r="H714" s="1"/>
      <c r="I714" s="71">
        <f>IFERROR(__xludf.DUMMYFUNCTION("""COMPUTED_VALUE"""),0.0)</f>
        <v>0</v>
      </c>
      <c r="J714" s="69">
        <f>IFERROR(__xludf.DUMMYFUNCTION("""COMPUTED_VALUE"""),0.0)</f>
        <v>0</v>
      </c>
      <c r="K714" s="4">
        <f>IFERROR(__xludf.DUMMYFUNCTION("""COMPUTED_VALUE"""),0.0)</f>
        <v>0</v>
      </c>
      <c r="N714" s="67"/>
      <c r="R714" s="4"/>
    </row>
    <row r="715">
      <c r="A715" s="66"/>
      <c r="B715" s="67"/>
      <c r="C715" s="1"/>
      <c r="D715" s="1"/>
      <c r="E715" s="1"/>
      <c r="F715" s="1"/>
      <c r="G715" s="1"/>
      <c r="H715" s="1"/>
      <c r="I715" s="71">
        <f>IFERROR(__xludf.DUMMYFUNCTION("""COMPUTED_VALUE"""),0.0)</f>
        <v>0</v>
      </c>
      <c r="J715" s="69">
        <f>IFERROR(__xludf.DUMMYFUNCTION("""COMPUTED_VALUE"""),0.0)</f>
        <v>0</v>
      </c>
      <c r="K715" s="4">
        <f>IFERROR(__xludf.DUMMYFUNCTION("""COMPUTED_VALUE"""),0.0)</f>
        <v>0</v>
      </c>
      <c r="N715" s="67"/>
      <c r="R715" s="4"/>
    </row>
    <row r="716">
      <c r="A716" s="66"/>
      <c r="B716" s="67"/>
      <c r="C716" s="1"/>
      <c r="D716" s="1"/>
      <c r="E716" s="1"/>
      <c r="F716" s="1"/>
      <c r="G716" s="1"/>
      <c r="H716" s="1"/>
      <c r="I716" s="71">
        <f>IFERROR(__xludf.DUMMYFUNCTION("""COMPUTED_VALUE"""),0.0)</f>
        <v>0</v>
      </c>
      <c r="J716" s="69">
        <f>IFERROR(__xludf.DUMMYFUNCTION("""COMPUTED_VALUE"""),0.0)</f>
        <v>0</v>
      </c>
      <c r="K716" s="4">
        <f>IFERROR(__xludf.DUMMYFUNCTION("""COMPUTED_VALUE"""),0.0)</f>
        <v>0</v>
      </c>
      <c r="N716" s="67"/>
      <c r="R716" s="4"/>
    </row>
    <row r="717">
      <c r="A717" s="66"/>
      <c r="B717" s="67"/>
      <c r="C717" s="1"/>
      <c r="D717" s="1"/>
      <c r="E717" s="1"/>
      <c r="F717" s="1"/>
      <c r="G717" s="1"/>
      <c r="H717" s="1"/>
      <c r="I717" s="71">
        <f>IFERROR(__xludf.DUMMYFUNCTION("""COMPUTED_VALUE"""),0.0)</f>
        <v>0</v>
      </c>
      <c r="J717" s="69">
        <f>IFERROR(__xludf.DUMMYFUNCTION("""COMPUTED_VALUE"""),0.0)</f>
        <v>0</v>
      </c>
      <c r="K717" s="4">
        <f>IFERROR(__xludf.DUMMYFUNCTION("""COMPUTED_VALUE"""),0.0)</f>
        <v>0</v>
      </c>
      <c r="N717" s="67"/>
      <c r="R717" s="4"/>
    </row>
    <row r="718">
      <c r="A718" s="66"/>
      <c r="B718" s="67"/>
      <c r="C718" s="1"/>
      <c r="D718" s="1"/>
      <c r="E718" s="1"/>
      <c r="F718" s="1"/>
      <c r="G718" s="1"/>
      <c r="H718" s="1"/>
      <c r="I718" s="71">
        <f>IFERROR(__xludf.DUMMYFUNCTION("""COMPUTED_VALUE"""),0.0)</f>
        <v>0</v>
      </c>
      <c r="J718" s="69">
        <f>IFERROR(__xludf.DUMMYFUNCTION("""COMPUTED_VALUE"""),0.0)</f>
        <v>0</v>
      </c>
      <c r="K718" s="4">
        <f>IFERROR(__xludf.DUMMYFUNCTION("""COMPUTED_VALUE"""),0.0)</f>
        <v>0</v>
      </c>
      <c r="N718" s="67"/>
      <c r="R718" s="4"/>
    </row>
    <row r="719">
      <c r="A719" s="66"/>
      <c r="B719" s="67"/>
      <c r="C719" s="1"/>
      <c r="D719" s="1"/>
      <c r="E719" s="1"/>
      <c r="F719" s="1"/>
      <c r="G719" s="1"/>
      <c r="H719" s="1"/>
      <c r="I719" s="71">
        <f>IFERROR(__xludf.DUMMYFUNCTION("""COMPUTED_VALUE"""),0.0)</f>
        <v>0</v>
      </c>
      <c r="J719" s="69">
        <f>IFERROR(__xludf.DUMMYFUNCTION("""COMPUTED_VALUE"""),0.0)</f>
        <v>0</v>
      </c>
      <c r="K719" s="4">
        <f>IFERROR(__xludf.DUMMYFUNCTION("""COMPUTED_VALUE"""),0.0)</f>
        <v>0</v>
      </c>
      <c r="N719" s="67"/>
      <c r="R719" s="4"/>
    </row>
    <row r="720">
      <c r="A720" s="66"/>
      <c r="B720" s="67"/>
      <c r="C720" s="1"/>
      <c r="D720" s="1"/>
      <c r="E720" s="1"/>
      <c r="F720" s="1"/>
      <c r="G720" s="1"/>
      <c r="H720" s="1"/>
      <c r="I720" s="71">
        <f>IFERROR(__xludf.DUMMYFUNCTION("""COMPUTED_VALUE"""),0.0)</f>
        <v>0</v>
      </c>
      <c r="J720" s="69">
        <f>IFERROR(__xludf.DUMMYFUNCTION("""COMPUTED_VALUE"""),0.0)</f>
        <v>0</v>
      </c>
      <c r="K720" s="4">
        <f>IFERROR(__xludf.DUMMYFUNCTION("""COMPUTED_VALUE"""),0.0)</f>
        <v>0</v>
      </c>
      <c r="N720" s="67"/>
      <c r="R720" s="4"/>
    </row>
    <row r="721">
      <c r="A721" s="66"/>
      <c r="B721" s="67"/>
      <c r="C721" s="1"/>
      <c r="D721" s="1"/>
      <c r="E721" s="1"/>
      <c r="F721" s="1"/>
      <c r="G721" s="1"/>
      <c r="H721" s="1"/>
      <c r="I721" s="71">
        <f>IFERROR(__xludf.DUMMYFUNCTION("""COMPUTED_VALUE"""),0.0)</f>
        <v>0</v>
      </c>
      <c r="J721" s="69">
        <f>IFERROR(__xludf.DUMMYFUNCTION("""COMPUTED_VALUE"""),0.0)</f>
        <v>0</v>
      </c>
      <c r="K721" s="4">
        <f>IFERROR(__xludf.DUMMYFUNCTION("""COMPUTED_VALUE"""),0.0)</f>
        <v>0</v>
      </c>
      <c r="N721" s="67"/>
      <c r="R721" s="4"/>
    </row>
    <row r="722">
      <c r="A722" s="66"/>
      <c r="B722" s="67"/>
      <c r="C722" s="1"/>
      <c r="D722" s="1"/>
      <c r="E722" s="1"/>
      <c r="F722" s="1"/>
      <c r="G722" s="1"/>
      <c r="H722" s="1"/>
      <c r="I722" s="71">
        <f>IFERROR(__xludf.DUMMYFUNCTION("""COMPUTED_VALUE"""),0.0)</f>
        <v>0</v>
      </c>
      <c r="J722" s="69">
        <f>IFERROR(__xludf.DUMMYFUNCTION("""COMPUTED_VALUE"""),0.0)</f>
        <v>0</v>
      </c>
      <c r="K722" s="4">
        <f>IFERROR(__xludf.DUMMYFUNCTION("""COMPUTED_VALUE"""),0.0)</f>
        <v>0</v>
      </c>
      <c r="N722" s="67"/>
      <c r="R722" s="4"/>
    </row>
    <row r="723">
      <c r="A723" s="66"/>
      <c r="B723" s="67"/>
      <c r="C723" s="1"/>
      <c r="D723" s="1"/>
      <c r="E723" s="1"/>
      <c r="F723" s="1"/>
      <c r="G723" s="1"/>
      <c r="H723" s="1"/>
      <c r="I723" s="71">
        <f>IFERROR(__xludf.DUMMYFUNCTION("""COMPUTED_VALUE"""),0.0)</f>
        <v>0</v>
      </c>
      <c r="J723" s="69">
        <f>IFERROR(__xludf.DUMMYFUNCTION("""COMPUTED_VALUE"""),0.0)</f>
        <v>0</v>
      </c>
      <c r="K723" s="4">
        <f>IFERROR(__xludf.DUMMYFUNCTION("""COMPUTED_VALUE"""),0.0)</f>
        <v>0</v>
      </c>
      <c r="N723" s="67"/>
      <c r="R723" s="4"/>
    </row>
    <row r="724">
      <c r="A724" s="66"/>
      <c r="B724" s="67"/>
      <c r="C724" s="1"/>
      <c r="D724" s="1"/>
      <c r="E724" s="1"/>
      <c r="F724" s="1"/>
      <c r="G724" s="1"/>
      <c r="H724" s="1"/>
      <c r="I724" s="71">
        <f>IFERROR(__xludf.DUMMYFUNCTION("""COMPUTED_VALUE"""),0.0)</f>
        <v>0</v>
      </c>
      <c r="J724" s="69">
        <f>IFERROR(__xludf.DUMMYFUNCTION("""COMPUTED_VALUE"""),0.0)</f>
        <v>0</v>
      </c>
      <c r="K724" s="4">
        <f>IFERROR(__xludf.DUMMYFUNCTION("""COMPUTED_VALUE"""),0.0)</f>
        <v>0</v>
      </c>
      <c r="N724" s="67"/>
      <c r="R724" s="4"/>
    </row>
    <row r="725">
      <c r="A725" s="66"/>
      <c r="B725" s="67"/>
      <c r="C725" s="1"/>
      <c r="D725" s="1"/>
      <c r="E725" s="1"/>
      <c r="F725" s="1"/>
      <c r="G725" s="1"/>
      <c r="H725" s="1"/>
      <c r="I725" s="71">
        <f>IFERROR(__xludf.DUMMYFUNCTION("""COMPUTED_VALUE"""),0.0)</f>
        <v>0</v>
      </c>
      <c r="J725" s="69">
        <f>IFERROR(__xludf.DUMMYFUNCTION("""COMPUTED_VALUE"""),0.0)</f>
        <v>0</v>
      </c>
      <c r="K725" s="4">
        <f>IFERROR(__xludf.DUMMYFUNCTION("""COMPUTED_VALUE"""),0.0)</f>
        <v>0</v>
      </c>
      <c r="N725" s="67"/>
      <c r="R725" s="4"/>
    </row>
    <row r="726">
      <c r="A726" s="66"/>
      <c r="B726" s="67"/>
      <c r="C726" s="1"/>
      <c r="D726" s="1"/>
      <c r="E726" s="1"/>
      <c r="F726" s="1"/>
      <c r="G726" s="1"/>
      <c r="H726" s="1"/>
      <c r="I726" s="71">
        <f>IFERROR(__xludf.DUMMYFUNCTION("""COMPUTED_VALUE"""),0.0)</f>
        <v>0</v>
      </c>
      <c r="J726" s="69">
        <f>IFERROR(__xludf.DUMMYFUNCTION("""COMPUTED_VALUE"""),0.0)</f>
        <v>0</v>
      </c>
      <c r="K726" s="4">
        <f>IFERROR(__xludf.DUMMYFUNCTION("""COMPUTED_VALUE"""),0.0)</f>
        <v>0</v>
      </c>
      <c r="N726" s="67"/>
      <c r="R726" s="4"/>
    </row>
    <row r="727">
      <c r="A727" s="66"/>
      <c r="B727" s="67"/>
      <c r="C727" s="1"/>
      <c r="D727" s="1"/>
      <c r="E727" s="1"/>
      <c r="F727" s="1"/>
      <c r="G727" s="1"/>
      <c r="H727" s="1"/>
      <c r="I727" s="71">
        <f>IFERROR(__xludf.DUMMYFUNCTION("""COMPUTED_VALUE"""),0.0)</f>
        <v>0</v>
      </c>
      <c r="J727" s="69">
        <f>IFERROR(__xludf.DUMMYFUNCTION("""COMPUTED_VALUE"""),0.0)</f>
        <v>0</v>
      </c>
      <c r="K727" s="4">
        <f>IFERROR(__xludf.DUMMYFUNCTION("""COMPUTED_VALUE"""),0.0)</f>
        <v>0</v>
      </c>
      <c r="N727" s="67"/>
      <c r="R727" s="4"/>
    </row>
    <row r="728">
      <c r="A728" s="66"/>
      <c r="B728" s="67"/>
      <c r="C728" s="1"/>
      <c r="D728" s="1"/>
      <c r="E728" s="1"/>
      <c r="F728" s="1"/>
      <c r="G728" s="1"/>
      <c r="H728" s="1"/>
      <c r="I728" s="71">
        <f>IFERROR(__xludf.DUMMYFUNCTION("""COMPUTED_VALUE"""),0.0)</f>
        <v>0</v>
      </c>
      <c r="J728" s="69">
        <f>IFERROR(__xludf.DUMMYFUNCTION("""COMPUTED_VALUE"""),0.0)</f>
        <v>0</v>
      </c>
      <c r="K728" s="4">
        <f>IFERROR(__xludf.DUMMYFUNCTION("""COMPUTED_VALUE"""),0.0)</f>
        <v>0</v>
      </c>
      <c r="N728" s="67"/>
      <c r="R728" s="4"/>
    </row>
    <row r="729">
      <c r="A729" s="66"/>
      <c r="B729" s="67"/>
      <c r="C729" s="1"/>
      <c r="D729" s="1"/>
      <c r="E729" s="1"/>
      <c r="F729" s="1"/>
      <c r="G729" s="1"/>
      <c r="H729" s="1"/>
      <c r="I729" s="71">
        <f>IFERROR(__xludf.DUMMYFUNCTION("""COMPUTED_VALUE"""),0.0)</f>
        <v>0</v>
      </c>
      <c r="J729" s="69">
        <f>IFERROR(__xludf.DUMMYFUNCTION("""COMPUTED_VALUE"""),0.0)</f>
        <v>0</v>
      </c>
      <c r="K729" s="4">
        <f>IFERROR(__xludf.DUMMYFUNCTION("""COMPUTED_VALUE"""),0.0)</f>
        <v>0</v>
      </c>
      <c r="N729" s="67"/>
      <c r="R729" s="4"/>
    </row>
    <row r="730">
      <c r="A730" s="66"/>
      <c r="B730" s="67"/>
      <c r="C730" s="1"/>
      <c r="D730" s="1"/>
      <c r="E730" s="1"/>
      <c r="F730" s="1"/>
      <c r="G730" s="1"/>
      <c r="H730" s="1"/>
      <c r="I730" s="71">
        <f>IFERROR(__xludf.DUMMYFUNCTION("""COMPUTED_VALUE"""),0.0)</f>
        <v>0</v>
      </c>
      <c r="J730" s="69">
        <f>IFERROR(__xludf.DUMMYFUNCTION("""COMPUTED_VALUE"""),0.0)</f>
        <v>0</v>
      </c>
      <c r="K730" s="4">
        <f>IFERROR(__xludf.DUMMYFUNCTION("""COMPUTED_VALUE"""),0.0)</f>
        <v>0</v>
      </c>
      <c r="N730" s="67"/>
      <c r="R730" s="4"/>
    </row>
    <row r="731">
      <c r="A731" s="66"/>
      <c r="B731" s="67"/>
      <c r="C731" s="1"/>
      <c r="D731" s="1"/>
      <c r="E731" s="1"/>
      <c r="F731" s="1"/>
      <c r="G731" s="1"/>
      <c r="H731" s="1"/>
      <c r="I731" s="71">
        <f>IFERROR(__xludf.DUMMYFUNCTION("""COMPUTED_VALUE"""),0.0)</f>
        <v>0</v>
      </c>
      <c r="J731" s="69">
        <f>IFERROR(__xludf.DUMMYFUNCTION("""COMPUTED_VALUE"""),0.0)</f>
        <v>0</v>
      </c>
      <c r="K731" s="4">
        <f>IFERROR(__xludf.DUMMYFUNCTION("""COMPUTED_VALUE"""),0.0)</f>
        <v>0</v>
      </c>
      <c r="N731" s="67"/>
      <c r="R731" s="4"/>
    </row>
    <row r="732">
      <c r="A732" s="66"/>
      <c r="B732" s="67"/>
      <c r="C732" s="1"/>
      <c r="D732" s="1"/>
      <c r="E732" s="1"/>
      <c r="F732" s="1"/>
      <c r="G732" s="1"/>
      <c r="H732" s="1"/>
      <c r="I732" s="71">
        <f>IFERROR(__xludf.DUMMYFUNCTION("""COMPUTED_VALUE"""),0.0)</f>
        <v>0</v>
      </c>
      <c r="J732" s="69">
        <f>IFERROR(__xludf.DUMMYFUNCTION("""COMPUTED_VALUE"""),0.0)</f>
        <v>0</v>
      </c>
      <c r="K732" s="4">
        <f>IFERROR(__xludf.DUMMYFUNCTION("""COMPUTED_VALUE"""),0.0)</f>
        <v>0</v>
      </c>
      <c r="N732" s="67"/>
      <c r="R732" s="4"/>
    </row>
    <row r="733">
      <c r="A733" s="66"/>
      <c r="B733" s="67"/>
      <c r="C733" s="1"/>
      <c r="D733" s="1"/>
      <c r="E733" s="1"/>
      <c r="F733" s="1"/>
      <c r="G733" s="1"/>
      <c r="H733" s="1"/>
      <c r="I733" s="71">
        <f>IFERROR(__xludf.DUMMYFUNCTION("""COMPUTED_VALUE"""),0.0)</f>
        <v>0</v>
      </c>
      <c r="J733" s="69">
        <f>IFERROR(__xludf.DUMMYFUNCTION("""COMPUTED_VALUE"""),0.0)</f>
        <v>0</v>
      </c>
      <c r="K733" s="4">
        <f>IFERROR(__xludf.DUMMYFUNCTION("""COMPUTED_VALUE"""),0.0)</f>
        <v>0</v>
      </c>
      <c r="N733" s="67"/>
      <c r="R733" s="4"/>
    </row>
    <row r="734">
      <c r="A734" s="66"/>
      <c r="B734" s="67"/>
      <c r="C734" s="1"/>
      <c r="D734" s="1"/>
      <c r="E734" s="1"/>
      <c r="F734" s="1"/>
      <c r="G734" s="1"/>
      <c r="H734" s="1"/>
      <c r="I734" s="71">
        <f>IFERROR(__xludf.DUMMYFUNCTION("""COMPUTED_VALUE"""),0.0)</f>
        <v>0</v>
      </c>
      <c r="J734" s="69">
        <f>IFERROR(__xludf.DUMMYFUNCTION("""COMPUTED_VALUE"""),0.0)</f>
        <v>0</v>
      </c>
      <c r="K734" s="4">
        <f>IFERROR(__xludf.DUMMYFUNCTION("""COMPUTED_VALUE"""),0.0)</f>
        <v>0</v>
      </c>
      <c r="N734" s="67"/>
      <c r="R734" s="4"/>
    </row>
    <row r="735">
      <c r="A735" s="66"/>
      <c r="B735" s="67"/>
      <c r="C735" s="1"/>
      <c r="D735" s="1"/>
      <c r="E735" s="1"/>
      <c r="F735" s="1"/>
      <c r="G735" s="1"/>
      <c r="H735" s="1"/>
      <c r="I735" s="71">
        <f>IFERROR(__xludf.DUMMYFUNCTION("""COMPUTED_VALUE"""),0.0)</f>
        <v>0</v>
      </c>
      <c r="J735" s="69">
        <f>IFERROR(__xludf.DUMMYFUNCTION("""COMPUTED_VALUE"""),0.0)</f>
        <v>0</v>
      </c>
      <c r="K735" s="4">
        <f>IFERROR(__xludf.DUMMYFUNCTION("""COMPUTED_VALUE"""),0.0)</f>
        <v>0</v>
      </c>
      <c r="N735" s="67"/>
      <c r="R735" s="4"/>
    </row>
    <row r="736">
      <c r="A736" s="66"/>
      <c r="B736" s="67"/>
      <c r="C736" s="1"/>
      <c r="D736" s="1"/>
      <c r="E736" s="1"/>
      <c r="F736" s="1"/>
      <c r="G736" s="1"/>
      <c r="H736" s="1"/>
      <c r="I736" s="71">
        <f>IFERROR(__xludf.DUMMYFUNCTION("""COMPUTED_VALUE"""),0.0)</f>
        <v>0</v>
      </c>
      <c r="J736" s="69">
        <f>IFERROR(__xludf.DUMMYFUNCTION("""COMPUTED_VALUE"""),0.0)</f>
        <v>0</v>
      </c>
      <c r="K736" s="4">
        <f>IFERROR(__xludf.DUMMYFUNCTION("""COMPUTED_VALUE"""),0.0)</f>
        <v>0</v>
      </c>
      <c r="N736" s="67"/>
      <c r="R736" s="4"/>
    </row>
    <row r="737">
      <c r="A737" s="66"/>
      <c r="B737" s="67"/>
      <c r="C737" s="1"/>
      <c r="D737" s="1"/>
      <c r="E737" s="1"/>
      <c r="F737" s="1"/>
      <c r="G737" s="1"/>
      <c r="H737" s="1"/>
      <c r="I737" s="71">
        <f>IFERROR(__xludf.DUMMYFUNCTION("""COMPUTED_VALUE"""),0.0)</f>
        <v>0</v>
      </c>
      <c r="J737" s="69">
        <f>IFERROR(__xludf.DUMMYFUNCTION("""COMPUTED_VALUE"""),0.0)</f>
        <v>0</v>
      </c>
      <c r="K737" s="4">
        <f>IFERROR(__xludf.DUMMYFUNCTION("""COMPUTED_VALUE"""),0.0)</f>
        <v>0</v>
      </c>
      <c r="N737" s="67"/>
      <c r="R737" s="4"/>
    </row>
    <row r="738">
      <c r="A738" s="66"/>
      <c r="B738" s="67"/>
      <c r="C738" s="1"/>
      <c r="D738" s="1"/>
      <c r="E738" s="1"/>
      <c r="F738" s="1"/>
      <c r="G738" s="1"/>
      <c r="H738" s="1"/>
      <c r="I738" s="71">
        <f>IFERROR(__xludf.DUMMYFUNCTION("""COMPUTED_VALUE"""),0.0)</f>
        <v>0</v>
      </c>
      <c r="J738" s="69">
        <f>IFERROR(__xludf.DUMMYFUNCTION("""COMPUTED_VALUE"""),0.0)</f>
        <v>0</v>
      </c>
      <c r="K738" s="4">
        <f>IFERROR(__xludf.DUMMYFUNCTION("""COMPUTED_VALUE"""),0.0)</f>
        <v>0</v>
      </c>
      <c r="N738" s="67"/>
      <c r="R738" s="4"/>
    </row>
    <row r="739">
      <c r="A739" s="66"/>
      <c r="B739" s="67"/>
      <c r="C739" s="1"/>
      <c r="D739" s="1"/>
      <c r="E739" s="1"/>
      <c r="F739" s="1"/>
      <c r="G739" s="1"/>
      <c r="H739" s="1"/>
      <c r="I739" s="71">
        <f>IFERROR(__xludf.DUMMYFUNCTION("""COMPUTED_VALUE"""),0.0)</f>
        <v>0</v>
      </c>
      <c r="J739" s="69">
        <f>IFERROR(__xludf.DUMMYFUNCTION("""COMPUTED_VALUE"""),0.0)</f>
        <v>0</v>
      </c>
      <c r="K739" s="4">
        <f>IFERROR(__xludf.DUMMYFUNCTION("""COMPUTED_VALUE"""),0.0)</f>
        <v>0</v>
      </c>
      <c r="N739" s="67"/>
      <c r="R739" s="4"/>
    </row>
    <row r="740">
      <c r="A740" s="66"/>
      <c r="B740" s="67"/>
      <c r="C740" s="1"/>
      <c r="D740" s="1"/>
      <c r="E740" s="1"/>
      <c r="F740" s="1"/>
      <c r="G740" s="1"/>
      <c r="H740" s="1"/>
      <c r="I740" s="71">
        <f>IFERROR(__xludf.DUMMYFUNCTION("""COMPUTED_VALUE"""),0.0)</f>
        <v>0</v>
      </c>
      <c r="J740" s="69">
        <f>IFERROR(__xludf.DUMMYFUNCTION("""COMPUTED_VALUE"""),0.0)</f>
        <v>0</v>
      </c>
      <c r="K740" s="4">
        <f>IFERROR(__xludf.DUMMYFUNCTION("""COMPUTED_VALUE"""),0.0)</f>
        <v>0</v>
      </c>
      <c r="N740" s="67"/>
      <c r="R740" s="4"/>
    </row>
    <row r="741">
      <c r="A741" s="66"/>
      <c r="B741" s="67"/>
      <c r="C741" s="1"/>
      <c r="D741" s="1"/>
      <c r="E741" s="1"/>
      <c r="F741" s="1"/>
      <c r="G741" s="1"/>
      <c r="H741" s="1"/>
      <c r="I741" s="71">
        <f>IFERROR(__xludf.DUMMYFUNCTION("""COMPUTED_VALUE"""),0.0)</f>
        <v>0</v>
      </c>
      <c r="J741" s="69">
        <f>IFERROR(__xludf.DUMMYFUNCTION("""COMPUTED_VALUE"""),0.0)</f>
        <v>0</v>
      </c>
      <c r="K741" s="4">
        <f>IFERROR(__xludf.DUMMYFUNCTION("""COMPUTED_VALUE"""),0.0)</f>
        <v>0</v>
      </c>
      <c r="N741" s="67"/>
      <c r="R741" s="4"/>
    </row>
    <row r="742">
      <c r="A742" s="66"/>
      <c r="B742" s="67"/>
      <c r="C742" s="1"/>
      <c r="D742" s="1"/>
      <c r="E742" s="1"/>
      <c r="F742" s="1"/>
      <c r="G742" s="1"/>
      <c r="H742" s="1"/>
      <c r="I742" s="71">
        <f>IFERROR(__xludf.DUMMYFUNCTION("""COMPUTED_VALUE"""),0.0)</f>
        <v>0</v>
      </c>
      <c r="J742" s="69">
        <f>IFERROR(__xludf.DUMMYFUNCTION("""COMPUTED_VALUE"""),0.0)</f>
        <v>0</v>
      </c>
      <c r="K742" s="4">
        <f>IFERROR(__xludf.DUMMYFUNCTION("""COMPUTED_VALUE"""),0.0)</f>
        <v>0</v>
      </c>
      <c r="N742" s="67"/>
      <c r="R742" s="4"/>
    </row>
    <row r="743">
      <c r="A743" s="66"/>
      <c r="B743" s="67"/>
      <c r="C743" s="1"/>
      <c r="D743" s="1"/>
      <c r="E743" s="1"/>
      <c r="F743" s="1"/>
      <c r="G743" s="1"/>
      <c r="H743" s="1"/>
      <c r="I743" s="71">
        <f>IFERROR(__xludf.DUMMYFUNCTION("""COMPUTED_VALUE"""),0.0)</f>
        <v>0</v>
      </c>
      <c r="J743" s="69">
        <f>IFERROR(__xludf.DUMMYFUNCTION("""COMPUTED_VALUE"""),0.0)</f>
        <v>0</v>
      </c>
      <c r="K743" s="4">
        <f>IFERROR(__xludf.DUMMYFUNCTION("""COMPUTED_VALUE"""),0.0)</f>
        <v>0</v>
      </c>
      <c r="N743" s="67"/>
      <c r="R743" s="4"/>
    </row>
    <row r="744">
      <c r="A744" s="66"/>
      <c r="B744" s="67"/>
      <c r="C744" s="1"/>
      <c r="D744" s="1"/>
      <c r="E744" s="1"/>
      <c r="F744" s="1"/>
      <c r="G744" s="1"/>
      <c r="H744" s="1"/>
      <c r="I744" s="71">
        <f>IFERROR(__xludf.DUMMYFUNCTION("""COMPUTED_VALUE"""),0.0)</f>
        <v>0</v>
      </c>
      <c r="J744" s="69">
        <f>IFERROR(__xludf.DUMMYFUNCTION("""COMPUTED_VALUE"""),0.0)</f>
        <v>0</v>
      </c>
      <c r="K744" s="4">
        <f>IFERROR(__xludf.DUMMYFUNCTION("""COMPUTED_VALUE"""),0.0)</f>
        <v>0</v>
      </c>
      <c r="N744" s="67"/>
      <c r="R744" s="4"/>
    </row>
    <row r="745">
      <c r="A745" s="66"/>
      <c r="B745" s="67"/>
      <c r="C745" s="1"/>
      <c r="D745" s="1"/>
      <c r="E745" s="1"/>
      <c r="F745" s="1"/>
      <c r="G745" s="1"/>
      <c r="H745" s="1"/>
      <c r="I745" s="71">
        <f>IFERROR(__xludf.DUMMYFUNCTION("""COMPUTED_VALUE"""),0.0)</f>
        <v>0</v>
      </c>
      <c r="J745" s="69">
        <f>IFERROR(__xludf.DUMMYFUNCTION("""COMPUTED_VALUE"""),0.0)</f>
        <v>0</v>
      </c>
      <c r="K745" s="4">
        <f>IFERROR(__xludf.DUMMYFUNCTION("""COMPUTED_VALUE"""),0.0)</f>
        <v>0</v>
      </c>
      <c r="N745" s="67"/>
      <c r="R745" s="4"/>
    </row>
    <row r="746">
      <c r="A746" s="66"/>
      <c r="B746" s="67"/>
      <c r="C746" s="1"/>
      <c r="D746" s="1"/>
      <c r="E746" s="1"/>
      <c r="F746" s="1"/>
      <c r="G746" s="1"/>
      <c r="H746" s="1"/>
      <c r="I746" s="71">
        <f>IFERROR(__xludf.DUMMYFUNCTION("""COMPUTED_VALUE"""),0.0)</f>
        <v>0</v>
      </c>
      <c r="J746" s="69">
        <f>IFERROR(__xludf.DUMMYFUNCTION("""COMPUTED_VALUE"""),0.0)</f>
        <v>0</v>
      </c>
      <c r="K746" s="4">
        <f>IFERROR(__xludf.DUMMYFUNCTION("""COMPUTED_VALUE"""),0.0)</f>
        <v>0</v>
      </c>
      <c r="N746" s="67"/>
      <c r="R746" s="4"/>
    </row>
    <row r="747">
      <c r="A747" s="66"/>
      <c r="B747" s="67"/>
      <c r="C747" s="1"/>
      <c r="D747" s="1"/>
      <c r="E747" s="1"/>
      <c r="F747" s="1"/>
      <c r="G747" s="1"/>
      <c r="H747" s="1"/>
      <c r="I747" s="71">
        <f>IFERROR(__xludf.DUMMYFUNCTION("""COMPUTED_VALUE"""),0.0)</f>
        <v>0</v>
      </c>
      <c r="J747" s="69">
        <f>IFERROR(__xludf.DUMMYFUNCTION("""COMPUTED_VALUE"""),0.0)</f>
        <v>0</v>
      </c>
      <c r="K747" s="4">
        <f>IFERROR(__xludf.DUMMYFUNCTION("""COMPUTED_VALUE"""),0.0)</f>
        <v>0</v>
      </c>
      <c r="N747" s="67"/>
      <c r="R747" s="4"/>
    </row>
    <row r="748">
      <c r="A748" s="66"/>
      <c r="B748" s="67"/>
      <c r="C748" s="1"/>
      <c r="D748" s="1"/>
      <c r="E748" s="1"/>
      <c r="F748" s="1"/>
      <c r="G748" s="1"/>
      <c r="H748" s="1"/>
      <c r="I748" s="71">
        <f>IFERROR(__xludf.DUMMYFUNCTION("""COMPUTED_VALUE"""),0.0)</f>
        <v>0</v>
      </c>
      <c r="J748" s="69">
        <f>IFERROR(__xludf.DUMMYFUNCTION("""COMPUTED_VALUE"""),0.0)</f>
        <v>0</v>
      </c>
      <c r="K748" s="4">
        <f>IFERROR(__xludf.DUMMYFUNCTION("""COMPUTED_VALUE"""),0.0)</f>
        <v>0</v>
      </c>
      <c r="N748" s="67"/>
      <c r="R748" s="4"/>
    </row>
    <row r="749">
      <c r="A749" s="66"/>
      <c r="B749" s="67"/>
      <c r="C749" s="1"/>
      <c r="D749" s="1"/>
      <c r="E749" s="1"/>
      <c r="F749" s="1"/>
      <c r="G749" s="1"/>
      <c r="H749" s="1"/>
      <c r="I749" s="71">
        <f>IFERROR(__xludf.DUMMYFUNCTION("""COMPUTED_VALUE"""),0.0)</f>
        <v>0</v>
      </c>
      <c r="J749" s="69">
        <f>IFERROR(__xludf.DUMMYFUNCTION("""COMPUTED_VALUE"""),0.0)</f>
        <v>0</v>
      </c>
      <c r="K749" s="4">
        <f>IFERROR(__xludf.DUMMYFUNCTION("""COMPUTED_VALUE"""),0.0)</f>
        <v>0</v>
      </c>
      <c r="N749" s="67"/>
      <c r="R749" s="4"/>
    </row>
    <row r="750">
      <c r="A750" s="66"/>
      <c r="B750" s="67"/>
      <c r="C750" s="1"/>
      <c r="D750" s="1"/>
      <c r="E750" s="1"/>
      <c r="F750" s="1"/>
      <c r="G750" s="1"/>
      <c r="H750" s="1"/>
      <c r="I750" s="71">
        <f>IFERROR(__xludf.DUMMYFUNCTION("""COMPUTED_VALUE"""),0.0)</f>
        <v>0</v>
      </c>
      <c r="J750" s="69">
        <f>IFERROR(__xludf.DUMMYFUNCTION("""COMPUTED_VALUE"""),0.0)</f>
        <v>0</v>
      </c>
      <c r="K750" s="4">
        <f>IFERROR(__xludf.DUMMYFUNCTION("""COMPUTED_VALUE"""),0.0)</f>
        <v>0</v>
      </c>
      <c r="N750" s="67"/>
      <c r="R750" s="4"/>
    </row>
    <row r="751">
      <c r="A751" s="66"/>
      <c r="B751" s="67"/>
      <c r="C751" s="1"/>
      <c r="D751" s="1"/>
      <c r="E751" s="1"/>
      <c r="F751" s="1"/>
      <c r="G751" s="1"/>
      <c r="H751" s="1"/>
      <c r="I751" s="71">
        <f>IFERROR(__xludf.DUMMYFUNCTION("""COMPUTED_VALUE"""),0.0)</f>
        <v>0</v>
      </c>
      <c r="J751" s="69">
        <f>IFERROR(__xludf.DUMMYFUNCTION("""COMPUTED_VALUE"""),0.0)</f>
        <v>0</v>
      </c>
      <c r="K751" s="4">
        <f>IFERROR(__xludf.DUMMYFUNCTION("""COMPUTED_VALUE"""),0.0)</f>
        <v>0</v>
      </c>
      <c r="N751" s="67"/>
      <c r="R751" s="4"/>
    </row>
    <row r="752">
      <c r="A752" s="66"/>
      <c r="B752" s="67"/>
      <c r="C752" s="1"/>
      <c r="D752" s="1"/>
      <c r="E752" s="1"/>
      <c r="F752" s="1"/>
      <c r="G752" s="1"/>
      <c r="H752" s="1"/>
      <c r="I752" s="71">
        <f>IFERROR(__xludf.DUMMYFUNCTION("""COMPUTED_VALUE"""),0.0)</f>
        <v>0</v>
      </c>
      <c r="J752" s="69">
        <f>IFERROR(__xludf.DUMMYFUNCTION("""COMPUTED_VALUE"""),0.0)</f>
        <v>0</v>
      </c>
      <c r="K752" s="4">
        <f>IFERROR(__xludf.DUMMYFUNCTION("""COMPUTED_VALUE"""),0.0)</f>
        <v>0</v>
      </c>
      <c r="N752" s="67"/>
      <c r="R752" s="4"/>
    </row>
    <row r="753">
      <c r="A753" s="66"/>
      <c r="B753" s="67"/>
      <c r="C753" s="1"/>
      <c r="D753" s="1"/>
      <c r="E753" s="1"/>
      <c r="F753" s="1"/>
      <c r="G753" s="1"/>
      <c r="H753" s="1"/>
      <c r="I753" s="71">
        <f>IFERROR(__xludf.DUMMYFUNCTION("""COMPUTED_VALUE"""),0.0)</f>
        <v>0</v>
      </c>
      <c r="J753" s="69">
        <f>IFERROR(__xludf.DUMMYFUNCTION("""COMPUTED_VALUE"""),0.0)</f>
        <v>0</v>
      </c>
      <c r="K753" s="4">
        <f>IFERROR(__xludf.DUMMYFUNCTION("""COMPUTED_VALUE"""),0.0)</f>
        <v>0</v>
      </c>
      <c r="N753" s="67"/>
      <c r="R753" s="4"/>
    </row>
    <row r="754">
      <c r="A754" s="66"/>
      <c r="B754" s="67"/>
      <c r="C754" s="1"/>
      <c r="D754" s="1"/>
      <c r="E754" s="1"/>
      <c r="F754" s="1"/>
      <c r="G754" s="1"/>
      <c r="H754" s="1"/>
      <c r="I754" s="71">
        <f>IFERROR(__xludf.DUMMYFUNCTION("""COMPUTED_VALUE"""),0.0)</f>
        <v>0</v>
      </c>
      <c r="J754" s="69">
        <f>IFERROR(__xludf.DUMMYFUNCTION("""COMPUTED_VALUE"""),0.0)</f>
        <v>0</v>
      </c>
      <c r="K754" s="4">
        <f>IFERROR(__xludf.DUMMYFUNCTION("""COMPUTED_VALUE"""),0.0)</f>
        <v>0</v>
      </c>
      <c r="N754" s="67"/>
      <c r="R754" s="4"/>
    </row>
    <row r="755">
      <c r="A755" s="66"/>
      <c r="B755" s="67"/>
      <c r="C755" s="1"/>
      <c r="D755" s="1"/>
      <c r="E755" s="1"/>
      <c r="F755" s="1"/>
      <c r="G755" s="1"/>
      <c r="H755" s="1"/>
      <c r="I755" s="71">
        <f>IFERROR(__xludf.DUMMYFUNCTION("""COMPUTED_VALUE"""),0.0)</f>
        <v>0</v>
      </c>
      <c r="J755" s="69">
        <f>IFERROR(__xludf.DUMMYFUNCTION("""COMPUTED_VALUE"""),0.0)</f>
        <v>0</v>
      </c>
      <c r="K755" s="4">
        <f>IFERROR(__xludf.DUMMYFUNCTION("""COMPUTED_VALUE"""),0.0)</f>
        <v>0</v>
      </c>
      <c r="N755" s="67"/>
      <c r="R755" s="4"/>
    </row>
    <row r="756">
      <c r="A756" s="66"/>
      <c r="B756" s="67"/>
      <c r="C756" s="1"/>
      <c r="D756" s="1"/>
      <c r="E756" s="1"/>
      <c r="F756" s="1"/>
      <c r="G756" s="1"/>
      <c r="H756" s="1"/>
      <c r="I756" s="71">
        <f>IFERROR(__xludf.DUMMYFUNCTION("""COMPUTED_VALUE"""),0.0)</f>
        <v>0</v>
      </c>
      <c r="J756" s="69">
        <f>IFERROR(__xludf.DUMMYFUNCTION("""COMPUTED_VALUE"""),0.0)</f>
        <v>0</v>
      </c>
      <c r="K756" s="4">
        <f>IFERROR(__xludf.DUMMYFUNCTION("""COMPUTED_VALUE"""),0.0)</f>
        <v>0</v>
      </c>
      <c r="N756" s="67"/>
      <c r="R756" s="4"/>
    </row>
    <row r="757">
      <c r="A757" s="66"/>
      <c r="B757" s="67"/>
      <c r="C757" s="1"/>
      <c r="D757" s="1"/>
      <c r="E757" s="1"/>
      <c r="F757" s="1"/>
      <c r="G757" s="1"/>
      <c r="H757" s="1"/>
      <c r="I757" s="71">
        <f>IFERROR(__xludf.DUMMYFUNCTION("""COMPUTED_VALUE"""),0.0)</f>
        <v>0</v>
      </c>
      <c r="J757" s="69">
        <f>IFERROR(__xludf.DUMMYFUNCTION("""COMPUTED_VALUE"""),0.0)</f>
        <v>0</v>
      </c>
      <c r="K757" s="4">
        <f>IFERROR(__xludf.DUMMYFUNCTION("""COMPUTED_VALUE"""),0.0)</f>
        <v>0</v>
      </c>
      <c r="N757" s="67"/>
      <c r="R757" s="4"/>
    </row>
    <row r="758">
      <c r="A758" s="66"/>
      <c r="B758" s="67"/>
      <c r="C758" s="1"/>
      <c r="D758" s="1"/>
      <c r="E758" s="1"/>
      <c r="F758" s="1"/>
      <c r="G758" s="1"/>
      <c r="H758" s="1"/>
      <c r="I758" s="71">
        <f>IFERROR(__xludf.DUMMYFUNCTION("""COMPUTED_VALUE"""),0.0)</f>
        <v>0</v>
      </c>
      <c r="J758" s="69">
        <f>IFERROR(__xludf.DUMMYFUNCTION("""COMPUTED_VALUE"""),0.0)</f>
        <v>0</v>
      </c>
      <c r="K758" s="4">
        <f>IFERROR(__xludf.DUMMYFUNCTION("""COMPUTED_VALUE"""),0.0)</f>
        <v>0</v>
      </c>
      <c r="N758" s="67"/>
      <c r="R758" s="4"/>
    </row>
    <row r="759">
      <c r="A759" s="66"/>
      <c r="B759" s="67"/>
      <c r="C759" s="1"/>
      <c r="D759" s="1"/>
      <c r="E759" s="1"/>
      <c r="F759" s="1"/>
      <c r="G759" s="1"/>
      <c r="H759" s="1"/>
      <c r="I759" s="71">
        <f>IFERROR(__xludf.DUMMYFUNCTION("""COMPUTED_VALUE"""),0.0)</f>
        <v>0</v>
      </c>
      <c r="J759" s="69">
        <f>IFERROR(__xludf.DUMMYFUNCTION("""COMPUTED_VALUE"""),0.0)</f>
        <v>0</v>
      </c>
      <c r="K759" s="4">
        <f>IFERROR(__xludf.DUMMYFUNCTION("""COMPUTED_VALUE"""),0.0)</f>
        <v>0</v>
      </c>
      <c r="N759" s="67"/>
      <c r="R759" s="4"/>
    </row>
    <row r="760">
      <c r="A760" s="66"/>
      <c r="B760" s="67"/>
      <c r="C760" s="1"/>
      <c r="D760" s="1"/>
      <c r="E760" s="1"/>
      <c r="F760" s="1"/>
      <c r="G760" s="1"/>
      <c r="H760" s="1"/>
      <c r="I760" s="71">
        <f>IFERROR(__xludf.DUMMYFUNCTION("""COMPUTED_VALUE"""),0.0)</f>
        <v>0</v>
      </c>
      <c r="J760" s="69">
        <f>IFERROR(__xludf.DUMMYFUNCTION("""COMPUTED_VALUE"""),0.0)</f>
        <v>0</v>
      </c>
      <c r="K760" s="4">
        <f>IFERROR(__xludf.DUMMYFUNCTION("""COMPUTED_VALUE"""),0.0)</f>
        <v>0</v>
      </c>
      <c r="N760" s="67"/>
      <c r="R760" s="4"/>
    </row>
    <row r="761">
      <c r="A761" s="66"/>
      <c r="B761" s="67"/>
      <c r="C761" s="1"/>
      <c r="D761" s="1"/>
      <c r="E761" s="1"/>
      <c r="F761" s="1"/>
      <c r="G761" s="1"/>
      <c r="H761" s="1"/>
      <c r="I761" s="71">
        <f>IFERROR(__xludf.DUMMYFUNCTION("""COMPUTED_VALUE"""),0.0)</f>
        <v>0</v>
      </c>
      <c r="J761" s="69">
        <f>IFERROR(__xludf.DUMMYFUNCTION("""COMPUTED_VALUE"""),0.0)</f>
        <v>0</v>
      </c>
      <c r="K761" s="4">
        <f>IFERROR(__xludf.DUMMYFUNCTION("""COMPUTED_VALUE"""),0.0)</f>
        <v>0</v>
      </c>
      <c r="N761" s="67"/>
      <c r="R761" s="4"/>
    </row>
    <row r="762">
      <c r="A762" s="66"/>
      <c r="B762" s="67"/>
      <c r="C762" s="1"/>
      <c r="D762" s="1"/>
      <c r="E762" s="1"/>
      <c r="F762" s="1"/>
      <c r="G762" s="1"/>
      <c r="H762" s="1"/>
      <c r="I762" s="71">
        <f>IFERROR(__xludf.DUMMYFUNCTION("""COMPUTED_VALUE"""),0.0)</f>
        <v>0</v>
      </c>
      <c r="J762" s="69">
        <f>IFERROR(__xludf.DUMMYFUNCTION("""COMPUTED_VALUE"""),0.0)</f>
        <v>0</v>
      </c>
      <c r="K762" s="4">
        <f>IFERROR(__xludf.DUMMYFUNCTION("""COMPUTED_VALUE"""),0.0)</f>
        <v>0</v>
      </c>
      <c r="N762" s="67"/>
      <c r="R762" s="4"/>
    </row>
    <row r="763">
      <c r="A763" s="66"/>
      <c r="B763" s="67"/>
      <c r="C763" s="1"/>
      <c r="D763" s="1"/>
      <c r="E763" s="1"/>
      <c r="F763" s="1"/>
      <c r="G763" s="1"/>
      <c r="H763" s="1"/>
      <c r="I763" s="71">
        <f>IFERROR(__xludf.DUMMYFUNCTION("""COMPUTED_VALUE"""),0.0)</f>
        <v>0</v>
      </c>
      <c r="J763" s="69">
        <f>IFERROR(__xludf.DUMMYFUNCTION("""COMPUTED_VALUE"""),0.0)</f>
        <v>0</v>
      </c>
      <c r="K763" s="4">
        <f>IFERROR(__xludf.DUMMYFUNCTION("""COMPUTED_VALUE"""),0.0)</f>
        <v>0</v>
      </c>
      <c r="N763" s="67"/>
      <c r="R763" s="4"/>
    </row>
    <row r="764">
      <c r="A764" s="66"/>
      <c r="B764" s="67"/>
      <c r="C764" s="1"/>
      <c r="D764" s="1"/>
      <c r="E764" s="1"/>
      <c r="F764" s="1"/>
      <c r="G764" s="1"/>
      <c r="H764" s="1"/>
      <c r="I764" s="71">
        <f>IFERROR(__xludf.DUMMYFUNCTION("""COMPUTED_VALUE"""),0.0)</f>
        <v>0</v>
      </c>
      <c r="J764" s="69">
        <f>IFERROR(__xludf.DUMMYFUNCTION("""COMPUTED_VALUE"""),0.0)</f>
        <v>0</v>
      </c>
      <c r="K764" s="4">
        <f>IFERROR(__xludf.DUMMYFUNCTION("""COMPUTED_VALUE"""),0.0)</f>
        <v>0</v>
      </c>
      <c r="N764" s="67"/>
      <c r="R764" s="4"/>
    </row>
    <row r="765">
      <c r="A765" s="66"/>
      <c r="B765" s="67"/>
      <c r="C765" s="1"/>
      <c r="D765" s="1"/>
      <c r="E765" s="1"/>
      <c r="F765" s="1"/>
      <c r="G765" s="1"/>
      <c r="H765" s="1"/>
      <c r="I765" s="71">
        <f>IFERROR(__xludf.DUMMYFUNCTION("""COMPUTED_VALUE"""),0.0)</f>
        <v>0</v>
      </c>
      <c r="J765" s="69">
        <f>IFERROR(__xludf.DUMMYFUNCTION("""COMPUTED_VALUE"""),0.0)</f>
        <v>0</v>
      </c>
      <c r="K765" s="4">
        <f>IFERROR(__xludf.DUMMYFUNCTION("""COMPUTED_VALUE"""),0.0)</f>
        <v>0</v>
      </c>
      <c r="N765" s="67"/>
      <c r="R765" s="4"/>
    </row>
    <row r="766">
      <c r="A766" s="66"/>
      <c r="B766" s="67"/>
      <c r="C766" s="1"/>
      <c r="D766" s="1"/>
      <c r="E766" s="1"/>
      <c r="F766" s="1"/>
      <c r="G766" s="1"/>
      <c r="H766" s="1"/>
      <c r="I766" s="71">
        <f>IFERROR(__xludf.DUMMYFUNCTION("""COMPUTED_VALUE"""),0.0)</f>
        <v>0</v>
      </c>
      <c r="J766" s="69">
        <f>IFERROR(__xludf.DUMMYFUNCTION("""COMPUTED_VALUE"""),0.0)</f>
        <v>0</v>
      </c>
      <c r="K766" s="4">
        <f>IFERROR(__xludf.DUMMYFUNCTION("""COMPUTED_VALUE"""),0.0)</f>
        <v>0</v>
      </c>
      <c r="N766" s="67"/>
      <c r="R766" s="4"/>
    </row>
    <row r="767">
      <c r="A767" s="66"/>
      <c r="B767" s="67"/>
      <c r="C767" s="1"/>
      <c r="D767" s="1"/>
      <c r="E767" s="1"/>
      <c r="F767" s="1"/>
      <c r="G767" s="1"/>
      <c r="H767" s="1"/>
      <c r="I767" s="71">
        <f>IFERROR(__xludf.DUMMYFUNCTION("""COMPUTED_VALUE"""),0.0)</f>
        <v>0</v>
      </c>
      <c r="J767" s="69">
        <f>IFERROR(__xludf.DUMMYFUNCTION("""COMPUTED_VALUE"""),0.0)</f>
        <v>0</v>
      </c>
      <c r="K767" s="4">
        <f>IFERROR(__xludf.DUMMYFUNCTION("""COMPUTED_VALUE"""),0.0)</f>
        <v>0</v>
      </c>
      <c r="N767" s="67"/>
      <c r="R767" s="4"/>
    </row>
    <row r="768">
      <c r="A768" s="66"/>
      <c r="B768" s="67"/>
      <c r="C768" s="1"/>
      <c r="D768" s="1"/>
      <c r="E768" s="1"/>
      <c r="F768" s="1"/>
      <c r="G768" s="1"/>
      <c r="H768" s="1"/>
      <c r="I768" s="71">
        <f>IFERROR(__xludf.DUMMYFUNCTION("""COMPUTED_VALUE"""),0.0)</f>
        <v>0</v>
      </c>
      <c r="J768" s="69">
        <f>IFERROR(__xludf.DUMMYFUNCTION("""COMPUTED_VALUE"""),0.0)</f>
        <v>0</v>
      </c>
      <c r="K768" s="4">
        <f>IFERROR(__xludf.DUMMYFUNCTION("""COMPUTED_VALUE"""),0.0)</f>
        <v>0</v>
      </c>
      <c r="N768" s="67"/>
      <c r="R768" s="4"/>
    </row>
    <row r="769">
      <c r="A769" s="66"/>
      <c r="B769" s="67"/>
      <c r="C769" s="1"/>
      <c r="D769" s="1"/>
      <c r="E769" s="1"/>
      <c r="F769" s="1"/>
      <c r="G769" s="1"/>
      <c r="H769" s="1"/>
      <c r="I769" s="71">
        <f>IFERROR(__xludf.DUMMYFUNCTION("""COMPUTED_VALUE"""),0.0)</f>
        <v>0</v>
      </c>
      <c r="J769" s="69">
        <f>IFERROR(__xludf.DUMMYFUNCTION("""COMPUTED_VALUE"""),0.0)</f>
        <v>0</v>
      </c>
      <c r="K769" s="4">
        <f>IFERROR(__xludf.DUMMYFUNCTION("""COMPUTED_VALUE"""),0.0)</f>
        <v>0</v>
      </c>
      <c r="N769" s="67"/>
      <c r="R769" s="4"/>
    </row>
    <row r="770">
      <c r="A770" s="66"/>
      <c r="B770" s="67"/>
      <c r="C770" s="1"/>
      <c r="D770" s="1"/>
      <c r="E770" s="1"/>
      <c r="F770" s="1"/>
      <c r="G770" s="1"/>
      <c r="H770" s="1"/>
      <c r="I770" s="71">
        <f>IFERROR(__xludf.DUMMYFUNCTION("""COMPUTED_VALUE"""),0.0)</f>
        <v>0</v>
      </c>
      <c r="J770" s="69">
        <f>IFERROR(__xludf.DUMMYFUNCTION("""COMPUTED_VALUE"""),0.0)</f>
        <v>0</v>
      </c>
      <c r="K770" s="4">
        <f>IFERROR(__xludf.DUMMYFUNCTION("""COMPUTED_VALUE"""),0.0)</f>
        <v>0</v>
      </c>
      <c r="N770" s="67"/>
      <c r="R770" s="4"/>
    </row>
    <row r="771">
      <c r="A771" s="66"/>
      <c r="B771" s="67"/>
      <c r="C771" s="1"/>
      <c r="D771" s="1"/>
      <c r="E771" s="1"/>
      <c r="F771" s="1"/>
      <c r="G771" s="1"/>
      <c r="H771" s="1"/>
      <c r="I771" s="71">
        <f>IFERROR(__xludf.DUMMYFUNCTION("""COMPUTED_VALUE"""),0.0)</f>
        <v>0</v>
      </c>
      <c r="J771" s="69">
        <f>IFERROR(__xludf.DUMMYFUNCTION("""COMPUTED_VALUE"""),0.0)</f>
        <v>0</v>
      </c>
      <c r="K771" s="4">
        <f>IFERROR(__xludf.DUMMYFUNCTION("""COMPUTED_VALUE"""),0.0)</f>
        <v>0</v>
      </c>
      <c r="N771" s="67"/>
      <c r="R771" s="4"/>
    </row>
    <row r="772">
      <c r="A772" s="66"/>
      <c r="B772" s="67"/>
      <c r="C772" s="1"/>
      <c r="D772" s="1"/>
      <c r="E772" s="1"/>
      <c r="F772" s="1"/>
      <c r="G772" s="1"/>
      <c r="H772" s="1"/>
      <c r="I772" s="71">
        <f>IFERROR(__xludf.DUMMYFUNCTION("""COMPUTED_VALUE"""),0.0)</f>
        <v>0</v>
      </c>
      <c r="J772" s="69">
        <f>IFERROR(__xludf.DUMMYFUNCTION("""COMPUTED_VALUE"""),0.0)</f>
        <v>0</v>
      </c>
      <c r="K772" s="4">
        <f>IFERROR(__xludf.DUMMYFUNCTION("""COMPUTED_VALUE"""),0.0)</f>
        <v>0</v>
      </c>
      <c r="N772" s="67"/>
      <c r="R772" s="4"/>
    </row>
    <row r="773">
      <c r="A773" s="66"/>
      <c r="B773" s="67"/>
      <c r="C773" s="1"/>
      <c r="D773" s="1"/>
      <c r="E773" s="1"/>
      <c r="F773" s="1"/>
      <c r="G773" s="1"/>
      <c r="H773" s="1"/>
      <c r="I773" s="71">
        <f>IFERROR(__xludf.DUMMYFUNCTION("""COMPUTED_VALUE"""),0.0)</f>
        <v>0</v>
      </c>
      <c r="J773" s="69">
        <f>IFERROR(__xludf.DUMMYFUNCTION("""COMPUTED_VALUE"""),0.0)</f>
        <v>0</v>
      </c>
      <c r="K773" s="4">
        <f>IFERROR(__xludf.DUMMYFUNCTION("""COMPUTED_VALUE"""),0.0)</f>
        <v>0</v>
      </c>
      <c r="N773" s="67"/>
      <c r="R773" s="4"/>
    </row>
    <row r="774">
      <c r="A774" s="66"/>
      <c r="B774" s="67"/>
      <c r="C774" s="1"/>
      <c r="D774" s="1"/>
      <c r="E774" s="1"/>
      <c r="F774" s="1"/>
      <c r="G774" s="1"/>
      <c r="H774" s="1"/>
      <c r="I774" s="71">
        <f>IFERROR(__xludf.DUMMYFUNCTION("""COMPUTED_VALUE"""),0.0)</f>
        <v>0</v>
      </c>
      <c r="J774" s="69">
        <f>IFERROR(__xludf.DUMMYFUNCTION("""COMPUTED_VALUE"""),0.0)</f>
        <v>0</v>
      </c>
      <c r="K774" s="4">
        <f>IFERROR(__xludf.DUMMYFUNCTION("""COMPUTED_VALUE"""),0.0)</f>
        <v>0</v>
      </c>
      <c r="N774" s="67"/>
      <c r="R774" s="4"/>
    </row>
    <row r="775">
      <c r="A775" s="66"/>
      <c r="B775" s="67"/>
      <c r="C775" s="1"/>
      <c r="D775" s="1"/>
      <c r="E775" s="1"/>
      <c r="F775" s="1"/>
      <c r="G775" s="1"/>
      <c r="H775" s="1"/>
      <c r="I775" s="71">
        <f>IFERROR(__xludf.DUMMYFUNCTION("""COMPUTED_VALUE"""),0.0)</f>
        <v>0</v>
      </c>
      <c r="J775" s="69">
        <f>IFERROR(__xludf.DUMMYFUNCTION("""COMPUTED_VALUE"""),0.0)</f>
        <v>0</v>
      </c>
      <c r="K775" s="4">
        <f>IFERROR(__xludf.DUMMYFUNCTION("""COMPUTED_VALUE"""),0.0)</f>
        <v>0</v>
      </c>
      <c r="N775" s="67"/>
      <c r="R775" s="4"/>
    </row>
    <row r="776">
      <c r="A776" s="66"/>
      <c r="B776" s="67"/>
      <c r="C776" s="1"/>
      <c r="D776" s="1"/>
      <c r="E776" s="1"/>
      <c r="F776" s="1"/>
      <c r="G776" s="1"/>
      <c r="H776" s="1"/>
      <c r="I776" s="71">
        <f>IFERROR(__xludf.DUMMYFUNCTION("""COMPUTED_VALUE"""),0.0)</f>
        <v>0</v>
      </c>
      <c r="J776" s="69">
        <f>IFERROR(__xludf.DUMMYFUNCTION("""COMPUTED_VALUE"""),0.0)</f>
        <v>0</v>
      </c>
      <c r="K776" s="4">
        <f>IFERROR(__xludf.DUMMYFUNCTION("""COMPUTED_VALUE"""),0.0)</f>
        <v>0</v>
      </c>
      <c r="N776" s="67"/>
      <c r="R776" s="4"/>
    </row>
    <row r="777">
      <c r="A777" s="66"/>
      <c r="B777" s="67"/>
      <c r="C777" s="1"/>
      <c r="D777" s="1"/>
      <c r="E777" s="1"/>
      <c r="F777" s="1"/>
      <c r="G777" s="1"/>
      <c r="H777" s="1"/>
      <c r="I777" s="71">
        <f>IFERROR(__xludf.DUMMYFUNCTION("""COMPUTED_VALUE"""),0.0)</f>
        <v>0</v>
      </c>
      <c r="J777" s="69">
        <f>IFERROR(__xludf.DUMMYFUNCTION("""COMPUTED_VALUE"""),0.0)</f>
        <v>0</v>
      </c>
      <c r="K777" s="4">
        <f>IFERROR(__xludf.DUMMYFUNCTION("""COMPUTED_VALUE"""),0.0)</f>
        <v>0</v>
      </c>
      <c r="N777" s="67"/>
      <c r="R777" s="4"/>
    </row>
    <row r="778">
      <c r="A778" s="66"/>
      <c r="B778" s="67"/>
      <c r="C778" s="1"/>
      <c r="D778" s="1"/>
      <c r="E778" s="1"/>
      <c r="F778" s="1"/>
      <c r="G778" s="1"/>
      <c r="H778" s="1"/>
      <c r="I778" s="71">
        <f>IFERROR(__xludf.DUMMYFUNCTION("""COMPUTED_VALUE"""),0.0)</f>
        <v>0</v>
      </c>
      <c r="J778" s="69">
        <f>IFERROR(__xludf.DUMMYFUNCTION("""COMPUTED_VALUE"""),0.0)</f>
        <v>0</v>
      </c>
      <c r="K778" s="4">
        <f>IFERROR(__xludf.DUMMYFUNCTION("""COMPUTED_VALUE"""),0.0)</f>
        <v>0</v>
      </c>
      <c r="N778" s="67"/>
      <c r="R778" s="4"/>
    </row>
    <row r="779">
      <c r="A779" s="66"/>
      <c r="B779" s="67"/>
      <c r="C779" s="1"/>
      <c r="D779" s="1"/>
      <c r="E779" s="1"/>
      <c r="F779" s="1"/>
      <c r="G779" s="1"/>
      <c r="H779" s="1"/>
      <c r="I779" s="71">
        <f>IFERROR(__xludf.DUMMYFUNCTION("""COMPUTED_VALUE"""),0.0)</f>
        <v>0</v>
      </c>
      <c r="J779" s="69">
        <f>IFERROR(__xludf.DUMMYFUNCTION("""COMPUTED_VALUE"""),0.0)</f>
        <v>0</v>
      </c>
      <c r="K779" s="4">
        <f>IFERROR(__xludf.DUMMYFUNCTION("""COMPUTED_VALUE"""),0.0)</f>
        <v>0</v>
      </c>
      <c r="N779" s="67"/>
      <c r="R779" s="4"/>
    </row>
    <row r="780">
      <c r="A780" s="66"/>
      <c r="B780" s="67"/>
      <c r="C780" s="1"/>
      <c r="D780" s="1"/>
      <c r="E780" s="1"/>
      <c r="F780" s="1"/>
      <c r="G780" s="1"/>
      <c r="H780" s="1"/>
      <c r="I780" s="71">
        <f>IFERROR(__xludf.DUMMYFUNCTION("""COMPUTED_VALUE"""),0.0)</f>
        <v>0</v>
      </c>
      <c r="J780" s="69">
        <f>IFERROR(__xludf.DUMMYFUNCTION("""COMPUTED_VALUE"""),0.0)</f>
        <v>0</v>
      </c>
      <c r="K780" s="4">
        <f>IFERROR(__xludf.DUMMYFUNCTION("""COMPUTED_VALUE"""),0.0)</f>
        <v>0</v>
      </c>
      <c r="N780" s="67"/>
      <c r="R780" s="4"/>
    </row>
    <row r="781">
      <c r="A781" s="66"/>
      <c r="B781" s="67"/>
      <c r="C781" s="1"/>
      <c r="D781" s="1"/>
      <c r="E781" s="1"/>
      <c r="F781" s="1"/>
      <c r="G781" s="1"/>
      <c r="H781" s="1"/>
      <c r="I781" s="71">
        <f>IFERROR(__xludf.DUMMYFUNCTION("""COMPUTED_VALUE"""),0.0)</f>
        <v>0</v>
      </c>
      <c r="J781" s="69">
        <f>IFERROR(__xludf.DUMMYFUNCTION("""COMPUTED_VALUE"""),0.0)</f>
        <v>0</v>
      </c>
      <c r="K781" s="4">
        <f>IFERROR(__xludf.DUMMYFUNCTION("""COMPUTED_VALUE"""),0.0)</f>
        <v>0</v>
      </c>
      <c r="N781" s="67"/>
      <c r="R781" s="4"/>
    </row>
    <row r="782">
      <c r="A782" s="66"/>
      <c r="B782" s="67"/>
      <c r="C782" s="1"/>
      <c r="D782" s="1"/>
      <c r="E782" s="1"/>
      <c r="F782" s="1"/>
      <c r="G782" s="1"/>
      <c r="H782" s="1"/>
      <c r="I782" s="71">
        <f>IFERROR(__xludf.DUMMYFUNCTION("""COMPUTED_VALUE"""),0.0)</f>
        <v>0</v>
      </c>
      <c r="J782" s="69">
        <f>IFERROR(__xludf.DUMMYFUNCTION("""COMPUTED_VALUE"""),0.0)</f>
        <v>0</v>
      </c>
      <c r="K782" s="4">
        <f>IFERROR(__xludf.DUMMYFUNCTION("""COMPUTED_VALUE"""),0.0)</f>
        <v>0</v>
      </c>
      <c r="N782" s="67"/>
      <c r="R782" s="4"/>
    </row>
    <row r="783">
      <c r="A783" s="66"/>
      <c r="B783" s="67"/>
      <c r="C783" s="1"/>
      <c r="D783" s="1"/>
      <c r="E783" s="1"/>
      <c r="F783" s="1"/>
      <c r="G783" s="1"/>
      <c r="H783" s="1"/>
      <c r="I783" s="71">
        <f>IFERROR(__xludf.DUMMYFUNCTION("""COMPUTED_VALUE"""),0.0)</f>
        <v>0</v>
      </c>
      <c r="J783" s="69">
        <f>IFERROR(__xludf.DUMMYFUNCTION("""COMPUTED_VALUE"""),0.0)</f>
        <v>0</v>
      </c>
      <c r="K783" s="4">
        <f>IFERROR(__xludf.DUMMYFUNCTION("""COMPUTED_VALUE"""),0.0)</f>
        <v>0</v>
      </c>
      <c r="N783" s="67"/>
      <c r="R783" s="4"/>
    </row>
    <row r="784">
      <c r="A784" s="66"/>
      <c r="B784" s="67"/>
      <c r="C784" s="1"/>
      <c r="D784" s="1"/>
      <c r="E784" s="1"/>
      <c r="F784" s="1"/>
      <c r="G784" s="1"/>
      <c r="H784" s="1"/>
      <c r="I784" s="71">
        <f>IFERROR(__xludf.DUMMYFUNCTION("""COMPUTED_VALUE"""),0.0)</f>
        <v>0</v>
      </c>
      <c r="J784" s="69">
        <f>IFERROR(__xludf.DUMMYFUNCTION("""COMPUTED_VALUE"""),0.0)</f>
        <v>0</v>
      </c>
      <c r="K784" s="4">
        <f>IFERROR(__xludf.DUMMYFUNCTION("""COMPUTED_VALUE"""),0.0)</f>
        <v>0</v>
      </c>
      <c r="N784" s="67"/>
      <c r="R784" s="4"/>
    </row>
    <row r="785">
      <c r="A785" s="66"/>
      <c r="B785" s="67"/>
      <c r="C785" s="1"/>
      <c r="D785" s="1"/>
      <c r="E785" s="1"/>
      <c r="F785" s="1"/>
      <c r="G785" s="1"/>
      <c r="H785" s="1"/>
      <c r="I785" s="71">
        <f>IFERROR(__xludf.DUMMYFUNCTION("""COMPUTED_VALUE"""),0.0)</f>
        <v>0</v>
      </c>
      <c r="J785" s="69">
        <f>IFERROR(__xludf.DUMMYFUNCTION("""COMPUTED_VALUE"""),0.0)</f>
        <v>0</v>
      </c>
      <c r="K785" s="4">
        <f>IFERROR(__xludf.DUMMYFUNCTION("""COMPUTED_VALUE"""),0.0)</f>
        <v>0</v>
      </c>
      <c r="N785" s="67"/>
      <c r="R785" s="4"/>
    </row>
    <row r="786">
      <c r="A786" s="66"/>
      <c r="B786" s="67"/>
      <c r="C786" s="1"/>
      <c r="D786" s="1"/>
      <c r="E786" s="1"/>
      <c r="F786" s="1"/>
      <c r="G786" s="1"/>
      <c r="H786" s="1"/>
      <c r="I786" s="71">
        <f>IFERROR(__xludf.DUMMYFUNCTION("""COMPUTED_VALUE"""),0.0)</f>
        <v>0</v>
      </c>
      <c r="J786" s="69">
        <f>IFERROR(__xludf.DUMMYFUNCTION("""COMPUTED_VALUE"""),0.0)</f>
        <v>0</v>
      </c>
      <c r="K786" s="4">
        <f>IFERROR(__xludf.DUMMYFUNCTION("""COMPUTED_VALUE"""),0.0)</f>
        <v>0</v>
      </c>
      <c r="N786" s="67"/>
      <c r="R786" s="4"/>
    </row>
    <row r="787">
      <c r="A787" s="66"/>
      <c r="B787" s="67"/>
      <c r="C787" s="1"/>
      <c r="D787" s="1"/>
      <c r="E787" s="1"/>
      <c r="F787" s="1"/>
      <c r="G787" s="1"/>
      <c r="H787" s="1"/>
      <c r="I787" s="71">
        <f>IFERROR(__xludf.DUMMYFUNCTION("""COMPUTED_VALUE"""),0.0)</f>
        <v>0</v>
      </c>
      <c r="J787" s="69">
        <f>IFERROR(__xludf.DUMMYFUNCTION("""COMPUTED_VALUE"""),0.0)</f>
        <v>0</v>
      </c>
      <c r="K787" s="4">
        <f>IFERROR(__xludf.DUMMYFUNCTION("""COMPUTED_VALUE"""),0.0)</f>
        <v>0</v>
      </c>
      <c r="N787" s="67"/>
      <c r="R787" s="4"/>
    </row>
    <row r="788">
      <c r="A788" s="66"/>
      <c r="B788" s="67"/>
      <c r="C788" s="1"/>
      <c r="D788" s="1"/>
      <c r="E788" s="1"/>
      <c r="F788" s="1"/>
      <c r="G788" s="1"/>
      <c r="H788" s="1"/>
      <c r="I788" s="71">
        <f>IFERROR(__xludf.DUMMYFUNCTION("""COMPUTED_VALUE"""),0.0)</f>
        <v>0</v>
      </c>
      <c r="J788" s="69">
        <f>IFERROR(__xludf.DUMMYFUNCTION("""COMPUTED_VALUE"""),0.0)</f>
        <v>0</v>
      </c>
      <c r="K788" s="4">
        <f>IFERROR(__xludf.DUMMYFUNCTION("""COMPUTED_VALUE"""),0.0)</f>
        <v>0</v>
      </c>
      <c r="N788" s="67"/>
      <c r="R788" s="4"/>
    </row>
    <row r="789">
      <c r="A789" s="66"/>
      <c r="B789" s="67"/>
      <c r="C789" s="1"/>
      <c r="D789" s="1"/>
      <c r="E789" s="1"/>
      <c r="F789" s="1"/>
      <c r="G789" s="1"/>
      <c r="H789" s="1"/>
      <c r="I789" s="71">
        <f>IFERROR(__xludf.DUMMYFUNCTION("""COMPUTED_VALUE"""),0.0)</f>
        <v>0</v>
      </c>
      <c r="J789" s="69">
        <f>IFERROR(__xludf.DUMMYFUNCTION("""COMPUTED_VALUE"""),0.0)</f>
        <v>0</v>
      </c>
      <c r="K789" s="4">
        <f>IFERROR(__xludf.DUMMYFUNCTION("""COMPUTED_VALUE"""),0.0)</f>
        <v>0</v>
      </c>
      <c r="N789" s="67"/>
      <c r="R789" s="4"/>
    </row>
    <row r="790">
      <c r="A790" s="66"/>
      <c r="B790" s="67"/>
      <c r="C790" s="1"/>
      <c r="D790" s="1"/>
      <c r="E790" s="1"/>
      <c r="F790" s="1"/>
      <c r="G790" s="1"/>
      <c r="H790" s="1"/>
      <c r="I790" s="71">
        <f>IFERROR(__xludf.DUMMYFUNCTION("""COMPUTED_VALUE"""),0.0)</f>
        <v>0</v>
      </c>
      <c r="J790" s="69">
        <f>IFERROR(__xludf.DUMMYFUNCTION("""COMPUTED_VALUE"""),0.0)</f>
        <v>0</v>
      </c>
      <c r="K790" s="4">
        <f>IFERROR(__xludf.DUMMYFUNCTION("""COMPUTED_VALUE"""),0.0)</f>
        <v>0</v>
      </c>
      <c r="N790" s="67"/>
      <c r="R790" s="4"/>
    </row>
    <row r="791">
      <c r="A791" s="66"/>
      <c r="B791" s="67"/>
      <c r="C791" s="1"/>
      <c r="D791" s="1"/>
      <c r="E791" s="1"/>
      <c r="F791" s="1"/>
      <c r="G791" s="1"/>
      <c r="H791" s="1"/>
      <c r="I791" s="71">
        <f>IFERROR(__xludf.DUMMYFUNCTION("""COMPUTED_VALUE"""),0.0)</f>
        <v>0</v>
      </c>
      <c r="J791" s="69">
        <f>IFERROR(__xludf.DUMMYFUNCTION("""COMPUTED_VALUE"""),0.0)</f>
        <v>0</v>
      </c>
      <c r="K791" s="4">
        <f>IFERROR(__xludf.DUMMYFUNCTION("""COMPUTED_VALUE"""),0.0)</f>
        <v>0</v>
      </c>
      <c r="N791" s="67"/>
      <c r="R791" s="4"/>
    </row>
    <row r="792">
      <c r="A792" s="66"/>
      <c r="B792" s="67"/>
      <c r="C792" s="1"/>
      <c r="D792" s="1"/>
      <c r="E792" s="1"/>
      <c r="F792" s="1"/>
      <c r="G792" s="1"/>
      <c r="H792" s="1"/>
      <c r="I792" s="71">
        <f>IFERROR(__xludf.DUMMYFUNCTION("""COMPUTED_VALUE"""),0.0)</f>
        <v>0</v>
      </c>
      <c r="J792" s="69">
        <f>IFERROR(__xludf.DUMMYFUNCTION("""COMPUTED_VALUE"""),0.0)</f>
        <v>0</v>
      </c>
      <c r="K792" s="4">
        <f>IFERROR(__xludf.DUMMYFUNCTION("""COMPUTED_VALUE"""),0.0)</f>
        <v>0</v>
      </c>
      <c r="N792" s="67"/>
      <c r="R792" s="4"/>
    </row>
    <row r="793">
      <c r="A793" s="66"/>
      <c r="B793" s="67"/>
      <c r="C793" s="1"/>
      <c r="D793" s="1"/>
      <c r="E793" s="1"/>
      <c r="F793" s="1"/>
      <c r="G793" s="1"/>
      <c r="H793" s="1"/>
      <c r="I793" s="71">
        <f>IFERROR(__xludf.DUMMYFUNCTION("""COMPUTED_VALUE"""),0.0)</f>
        <v>0</v>
      </c>
      <c r="J793" s="69">
        <f>IFERROR(__xludf.DUMMYFUNCTION("""COMPUTED_VALUE"""),0.0)</f>
        <v>0</v>
      </c>
      <c r="K793" s="4">
        <f>IFERROR(__xludf.DUMMYFUNCTION("""COMPUTED_VALUE"""),0.0)</f>
        <v>0</v>
      </c>
      <c r="N793" s="67"/>
      <c r="R793" s="4"/>
    </row>
    <row r="794">
      <c r="A794" s="66"/>
      <c r="B794" s="67"/>
      <c r="C794" s="1"/>
      <c r="D794" s="1"/>
      <c r="E794" s="1"/>
      <c r="F794" s="1"/>
      <c r="G794" s="1"/>
      <c r="H794" s="1"/>
      <c r="I794" s="71">
        <f>IFERROR(__xludf.DUMMYFUNCTION("""COMPUTED_VALUE"""),0.0)</f>
        <v>0</v>
      </c>
      <c r="J794" s="69">
        <f>IFERROR(__xludf.DUMMYFUNCTION("""COMPUTED_VALUE"""),0.0)</f>
        <v>0</v>
      </c>
      <c r="K794" s="4">
        <f>IFERROR(__xludf.DUMMYFUNCTION("""COMPUTED_VALUE"""),0.0)</f>
        <v>0</v>
      </c>
      <c r="N794" s="67"/>
      <c r="R794" s="4"/>
    </row>
    <row r="795">
      <c r="A795" s="66"/>
      <c r="B795" s="67"/>
      <c r="C795" s="1"/>
      <c r="D795" s="1"/>
      <c r="E795" s="1"/>
      <c r="F795" s="1"/>
      <c r="G795" s="1"/>
      <c r="H795" s="1"/>
      <c r="I795" s="71">
        <f>IFERROR(__xludf.DUMMYFUNCTION("""COMPUTED_VALUE"""),0.0)</f>
        <v>0</v>
      </c>
      <c r="J795" s="69">
        <f>IFERROR(__xludf.DUMMYFUNCTION("""COMPUTED_VALUE"""),0.0)</f>
        <v>0</v>
      </c>
      <c r="K795" s="4">
        <f>IFERROR(__xludf.DUMMYFUNCTION("""COMPUTED_VALUE"""),0.0)</f>
        <v>0</v>
      </c>
      <c r="N795" s="67"/>
      <c r="R795" s="4"/>
    </row>
    <row r="796">
      <c r="A796" s="66"/>
      <c r="B796" s="67"/>
      <c r="C796" s="1"/>
      <c r="D796" s="1"/>
      <c r="E796" s="1"/>
      <c r="F796" s="1"/>
      <c r="G796" s="1"/>
      <c r="H796" s="1"/>
      <c r="I796" s="71">
        <f>IFERROR(__xludf.DUMMYFUNCTION("""COMPUTED_VALUE"""),0.0)</f>
        <v>0</v>
      </c>
      <c r="J796" s="69">
        <f>IFERROR(__xludf.DUMMYFUNCTION("""COMPUTED_VALUE"""),0.0)</f>
        <v>0</v>
      </c>
      <c r="K796" s="4">
        <f>IFERROR(__xludf.DUMMYFUNCTION("""COMPUTED_VALUE"""),0.0)</f>
        <v>0</v>
      </c>
      <c r="N796" s="67"/>
      <c r="R796" s="4"/>
    </row>
    <row r="797">
      <c r="A797" s="66"/>
      <c r="B797" s="67"/>
      <c r="C797" s="1"/>
      <c r="D797" s="1"/>
      <c r="E797" s="1"/>
      <c r="F797" s="1"/>
      <c r="G797" s="1"/>
      <c r="H797" s="1"/>
      <c r="I797" s="71">
        <f>IFERROR(__xludf.DUMMYFUNCTION("""COMPUTED_VALUE"""),0.0)</f>
        <v>0</v>
      </c>
      <c r="J797" s="69">
        <f>IFERROR(__xludf.DUMMYFUNCTION("""COMPUTED_VALUE"""),0.0)</f>
        <v>0</v>
      </c>
      <c r="K797" s="4">
        <f>IFERROR(__xludf.DUMMYFUNCTION("""COMPUTED_VALUE"""),0.0)</f>
        <v>0</v>
      </c>
      <c r="N797" s="67"/>
      <c r="R797" s="4"/>
    </row>
    <row r="798">
      <c r="A798" s="66"/>
      <c r="B798" s="67"/>
      <c r="C798" s="1"/>
      <c r="D798" s="1"/>
      <c r="E798" s="1"/>
      <c r="F798" s="1"/>
      <c r="G798" s="1"/>
      <c r="H798" s="1"/>
      <c r="I798" s="71">
        <f>IFERROR(__xludf.DUMMYFUNCTION("""COMPUTED_VALUE"""),0.0)</f>
        <v>0</v>
      </c>
      <c r="J798" s="69">
        <f>IFERROR(__xludf.DUMMYFUNCTION("""COMPUTED_VALUE"""),0.0)</f>
        <v>0</v>
      </c>
      <c r="K798" s="4">
        <f>IFERROR(__xludf.DUMMYFUNCTION("""COMPUTED_VALUE"""),0.0)</f>
        <v>0</v>
      </c>
      <c r="N798" s="67"/>
      <c r="R798" s="4"/>
    </row>
    <row r="799">
      <c r="A799" s="66"/>
      <c r="B799" s="67"/>
      <c r="C799" s="1"/>
      <c r="D799" s="1"/>
      <c r="E799" s="1"/>
      <c r="F799" s="1"/>
      <c r="G799" s="1"/>
      <c r="H799" s="1"/>
      <c r="I799" s="71">
        <f>IFERROR(__xludf.DUMMYFUNCTION("""COMPUTED_VALUE"""),0.0)</f>
        <v>0</v>
      </c>
      <c r="J799" s="69">
        <f>IFERROR(__xludf.DUMMYFUNCTION("""COMPUTED_VALUE"""),0.0)</f>
        <v>0</v>
      </c>
      <c r="K799" s="4">
        <f>IFERROR(__xludf.DUMMYFUNCTION("""COMPUTED_VALUE"""),0.0)</f>
        <v>0</v>
      </c>
      <c r="N799" s="67"/>
      <c r="R799" s="4"/>
    </row>
    <row r="800">
      <c r="A800" s="66"/>
      <c r="B800" s="67"/>
      <c r="C800" s="1"/>
      <c r="D800" s="1"/>
      <c r="E800" s="1"/>
      <c r="F800" s="1"/>
      <c r="G800" s="1"/>
      <c r="H800" s="1"/>
      <c r="I800" s="71">
        <f>IFERROR(__xludf.DUMMYFUNCTION("""COMPUTED_VALUE"""),0.0)</f>
        <v>0</v>
      </c>
      <c r="J800" s="69">
        <f>IFERROR(__xludf.DUMMYFUNCTION("""COMPUTED_VALUE"""),0.0)</f>
        <v>0</v>
      </c>
      <c r="K800" s="4">
        <f>IFERROR(__xludf.DUMMYFUNCTION("""COMPUTED_VALUE"""),0.0)</f>
        <v>0</v>
      </c>
      <c r="N800" s="67"/>
      <c r="R800" s="4"/>
    </row>
    <row r="801">
      <c r="A801" s="66"/>
      <c r="B801" s="67"/>
      <c r="C801" s="1"/>
      <c r="D801" s="1"/>
      <c r="E801" s="1"/>
      <c r="F801" s="1"/>
      <c r="G801" s="1"/>
      <c r="H801" s="1"/>
      <c r="I801" s="71">
        <f>IFERROR(__xludf.DUMMYFUNCTION("""COMPUTED_VALUE"""),0.0)</f>
        <v>0</v>
      </c>
      <c r="J801" s="69">
        <f>IFERROR(__xludf.DUMMYFUNCTION("""COMPUTED_VALUE"""),0.0)</f>
        <v>0</v>
      </c>
      <c r="K801" s="4">
        <f>IFERROR(__xludf.DUMMYFUNCTION("""COMPUTED_VALUE"""),0.0)</f>
        <v>0</v>
      </c>
      <c r="N801" s="67"/>
      <c r="R801" s="4"/>
    </row>
    <row r="802">
      <c r="A802" s="66"/>
      <c r="B802" s="67"/>
      <c r="C802" s="1"/>
      <c r="D802" s="1"/>
      <c r="E802" s="1"/>
      <c r="F802" s="1"/>
      <c r="G802" s="1"/>
      <c r="H802" s="1"/>
      <c r="I802" s="71">
        <f>IFERROR(__xludf.DUMMYFUNCTION("""COMPUTED_VALUE"""),0.0)</f>
        <v>0</v>
      </c>
      <c r="J802" s="69">
        <f>IFERROR(__xludf.DUMMYFUNCTION("""COMPUTED_VALUE"""),0.0)</f>
        <v>0</v>
      </c>
      <c r="K802" s="4">
        <f>IFERROR(__xludf.DUMMYFUNCTION("""COMPUTED_VALUE"""),0.0)</f>
        <v>0</v>
      </c>
      <c r="N802" s="67"/>
      <c r="R802" s="4"/>
    </row>
    <row r="803">
      <c r="A803" s="66"/>
      <c r="B803" s="67"/>
      <c r="C803" s="1"/>
      <c r="D803" s="1"/>
      <c r="E803" s="1"/>
      <c r="F803" s="1"/>
      <c r="G803" s="1"/>
      <c r="H803" s="1"/>
      <c r="I803" s="71">
        <f>IFERROR(__xludf.DUMMYFUNCTION("""COMPUTED_VALUE"""),0.0)</f>
        <v>0</v>
      </c>
      <c r="J803" s="69">
        <f>IFERROR(__xludf.DUMMYFUNCTION("""COMPUTED_VALUE"""),0.0)</f>
        <v>0</v>
      </c>
      <c r="K803" s="4">
        <f>IFERROR(__xludf.DUMMYFUNCTION("""COMPUTED_VALUE"""),0.0)</f>
        <v>0</v>
      </c>
      <c r="N803" s="67"/>
      <c r="R803" s="4"/>
    </row>
    <row r="804">
      <c r="A804" s="66"/>
      <c r="B804" s="67"/>
      <c r="C804" s="1"/>
      <c r="D804" s="1"/>
      <c r="E804" s="1"/>
      <c r="F804" s="1"/>
      <c r="G804" s="1"/>
      <c r="H804" s="1"/>
      <c r="I804" s="71">
        <f>IFERROR(__xludf.DUMMYFUNCTION("""COMPUTED_VALUE"""),0.0)</f>
        <v>0</v>
      </c>
      <c r="J804" s="69">
        <f>IFERROR(__xludf.DUMMYFUNCTION("""COMPUTED_VALUE"""),0.0)</f>
        <v>0</v>
      </c>
      <c r="K804" s="4">
        <f>IFERROR(__xludf.DUMMYFUNCTION("""COMPUTED_VALUE"""),0.0)</f>
        <v>0</v>
      </c>
      <c r="N804" s="67"/>
      <c r="R804" s="4"/>
    </row>
    <row r="805">
      <c r="A805" s="66"/>
      <c r="B805" s="67"/>
      <c r="C805" s="1"/>
      <c r="D805" s="1"/>
      <c r="E805" s="1"/>
      <c r="F805" s="1"/>
      <c r="G805" s="1"/>
      <c r="H805" s="1"/>
      <c r="I805" s="71">
        <f>IFERROR(__xludf.DUMMYFUNCTION("""COMPUTED_VALUE"""),0.0)</f>
        <v>0</v>
      </c>
      <c r="J805" s="69">
        <f>IFERROR(__xludf.DUMMYFUNCTION("""COMPUTED_VALUE"""),0.0)</f>
        <v>0</v>
      </c>
      <c r="K805" s="4">
        <f>IFERROR(__xludf.DUMMYFUNCTION("""COMPUTED_VALUE"""),0.0)</f>
        <v>0</v>
      </c>
      <c r="N805" s="67"/>
      <c r="R805" s="4"/>
    </row>
    <row r="806">
      <c r="A806" s="66"/>
      <c r="B806" s="67"/>
      <c r="C806" s="1"/>
      <c r="D806" s="1"/>
      <c r="E806" s="1"/>
      <c r="F806" s="1"/>
      <c r="G806" s="1"/>
      <c r="H806" s="1"/>
      <c r="I806" s="71">
        <f>IFERROR(__xludf.DUMMYFUNCTION("""COMPUTED_VALUE"""),0.0)</f>
        <v>0</v>
      </c>
      <c r="J806" s="69">
        <f>IFERROR(__xludf.DUMMYFUNCTION("""COMPUTED_VALUE"""),0.0)</f>
        <v>0</v>
      </c>
      <c r="K806" s="4">
        <f>IFERROR(__xludf.DUMMYFUNCTION("""COMPUTED_VALUE"""),0.0)</f>
        <v>0</v>
      </c>
      <c r="N806" s="67"/>
      <c r="R806" s="4"/>
    </row>
    <row r="807">
      <c r="A807" s="66"/>
      <c r="B807" s="67"/>
      <c r="C807" s="1"/>
      <c r="D807" s="1"/>
      <c r="E807" s="1"/>
      <c r="F807" s="1"/>
      <c r="G807" s="1"/>
      <c r="H807" s="1"/>
      <c r="I807" s="71">
        <f>IFERROR(__xludf.DUMMYFUNCTION("""COMPUTED_VALUE"""),0.0)</f>
        <v>0</v>
      </c>
      <c r="J807" s="69">
        <f>IFERROR(__xludf.DUMMYFUNCTION("""COMPUTED_VALUE"""),0.0)</f>
        <v>0</v>
      </c>
      <c r="K807" s="4">
        <f>IFERROR(__xludf.DUMMYFUNCTION("""COMPUTED_VALUE"""),0.0)</f>
        <v>0</v>
      </c>
      <c r="N807" s="67"/>
      <c r="R807" s="4"/>
    </row>
    <row r="808">
      <c r="A808" s="66"/>
      <c r="B808" s="67"/>
      <c r="C808" s="1"/>
      <c r="D808" s="1"/>
      <c r="E808" s="1"/>
      <c r="F808" s="1"/>
      <c r="G808" s="1"/>
      <c r="H808" s="1"/>
      <c r="I808" s="71">
        <f>IFERROR(__xludf.DUMMYFUNCTION("""COMPUTED_VALUE"""),0.0)</f>
        <v>0</v>
      </c>
      <c r="J808" s="69">
        <f>IFERROR(__xludf.DUMMYFUNCTION("""COMPUTED_VALUE"""),0.0)</f>
        <v>0</v>
      </c>
      <c r="K808" s="4">
        <f>IFERROR(__xludf.DUMMYFUNCTION("""COMPUTED_VALUE"""),0.0)</f>
        <v>0</v>
      </c>
      <c r="N808" s="67"/>
      <c r="R808" s="4"/>
    </row>
    <row r="809">
      <c r="A809" s="66"/>
      <c r="B809" s="67"/>
      <c r="C809" s="1"/>
      <c r="D809" s="1"/>
      <c r="E809" s="1"/>
      <c r="F809" s="1"/>
      <c r="G809" s="1"/>
      <c r="H809" s="1"/>
      <c r="I809" s="71">
        <f>IFERROR(__xludf.DUMMYFUNCTION("""COMPUTED_VALUE"""),0.0)</f>
        <v>0</v>
      </c>
      <c r="J809" s="69">
        <f>IFERROR(__xludf.DUMMYFUNCTION("""COMPUTED_VALUE"""),0.0)</f>
        <v>0</v>
      </c>
      <c r="K809" s="4">
        <f>IFERROR(__xludf.DUMMYFUNCTION("""COMPUTED_VALUE"""),0.0)</f>
        <v>0</v>
      </c>
      <c r="N809" s="67"/>
      <c r="R809" s="4"/>
    </row>
    <row r="810">
      <c r="A810" s="66"/>
      <c r="B810" s="67"/>
      <c r="C810" s="1"/>
      <c r="D810" s="1"/>
      <c r="E810" s="1"/>
      <c r="F810" s="1"/>
      <c r="G810" s="1"/>
      <c r="H810" s="1"/>
      <c r="I810" s="71">
        <f>IFERROR(__xludf.DUMMYFUNCTION("""COMPUTED_VALUE"""),0.0)</f>
        <v>0</v>
      </c>
      <c r="J810" s="69">
        <f>IFERROR(__xludf.DUMMYFUNCTION("""COMPUTED_VALUE"""),0.0)</f>
        <v>0</v>
      </c>
      <c r="K810" s="4">
        <f>IFERROR(__xludf.DUMMYFUNCTION("""COMPUTED_VALUE"""),0.0)</f>
        <v>0</v>
      </c>
      <c r="N810" s="67"/>
      <c r="R810" s="4"/>
    </row>
    <row r="811">
      <c r="A811" s="66"/>
      <c r="B811" s="67"/>
      <c r="C811" s="1"/>
      <c r="D811" s="1"/>
      <c r="E811" s="1"/>
      <c r="F811" s="1"/>
      <c r="G811" s="1"/>
      <c r="H811" s="1"/>
      <c r="I811" s="71">
        <f>IFERROR(__xludf.DUMMYFUNCTION("""COMPUTED_VALUE"""),0.0)</f>
        <v>0</v>
      </c>
      <c r="J811" s="69">
        <f>IFERROR(__xludf.DUMMYFUNCTION("""COMPUTED_VALUE"""),0.0)</f>
        <v>0</v>
      </c>
      <c r="K811" s="4">
        <f>IFERROR(__xludf.DUMMYFUNCTION("""COMPUTED_VALUE"""),0.0)</f>
        <v>0</v>
      </c>
      <c r="N811" s="67"/>
      <c r="R811" s="4"/>
    </row>
    <row r="812">
      <c r="A812" s="66"/>
      <c r="B812" s="67"/>
      <c r="C812" s="1"/>
      <c r="D812" s="1"/>
      <c r="E812" s="1"/>
      <c r="F812" s="1"/>
      <c r="G812" s="1"/>
      <c r="H812" s="1"/>
      <c r="I812" s="71">
        <f>IFERROR(__xludf.DUMMYFUNCTION("""COMPUTED_VALUE"""),0.0)</f>
        <v>0</v>
      </c>
      <c r="J812" s="69">
        <f>IFERROR(__xludf.DUMMYFUNCTION("""COMPUTED_VALUE"""),0.0)</f>
        <v>0</v>
      </c>
      <c r="K812" s="4">
        <f>IFERROR(__xludf.DUMMYFUNCTION("""COMPUTED_VALUE"""),0.0)</f>
        <v>0</v>
      </c>
      <c r="N812" s="67"/>
      <c r="R812" s="4"/>
    </row>
    <row r="813">
      <c r="A813" s="66"/>
      <c r="B813" s="67"/>
      <c r="C813" s="1"/>
      <c r="D813" s="1"/>
      <c r="E813" s="1"/>
      <c r="F813" s="1"/>
      <c r="G813" s="1"/>
      <c r="H813" s="1"/>
      <c r="I813" s="71">
        <f>IFERROR(__xludf.DUMMYFUNCTION("""COMPUTED_VALUE"""),0.0)</f>
        <v>0</v>
      </c>
      <c r="J813" s="69">
        <f>IFERROR(__xludf.DUMMYFUNCTION("""COMPUTED_VALUE"""),0.0)</f>
        <v>0</v>
      </c>
      <c r="K813" s="4">
        <f>IFERROR(__xludf.DUMMYFUNCTION("""COMPUTED_VALUE"""),0.0)</f>
        <v>0</v>
      </c>
      <c r="N813" s="67"/>
      <c r="R813" s="4"/>
    </row>
    <row r="814">
      <c r="A814" s="66"/>
      <c r="B814" s="67"/>
      <c r="C814" s="1"/>
      <c r="D814" s="1"/>
      <c r="E814" s="1"/>
      <c r="F814" s="1"/>
      <c r="G814" s="1"/>
      <c r="H814" s="1"/>
      <c r="I814" s="71">
        <f>IFERROR(__xludf.DUMMYFUNCTION("""COMPUTED_VALUE"""),0.0)</f>
        <v>0</v>
      </c>
      <c r="J814" s="69">
        <f>IFERROR(__xludf.DUMMYFUNCTION("""COMPUTED_VALUE"""),0.0)</f>
        <v>0</v>
      </c>
      <c r="K814" s="4">
        <f>IFERROR(__xludf.DUMMYFUNCTION("""COMPUTED_VALUE"""),0.0)</f>
        <v>0</v>
      </c>
      <c r="N814" s="67"/>
      <c r="R814" s="4"/>
    </row>
    <row r="815">
      <c r="A815" s="66"/>
      <c r="B815" s="67"/>
      <c r="C815" s="1"/>
      <c r="D815" s="1"/>
      <c r="E815" s="1"/>
      <c r="F815" s="1"/>
      <c r="G815" s="1"/>
      <c r="H815" s="1"/>
      <c r="I815" s="71">
        <f>IFERROR(__xludf.DUMMYFUNCTION("""COMPUTED_VALUE"""),0.0)</f>
        <v>0</v>
      </c>
      <c r="J815" s="69">
        <f>IFERROR(__xludf.DUMMYFUNCTION("""COMPUTED_VALUE"""),0.0)</f>
        <v>0</v>
      </c>
      <c r="K815" s="4">
        <f>IFERROR(__xludf.DUMMYFUNCTION("""COMPUTED_VALUE"""),0.0)</f>
        <v>0</v>
      </c>
      <c r="N815" s="67"/>
      <c r="R815" s="4"/>
    </row>
    <row r="816">
      <c r="A816" s="66"/>
      <c r="B816" s="67"/>
      <c r="C816" s="1"/>
      <c r="D816" s="1"/>
      <c r="E816" s="1"/>
      <c r="F816" s="1"/>
      <c r="G816" s="1"/>
      <c r="H816" s="1"/>
      <c r="I816" s="71">
        <f>IFERROR(__xludf.DUMMYFUNCTION("""COMPUTED_VALUE"""),0.0)</f>
        <v>0</v>
      </c>
      <c r="J816" s="69">
        <f>IFERROR(__xludf.DUMMYFUNCTION("""COMPUTED_VALUE"""),0.0)</f>
        <v>0</v>
      </c>
      <c r="K816" s="4">
        <f>IFERROR(__xludf.DUMMYFUNCTION("""COMPUTED_VALUE"""),0.0)</f>
        <v>0</v>
      </c>
      <c r="N816" s="67"/>
      <c r="R816" s="4"/>
    </row>
    <row r="817">
      <c r="A817" s="66"/>
      <c r="B817" s="67"/>
      <c r="C817" s="1"/>
      <c r="D817" s="1"/>
      <c r="E817" s="1"/>
      <c r="F817" s="1"/>
      <c r="G817" s="1"/>
      <c r="H817" s="1"/>
      <c r="I817" s="71">
        <f>IFERROR(__xludf.DUMMYFUNCTION("""COMPUTED_VALUE"""),0.0)</f>
        <v>0</v>
      </c>
      <c r="J817" s="69">
        <f>IFERROR(__xludf.DUMMYFUNCTION("""COMPUTED_VALUE"""),0.0)</f>
        <v>0</v>
      </c>
      <c r="K817" s="4">
        <f>IFERROR(__xludf.DUMMYFUNCTION("""COMPUTED_VALUE"""),0.0)</f>
        <v>0</v>
      </c>
      <c r="N817" s="67"/>
      <c r="R817" s="4"/>
    </row>
    <row r="818">
      <c r="A818" s="66"/>
      <c r="B818" s="67"/>
      <c r="C818" s="1"/>
      <c r="D818" s="1"/>
      <c r="E818" s="1"/>
      <c r="F818" s="1"/>
      <c r="G818" s="1"/>
      <c r="H818" s="1"/>
      <c r="I818" s="71">
        <f>IFERROR(__xludf.DUMMYFUNCTION("""COMPUTED_VALUE"""),0.0)</f>
        <v>0</v>
      </c>
      <c r="J818" s="69">
        <f>IFERROR(__xludf.DUMMYFUNCTION("""COMPUTED_VALUE"""),0.0)</f>
        <v>0</v>
      </c>
      <c r="K818" s="4">
        <f>IFERROR(__xludf.DUMMYFUNCTION("""COMPUTED_VALUE"""),0.0)</f>
        <v>0</v>
      </c>
      <c r="N818" s="67"/>
      <c r="R818" s="4"/>
    </row>
    <row r="819">
      <c r="A819" s="66"/>
      <c r="B819" s="67"/>
      <c r="C819" s="1"/>
      <c r="D819" s="1"/>
      <c r="E819" s="1"/>
      <c r="F819" s="1"/>
      <c r="G819" s="1"/>
      <c r="H819" s="1"/>
      <c r="I819" s="71">
        <f>IFERROR(__xludf.DUMMYFUNCTION("""COMPUTED_VALUE"""),0.0)</f>
        <v>0</v>
      </c>
      <c r="J819" s="69">
        <f>IFERROR(__xludf.DUMMYFUNCTION("""COMPUTED_VALUE"""),0.0)</f>
        <v>0</v>
      </c>
      <c r="K819" s="4">
        <f>IFERROR(__xludf.DUMMYFUNCTION("""COMPUTED_VALUE"""),0.0)</f>
        <v>0</v>
      </c>
      <c r="N819" s="67"/>
      <c r="R819" s="4"/>
    </row>
    <row r="820">
      <c r="A820" s="66"/>
      <c r="B820" s="67"/>
      <c r="C820" s="1"/>
      <c r="D820" s="1"/>
      <c r="E820" s="1"/>
      <c r="F820" s="1"/>
      <c r="G820" s="1"/>
      <c r="H820" s="1"/>
      <c r="I820" s="71">
        <f>IFERROR(__xludf.DUMMYFUNCTION("""COMPUTED_VALUE"""),0.0)</f>
        <v>0</v>
      </c>
      <c r="J820" s="69">
        <f>IFERROR(__xludf.DUMMYFUNCTION("""COMPUTED_VALUE"""),0.0)</f>
        <v>0</v>
      </c>
      <c r="K820" s="4">
        <f>IFERROR(__xludf.DUMMYFUNCTION("""COMPUTED_VALUE"""),0.0)</f>
        <v>0</v>
      </c>
      <c r="N820" s="67"/>
      <c r="R820" s="4"/>
    </row>
    <row r="821">
      <c r="A821" s="66"/>
      <c r="B821" s="67"/>
      <c r="C821" s="1"/>
      <c r="D821" s="1"/>
      <c r="E821" s="1"/>
      <c r="F821" s="1"/>
      <c r="G821" s="1"/>
      <c r="H821" s="1"/>
      <c r="I821" s="71">
        <f>IFERROR(__xludf.DUMMYFUNCTION("""COMPUTED_VALUE"""),0.0)</f>
        <v>0</v>
      </c>
      <c r="J821" s="69">
        <f>IFERROR(__xludf.DUMMYFUNCTION("""COMPUTED_VALUE"""),0.0)</f>
        <v>0</v>
      </c>
      <c r="K821" s="4">
        <f>IFERROR(__xludf.DUMMYFUNCTION("""COMPUTED_VALUE"""),0.0)</f>
        <v>0</v>
      </c>
      <c r="N821" s="67"/>
      <c r="R821" s="4"/>
    </row>
    <row r="822">
      <c r="A822" s="66"/>
      <c r="B822" s="67"/>
      <c r="C822" s="1"/>
      <c r="D822" s="1"/>
      <c r="E822" s="1"/>
      <c r="F822" s="1"/>
      <c r="G822" s="1"/>
      <c r="H822" s="1"/>
      <c r="I822" s="71">
        <f>IFERROR(__xludf.DUMMYFUNCTION("""COMPUTED_VALUE"""),0.0)</f>
        <v>0</v>
      </c>
      <c r="J822" s="69">
        <f>IFERROR(__xludf.DUMMYFUNCTION("""COMPUTED_VALUE"""),0.0)</f>
        <v>0</v>
      </c>
      <c r="K822" s="4">
        <f>IFERROR(__xludf.DUMMYFUNCTION("""COMPUTED_VALUE"""),0.0)</f>
        <v>0</v>
      </c>
      <c r="N822" s="67"/>
      <c r="R822" s="4"/>
    </row>
    <row r="823">
      <c r="A823" s="66"/>
      <c r="B823" s="67"/>
      <c r="C823" s="1"/>
      <c r="D823" s="1"/>
      <c r="E823" s="1"/>
      <c r="F823" s="1"/>
      <c r="G823" s="1"/>
      <c r="H823" s="1"/>
      <c r="I823" s="71">
        <f>IFERROR(__xludf.DUMMYFUNCTION("""COMPUTED_VALUE"""),0.0)</f>
        <v>0</v>
      </c>
      <c r="J823" s="69">
        <f>IFERROR(__xludf.DUMMYFUNCTION("""COMPUTED_VALUE"""),0.0)</f>
        <v>0</v>
      </c>
      <c r="K823" s="4">
        <f>IFERROR(__xludf.DUMMYFUNCTION("""COMPUTED_VALUE"""),0.0)</f>
        <v>0</v>
      </c>
      <c r="N823" s="67"/>
      <c r="R823" s="4"/>
    </row>
    <row r="824">
      <c r="A824" s="66"/>
      <c r="B824" s="67"/>
      <c r="C824" s="1"/>
      <c r="D824" s="1"/>
      <c r="E824" s="1"/>
      <c r="F824" s="1"/>
      <c r="G824" s="1"/>
      <c r="H824" s="1"/>
      <c r="I824" s="71">
        <f>IFERROR(__xludf.DUMMYFUNCTION("""COMPUTED_VALUE"""),0.0)</f>
        <v>0</v>
      </c>
      <c r="J824" s="69">
        <f>IFERROR(__xludf.DUMMYFUNCTION("""COMPUTED_VALUE"""),0.0)</f>
        <v>0</v>
      </c>
      <c r="K824" s="4">
        <f>IFERROR(__xludf.DUMMYFUNCTION("""COMPUTED_VALUE"""),0.0)</f>
        <v>0</v>
      </c>
      <c r="N824" s="67"/>
      <c r="R824" s="4"/>
    </row>
    <row r="825">
      <c r="A825" s="66"/>
      <c r="B825" s="67"/>
      <c r="C825" s="1"/>
      <c r="D825" s="1"/>
      <c r="E825" s="1"/>
      <c r="F825" s="1"/>
      <c r="G825" s="1"/>
      <c r="H825" s="1"/>
      <c r="I825" s="71">
        <f>IFERROR(__xludf.DUMMYFUNCTION("""COMPUTED_VALUE"""),0.0)</f>
        <v>0</v>
      </c>
      <c r="J825" s="69">
        <f>IFERROR(__xludf.DUMMYFUNCTION("""COMPUTED_VALUE"""),0.0)</f>
        <v>0</v>
      </c>
      <c r="K825" s="4">
        <f>IFERROR(__xludf.DUMMYFUNCTION("""COMPUTED_VALUE"""),0.0)</f>
        <v>0</v>
      </c>
      <c r="N825" s="67"/>
      <c r="R825" s="4"/>
    </row>
    <row r="826">
      <c r="A826" s="66"/>
      <c r="B826" s="67"/>
      <c r="C826" s="1"/>
      <c r="D826" s="1"/>
      <c r="E826" s="1"/>
      <c r="F826" s="1"/>
      <c r="G826" s="1"/>
      <c r="H826" s="1"/>
      <c r="I826" s="71">
        <f>IFERROR(__xludf.DUMMYFUNCTION("""COMPUTED_VALUE"""),0.0)</f>
        <v>0</v>
      </c>
      <c r="J826" s="69">
        <f>IFERROR(__xludf.DUMMYFUNCTION("""COMPUTED_VALUE"""),0.0)</f>
        <v>0</v>
      </c>
      <c r="K826" s="4">
        <f>IFERROR(__xludf.DUMMYFUNCTION("""COMPUTED_VALUE"""),0.0)</f>
        <v>0</v>
      </c>
      <c r="N826" s="67"/>
      <c r="R826" s="4"/>
    </row>
    <row r="827">
      <c r="A827" s="66"/>
      <c r="B827" s="67"/>
      <c r="C827" s="1"/>
      <c r="D827" s="1"/>
      <c r="E827" s="1"/>
      <c r="F827" s="1"/>
      <c r="G827" s="1"/>
      <c r="H827" s="1"/>
      <c r="I827" s="71">
        <f>IFERROR(__xludf.DUMMYFUNCTION("""COMPUTED_VALUE"""),0.0)</f>
        <v>0</v>
      </c>
      <c r="J827" s="69">
        <f>IFERROR(__xludf.DUMMYFUNCTION("""COMPUTED_VALUE"""),0.0)</f>
        <v>0</v>
      </c>
      <c r="K827" s="4">
        <f>IFERROR(__xludf.DUMMYFUNCTION("""COMPUTED_VALUE"""),0.0)</f>
        <v>0</v>
      </c>
      <c r="N827" s="67"/>
      <c r="R827" s="4"/>
    </row>
    <row r="828">
      <c r="A828" s="66"/>
      <c r="B828" s="67"/>
      <c r="C828" s="1"/>
      <c r="D828" s="1"/>
      <c r="E828" s="1"/>
      <c r="F828" s="1"/>
      <c r="G828" s="1"/>
      <c r="H828" s="1"/>
      <c r="I828" s="71">
        <f>IFERROR(__xludf.DUMMYFUNCTION("""COMPUTED_VALUE"""),0.0)</f>
        <v>0</v>
      </c>
      <c r="J828" s="69">
        <f>IFERROR(__xludf.DUMMYFUNCTION("""COMPUTED_VALUE"""),0.0)</f>
        <v>0</v>
      </c>
      <c r="K828" s="4">
        <f>IFERROR(__xludf.DUMMYFUNCTION("""COMPUTED_VALUE"""),0.0)</f>
        <v>0</v>
      </c>
      <c r="N828" s="67"/>
      <c r="R828" s="4"/>
    </row>
    <row r="829">
      <c r="A829" s="66"/>
      <c r="B829" s="67"/>
      <c r="C829" s="1"/>
      <c r="D829" s="1"/>
      <c r="E829" s="1"/>
      <c r="F829" s="1"/>
      <c r="G829" s="1"/>
      <c r="H829" s="1"/>
      <c r="I829" s="71">
        <f>IFERROR(__xludf.DUMMYFUNCTION("""COMPUTED_VALUE"""),0.0)</f>
        <v>0</v>
      </c>
      <c r="J829" s="69">
        <f>IFERROR(__xludf.DUMMYFUNCTION("""COMPUTED_VALUE"""),0.0)</f>
        <v>0</v>
      </c>
      <c r="K829" s="4">
        <f>IFERROR(__xludf.DUMMYFUNCTION("""COMPUTED_VALUE"""),0.0)</f>
        <v>0</v>
      </c>
      <c r="N829" s="67"/>
      <c r="R829" s="4"/>
    </row>
    <row r="830">
      <c r="A830" s="66"/>
      <c r="B830" s="67"/>
      <c r="C830" s="1"/>
      <c r="D830" s="1"/>
      <c r="E830" s="1"/>
      <c r="F830" s="1"/>
      <c r="G830" s="1"/>
      <c r="H830" s="1"/>
      <c r="I830" s="71">
        <f>IFERROR(__xludf.DUMMYFUNCTION("""COMPUTED_VALUE"""),0.0)</f>
        <v>0</v>
      </c>
      <c r="J830" s="69">
        <f>IFERROR(__xludf.DUMMYFUNCTION("""COMPUTED_VALUE"""),0.0)</f>
        <v>0</v>
      </c>
      <c r="K830" s="4">
        <f>IFERROR(__xludf.DUMMYFUNCTION("""COMPUTED_VALUE"""),0.0)</f>
        <v>0</v>
      </c>
      <c r="N830" s="67"/>
      <c r="R830" s="4"/>
    </row>
    <row r="831">
      <c r="A831" s="66"/>
      <c r="B831" s="67"/>
      <c r="C831" s="1"/>
      <c r="D831" s="1"/>
      <c r="E831" s="1"/>
      <c r="F831" s="1"/>
      <c r="G831" s="1"/>
      <c r="H831" s="1"/>
      <c r="I831" s="71">
        <f>IFERROR(__xludf.DUMMYFUNCTION("""COMPUTED_VALUE"""),0.0)</f>
        <v>0</v>
      </c>
      <c r="J831" s="69">
        <f>IFERROR(__xludf.DUMMYFUNCTION("""COMPUTED_VALUE"""),0.0)</f>
        <v>0</v>
      </c>
      <c r="K831" s="4">
        <f>IFERROR(__xludf.DUMMYFUNCTION("""COMPUTED_VALUE"""),0.0)</f>
        <v>0</v>
      </c>
      <c r="N831" s="67"/>
      <c r="R831" s="4"/>
    </row>
    <row r="832">
      <c r="A832" s="66"/>
      <c r="B832" s="67"/>
      <c r="C832" s="1"/>
      <c r="D832" s="1"/>
      <c r="E832" s="1"/>
      <c r="F832" s="1"/>
      <c r="G832" s="1"/>
      <c r="H832" s="1"/>
      <c r="I832" s="71">
        <f>IFERROR(__xludf.DUMMYFUNCTION("""COMPUTED_VALUE"""),0.0)</f>
        <v>0</v>
      </c>
      <c r="J832" s="69">
        <f>IFERROR(__xludf.DUMMYFUNCTION("""COMPUTED_VALUE"""),0.0)</f>
        <v>0</v>
      </c>
      <c r="K832" s="4">
        <f>IFERROR(__xludf.DUMMYFUNCTION("""COMPUTED_VALUE"""),0.0)</f>
        <v>0</v>
      </c>
      <c r="N832" s="67"/>
      <c r="R832" s="4"/>
    </row>
    <row r="833">
      <c r="A833" s="66"/>
      <c r="B833" s="67"/>
      <c r="C833" s="1"/>
      <c r="D833" s="1"/>
      <c r="E833" s="1"/>
      <c r="F833" s="1"/>
      <c r="G833" s="1"/>
      <c r="H833" s="1"/>
      <c r="I833" s="71">
        <f>IFERROR(__xludf.DUMMYFUNCTION("""COMPUTED_VALUE"""),0.0)</f>
        <v>0</v>
      </c>
      <c r="J833" s="69">
        <f>IFERROR(__xludf.DUMMYFUNCTION("""COMPUTED_VALUE"""),0.0)</f>
        <v>0</v>
      </c>
      <c r="K833" s="4">
        <f>IFERROR(__xludf.DUMMYFUNCTION("""COMPUTED_VALUE"""),0.0)</f>
        <v>0</v>
      </c>
      <c r="N833" s="67"/>
      <c r="R833" s="4"/>
    </row>
    <row r="834">
      <c r="A834" s="66"/>
      <c r="B834" s="67"/>
      <c r="C834" s="1"/>
      <c r="D834" s="1"/>
      <c r="E834" s="1"/>
      <c r="F834" s="1"/>
      <c r="G834" s="1"/>
      <c r="H834" s="1"/>
      <c r="I834" s="71">
        <f>IFERROR(__xludf.DUMMYFUNCTION("""COMPUTED_VALUE"""),0.0)</f>
        <v>0</v>
      </c>
      <c r="J834" s="69">
        <f>IFERROR(__xludf.DUMMYFUNCTION("""COMPUTED_VALUE"""),0.0)</f>
        <v>0</v>
      </c>
      <c r="K834" s="4">
        <f>IFERROR(__xludf.DUMMYFUNCTION("""COMPUTED_VALUE"""),0.0)</f>
        <v>0</v>
      </c>
      <c r="N834" s="67"/>
      <c r="R834" s="4"/>
    </row>
    <row r="835">
      <c r="A835" s="66"/>
      <c r="B835" s="67"/>
      <c r="C835" s="1"/>
      <c r="D835" s="1"/>
      <c r="E835" s="1"/>
      <c r="F835" s="1"/>
      <c r="G835" s="1"/>
      <c r="H835" s="1"/>
      <c r="I835" s="71">
        <f>IFERROR(__xludf.DUMMYFUNCTION("""COMPUTED_VALUE"""),0.0)</f>
        <v>0</v>
      </c>
      <c r="J835" s="69">
        <f>IFERROR(__xludf.DUMMYFUNCTION("""COMPUTED_VALUE"""),0.0)</f>
        <v>0</v>
      </c>
      <c r="K835" s="4">
        <f>IFERROR(__xludf.DUMMYFUNCTION("""COMPUTED_VALUE"""),0.0)</f>
        <v>0</v>
      </c>
      <c r="N835" s="67"/>
      <c r="R835" s="4"/>
    </row>
    <row r="836">
      <c r="A836" s="66"/>
      <c r="B836" s="67"/>
      <c r="C836" s="1"/>
      <c r="D836" s="1"/>
      <c r="E836" s="1"/>
      <c r="F836" s="1"/>
      <c r="G836" s="1"/>
      <c r="H836" s="1"/>
      <c r="I836" s="71">
        <f>IFERROR(__xludf.DUMMYFUNCTION("""COMPUTED_VALUE"""),0.0)</f>
        <v>0</v>
      </c>
      <c r="J836" s="69">
        <f>IFERROR(__xludf.DUMMYFUNCTION("""COMPUTED_VALUE"""),0.0)</f>
        <v>0</v>
      </c>
      <c r="K836" s="4">
        <f>IFERROR(__xludf.DUMMYFUNCTION("""COMPUTED_VALUE"""),0.0)</f>
        <v>0</v>
      </c>
      <c r="N836" s="67"/>
      <c r="R836" s="4"/>
    </row>
    <row r="837">
      <c r="A837" s="66"/>
      <c r="B837" s="67"/>
      <c r="C837" s="1"/>
      <c r="D837" s="1"/>
      <c r="E837" s="1"/>
      <c r="F837" s="1"/>
      <c r="G837" s="1"/>
      <c r="H837" s="1"/>
      <c r="I837" s="71">
        <f>IFERROR(__xludf.DUMMYFUNCTION("""COMPUTED_VALUE"""),0.0)</f>
        <v>0</v>
      </c>
      <c r="J837" s="69">
        <f>IFERROR(__xludf.DUMMYFUNCTION("""COMPUTED_VALUE"""),0.0)</f>
        <v>0</v>
      </c>
      <c r="K837" s="4">
        <f>IFERROR(__xludf.DUMMYFUNCTION("""COMPUTED_VALUE"""),0.0)</f>
        <v>0</v>
      </c>
      <c r="N837" s="67"/>
      <c r="R837" s="4"/>
    </row>
    <row r="838">
      <c r="A838" s="66"/>
      <c r="B838" s="67"/>
      <c r="C838" s="1"/>
      <c r="D838" s="1"/>
      <c r="E838" s="1"/>
      <c r="F838" s="1"/>
      <c r="G838" s="1"/>
      <c r="H838" s="1"/>
      <c r="I838" s="71">
        <f>IFERROR(__xludf.DUMMYFUNCTION("""COMPUTED_VALUE"""),0.0)</f>
        <v>0</v>
      </c>
      <c r="J838" s="69">
        <f>IFERROR(__xludf.DUMMYFUNCTION("""COMPUTED_VALUE"""),0.0)</f>
        <v>0</v>
      </c>
      <c r="K838" s="4">
        <f>IFERROR(__xludf.DUMMYFUNCTION("""COMPUTED_VALUE"""),0.0)</f>
        <v>0</v>
      </c>
      <c r="N838" s="67"/>
      <c r="R838" s="4"/>
    </row>
    <row r="839">
      <c r="A839" s="66"/>
      <c r="B839" s="67"/>
      <c r="C839" s="1"/>
      <c r="D839" s="1"/>
      <c r="E839" s="1"/>
      <c r="F839" s="1"/>
      <c r="G839" s="1"/>
      <c r="H839" s="1"/>
      <c r="I839" s="71">
        <f>IFERROR(__xludf.DUMMYFUNCTION("""COMPUTED_VALUE"""),0.0)</f>
        <v>0</v>
      </c>
      <c r="J839" s="69">
        <f>IFERROR(__xludf.DUMMYFUNCTION("""COMPUTED_VALUE"""),0.0)</f>
        <v>0</v>
      </c>
      <c r="K839" s="4">
        <f>IFERROR(__xludf.DUMMYFUNCTION("""COMPUTED_VALUE"""),0.0)</f>
        <v>0</v>
      </c>
      <c r="N839" s="67"/>
      <c r="R839" s="4"/>
    </row>
    <row r="840">
      <c r="A840" s="66"/>
      <c r="B840" s="67"/>
      <c r="C840" s="1"/>
      <c r="D840" s="1"/>
      <c r="E840" s="1"/>
      <c r="F840" s="1"/>
      <c r="G840" s="1"/>
      <c r="H840" s="1"/>
      <c r="I840" s="71">
        <f>IFERROR(__xludf.DUMMYFUNCTION("""COMPUTED_VALUE"""),0.0)</f>
        <v>0</v>
      </c>
      <c r="J840" s="69">
        <f>IFERROR(__xludf.DUMMYFUNCTION("""COMPUTED_VALUE"""),0.0)</f>
        <v>0</v>
      </c>
      <c r="K840" s="4">
        <f>IFERROR(__xludf.DUMMYFUNCTION("""COMPUTED_VALUE"""),0.0)</f>
        <v>0</v>
      </c>
      <c r="N840" s="67"/>
      <c r="R840" s="4"/>
    </row>
    <row r="841">
      <c r="A841" s="66"/>
      <c r="B841" s="67"/>
      <c r="C841" s="1"/>
      <c r="D841" s="1"/>
      <c r="E841" s="1"/>
      <c r="F841" s="1"/>
      <c r="G841" s="1"/>
      <c r="H841" s="1"/>
      <c r="I841" s="71">
        <f>IFERROR(__xludf.DUMMYFUNCTION("""COMPUTED_VALUE"""),0.0)</f>
        <v>0</v>
      </c>
      <c r="J841" s="69">
        <f>IFERROR(__xludf.DUMMYFUNCTION("""COMPUTED_VALUE"""),0.0)</f>
        <v>0</v>
      </c>
      <c r="K841" s="4">
        <f>IFERROR(__xludf.DUMMYFUNCTION("""COMPUTED_VALUE"""),0.0)</f>
        <v>0</v>
      </c>
      <c r="N841" s="67"/>
      <c r="R841" s="4"/>
    </row>
    <row r="842">
      <c r="A842" s="66"/>
      <c r="B842" s="67"/>
      <c r="C842" s="1"/>
      <c r="D842" s="1"/>
      <c r="E842" s="1"/>
      <c r="F842" s="1"/>
      <c r="G842" s="1"/>
      <c r="H842" s="1"/>
      <c r="I842" s="71">
        <f>IFERROR(__xludf.DUMMYFUNCTION("""COMPUTED_VALUE"""),0.0)</f>
        <v>0</v>
      </c>
      <c r="J842" s="69">
        <f>IFERROR(__xludf.DUMMYFUNCTION("""COMPUTED_VALUE"""),0.0)</f>
        <v>0</v>
      </c>
      <c r="K842" s="4">
        <f>IFERROR(__xludf.DUMMYFUNCTION("""COMPUTED_VALUE"""),0.0)</f>
        <v>0</v>
      </c>
      <c r="N842" s="67"/>
      <c r="R842" s="4"/>
    </row>
    <row r="843">
      <c r="A843" s="66"/>
      <c r="B843" s="67"/>
      <c r="C843" s="1"/>
      <c r="D843" s="1"/>
      <c r="E843" s="1"/>
      <c r="F843" s="1"/>
      <c r="G843" s="1"/>
      <c r="H843" s="1"/>
      <c r="I843" s="71">
        <f>IFERROR(__xludf.DUMMYFUNCTION("""COMPUTED_VALUE"""),0.0)</f>
        <v>0</v>
      </c>
      <c r="J843" s="69">
        <f>IFERROR(__xludf.DUMMYFUNCTION("""COMPUTED_VALUE"""),0.0)</f>
        <v>0</v>
      </c>
      <c r="K843" s="4">
        <f>IFERROR(__xludf.DUMMYFUNCTION("""COMPUTED_VALUE"""),0.0)</f>
        <v>0</v>
      </c>
      <c r="N843" s="67"/>
      <c r="R843" s="4"/>
    </row>
    <row r="844">
      <c r="A844" s="66"/>
      <c r="B844" s="67"/>
      <c r="C844" s="1"/>
      <c r="D844" s="1"/>
      <c r="E844" s="1"/>
      <c r="F844" s="1"/>
      <c r="G844" s="1"/>
      <c r="H844" s="1"/>
      <c r="I844" s="71">
        <f>IFERROR(__xludf.DUMMYFUNCTION("""COMPUTED_VALUE"""),0.0)</f>
        <v>0</v>
      </c>
      <c r="J844" s="69">
        <f>IFERROR(__xludf.DUMMYFUNCTION("""COMPUTED_VALUE"""),0.0)</f>
        <v>0</v>
      </c>
      <c r="K844" s="4">
        <f>IFERROR(__xludf.DUMMYFUNCTION("""COMPUTED_VALUE"""),0.0)</f>
        <v>0</v>
      </c>
      <c r="N844" s="67"/>
      <c r="R844" s="4"/>
    </row>
    <row r="845">
      <c r="A845" s="66"/>
      <c r="B845" s="67"/>
      <c r="C845" s="1"/>
      <c r="D845" s="1"/>
      <c r="E845" s="1"/>
      <c r="F845" s="1"/>
      <c r="G845" s="1"/>
      <c r="H845" s="1"/>
      <c r="I845" s="71">
        <f>IFERROR(__xludf.DUMMYFUNCTION("""COMPUTED_VALUE"""),0.0)</f>
        <v>0</v>
      </c>
      <c r="J845" s="69">
        <f>IFERROR(__xludf.DUMMYFUNCTION("""COMPUTED_VALUE"""),0.0)</f>
        <v>0</v>
      </c>
      <c r="K845" s="4">
        <f>IFERROR(__xludf.DUMMYFUNCTION("""COMPUTED_VALUE"""),0.0)</f>
        <v>0</v>
      </c>
      <c r="N845" s="67"/>
      <c r="R845" s="4"/>
    </row>
    <row r="846">
      <c r="A846" s="66"/>
      <c r="B846" s="67"/>
      <c r="C846" s="1"/>
      <c r="D846" s="1"/>
      <c r="E846" s="1"/>
      <c r="F846" s="1"/>
      <c r="G846" s="1"/>
      <c r="H846" s="1"/>
      <c r="I846" s="71">
        <f>IFERROR(__xludf.DUMMYFUNCTION("""COMPUTED_VALUE"""),0.0)</f>
        <v>0</v>
      </c>
      <c r="J846" s="69">
        <f>IFERROR(__xludf.DUMMYFUNCTION("""COMPUTED_VALUE"""),0.0)</f>
        <v>0</v>
      </c>
      <c r="K846" s="4">
        <f>IFERROR(__xludf.DUMMYFUNCTION("""COMPUTED_VALUE"""),0.0)</f>
        <v>0</v>
      </c>
      <c r="N846" s="67"/>
      <c r="R846" s="4"/>
    </row>
    <row r="847">
      <c r="A847" s="66"/>
      <c r="B847" s="67"/>
      <c r="C847" s="1"/>
      <c r="D847" s="1"/>
      <c r="E847" s="1"/>
      <c r="F847" s="1"/>
      <c r="G847" s="1"/>
      <c r="H847" s="1"/>
      <c r="I847" s="71">
        <f>IFERROR(__xludf.DUMMYFUNCTION("""COMPUTED_VALUE"""),0.0)</f>
        <v>0</v>
      </c>
      <c r="J847" s="69">
        <f>IFERROR(__xludf.DUMMYFUNCTION("""COMPUTED_VALUE"""),0.0)</f>
        <v>0</v>
      </c>
      <c r="K847" s="4">
        <f>IFERROR(__xludf.DUMMYFUNCTION("""COMPUTED_VALUE"""),0.0)</f>
        <v>0</v>
      </c>
      <c r="N847" s="67"/>
      <c r="R847" s="4"/>
    </row>
    <row r="848">
      <c r="A848" s="66"/>
      <c r="B848" s="67"/>
      <c r="C848" s="1"/>
      <c r="D848" s="1"/>
      <c r="E848" s="1"/>
      <c r="F848" s="1"/>
      <c r="G848" s="1"/>
      <c r="H848" s="1"/>
      <c r="I848" s="71">
        <f>IFERROR(__xludf.DUMMYFUNCTION("""COMPUTED_VALUE"""),0.0)</f>
        <v>0</v>
      </c>
      <c r="J848" s="69">
        <f>IFERROR(__xludf.DUMMYFUNCTION("""COMPUTED_VALUE"""),0.0)</f>
        <v>0</v>
      </c>
      <c r="K848" s="4">
        <f>IFERROR(__xludf.DUMMYFUNCTION("""COMPUTED_VALUE"""),0.0)</f>
        <v>0</v>
      </c>
      <c r="N848" s="67"/>
      <c r="R848" s="4"/>
    </row>
    <row r="849">
      <c r="A849" s="66"/>
      <c r="B849" s="67"/>
      <c r="C849" s="1"/>
      <c r="D849" s="1"/>
      <c r="E849" s="1"/>
      <c r="F849" s="1"/>
      <c r="G849" s="1"/>
      <c r="H849" s="1"/>
      <c r="I849" s="71">
        <f>IFERROR(__xludf.DUMMYFUNCTION("""COMPUTED_VALUE"""),0.0)</f>
        <v>0</v>
      </c>
      <c r="J849" s="69">
        <f>IFERROR(__xludf.DUMMYFUNCTION("""COMPUTED_VALUE"""),0.0)</f>
        <v>0</v>
      </c>
      <c r="K849" s="4">
        <f>IFERROR(__xludf.DUMMYFUNCTION("""COMPUTED_VALUE"""),0.0)</f>
        <v>0</v>
      </c>
      <c r="N849" s="67"/>
      <c r="R849" s="4"/>
    </row>
    <row r="850">
      <c r="A850" s="66"/>
      <c r="B850" s="67"/>
      <c r="C850" s="1"/>
      <c r="D850" s="1"/>
      <c r="E850" s="1"/>
      <c r="F850" s="1"/>
      <c r="G850" s="1"/>
      <c r="H850" s="1"/>
      <c r="I850" s="71">
        <f>IFERROR(__xludf.DUMMYFUNCTION("""COMPUTED_VALUE"""),0.0)</f>
        <v>0</v>
      </c>
      <c r="J850" s="69">
        <f>IFERROR(__xludf.DUMMYFUNCTION("""COMPUTED_VALUE"""),0.0)</f>
        <v>0</v>
      </c>
      <c r="K850" s="4">
        <f>IFERROR(__xludf.DUMMYFUNCTION("""COMPUTED_VALUE"""),0.0)</f>
        <v>0</v>
      </c>
      <c r="N850" s="67"/>
      <c r="R850" s="4"/>
    </row>
    <row r="851">
      <c r="A851" s="66"/>
      <c r="B851" s="67"/>
      <c r="C851" s="1"/>
      <c r="D851" s="1"/>
      <c r="E851" s="1"/>
      <c r="F851" s="1"/>
      <c r="G851" s="1"/>
      <c r="H851" s="1"/>
      <c r="I851" s="71">
        <f>IFERROR(__xludf.DUMMYFUNCTION("""COMPUTED_VALUE"""),0.0)</f>
        <v>0</v>
      </c>
      <c r="J851" s="69">
        <f>IFERROR(__xludf.DUMMYFUNCTION("""COMPUTED_VALUE"""),0.0)</f>
        <v>0</v>
      </c>
      <c r="K851" s="4">
        <f>IFERROR(__xludf.DUMMYFUNCTION("""COMPUTED_VALUE"""),0.0)</f>
        <v>0</v>
      </c>
      <c r="N851" s="67"/>
      <c r="R851" s="4"/>
    </row>
    <row r="852">
      <c r="A852" s="66"/>
      <c r="B852" s="67"/>
      <c r="C852" s="1"/>
      <c r="D852" s="1"/>
      <c r="E852" s="1"/>
      <c r="F852" s="1"/>
      <c r="G852" s="1"/>
      <c r="H852" s="1"/>
      <c r="I852" s="71">
        <f>IFERROR(__xludf.DUMMYFUNCTION("""COMPUTED_VALUE"""),0.0)</f>
        <v>0</v>
      </c>
      <c r="J852" s="69">
        <f>IFERROR(__xludf.DUMMYFUNCTION("""COMPUTED_VALUE"""),0.0)</f>
        <v>0</v>
      </c>
      <c r="K852" s="4">
        <f>IFERROR(__xludf.DUMMYFUNCTION("""COMPUTED_VALUE"""),0.0)</f>
        <v>0</v>
      </c>
      <c r="N852" s="67"/>
      <c r="R852" s="4"/>
    </row>
    <row r="853">
      <c r="A853" s="66"/>
      <c r="B853" s="67"/>
      <c r="C853" s="1"/>
      <c r="D853" s="1"/>
      <c r="E853" s="1"/>
      <c r="F853" s="1"/>
      <c r="G853" s="1"/>
      <c r="H853" s="1"/>
      <c r="I853" s="71">
        <f>IFERROR(__xludf.DUMMYFUNCTION("""COMPUTED_VALUE"""),0.0)</f>
        <v>0</v>
      </c>
      <c r="J853" s="69">
        <f>IFERROR(__xludf.DUMMYFUNCTION("""COMPUTED_VALUE"""),0.0)</f>
        <v>0</v>
      </c>
      <c r="K853" s="4">
        <f>IFERROR(__xludf.DUMMYFUNCTION("""COMPUTED_VALUE"""),0.0)</f>
        <v>0</v>
      </c>
      <c r="N853" s="67"/>
      <c r="R853" s="4"/>
    </row>
    <row r="854">
      <c r="A854" s="66"/>
      <c r="B854" s="67"/>
      <c r="C854" s="1"/>
      <c r="D854" s="1"/>
      <c r="E854" s="1"/>
      <c r="F854" s="1"/>
      <c r="G854" s="1"/>
      <c r="H854" s="1"/>
      <c r="I854" s="71">
        <f>IFERROR(__xludf.DUMMYFUNCTION("""COMPUTED_VALUE"""),0.0)</f>
        <v>0</v>
      </c>
      <c r="J854" s="69">
        <f>IFERROR(__xludf.DUMMYFUNCTION("""COMPUTED_VALUE"""),0.0)</f>
        <v>0</v>
      </c>
      <c r="K854" s="4">
        <f>IFERROR(__xludf.DUMMYFUNCTION("""COMPUTED_VALUE"""),0.0)</f>
        <v>0</v>
      </c>
      <c r="N854" s="67"/>
      <c r="R854" s="4"/>
    </row>
    <row r="855">
      <c r="A855" s="66"/>
      <c r="B855" s="67"/>
      <c r="C855" s="1"/>
      <c r="D855" s="1"/>
      <c r="E855" s="1"/>
      <c r="F855" s="1"/>
      <c r="G855" s="1"/>
      <c r="H855" s="1"/>
      <c r="I855" s="71">
        <f>IFERROR(__xludf.DUMMYFUNCTION("""COMPUTED_VALUE"""),0.0)</f>
        <v>0</v>
      </c>
      <c r="J855" s="69">
        <f>IFERROR(__xludf.DUMMYFUNCTION("""COMPUTED_VALUE"""),0.0)</f>
        <v>0</v>
      </c>
      <c r="K855" s="4">
        <f>IFERROR(__xludf.DUMMYFUNCTION("""COMPUTED_VALUE"""),0.0)</f>
        <v>0</v>
      </c>
      <c r="N855" s="67"/>
      <c r="R855" s="4"/>
    </row>
    <row r="856">
      <c r="A856" s="66"/>
      <c r="B856" s="67"/>
      <c r="C856" s="1"/>
      <c r="D856" s="1"/>
      <c r="E856" s="1"/>
      <c r="F856" s="1"/>
      <c r="G856" s="1"/>
      <c r="H856" s="1"/>
      <c r="I856" s="71">
        <f>IFERROR(__xludf.DUMMYFUNCTION("""COMPUTED_VALUE"""),0.0)</f>
        <v>0</v>
      </c>
      <c r="J856" s="69">
        <f>IFERROR(__xludf.DUMMYFUNCTION("""COMPUTED_VALUE"""),0.0)</f>
        <v>0</v>
      </c>
      <c r="K856" s="4">
        <f>IFERROR(__xludf.DUMMYFUNCTION("""COMPUTED_VALUE"""),0.0)</f>
        <v>0</v>
      </c>
      <c r="N856" s="67"/>
      <c r="R856" s="4"/>
    </row>
    <row r="857">
      <c r="A857" s="66"/>
      <c r="B857" s="67"/>
      <c r="C857" s="1"/>
      <c r="D857" s="1"/>
      <c r="E857" s="1"/>
      <c r="F857" s="1"/>
      <c r="G857" s="1"/>
      <c r="H857" s="1"/>
      <c r="I857" s="71">
        <f>IFERROR(__xludf.DUMMYFUNCTION("""COMPUTED_VALUE"""),0.0)</f>
        <v>0</v>
      </c>
      <c r="J857" s="69">
        <f>IFERROR(__xludf.DUMMYFUNCTION("""COMPUTED_VALUE"""),0.0)</f>
        <v>0</v>
      </c>
      <c r="K857" s="4">
        <f>IFERROR(__xludf.DUMMYFUNCTION("""COMPUTED_VALUE"""),0.0)</f>
        <v>0</v>
      </c>
      <c r="N857" s="67"/>
      <c r="R857" s="4"/>
    </row>
    <row r="858">
      <c r="A858" s="66"/>
      <c r="B858" s="67"/>
      <c r="C858" s="1"/>
      <c r="D858" s="1"/>
      <c r="E858" s="1"/>
      <c r="F858" s="1"/>
      <c r="G858" s="1"/>
      <c r="H858" s="1"/>
      <c r="I858" s="71">
        <f>IFERROR(__xludf.DUMMYFUNCTION("""COMPUTED_VALUE"""),0.0)</f>
        <v>0</v>
      </c>
      <c r="J858" s="69">
        <f>IFERROR(__xludf.DUMMYFUNCTION("""COMPUTED_VALUE"""),0.0)</f>
        <v>0</v>
      </c>
      <c r="K858" s="4">
        <f>IFERROR(__xludf.DUMMYFUNCTION("""COMPUTED_VALUE"""),0.0)</f>
        <v>0</v>
      </c>
      <c r="N858" s="67"/>
      <c r="R858" s="4"/>
    </row>
    <row r="859">
      <c r="A859" s="66"/>
      <c r="B859" s="67"/>
      <c r="C859" s="1"/>
      <c r="D859" s="1"/>
      <c r="E859" s="1"/>
      <c r="F859" s="1"/>
      <c r="G859" s="1"/>
      <c r="H859" s="1"/>
      <c r="I859" s="71">
        <f>IFERROR(__xludf.DUMMYFUNCTION("""COMPUTED_VALUE"""),0.0)</f>
        <v>0</v>
      </c>
      <c r="J859" s="69">
        <f>IFERROR(__xludf.DUMMYFUNCTION("""COMPUTED_VALUE"""),0.0)</f>
        <v>0</v>
      </c>
      <c r="K859" s="4">
        <f>IFERROR(__xludf.DUMMYFUNCTION("""COMPUTED_VALUE"""),0.0)</f>
        <v>0</v>
      </c>
      <c r="N859" s="67"/>
      <c r="R859" s="4"/>
    </row>
    <row r="860">
      <c r="A860" s="66"/>
      <c r="B860" s="67"/>
      <c r="C860" s="1"/>
      <c r="D860" s="1"/>
      <c r="E860" s="1"/>
      <c r="F860" s="1"/>
      <c r="G860" s="1"/>
      <c r="H860" s="1"/>
      <c r="I860" s="71">
        <f>IFERROR(__xludf.DUMMYFUNCTION("""COMPUTED_VALUE"""),0.0)</f>
        <v>0</v>
      </c>
      <c r="J860" s="69">
        <f>IFERROR(__xludf.DUMMYFUNCTION("""COMPUTED_VALUE"""),0.0)</f>
        <v>0</v>
      </c>
      <c r="K860" s="4">
        <f>IFERROR(__xludf.DUMMYFUNCTION("""COMPUTED_VALUE"""),0.0)</f>
        <v>0</v>
      </c>
      <c r="N860" s="67"/>
      <c r="R860" s="4"/>
    </row>
    <row r="861">
      <c r="A861" s="66"/>
      <c r="B861" s="67"/>
      <c r="C861" s="1"/>
      <c r="D861" s="1"/>
      <c r="E861" s="1"/>
      <c r="F861" s="1"/>
      <c r="G861" s="1"/>
      <c r="H861" s="1"/>
      <c r="I861" s="71">
        <f>IFERROR(__xludf.DUMMYFUNCTION("""COMPUTED_VALUE"""),0.0)</f>
        <v>0</v>
      </c>
      <c r="J861" s="69">
        <f>IFERROR(__xludf.DUMMYFUNCTION("""COMPUTED_VALUE"""),0.0)</f>
        <v>0</v>
      </c>
      <c r="K861" s="4">
        <f>IFERROR(__xludf.DUMMYFUNCTION("""COMPUTED_VALUE"""),0.0)</f>
        <v>0</v>
      </c>
      <c r="N861" s="67"/>
      <c r="R861" s="4"/>
    </row>
    <row r="862">
      <c r="A862" s="66"/>
      <c r="B862" s="67"/>
      <c r="C862" s="1"/>
      <c r="D862" s="1"/>
      <c r="E862" s="1"/>
      <c r="F862" s="1"/>
      <c r="G862" s="1"/>
      <c r="H862" s="1"/>
      <c r="I862" s="71">
        <f>IFERROR(__xludf.DUMMYFUNCTION("""COMPUTED_VALUE"""),0.0)</f>
        <v>0</v>
      </c>
      <c r="J862" s="69">
        <f>IFERROR(__xludf.DUMMYFUNCTION("""COMPUTED_VALUE"""),0.0)</f>
        <v>0</v>
      </c>
      <c r="K862" s="4">
        <f>IFERROR(__xludf.DUMMYFUNCTION("""COMPUTED_VALUE"""),0.0)</f>
        <v>0</v>
      </c>
      <c r="N862" s="67"/>
      <c r="R862" s="4"/>
    </row>
    <row r="863">
      <c r="A863" s="66"/>
      <c r="B863" s="67"/>
      <c r="C863" s="1"/>
      <c r="D863" s="1"/>
      <c r="E863" s="1"/>
      <c r="F863" s="1"/>
      <c r="G863" s="1"/>
      <c r="H863" s="1"/>
      <c r="I863" s="71">
        <f>IFERROR(__xludf.DUMMYFUNCTION("""COMPUTED_VALUE"""),0.0)</f>
        <v>0</v>
      </c>
      <c r="J863" s="69">
        <f>IFERROR(__xludf.DUMMYFUNCTION("""COMPUTED_VALUE"""),0.0)</f>
        <v>0</v>
      </c>
      <c r="K863" s="4">
        <f>IFERROR(__xludf.DUMMYFUNCTION("""COMPUTED_VALUE"""),0.0)</f>
        <v>0</v>
      </c>
      <c r="N863" s="67"/>
      <c r="R863" s="4"/>
    </row>
    <row r="864">
      <c r="A864" s="66"/>
      <c r="B864" s="67"/>
      <c r="C864" s="1"/>
      <c r="D864" s="1"/>
      <c r="E864" s="1"/>
      <c r="F864" s="1"/>
      <c r="G864" s="1"/>
      <c r="H864" s="1"/>
      <c r="I864" s="71">
        <f>IFERROR(__xludf.DUMMYFUNCTION("""COMPUTED_VALUE"""),0.0)</f>
        <v>0</v>
      </c>
      <c r="J864" s="69">
        <f>IFERROR(__xludf.DUMMYFUNCTION("""COMPUTED_VALUE"""),0.0)</f>
        <v>0</v>
      </c>
      <c r="K864" s="4">
        <f>IFERROR(__xludf.DUMMYFUNCTION("""COMPUTED_VALUE"""),0.0)</f>
        <v>0</v>
      </c>
      <c r="N864" s="67"/>
      <c r="R864" s="4"/>
    </row>
    <row r="865">
      <c r="A865" s="66"/>
      <c r="B865" s="67"/>
      <c r="C865" s="1"/>
      <c r="D865" s="1"/>
      <c r="E865" s="1"/>
      <c r="F865" s="1"/>
      <c r="G865" s="1"/>
      <c r="H865" s="1"/>
      <c r="I865" s="71">
        <f>IFERROR(__xludf.DUMMYFUNCTION("""COMPUTED_VALUE"""),0.0)</f>
        <v>0</v>
      </c>
      <c r="J865" s="69">
        <f>IFERROR(__xludf.DUMMYFUNCTION("""COMPUTED_VALUE"""),0.0)</f>
        <v>0</v>
      </c>
      <c r="K865" s="4">
        <f>IFERROR(__xludf.DUMMYFUNCTION("""COMPUTED_VALUE"""),0.0)</f>
        <v>0</v>
      </c>
      <c r="N865" s="67"/>
      <c r="R865" s="4"/>
    </row>
    <row r="866">
      <c r="A866" s="66"/>
      <c r="B866" s="67"/>
      <c r="C866" s="1"/>
      <c r="D866" s="1"/>
      <c r="E866" s="1"/>
      <c r="F866" s="1"/>
      <c r="G866" s="1"/>
      <c r="H866" s="1"/>
      <c r="I866" s="71">
        <f>IFERROR(__xludf.DUMMYFUNCTION("""COMPUTED_VALUE"""),0.0)</f>
        <v>0</v>
      </c>
      <c r="J866" s="69">
        <f>IFERROR(__xludf.DUMMYFUNCTION("""COMPUTED_VALUE"""),0.0)</f>
        <v>0</v>
      </c>
      <c r="K866" s="4">
        <f>IFERROR(__xludf.DUMMYFUNCTION("""COMPUTED_VALUE"""),0.0)</f>
        <v>0</v>
      </c>
      <c r="N866" s="67"/>
      <c r="R866" s="4"/>
    </row>
    <row r="867">
      <c r="A867" s="66"/>
      <c r="B867" s="67"/>
      <c r="C867" s="1"/>
      <c r="D867" s="1"/>
      <c r="E867" s="1"/>
      <c r="F867" s="1"/>
      <c r="G867" s="1"/>
      <c r="H867" s="1"/>
      <c r="I867" s="71">
        <f>IFERROR(__xludf.DUMMYFUNCTION("""COMPUTED_VALUE"""),0.0)</f>
        <v>0</v>
      </c>
      <c r="J867" s="69">
        <f>IFERROR(__xludf.DUMMYFUNCTION("""COMPUTED_VALUE"""),0.0)</f>
        <v>0</v>
      </c>
      <c r="K867" s="4">
        <f>IFERROR(__xludf.DUMMYFUNCTION("""COMPUTED_VALUE"""),0.0)</f>
        <v>0</v>
      </c>
      <c r="N867" s="67"/>
      <c r="R867" s="4"/>
    </row>
    <row r="868">
      <c r="A868" s="66"/>
      <c r="B868" s="67"/>
      <c r="C868" s="1"/>
      <c r="D868" s="1"/>
      <c r="E868" s="1"/>
      <c r="F868" s="1"/>
      <c r="G868" s="1"/>
      <c r="H868" s="1"/>
      <c r="I868" s="71">
        <f>IFERROR(__xludf.DUMMYFUNCTION("""COMPUTED_VALUE"""),0.0)</f>
        <v>0</v>
      </c>
      <c r="J868" s="69">
        <f>IFERROR(__xludf.DUMMYFUNCTION("""COMPUTED_VALUE"""),0.0)</f>
        <v>0</v>
      </c>
      <c r="K868" s="4">
        <f>IFERROR(__xludf.DUMMYFUNCTION("""COMPUTED_VALUE"""),0.0)</f>
        <v>0</v>
      </c>
      <c r="N868" s="67"/>
      <c r="R868" s="4"/>
    </row>
    <row r="869">
      <c r="A869" s="66"/>
      <c r="B869" s="67"/>
      <c r="C869" s="1"/>
      <c r="D869" s="1"/>
      <c r="E869" s="1"/>
      <c r="F869" s="1"/>
      <c r="G869" s="1"/>
      <c r="H869" s="1"/>
      <c r="I869" s="71">
        <f>IFERROR(__xludf.DUMMYFUNCTION("""COMPUTED_VALUE"""),0.0)</f>
        <v>0</v>
      </c>
      <c r="J869" s="69">
        <f>IFERROR(__xludf.DUMMYFUNCTION("""COMPUTED_VALUE"""),0.0)</f>
        <v>0</v>
      </c>
      <c r="K869" s="4">
        <f>IFERROR(__xludf.DUMMYFUNCTION("""COMPUTED_VALUE"""),0.0)</f>
        <v>0</v>
      </c>
      <c r="N869" s="67"/>
      <c r="R869" s="4"/>
    </row>
    <row r="870">
      <c r="A870" s="66"/>
      <c r="B870" s="67"/>
      <c r="C870" s="1"/>
      <c r="D870" s="1"/>
      <c r="E870" s="1"/>
      <c r="F870" s="1"/>
      <c r="G870" s="1"/>
      <c r="H870" s="1"/>
      <c r="I870" s="71">
        <f>IFERROR(__xludf.DUMMYFUNCTION("""COMPUTED_VALUE"""),0.0)</f>
        <v>0</v>
      </c>
      <c r="J870" s="69">
        <f>IFERROR(__xludf.DUMMYFUNCTION("""COMPUTED_VALUE"""),0.0)</f>
        <v>0</v>
      </c>
      <c r="K870" s="4">
        <f>IFERROR(__xludf.DUMMYFUNCTION("""COMPUTED_VALUE"""),0.0)</f>
        <v>0</v>
      </c>
      <c r="N870" s="67"/>
      <c r="R870" s="4"/>
    </row>
    <row r="871">
      <c r="A871" s="66"/>
      <c r="B871" s="67"/>
      <c r="C871" s="1"/>
      <c r="D871" s="1"/>
      <c r="E871" s="1"/>
      <c r="F871" s="1"/>
      <c r="G871" s="1"/>
      <c r="H871" s="1"/>
      <c r="I871" s="71">
        <f>IFERROR(__xludf.DUMMYFUNCTION("""COMPUTED_VALUE"""),0.0)</f>
        <v>0</v>
      </c>
      <c r="J871" s="69">
        <f>IFERROR(__xludf.DUMMYFUNCTION("""COMPUTED_VALUE"""),0.0)</f>
        <v>0</v>
      </c>
      <c r="K871" s="4">
        <f>IFERROR(__xludf.DUMMYFUNCTION("""COMPUTED_VALUE"""),0.0)</f>
        <v>0</v>
      </c>
      <c r="N871" s="67"/>
      <c r="R871" s="4"/>
    </row>
    <row r="872">
      <c r="A872" s="66"/>
      <c r="B872" s="67"/>
      <c r="C872" s="1"/>
      <c r="D872" s="1"/>
      <c r="E872" s="1"/>
      <c r="F872" s="1"/>
      <c r="G872" s="1"/>
      <c r="H872" s="1"/>
      <c r="I872" s="71">
        <f>IFERROR(__xludf.DUMMYFUNCTION("""COMPUTED_VALUE"""),0.0)</f>
        <v>0</v>
      </c>
      <c r="J872" s="69">
        <f>IFERROR(__xludf.DUMMYFUNCTION("""COMPUTED_VALUE"""),0.0)</f>
        <v>0</v>
      </c>
      <c r="K872" s="4">
        <f>IFERROR(__xludf.DUMMYFUNCTION("""COMPUTED_VALUE"""),0.0)</f>
        <v>0</v>
      </c>
      <c r="N872" s="67"/>
      <c r="R872" s="4"/>
    </row>
    <row r="873">
      <c r="A873" s="66"/>
      <c r="B873" s="67"/>
      <c r="C873" s="1"/>
      <c r="D873" s="1"/>
      <c r="E873" s="1"/>
      <c r="F873" s="1"/>
      <c r="G873" s="1"/>
      <c r="H873" s="1"/>
      <c r="I873" s="71">
        <f>IFERROR(__xludf.DUMMYFUNCTION("""COMPUTED_VALUE"""),0.0)</f>
        <v>0</v>
      </c>
      <c r="J873" s="69">
        <f>IFERROR(__xludf.DUMMYFUNCTION("""COMPUTED_VALUE"""),0.0)</f>
        <v>0</v>
      </c>
      <c r="K873" s="4">
        <f>IFERROR(__xludf.DUMMYFUNCTION("""COMPUTED_VALUE"""),0.0)</f>
        <v>0</v>
      </c>
      <c r="N873" s="67"/>
      <c r="R873" s="4"/>
    </row>
    <row r="874">
      <c r="A874" s="66"/>
      <c r="B874" s="67"/>
      <c r="C874" s="1"/>
      <c r="D874" s="1"/>
      <c r="E874" s="1"/>
      <c r="F874" s="1"/>
      <c r="G874" s="1"/>
      <c r="H874" s="1"/>
      <c r="I874" s="71">
        <f>IFERROR(__xludf.DUMMYFUNCTION("""COMPUTED_VALUE"""),0.0)</f>
        <v>0</v>
      </c>
      <c r="J874" s="69">
        <f>IFERROR(__xludf.DUMMYFUNCTION("""COMPUTED_VALUE"""),0.0)</f>
        <v>0</v>
      </c>
      <c r="K874" s="4">
        <f>IFERROR(__xludf.DUMMYFUNCTION("""COMPUTED_VALUE"""),0.0)</f>
        <v>0</v>
      </c>
      <c r="N874" s="67"/>
      <c r="R874" s="4"/>
    </row>
    <row r="875">
      <c r="A875" s="66"/>
      <c r="B875" s="67"/>
      <c r="C875" s="1"/>
      <c r="D875" s="1"/>
      <c r="E875" s="1"/>
      <c r="F875" s="1"/>
      <c r="G875" s="1"/>
      <c r="H875" s="1"/>
      <c r="I875" s="71">
        <f>IFERROR(__xludf.DUMMYFUNCTION("""COMPUTED_VALUE"""),0.0)</f>
        <v>0</v>
      </c>
      <c r="J875" s="69">
        <f>IFERROR(__xludf.DUMMYFUNCTION("""COMPUTED_VALUE"""),0.0)</f>
        <v>0</v>
      </c>
      <c r="K875" s="4">
        <f>IFERROR(__xludf.DUMMYFUNCTION("""COMPUTED_VALUE"""),0.0)</f>
        <v>0</v>
      </c>
      <c r="N875" s="67"/>
      <c r="R875" s="4"/>
    </row>
    <row r="876">
      <c r="A876" s="66"/>
      <c r="B876" s="67"/>
      <c r="C876" s="1"/>
      <c r="D876" s="1"/>
      <c r="E876" s="1"/>
      <c r="F876" s="1"/>
      <c r="G876" s="1"/>
      <c r="H876" s="1"/>
      <c r="I876" s="71">
        <f>IFERROR(__xludf.DUMMYFUNCTION("""COMPUTED_VALUE"""),0.0)</f>
        <v>0</v>
      </c>
      <c r="J876" s="69">
        <f>IFERROR(__xludf.DUMMYFUNCTION("""COMPUTED_VALUE"""),0.0)</f>
        <v>0</v>
      </c>
      <c r="K876" s="4">
        <f>IFERROR(__xludf.DUMMYFUNCTION("""COMPUTED_VALUE"""),0.0)</f>
        <v>0</v>
      </c>
      <c r="N876" s="67"/>
      <c r="R876" s="4"/>
    </row>
    <row r="877">
      <c r="A877" s="66"/>
      <c r="B877" s="67"/>
      <c r="C877" s="1"/>
      <c r="D877" s="1"/>
      <c r="E877" s="1"/>
      <c r="F877" s="1"/>
      <c r="G877" s="1"/>
      <c r="H877" s="1"/>
      <c r="I877" s="71">
        <f>IFERROR(__xludf.DUMMYFUNCTION("""COMPUTED_VALUE"""),0.0)</f>
        <v>0</v>
      </c>
      <c r="J877" s="69">
        <f>IFERROR(__xludf.DUMMYFUNCTION("""COMPUTED_VALUE"""),0.0)</f>
        <v>0</v>
      </c>
      <c r="K877" s="4">
        <f>IFERROR(__xludf.DUMMYFUNCTION("""COMPUTED_VALUE"""),0.0)</f>
        <v>0</v>
      </c>
      <c r="N877" s="67"/>
      <c r="R877" s="4"/>
    </row>
    <row r="878">
      <c r="A878" s="66"/>
      <c r="B878" s="67"/>
      <c r="C878" s="1"/>
      <c r="D878" s="1"/>
      <c r="E878" s="1"/>
      <c r="F878" s="1"/>
      <c r="G878" s="1"/>
      <c r="H878" s="1"/>
      <c r="I878" s="71">
        <f>IFERROR(__xludf.DUMMYFUNCTION("""COMPUTED_VALUE"""),0.0)</f>
        <v>0</v>
      </c>
      <c r="J878" s="69">
        <f>IFERROR(__xludf.DUMMYFUNCTION("""COMPUTED_VALUE"""),0.0)</f>
        <v>0</v>
      </c>
      <c r="K878" s="4">
        <f>IFERROR(__xludf.DUMMYFUNCTION("""COMPUTED_VALUE"""),0.0)</f>
        <v>0</v>
      </c>
      <c r="N878" s="67"/>
      <c r="R878" s="4"/>
    </row>
    <row r="879">
      <c r="A879" s="66"/>
      <c r="B879" s="67"/>
      <c r="C879" s="1"/>
      <c r="D879" s="1"/>
      <c r="E879" s="1"/>
      <c r="F879" s="1"/>
      <c r="G879" s="1"/>
      <c r="H879" s="1"/>
      <c r="I879" s="71">
        <f>IFERROR(__xludf.DUMMYFUNCTION("""COMPUTED_VALUE"""),0.0)</f>
        <v>0</v>
      </c>
      <c r="J879" s="69">
        <f>IFERROR(__xludf.DUMMYFUNCTION("""COMPUTED_VALUE"""),0.0)</f>
        <v>0</v>
      </c>
      <c r="K879" s="4">
        <f>IFERROR(__xludf.DUMMYFUNCTION("""COMPUTED_VALUE"""),0.0)</f>
        <v>0</v>
      </c>
      <c r="N879" s="67"/>
      <c r="R879" s="4"/>
    </row>
    <row r="880">
      <c r="A880" s="66"/>
      <c r="B880" s="67"/>
      <c r="C880" s="1"/>
      <c r="D880" s="1"/>
      <c r="E880" s="1"/>
      <c r="F880" s="1"/>
      <c r="G880" s="1"/>
      <c r="H880" s="1"/>
      <c r="I880" s="71">
        <f>IFERROR(__xludf.DUMMYFUNCTION("""COMPUTED_VALUE"""),0.0)</f>
        <v>0</v>
      </c>
      <c r="J880" s="69">
        <f>IFERROR(__xludf.DUMMYFUNCTION("""COMPUTED_VALUE"""),0.0)</f>
        <v>0</v>
      </c>
      <c r="K880" s="4">
        <f>IFERROR(__xludf.DUMMYFUNCTION("""COMPUTED_VALUE"""),0.0)</f>
        <v>0</v>
      </c>
      <c r="N880" s="67"/>
      <c r="R880" s="4"/>
    </row>
    <row r="881">
      <c r="A881" s="66"/>
      <c r="B881" s="67"/>
      <c r="C881" s="1"/>
      <c r="D881" s="1"/>
      <c r="E881" s="1"/>
      <c r="F881" s="1"/>
      <c r="G881" s="1"/>
      <c r="H881" s="1"/>
      <c r="I881" s="71">
        <f>IFERROR(__xludf.DUMMYFUNCTION("""COMPUTED_VALUE"""),0.0)</f>
        <v>0</v>
      </c>
      <c r="J881" s="69">
        <f>IFERROR(__xludf.DUMMYFUNCTION("""COMPUTED_VALUE"""),0.0)</f>
        <v>0</v>
      </c>
      <c r="K881" s="4">
        <f>IFERROR(__xludf.DUMMYFUNCTION("""COMPUTED_VALUE"""),0.0)</f>
        <v>0</v>
      </c>
      <c r="N881" s="67"/>
      <c r="R881" s="4"/>
    </row>
    <row r="882">
      <c r="A882" s="66"/>
      <c r="B882" s="67"/>
      <c r="C882" s="1"/>
      <c r="D882" s="1"/>
      <c r="E882" s="1"/>
      <c r="F882" s="1"/>
      <c r="G882" s="1"/>
      <c r="H882" s="1"/>
      <c r="I882" s="71">
        <f>IFERROR(__xludf.DUMMYFUNCTION("""COMPUTED_VALUE"""),0.0)</f>
        <v>0</v>
      </c>
      <c r="J882" s="69">
        <f>IFERROR(__xludf.DUMMYFUNCTION("""COMPUTED_VALUE"""),0.0)</f>
        <v>0</v>
      </c>
      <c r="K882" s="4">
        <f>IFERROR(__xludf.DUMMYFUNCTION("""COMPUTED_VALUE"""),0.0)</f>
        <v>0</v>
      </c>
      <c r="N882" s="67"/>
      <c r="R882" s="4"/>
    </row>
    <row r="883">
      <c r="A883" s="66"/>
      <c r="B883" s="67"/>
      <c r="C883" s="1"/>
      <c r="D883" s="1"/>
      <c r="E883" s="1"/>
      <c r="F883" s="1"/>
      <c r="G883" s="1"/>
      <c r="H883" s="1"/>
      <c r="I883" s="71">
        <f>IFERROR(__xludf.DUMMYFUNCTION("""COMPUTED_VALUE"""),0.0)</f>
        <v>0</v>
      </c>
      <c r="J883" s="69">
        <f>IFERROR(__xludf.DUMMYFUNCTION("""COMPUTED_VALUE"""),0.0)</f>
        <v>0</v>
      </c>
      <c r="K883" s="4">
        <f>IFERROR(__xludf.DUMMYFUNCTION("""COMPUTED_VALUE"""),0.0)</f>
        <v>0</v>
      </c>
      <c r="N883" s="67"/>
      <c r="R883" s="4"/>
    </row>
    <row r="884">
      <c r="A884" s="66"/>
      <c r="B884" s="67"/>
      <c r="C884" s="1"/>
      <c r="D884" s="1"/>
      <c r="E884" s="1"/>
      <c r="F884" s="1"/>
      <c r="G884" s="1"/>
      <c r="H884" s="1"/>
      <c r="I884" s="71">
        <f>IFERROR(__xludf.DUMMYFUNCTION("""COMPUTED_VALUE"""),0.0)</f>
        <v>0</v>
      </c>
      <c r="J884" s="69">
        <f>IFERROR(__xludf.DUMMYFUNCTION("""COMPUTED_VALUE"""),0.0)</f>
        <v>0</v>
      </c>
      <c r="K884" s="4">
        <f>IFERROR(__xludf.DUMMYFUNCTION("""COMPUTED_VALUE"""),0.0)</f>
        <v>0</v>
      </c>
      <c r="N884" s="67"/>
      <c r="R884" s="4"/>
    </row>
    <row r="885">
      <c r="A885" s="66"/>
      <c r="B885" s="67"/>
      <c r="C885" s="1"/>
      <c r="D885" s="1"/>
      <c r="E885" s="1"/>
      <c r="F885" s="1"/>
      <c r="G885" s="1"/>
      <c r="H885" s="1"/>
      <c r="I885" s="71">
        <f>IFERROR(__xludf.DUMMYFUNCTION("""COMPUTED_VALUE"""),0.0)</f>
        <v>0</v>
      </c>
      <c r="J885" s="69">
        <f>IFERROR(__xludf.DUMMYFUNCTION("""COMPUTED_VALUE"""),0.0)</f>
        <v>0</v>
      </c>
      <c r="K885" s="4">
        <f>IFERROR(__xludf.DUMMYFUNCTION("""COMPUTED_VALUE"""),0.0)</f>
        <v>0</v>
      </c>
      <c r="N885" s="67"/>
      <c r="R885" s="4"/>
    </row>
    <row r="886">
      <c r="A886" s="66"/>
      <c r="B886" s="67"/>
      <c r="C886" s="1"/>
      <c r="D886" s="1"/>
      <c r="E886" s="1"/>
      <c r="F886" s="1"/>
      <c r="G886" s="1"/>
      <c r="H886" s="1"/>
      <c r="I886" s="71">
        <f>IFERROR(__xludf.DUMMYFUNCTION("""COMPUTED_VALUE"""),0.0)</f>
        <v>0</v>
      </c>
      <c r="J886" s="69">
        <f>IFERROR(__xludf.DUMMYFUNCTION("""COMPUTED_VALUE"""),0.0)</f>
        <v>0</v>
      </c>
      <c r="K886" s="4">
        <f>IFERROR(__xludf.DUMMYFUNCTION("""COMPUTED_VALUE"""),0.0)</f>
        <v>0</v>
      </c>
      <c r="N886" s="67"/>
      <c r="R886" s="4"/>
    </row>
    <row r="887">
      <c r="A887" s="66"/>
      <c r="B887" s="67"/>
      <c r="C887" s="1"/>
      <c r="D887" s="1"/>
      <c r="E887" s="1"/>
      <c r="F887" s="1"/>
      <c r="G887" s="1"/>
      <c r="H887" s="1"/>
      <c r="I887" s="71">
        <f>IFERROR(__xludf.DUMMYFUNCTION("""COMPUTED_VALUE"""),0.0)</f>
        <v>0</v>
      </c>
      <c r="J887" s="69">
        <f>IFERROR(__xludf.DUMMYFUNCTION("""COMPUTED_VALUE"""),0.0)</f>
        <v>0</v>
      </c>
      <c r="K887" s="4">
        <f>IFERROR(__xludf.DUMMYFUNCTION("""COMPUTED_VALUE"""),0.0)</f>
        <v>0</v>
      </c>
      <c r="N887" s="67"/>
      <c r="R887" s="4"/>
    </row>
    <row r="888">
      <c r="A888" s="66"/>
      <c r="B888" s="67"/>
      <c r="C888" s="1"/>
      <c r="D888" s="1"/>
      <c r="E888" s="1"/>
      <c r="F888" s="1"/>
      <c r="G888" s="1"/>
      <c r="H888" s="1"/>
      <c r="I888" s="71">
        <f>IFERROR(__xludf.DUMMYFUNCTION("""COMPUTED_VALUE"""),0.0)</f>
        <v>0</v>
      </c>
      <c r="J888" s="69">
        <f>IFERROR(__xludf.DUMMYFUNCTION("""COMPUTED_VALUE"""),0.0)</f>
        <v>0</v>
      </c>
      <c r="K888" s="4">
        <f>IFERROR(__xludf.DUMMYFUNCTION("""COMPUTED_VALUE"""),0.0)</f>
        <v>0</v>
      </c>
      <c r="N888" s="67"/>
      <c r="R888" s="4"/>
    </row>
    <row r="889">
      <c r="A889" s="66"/>
      <c r="B889" s="67"/>
      <c r="C889" s="1"/>
      <c r="D889" s="1"/>
      <c r="E889" s="1"/>
      <c r="F889" s="1"/>
      <c r="G889" s="1"/>
      <c r="H889" s="1"/>
      <c r="I889" s="71">
        <f>IFERROR(__xludf.DUMMYFUNCTION("""COMPUTED_VALUE"""),0.0)</f>
        <v>0</v>
      </c>
      <c r="J889" s="69">
        <f>IFERROR(__xludf.DUMMYFUNCTION("""COMPUTED_VALUE"""),0.0)</f>
        <v>0</v>
      </c>
      <c r="K889" s="4">
        <f>IFERROR(__xludf.DUMMYFUNCTION("""COMPUTED_VALUE"""),0.0)</f>
        <v>0</v>
      </c>
      <c r="N889" s="67"/>
      <c r="R889" s="4"/>
    </row>
    <row r="890">
      <c r="A890" s="66"/>
      <c r="B890" s="67"/>
      <c r="C890" s="1"/>
      <c r="D890" s="1"/>
      <c r="E890" s="1"/>
      <c r="F890" s="1"/>
      <c r="G890" s="1"/>
      <c r="H890" s="1"/>
      <c r="I890" s="71">
        <f>IFERROR(__xludf.DUMMYFUNCTION("""COMPUTED_VALUE"""),0.0)</f>
        <v>0</v>
      </c>
      <c r="J890" s="69">
        <f>IFERROR(__xludf.DUMMYFUNCTION("""COMPUTED_VALUE"""),0.0)</f>
        <v>0</v>
      </c>
      <c r="K890" s="4">
        <f>IFERROR(__xludf.DUMMYFUNCTION("""COMPUTED_VALUE"""),0.0)</f>
        <v>0</v>
      </c>
      <c r="N890" s="67"/>
      <c r="R890" s="4"/>
    </row>
    <row r="891">
      <c r="A891" s="66"/>
      <c r="B891" s="67"/>
      <c r="C891" s="1"/>
      <c r="D891" s="1"/>
      <c r="E891" s="1"/>
      <c r="F891" s="1"/>
      <c r="G891" s="1"/>
      <c r="H891" s="1"/>
      <c r="I891" s="71">
        <f>IFERROR(__xludf.DUMMYFUNCTION("""COMPUTED_VALUE"""),0.0)</f>
        <v>0</v>
      </c>
      <c r="J891" s="69">
        <f>IFERROR(__xludf.DUMMYFUNCTION("""COMPUTED_VALUE"""),0.0)</f>
        <v>0</v>
      </c>
      <c r="K891" s="4">
        <f>IFERROR(__xludf.DUMMYFUNCTION("""COMPUTED_VALUE"""),0.0)</f>
        <v>0</v>
      </c>
      <c r="N891" s="67"/>
      <c r="R891" s="4"/>
    </row>
    <row r="892">
      <c r="A892" s="66"/>
      <c r="B892" s="67"/>
      <c r="C892" s="1"/>
      <c r="D892" s="1"/>
      <c r="E892" s="1"/>
      <c r="F892" s="1"/>
      <c r="G892" s="1"/>
      <c r="H892" s="1"/>
      <c r="I892" s="71">
        <f>IFERROR(__xludf.DUMMYFUNCTION("""COMPUTED_VALUE"""),0.0)</f>
        <v>0</v>
      </c>
      <c r="J892" s="69">
        <f>IFERROR(__xludf.DUMMYFUNCTION("""COMPUTED_VALUE"""),0.0)</f>
        <v>0</v>
      </c>
      <c r="K892" s="4">
        <f>IFERROR(__xludf.DUMMYFUNCTION("""COMPUTED_VALUE"""),0.0)</f>
        <v>0</v>
      </c>
      <c r="N892" s="67"/>
      <c r="R892" s="4"/>
    </row>
    <row r="893">
      <c r="A893" s="66"/>
      <c r="B893" s="67"/>
      <c r="C893" s="1"/>
      <c r="D893" s="1"/>
      <c r="E893" s="1"/>
      <c r="F893" s="1"/>
      <c r="G893" s="1"/>
      <c r="H893" s="1"/>
      <c r="I893" s="71">
        <f>IFERROR(__xludf.DUMMYFUNCTION("""COMPUTED_VALUE"""),0.0)</f>
        <v>0</v>
      </c>
      <c r="J893" s="69">
        <f>IFERROR(__xludf.DUMMYFUNCTION("""COMPUTED_VALUE"""),0.0)</f>
        <v>0</v>
      </c>
      <c r="K893" s="4">
        <f>IFERROR(__xludf.DUMMYFUNCTION("""COMPUTED_VALUE"""),0.0)</f>
        <v>0</v>
      </c>
      <c r="N893" s="67"/>
      <c r="R893" s="4"/>
    </row>
    <row r="894">
      <c r="A894" s="66"/>
      <c r="B894" s="67"/>
      <c r="C894" s="1"/>
      <c r="D894" s="1"/>
      <c r="E894" s="1"/>
      <c r="F894" s="1"/>
      <c r="G894" s="1"/>
      <c r="H894" s="1"/>
      <c r="I894" s="71">
        <f>IFERROR(__xludf.DUMMYFUNCTION("""COMPUTED_VALUE"""),0.0)</f>
        <v>0</v>
      </c>
      <c r="J894" s="69">
        <f>IFERROR(__xludf.DUMMYFUNCTION("""COMPUTED_VALUE"""),0.0)</f>
        <v>0</v>
      </c>
      <c r="K894" s="4">
        <f>IFERROR(__xludf.DUMMYFUNCTION("""COMPUTED_VALUE"""),0.0)</f>
        <v>0</v>
      </c>
      <c r="N894" s="67"/>
      <c r="R894" s="4"/>
    </row>
    <row r="895">
      <c r="A895" s="66"/>
      <c r="B895" s="67"/>
      <c r="C895" s="1"/>
      <c r="D895" s="1"/>
      <c r="E895" s="1"/>
      <c r="F895" s="1"/>
      <c r="G895" s="1"/>
      <c r="H895" s="1"/>
      <c r="I895" s="71">
        <f>IFERROR(__xludf.DUMMYFUNCTION("""COMPUTED_VALUE"""),0.0)</f>
        <v>0</v>
      </c>
      <c r="J895" s="69">
        <f>IFERROR(__xludf.DUMMYFUNCTION("""COMPUTED_VALUE"""),0.0)</f>
        <v>0</v>
      </c>
      <c r="K895" s="4">
        <f>IFERROR(__xludf.DUMMYFUNCTION("""COMPUTED_VALUE"""),0.0)</f>
        <v>0</v>
      </c>
      <c r="N895" s="67"/>
      <c r="R895" s="4"/>
    </row>
    <row r="896">
      <c r="A896" s="66"/>
      <c r="B896" s="67"/>
      <c r="C896" s="1"/>
      <c r="D896" s="1"/>
      <c r="E896" s="1"/>
      <c r="F896" s="1"/>
      <c r="G896" s="1"/>
      <c r="H896" s="1"/>
      <c r="I896" s="71">
        <f>IFERROR(__xludf.DUMMYFUNCTION("""COMPUTED_VALUE"""),0.0)</f>
        <v>0</v>
      </c>
      <c r="J896" s="69">
        <f>IFERROR(__xludf.DUMMYFUNCTION("""COMPUTED_VALUE"""),0.0)</f>
        <v>0</v>
      </c>
      <c r="K896" s="4">
        <f>IFERROR(__xludf.DUMMYFUNCTION("""COMPUTED_VALUE"""),0.0)</f>
        <v>0</v>
      </c>
      <c r="N896" s="67"/>
      <c r="R896" s="4"/>
    </row>
    <row r="897">
      <c r="A897" s="66"/>
      <c r="B897" s="67"/>
      <c r="C897" s="1"/>
      <c r="D897" s="1"/>
      <c r="E897" s="1"/>
      <c r="F897" s="1"/>
      <c r="G897" s="1"/>
      <c r="H897" s="1"/>
      <c r="I897" s="71">
        <f>IFERROR(__xludf.DUMMYFUNCTION("""COMPUTED_VALUE"""),0.0)</f>
        <v>0</v>
      </c>
      <c r="J897" s="69">
        <f>IFERROR(__xludf.DUMMYFUNCTION("""COMPUTED_VALUE"""),0.0)</f>
        <v>0</v>
      </c>
      <c r="K897" s="4">
        <f>IFERROR(__xludf.DUMMYFUNCTION("""COMPUTED_VALUE"""),0.0)</f>
        <v>0</v>
      </c>
      <c r="N897" s="67"/>
      <c r="R897" s="4"/>
    </row>
    <row r="898">
      <c r="A898" s="66"/>
      <c r="B898" s="67"/>
      <c r="C898" s="1"/>
      <c r="D898" s="1"/>
      <c r="E898" s="1"/>
      <c r="F898" s="1"/>
      <c r="G898" s="1"/>
      <c r="H898" s="1"/>
      <c r="I898" s="71">
        <f>IFERROR(__xludf.DUMMYFUNCTION("""COMPUTED_VALUE"""),0.0)</f>
        <v>0</v>
      </c>
      <c r="J898" s="69">
        <f>IFERROR(__xludf.DUMMYFUNCTION("""COMPUTED_VALUE"""),0.0)</f>
        <v>0</v>
      </c>
      <c r="K898" s="4">
        <f>IFERROR(__xludf.DUMMYFUNCTION("""COMPUTED_VALUE"""),0.0)</f>
        <v>0</v>
      </c>
      <c r="N898" s="67"/>
      <c r="R898" s="4"/>
    </row>
    <row r="899">
      <c r="A899" s="66"/>
      <c r="B899" s="67"/>
      <c r="C899" s="1"/>
      <c r="D899" s="1"/>
      <c r="E899" s="1"/>
      <c r="F899" s="1"/>
      <c r="G899" s="1"/>
      <c r="H899" s="1"/>
      <c r="I899" s="71">
        <f>IFERROR(__xludf.DUMMYFUNCTION("""COMPUTED_VALUE"""),0.0)</f>
        <v>0</v>
      </c>
      <c r="J899" s="69">
        <f>IFERROR(__xludf.DUMMYFUNCTION("""COMPUTED_VALUE"""),0.0)</f>
        <v>0</v>
      </c>
      <c r="K899" s="4">
        <f>IFERROR(__xludf.DUMMYFUNCTION("""COMPUTED_VALUE"""),0.0)</f>
        <v>0</v>
      </c>
      <c r="N899" s="67"/>
      <c r="R899" s="4"/>
    </row>
    <row r="900">
      <c r="A900" s="66"/>
      <c r="B900" s="67"/>
      <c r="C900" s="1"/>
      <c r="D900" s="1"/>
      <c r="E900" s="1"/>
      <c r="F900" s="1"/>
      <c r="G900" s="1"/>
      <c r="H900" s="1"/>
      <c r="I900" s="71">
        <f>IFERROR(__xludf.DUMMYFUNCTION("""COMPUTED_VALUE"""),0.0)</f>
        <v>0</v>
      </c>
      <c r="J900" s="69">
        <f>IFERROR(__xludf.DUMMYFUNCTION("""COMPUTED_VALUE"""),0.0)</f>
        <v>0</v>
      </c>
      <c r="K900" s="4">
        <f>IFERROR(__xludf.DUMMYFUNCTION("""COMPUTED_VALUE"""),0.0)</f>
        <v>0</v>
      </c>
      <c r="N900" s="67"/>
      <c r="R900" s="4"/>
    </row>
    <row r="901">
      <c r="A901" s="66"/>
      <c r="B901" s="67"/>
      <c r="C901" s="1"/>
      <c r="D901" s="1"/>
      <c r="E901" s="1"/>
      <c r="F901" s="1"/>
      <c r="G901" s="1"/>
      <c r="H901" s="1"/>
      <c r="I901" s="71">
        <f>IFERROR(__xludf.DUMMYFUNCTION("""COMPUTED_VALUE"""),0.0)</f>
        <v>0</v>
      </c>
      <c r="J901" s="69">
        <f>IFERROR(__xludf.DUMMYFUNCTION("""COMPUTED_VALUE"""),0.0)</f>
        <v>0</v>
      </c>
      <c r="K901" s="4">
        <f>IFERROR(__xludf.DUMMYFUNCTION("""COMPUTED_VALUE"""),0.0)</f>
        <v>0</v>
      </c>
      <c r="N901" s="67"/>
      <c r="R901" s="4"/>
    </row>
    <row r="902">
      <c r="A902" s="66"/>
      <c r="B902" s="67"/>
      <c r="C902" s="1"/>
      <c r="D902" s="1"/>
      <c r="E902" s="1"/>
      <c r="F902" s="1"/>
      <c r="G902" s="1"/>
      <c r="H902" s="1"/>
      <c r="I902" s="71">
        <f>IFERROR(__xludf.DUMMYFUNCTION("""COMPUTED_VALUE"""),0.0)</f>
        <v>0</v>
      </c>
      <c r="J902" s="69">
        <f>IFERROR(__xludf.DUMMYFUNCTION("""COMPUTED_VALUE"""),0.0)</f>
        <v>0</v>
      </c>
      <c r="K902" s="4">
        <f>IFERROR(__xludf.DUMMYFUNCTION("""COMPUTED_VALUE"""),0.0)</f>
        <v>0</v>
      </c>
      <c r="N902" s="67"/>
      <c r="R902" s="4"/>
    </row>
    <row r="903">
      <c r="A903" s="66"/>
      <c r="B903" s="67"/>
      <c r="C903" s="1"/>
      <c r="D903" s="1"/>
      <c r="E903" s="1"/>
      <c r="F903" s="1"/>
      <c r="G903" s="1"/>
      <c r="H903" s="1"/>
      <c r="I903" s="71">
        <f>IFERROR(__xludf.DUMMYFUNCTION("""COMPUTED_VALUE"""),0.0)</f>
        <v>0</v>
      </c>
      <c r="J903" s="69">
        <f>IFERROR(__xludf.DUMMYFUNCTION("""COMPUTED_VALUE"""),0.0)</f>
        <v>0</v>
      </c>
      <c r="K903" s="4">
        <f>IFERROR(__xludf.DUMMYFUNCTION("""COMPUTED_VALUE"""),0.0)</f>
        <v>0</v>
      </c>
      <c r="N903" s="67"/>
      <c r="R903" s="4"/>
    </row>
    <row r="904">
      <c r="A904" s="66"/>
      <c r="B904" s="67"/>
      <c r="C904" s="1"/>
      <c r="D904" s="1"/>
      <c r="E904" s="1"/>
      <c r="F904" s="1"/>
      <c r="G904" s="1"/>
      <c r="H904" s="1"/>
      <c r="I904" s="71">
        <f>IFERROR(__xludf.DUMMYFUNCTION("""COMPUTED_VALUE"""),0.0)</f>
        <v>0</v>
      </c>
      <c r="J904" s="69">
        <f>IFERROR(__xludf.DUMMYFUNCTION("""COMPUTED_VALUE"""),0.0)</f>
        <v>0</v>
      </c>
      <c r="K904" s="4">
        <f>IFERROR(__xludf.DUMMYFUNCTION("""COMPUTED_VALUE"""),0.0)</f>
        <v>0</v>
      </c>
      <c r="N904" s="67"/>
      <c r="R904" s="4"/>
    </row>
    <row r="905">
      <c r="A905" s="66"/>
      <c r="B905" s="67"/>
      <c r="C905" s="1"/>
      <c r="D905" s="1"/>
      <c r="E905" s="1"/>
      <c r="F905" s="1"/>
      <c r="G905" s="1"/>
      <c r="H905" s="1"/>
      <c r="I905" s="71">
        <f>IFERROR(__xludf.DUMMYFUNCTION("""COMPUTED_VALUE"""),0.0)</f>
        <v>0</v>
      </c>
      <c r="J905" s="69">
        <f>IFERROR(__xludf.DUMMYFUNCTION("""COMPUTED_VALUE"""),0.0)</f>
        <v>0</v>
      </c>
      <c r="K905" s="4">
        <f>IFERROR(__xludf.DUMMYFUNCTION("""COMPUTED_VALUE"""),0.0)</f>
        <v>0</v>
      </c>
      <c r="N905" s="67"/>
      <c r="R905" s="4"/>
    </row>
    <row r="906">
      <c r="A906" s="66"/>
      <c r="B906" s="67"/>
      <c r="C906" s="1"/>
      <c r="D906" s="1"/>
      <c r="E906" s="1"/>
      <c r="F906" s="1"/>
      <c r="G906" s="1"/>
      <c r="H906" s="1"/>
      <c r="I906" s="71">
        <f>IFERROR(__xludf.DUMMYFUNCTION("""COMPUTED_VALUE"""),0.0)</f>
        <v>0</v>
      </c>
      <c r="J906" s="69">
        <f>IFERROR(__xludf.DUMMYFUNCTION("""COMPUTED_VALUE"""),0.0)</f>
        <v>0</v>
      </c>
      <c r="K906" s="4">
        <f>IFERROR(__xludf.DUMMYFUNCTION("""COMPUTED_VALUE"""),0.0)</f>
        <v>0</v>
      </c>
      <c r="N906" s="67"/>
      <c r="R906" s="4"/>
    </row>
    <row r="907">
      <c r="A907" s="66"/>
      <c r="B907" s="67"/>
      <c r="C907" s="1"/>
      <c r="D907" s="1"/>
      <c r="E907" s="1"/>
      <c r="F907" s="1"/>
      <c r="G907" s="1"/>
      <c r="H907" s="1"/>
      <c r="I907" s="71">
        <f>IFERROR(__xludf.DUMMYFUNCTION("""COMPUTED_VALUE"""),0.0)</f>
        <v>0</v>
      </c>
      <c r="J907" s="69">
        <f>IFERROR(__xludf.DUMMYFUNCTION("""COMPUTED_VALUE"""),0.0)</f>
        <v>0</v>
      </c>
      <c r="K907" s="4">
        <f>IFERROR(__xludf.DUMMYFUNCTION("""COMPUTED_VALUE"""),0.0)</f>
        <v>0</v>
      </c>
      <c r="N907" s="67"/>
      <c r="R907" s="4"/>
    </row>
    <row r="908">
      <c r="A908" s="66"/>
      <c r="B908" s="67"/>
      <c r="C908" s="1"/>
      <c r="D908" s="1"/>
      <c r="E908" s="1"/>
      <c r="F908" s="1"/>
      <c r="G908" s="1"/>
      <c r="H908" s="1"/>
      <c r="I908" s="71">
        <f>IFERROR(__xludf.DUMMYFUNCTION("""COMPUTED_VALUE"""),0.0)</f>
        <v>0</v>
      </c>
      <c r="J908" s="69">
        <f>IFERROR(__xludf.DUMMYFUNCTION("""COMPUTED_VALUE"""),0.0)</f>
        <v>0</v>
      </c>
      <c r="K908" s="4">
        <f>IFERROR(__xludf.DUMMYFUNCTION("""COMPUTED_VALUE"""),0.0)</f>
        <v>0</v>
      </c>
      <c r="N908" s="67"/>
      <c r="R908" s="4"/>
    </row>
    <row r="909">
      <c r="A909" s="66"/>
      <c r="B909" s="67"/>
      <c r="C909" s="1"/>
      <c r="D909" s="1"/>
      <c r="E909" s="1"/>
      <c r="F909" s="1"/>
      <c r="G909" s="1"/>
      <c r="H909" s="1"/>
      <c r="I909" s="71">
        <f>IFERROR(__xludf.DUMMYFUNCTION("""COMPUTED_VALUE"""),0.0)</f>
        <v>0</v>
      </c>
      <c r="J909" s="69">
        <f>IFERROR(__xludf.DUMMYFUNCTION("""COMPUTED_VALUE"""),0.0)</f>
        <v>0</v>
      </c>
      <c r="K909" s="4">
        <f>IFERROR(__xludf.DUMMYFUNCTION("""COMPUTED_VALUE"""),0.0)</f>
        <v>0</v>
      </c>
      <c r="N909" s="67"/>
      <c r="R909" s="4"/>
    </row>
    <row r="910">
      <c r="A910" s="66"/>
      <c r="B910" s="67"/>
      <c r="C910" s="1"/>
      <c r="D910" s="1"/>
      <c r="E910" s="1"/>
      <c r="F910" s="1"/>
      <c r="G910" s="1"/>
      <c r="H910" s="1"/>
      <c r="I910" s="71">
        <f>IFERROR(__xludf.DUMMYFUNCTION("""COMPUTED_VALUE"""),0.0)</f>
        <v>0</v>
      </c>
      <c r="J910" s="69">
        <f>IFERROR(__xludf.DUMMYFUNCTION("""COMPUTED_VALUE"""),0.0)</f>
        <v>0</v>
      </c>
      <c r="K910" s="4">
        <f>IFERROR(__xludf.DUMMYFUNCTION("""COMPUTED_VALUE"""),0.0)</f>
        <v>0</v>
      </c>
      <c r="N910" s="67"/>
      <c r="R910" s="4"/>
    </row>
    <row r="911">
      <c r="A911" s="66"/>
      <c r="B911" s="67"/>
      <c r="C911" s="1"/>
      <c r="D911" s="1"/>
      <c r="E911" s="1"/>
      <c r="F911" s="1"/>
      <c r="G911" s="1"/>
      <c r="H911" s="1"/>
      <c r="I911" s="71">
        <f>IFERROR(__xludf.DUMMYFUNCTION("""COMPUTED_VALUE"""),0.0)</f>
        <v>0</v>
      </c>
      <c r="J911" s="69">
        <f>IFERROR(__xludf.DUMMYFUNCTION("""COMPUTED_VALUE"""),0.0)</f>
        <v>0</v>
      </c>
      <c r="K911" s="4">
        <f>IFERROR(__xludf.DUMMYFUNCTION("""COMPUTED_VALUE"""),0.0)</f>
        <v>0</v>
      </c>
      <c r="N911" s="67"/>
      <c r="R911" s="4"/>
    </row>
    <row r="912">
      <c r="A912" s="66"/>
      <c r="B912" s="67"/>
      <c r="C912" s="1"/>
      <c r="D912" s="1"/>
      <c r="E912" s="1"/>
      <c r="F912" s="1"/>
      <c r="G912" s="1"/>
      <c r="H912" s="1"/>
      <c r="I912" s="71">
        <f>IFERROR(__xludf.DUMMYFUNCTION("""COMPUTED_VALUE"""),0.0)</f>
        <v>0</v>
      </c>
      <c r="J912" s="69">
        <f>IFERROR(__xludf.DUMMYFUNCTION("""COMPUTED_VALUE"""),0.0)</f>
        <v>0</v>
      </c>
      <c r="K912" s="4">
        <f>IFERROR(__xludf.DUMMYFUNCTION("""COMPUTED_VALUE"""),0.0)</f>
        <v>0</v>
      </c>
      <c r="N912" s="67"/>
      <c r="R912" s="4"/>
    </row>
    <row r="913">
      <c r="A913" s="66"/>
      <c r="B913" s="67"/>
      <c r="C913" s="1"/>
      <c r="D913" s="1"/>
      <c r="E913" s="1"/>
      <c r="F913" s="1"/>
      <c r="G913" s="1"/>
      <c r="H913" s="1"/>
      <c r="I913" s="71">
        <f>IFERROR(__xludf.DUMMYFUNCTION("""COMPUTED_VALUE"""),0.0)</f>
        <v>0</v>
      </c>
      <c r="J913" s="69">
        <f>IFERROR(__xludf.DUMMYFUNCTION("""COMPUTED_VALUE"""),0.0)</f>
        <v>0</v>
      </c>
      <c r="K913" s="4">
        <f>IFERROR(__xludf.DUMMYFUNCTION("""COMPUTED_VALUE"""),0.0)</f>
        <v>0</v>
      </c>
      <c r="N913" s="67"/>
      <c r="R913" s="4"/>
    </row>
    <row r="914">
      <c r="A914" s="66"/>
      <c r="B914" s="67"/>
      <c r="C914" s="1"/>
      <c r="D914" s="1"/>
      <c r="E914" s="1"/>
      <c r="F914" s="1"/>
      <c r="G914" s="1"/>
      <c r="H914" s="1"/>
      <c r="I914" s="71">
        <f>IFERROR(__xludf.DUMMYFUNCTION("""COMPUTED_VALUE"""),0.0)</f>
        <v>0</v>
      </c>
      <c r="J914" s="69">
        <f>IFERROR(__xludf.DUMMYFUNCTION("""COMPUTED_VALUE"""),0.0)</f>
        <v>0</v>
      </c>
      <c r="K914" s="4">
        <f>IFERROR(__xludf.DUMMYFUNCTION("""COMPUTED_VALUE"""),0.0)</f>
        <v>0</v>
      </c>
      <c r="N914" s="67"/>
      <c r="R914" s="4"/>
    </row>
    <row r="915">
      <c r="A915" s="66"/>
      <c r="B915" s="67"/>
      <c r="C915" s="1"/>
      <c r="D915" s="1"/>
      <c r="E915" s="1"/>
      <c r="F915" s="1"/>
      <c r="G915" s="1"/>
      <c r="H915" s="1"/>
      <c r="I915" s="71">
        <f>IFERROR(__xludf.DUMMYFUNCTION("""COMPUTED_VALUE"""),0.0)</f>
        <v>0</v>
      </c>
      <c r="J915" s="69">
        <f>IFERROR(__xludf.DUMMYFUNCTION("""COMPUTED_VALUE"""),0.0)</f>
        <v>0</v>
      </c>
      <c r="K915" s="4">
        <f>IFERROR(__xludf.DUMMYFUNCTION("""COMPUTED_VALUE"""),0.0)</f>
        <v>0</v>
      </c>
      <c r="N915" s="67"/>
      <c r="R915" s="4"/>
    </row>
    <row r="916">
      <c r="A916" s="66"/>
      <c r="B916" s="67"/>
      <c r="C916" s="1"/>
      <c r="D916" s="1"/>
      <c r="E916" s="1"/>
      <c r="F916" s="1"/>
      <c r="G916" s="1"/>
      <c r="H916" s="1"/>
      <c r="I916" s="71">
        <f>IFERROR(__xludf.DUMMYFUNCTION("""COMPUTED_VALUE"""),0.0)</f>
        <v>0</v>
      </c>
      <c r="J916" s="69">
        <f>IFERROR(__xludf.DUMMYFUNCTION("""COMPUTED_VALUE"""),0.0)</f>
        <v>0</v>
      </c>
      <c r="K916" s="4">
        <f>IFERROR(__xludf.DUMMYFUNCTION("""COMPUTED_VALUE"""),0.0)</f>
        <v>0</v>
      </c>
      <c r="N916" s="67"/>
      <c r="R916" s="4"/>
    </row>
    <row r="917">
      <c r="A917" s="66"/>
      <c r="B917" s="67"/>
      <c r="C917" s="1"/>
      <c r="D917" s="1"/>
      <c r="E917" s="1"/>
      <c r="F917" s="1"/>
      <c r="G917" s="1"/>
      <c r="H917" s="1"/>
      <c r="I917" s="71">
        <f>IFERROR(__xludf.DUMMYFUNCTION("""COMPUTED_VALUE"""),0.0)</f>
        <v>0</v>
      </c>
      <c r="J917" s="69">
        <f>IFERROR(__xludf.DUMMYFUNCTION("""COMPUTED_VALUE"""),0.0)</f>
        <v>0</v>
      </c>
      <c r="K917" s="4">
        <f>IFERROR(__xludf.DUMMYFUNCTION("""COMPUTED_VALUE"""),0.0)</f>
        <v>0</v>
      </c>
      <c r="N917" s="67"/>
      <c r="R917" s="4"/>
    </row>
    <row r="918">
      <c r="A918" s="66"/>
      <c r="B918" s="67"/>
      <c r="C918" s="1"/>
      <c r="D918" s="1"/>
      <c r="E918" s="1"/>
      <c r="F918" s="1"/>
      <c r="G918" s="1"/>
      <c r="H918" s="1"/>
      <c r="I918" s="71">
        <f>IFERROR(__xludf.DUMMYFUNCTION("""COMPUTED_VALUE"""),0.0)</f>
        <v>0</v>
      </c>
      <c r="J918" s="69">
        <f>IFERROR(__xludf.DUMMYFUNCTION("""COMPUTED_VALUE"""),0.0)</f>
        <v>0</v>
      </c>
      <c r="K918" s="4">
        <f>IFERROR(__xludf.DUMMYFUNCTION("""COMPUTED_VALUE"""),0.0)</f>
        <v>0</v>
      </c>
      <c r="N918" s="67"/>
      <c r="R918" s="4"/>
    </row>
    <row r="919">
      <c r="A919" s="66"/>
      <c r="B919" s="67"/>
      <c r="C919" s="1"/>
      <c r="D919" s="1"/>
      <c r="E919" s="1"/>
      <c r="F919" s="1"/>
      <c r="G919" s="1"/>
      <c r="H919" s="1"/>
      <c r="I919" s="71">
        <f>IFERROR(__xludf.DUMMYFUNCTION("""COMPUTED_VALUE"""),0.0)</f>
        <v>0</v>
      </c>
      <c r="J919" s="69">
        <f>IFERROR(__xludf.DUMMYFUNCTION("""COMPUTED_VALUE"""),0.0)</f>
        <v>0</v>
      </c>
      <c r="K919" s="4">
        <f>IFERROR(__xludf.DUMMYFUNCTION("""COMPUTED_VALUE"""),0.0)</f>
        <v>0</v>
      </c>
      <c r="N919" s="67"/>
      <c r="R919" s="4"/>
    </row>
    <row r="920">
      <c r="A920" s="66"/>
      <c r="B920" s="67"/>
      <c r="C920" s="1"/>
      <c r="D920" s="1"/>
      <c r="E920" s="1"/>
      <c r="F920" s="1"/>
      <c r="G920" s="1"/>
      <c r="H920" s="1"/>
      <c r="I920" s="71">
        <f>IFERROR(__xludf.DUMMYFUNCTION("""COMPUTED_VALUE"""),0.0)</f>
        <v>0</v>
      </c>
      <c r="J920" s="69">
        <f>IFERROR(__xludf.DUMMYFUNCTION("""COMPUTED_VALUE"""),0.0)</f>
        <v>0</v>
      </c>
      <c r="K920" s="4">
        <f>IFERROR(__xludf.DUMMYFUNCTION("""COMPUTED_VALUE"""),0.0)</f>
        <v>0</v>
      </c>
      <c r="N920" s="67"/>
      <c r="R920" s="4"/>
    </row>
    <row r="921">
      <c r="A921" s="66"/>
      <c r="B921" s="67"/>
      <c r="C921" s="1"/>
      <c r="D921" s="1"/>
      <c r="E921" s="1"/>
      <c r="F921" s="1"/>
      <c r="G921" s="1"/>
      <c r="H921" s="1"/>
      <c r="I921" s="71">
        <f>IFERROR(__xludf.DUMMYFUNCTION("""COMPUTED_VALUE"""),0.0)</f>
        <v>0</v>
      </c>
      <c r="J921" s="69">
        <f>IFERROR(__xludf.DUMMYFUNCTION("""COMPUTED_VALUE"""),0.0)</f>
        <v>0</v>
      </c>
      <c r="K921" s="4">
        <f>IFERROR(__xludf.DUMMYFUNCTION("""COMPUTED_VALUE"""),0.0)</f>
        <v>0</v>
      </c>
      <c r="N921" s="67"/>
      <c r="R921" s="4"/>
    </row>
    <row r="922">
      <c r="A922" s="66"/>
      <c r="B922" s="67"/>
      <c r="C922" s="1"/>
      <c r="D922" s="1"/>
      <c r="E922" s="1"/>
      <c r="F922" s="1"/>
      <c r="G922" s="1"/>
      <c r="H922" s="1"/>
      <c r="I922" s="71">
        <f>IFERROR(__xludf.DUMMYFUNCTION("""COMPUTED_VALUE"""),0.0)</f>
        <v>0</v>
      </c>
      <c r="J922" s="69">
        <f>IFERROR(__xludf.DUMMYFUNCTION("""COMPUTED_VALUE"""),0.0)</f>
        <v>0</v>
      </c>
      <c r="K922" s="4">
        <f>IFERROR(__xludf.DUMMYFUNCTION("""COMPUTED_VALUE"""),0.0)</f>
        <v>0</v>
      </c>
      <c r="N922" s="67"/>
      <c r="R922" s="4"/>
    </row>
    <row r="923">
      <c r="A923" s="66"/>
      <c r="B923" s="67"/>
      <c r="C923" s="1"/>
      <c r="D923" s="1"/>
      <c r="E923" s="1"/>
      <c r="F923" s="1"/>
      <c r="G923" s="1"/>
      <c r="H923" s="1"/>
      <c r="I923" s="71">
        <f>IFERROR(__xludf.DUMMYFUNCTION("""COMPUTED_VALUE"""),0.0)</f>
        <v>0</v>
      </c>
      <c r="J923" s="69">
        <f>IFERROR(__xludf.DUMMYFUNCTION("""COMPUTED_VALUE"""),0.0)</f>
        <v>0</v>
      </c>
      <c r="K923" s="4">
        <f>IFERROR(__xludf.DUMMYFUNCTION("""COMPUTED_VALUE"""),0.0)</f>
        <v>0</v>
      </c>
      <c r="N923" s="67"/>
      <c r="R923" s="4"/>
    </row>
    <row r="924">
      <c r="A924" s="66"/>
      <c r="B924" s="67"/>
      <c r="C924" s="1"/>
      <c r="D924" s="1"/>
      <c r="E924" s="1"/>
      <c r="F924" s="1"/>
      <c r="G924" s="1"/>
      <c r="H924" s="1"/>
      <c r="I924" s="71">
        <f>IFERROR(__xludf.DUMMYFUNCTION("""COMPUTED_VALUE"""),0.0)</f>
        <v>0</v>
      </c>
      <c r="J924" s="69">
        <f>IFERROR(__xludf.DUMMYFUNCTION("""COMPUTED_VALUE"""),0.0)</f>
        <v>0</v>
      </c>
      <c r="K924" s="4">
        <f>IFERROR(__xludf.DUMMYFUNCTION("""COMPUTED_VALUE"""),0.0)</f>
        <v>0</v>
      </c>
      <c r="N924" s="67"/>
      <c r="R924" s="4"/>
    </row>
    <row r="925">
      <c r="A925" s="66"/>
      <c r="B925" s="67"/>
      <c r="C925" s="1"/>
      <c r="D925" s="1"/>
      <c r="E925" s="1"/>
      <c r="F925" s="1"/>
      <c r="G925" s="1"/>
      <c r="H925" s="1"/>
      <c r="I925" s="71">
        <f>IFERROR(__xludf.DUMMYFUNCTION("""COMPUTED_VALUE"""),0.0)</f>
        <v>0</v>
      </c>
      <c r="J925" s="69">
        <f>IFERROR(__xludf.DUMMYFUNCTION("""COMPUTED_VALUE"""),0.0)</f>
        <v>0</v>
      </c>
      <c r="K925" s="4">
        <f>IFERROR(__xludf.DUMMYFUNCTION("""COMPUTED_VALUE"""),0.0)</f>
        <v>0</v>
      </c>
      <c r="N925" s="67"/>
      <c r="R925" s="4"/>
    </row>
    <row r="926">
      <c r="A926" s="66"/>
      <c r="B926" s="67"/>
      <c r="C926" s="1"/>
      <c r="D926" s="1"/>
      <c r="E926" s="1"/>
      <c r="F926" s="1"/>
      <c r="G926" s="1"/>
      <c r="H926" s="1"/>
      <c r="I926" s="71">
        <f>IFERROR(__xludf.DUMMYFUNCTION("""COMPUTED_VALUE"""),0.0)</f>
        <v>0</v>
      </c>
      <c r="J926" s="69">
        <f>IFERROR(__xludf.DUMMYFUNCTION("""COMPUTED_VALUE"""),0.0)</f>
        <v>0</v>
      </c>
      <c r="K926" s="4">
        <f>IFERROR(__xludf.DUMMYFUNCTION("""COMPUTED_VALUE"""),0.0)</f>
        <v>0</v>
      </c>
      <c r="N926" s="67"/>
      <c r="R926" s="4"/>
    </row>
    <row r="927">
      <c r="A927" s="66"/>
      <c r="B927" s="67"/>
      <c r="C927" s="1"/>
      <c r="D927" s="1"/>
      <c r="E927" s="1"/>
      <c r="F927" s="1"/>
      <c r="G927" s="1"/>
      <c r="H927" s="1"/>
      <c r="I927" s="71">
        <f>IFERROR(__xludf.DUMMYFUNCTION("""COMPUTED_VALUE"""),0.0)</f>
        <v>0</v>
      </c>
      <c r="J927" s="69">
        <f>IFERROR(__xludf.DUMMYFUNCTION("""COMPUTED_VALUE"""),0.0)</f>
        <v>0</v>
      </c>
      <c r="K927" s="4">
        <f>IFERROR(__xludf.DUMMYFUNCTION("""COMPUTED_VALUE"""),0.0)</f>
        <v>0</v>
      </c>
      <c r="N927" s="67"/>
      <c r="R927" s="4"/>
    </row>
    <row r="928">
      <c r="A928" s="66"/>
      <c r="B928" s="67"/>
      <c r="C928" s="1"/>
      <c r="D928" s="1"/>
      <c r="E928" s="1"/>
      <c r="F928" s="1"/>
      <c r="G928" s="1"/>
      <c r="H928" s="1"/>
      <c r="I928" s="71">
        <f>IFERROR(__xludf.DUMMYFUNCTION("""COMPUTED_VALUE"""),0.0)</f>
        <v>0</v>
      </c>
      <c r="J928" s="69">
        <f>IFERROR(__xludf.DUMMYFUNCTION("""COMPUTED_VALUE"""),0.0)</f>
        <v>0</v>
      </c>
      <c r="K928" s="4">
        <f>IFERROR(__xludf.DUMMYFUNCTION("""COMPUTED_VALUE"""),0.0)</f>
        <v>0</v>
      </c>
      <c r="N928" s="67"/>
      <c r="R928" s="4"/>
    </row>
    <row r="929">
      <c r="A929" s="66"/>
      <c r="B929" s="67"/>
      <c r="C929" s="1"/>
      <c r="D929" s="1"/>
      <c r="E929" s="1"/>
      <c r="F929" s="1"/>
      <c r="G929" s="1"/>
      <c r="H929" s="1"/>
      <c r="I929" s="71">
        <f>IFERROR(__xludf.DUMMYFUNCTION("""COMPUTED_VALUE"""),0.0)</f>
        <v>0</v>
      </c>
      <c r="J929" s="69">
        <f>IFERROR(__xludf.DUMMYFUNCTION("""COMPUTED_VALUE"""),0.0)</f>
        <v>0</v>
      </c>
      <c r="K929" s="4">
        <f>IFERROR(__xludf.DUMMYFUNCTION("""COMPUTED_VALUE"""),0.0)</f>
        <v>0</v>
      </c>
      <c r="N929" s="67"/>
      <c r="R929" s="4"/>
    </row>
    <row r="930">
      <c r="A930" s="66"/>
      <c r="B930" s="67"/>
      <c r="C930" s="1"/>
      <c r="D930" s="1"/>
      <c r="E930" s="1"/>
      <c r="F930" s="1"/>
      <c r="G930" s="1"/>
      <c r="H930" s="1"/>
      <c r="I930" s="71">
        <f>IFERROR(__xludf.DUMMYFUNCTION("""COMPUTED_VALUE"""),0.0)</f>
        <v>0</v>
      </c>
      <c r="J930" s="69">
        <f>IFERROR(__xludf.DUMMYFUNCTION("""COMPUTED_VALUE"""),0.0)</f>
        <v>0</v>
      </c>
      <c r="K930" s="4">
        <f>IFERROR(__xludf.DUMMYFUNCTION("""COMPUTED_VALUE"""),0.0)</f>
        <v>0</v>
      </c>
      <c r="N930" s="67"/>
      <c r="R930" s="4"/>
    </row>
    <row r="931">
      <c r="A931" s="66"/>
      <c r="B931" s="67"/>
      <c r="C931" s="1"/>
      <c r="D931" s="1"/>
      <c r="E931" s="1"/>
      <c r="F931" s="1"/>
      <c r="G931" s="1"/>
      <c r="H931" s="1"/>
      <c r="I931" s="71">
        <f>IFERROR(__xludf.DUMMYFUNCTION("""COMPUTED_VALUE"""),0.0)</f>
        <v>0</v>
      </c>
      <c r="J931" s="69">
        <f>IFERROR(__xludf.DUMMYFUNCTION("""COMPUTED_VALUE"""),0.0)</f>
        <v>0</v>
      </c>
      <c r="K931" s="4">
        <f>IFERROR(__xludf.DUMMYFUNCTION("""COMPUTED_VALUE"""),0.0)</f>
        <v>0</v>
      </c>
      <c r="N931" s="67"/>
      <c r="R931" s="4"/>
    </row>
    <row r="932">
      <c r="A932" s="66"/>
      <c r="B932" s="67"/>
      <c r="C932" s="1"/>
      <c r="D932" s="1"/>
      <c r="E932" s="1"/>
      <c r="F932" s="1"/>
      <c r="G932" s="1"/>
      <c r="H932" s="1"/>
      <c r="I932" s="71">
        <f>IFERROR(__xludf.DUMMYFUNCTION("""COMPUTED_VALUE"""),0.0)</f>
        <v>0</v>
      </c>
      <c r="J932" s="69">
        <f>IFERROR(__xludf.DUMMYFUNCTION("""COMPUTED_VALUE"""),0.0)</f>
        <v>0</v>
      </c>
      <c r="K932" s="4">
        <f>IFERROR(__xludf.DUMMYFUNCTION("""COMPUTED_VALUE"""),0.0)</f>
        <v>0</v>
      </c>
      <c r="N932" s="67"/>
      <c r="R932" s="4"/>
    </row>
    <row r="933">
      <c r="A933" s="66"/>
      <c r="B933" s="67"/>
      <c r="C933" s="1"/>
      <c r="D933" s="1"/>
      <c r="E933" s="1"/>
      <c r="F933" s="1"/>
      <c r="G933" s="1"/>
      <c r="H933" s="1"/>
      <c r="I933" s="71">
        <f>IFERROR(__xludf.DUMMYFUNCTION("""COMPUTED_VALUE"""),0.0)</f>
        <v>0</v>
      </c>
      <c r="J933" s="69">
        <f>IFERROR(__xludf.DUMMYFUNCTION("""COMPUTED_VALUE"""),0.0)</f>
        <v>0</v>
      </c>
      <c r="K933" s="4">
        <f>IFERROR(__xludf.DUMMYFUNCTION("""COMPUTED_VALUE"""),0.0)</f>
        <v>0</v>
      </c>
      <c r="N933" s="67"/>
      <c r="R933" s="4"/>
    </row>
    <row r="934">
      <c r="A934" s="66"/>
      <c r="B934" s="67"/>
      <c r="C934" s="1"/>
      <c r="D934" s="1"/>
      <c r="E934" s="1"/>
      <c r="F934" s="1"/>
      <c r="G934" s="1"/>
      <c r="H934" s="1"/>
      <c r="I934" s="71">
        <f>IFERROR(__xludf.DUMMYFUNCTION("""COMPUTED_VALUE"""),0.0)</f>
        <v>0</v>
      </c>
      <c r="J934" s="69">
        <f>IFERROR(__xludf.DUMMYFUNCTION("""COMPUTED_VALUE"""),0.0)</f>
        <v>0</v>
      </c>
      <c r="K934" s="4">
        <f>IFERROR(__xludf.DUMMYFUNCTION("""COMPUTED_VALUE"""),0.0)</f>
        <v>0</v>
      </c>
      <c r="N934" s="67"/>
      <c r="R934" s="4"/>
    </row>
    <row r="935">
      <c r="A935" s="66"/>
      <c r="B935" s="67"/>
      <c r="C935" s="1"/>
      <c r="D935" s="1"/>
      <c r="E935" s="1"/>
      <c r="F935" s="1"/>
      <c r="G935" s="1"/>
      <c r="H935" s="1"/>
      <c r="I935" s="71">
        <f>IFERROR(__xludf.DUMMYFUNCTION("""COMPUTED_VALUE"""),0.0)</f>
        <v>0</v>
      </c>
      <c r="J935" s="69">
        <f>IFERROR(__xludf.DUMMYFUNCTION("""COMPUTED_VALUE"""),0.0)</f>
        <v>0</v>
      </c>
      <c r="K935" s="4">
        <f>IFERROR(__xludf.DUMMYFUNCTION("""COMPUTED_VALUE"""),0.0)</f>
        <v>0</v>
      </c>
      <c r="N935" s="67"/>
      <c r="R935" s="4"/>
    </row>
    <row r="936">
      <c r="A936" s="66"/>
      <c r="B936" s="67"/>
      <c r="C936" s="1"/>
      <c r="D936" s="1"/>
      <c r="E936" s="1"/>
      <c r="F936" s="1"/>
      <c r="G936" s="1"/>
      <c r="H936" s="1"/>
      <c r="I936" s="71">
        <f>IFERROR(__xludf.DUMMYFUNCTION("""COMPUTED_VALUE"""),0.0)</f>
        <v>0</v>
      </c>
      <c r="J936" s="69">
        <f>IFERROR(__xludf.DUMMYFUNCTION("""COMPUTED_VALUE"""),0.0)</f>
        <v>0</v>
      </c>
      <c r="K936" s="4">
        <f>IFERROR(__xludf.DUMMYFUNCTION("""COMPUTED_VALUE"""),0.0)</f>
        <v>0</v>
      </c>
      <c r="N936" s="67"/>
      <c r="R936" s="4"/>
    </row>
    <row r="937">
      <c r="A937" s="66"/>
      <c r="B937" s="67"/>
      <c r="C937" s="1"/>
      <c r="D937" s="1"/>
      <c r="E937" s="1"/>
      <c r="F937" s="1"/>
      <c r="G937" s="1"/>
      <c r="H937" s="1"/>
      <c r="I937" s="71">
        <f>IFERROR(__xludf.DUMMYFUNCTION("""COMPUTED_VALUE"""),0.0)</f>
        <v>0</v>
      </c>
      <c r="J937" s="69">
        <f>IFERROR(__xludf.DUMMYFUNCTION("""COMPUTED_VALUE"""),0.0)</f>
        <v>0</v>
      </c>
      <c r="K937" s="4">
        <f>IFERROR(__xludf.DUMMYFUNCTION("""COMPUTED_VALUE"""),0.0)</f>
        <v>0</v>
      </c>
      <c r="N937" s="67"/>
      <c r="R937" s="4"/>
    </row>
    <row r="938">
      <c r="A938" s="66"/>
      <c r="B938" s="67"/>
      <c r="C938" s="1"/>
      <c r="D938" s="1"/>
      <c r="E938" s="1"/>
      <c r="F938" s="1"/>
      <c r="G938" s="1"/>
      <c r="H938" s="1"/>
      <c r="I938" s="71">
        <f>IFERROR(__xludf.DUMMYFUNCTION("""COMPUTED_VALUE"""),0.0)</f>
        <v>0</v>
      </c>
      <c r="J938" s="69">
        <f>IFERROR(__xludf.DUMMYFUNCTION("""COMPUTED_VALUE"""),0.0)</f>
        <v>0</v>
      </c>
      <c r="K938" s="4">
        <f>IFERROR(__xludf.DUMMYFUNCTION("""COMPUTED_VALUE"""),0.0)</f>
        <v>0</v>
      </c>
      <c r="N938" s="67"/>
      <c r="R938" s="4"/>
    </row>
    <row r="939">
      <c r="A939" s="66"/>
      <c r="B939" s="67"/>
      <c r="C939" s="1"/>
      <c r="D939" s="1"/>
      <c r="E939" s="1"/>
      <c r="F939" s="1"/>
      <c r="G939" s="1"/>
      <c r="H939" s="1"/>
      <c r="I939" s="71">
        <f>IFERROR(__xludf.DUMMYFUNCTION("""COMPUTED_VALUE"""),0.0)</f>
        <v>0</v>
      </c>
      <c r="J939" s="69">
        <f>IFERROR(__xludf.DUMMYFUNCTION("""COMPUTED_VALUE"""),0.0)</f>
        <v>0</v>
      </c>
      <c r="K939" s="4">
        <f>IFERROR(__xludf.DUMMYFUNCTION("""COMPUTED_VALUE"""),0.0)</f>
        <v>0</v>
      </c>
      <c r="N939" s="67"/>
      <c r="R939" s="4"/>
    </row>
    <row r="940">
      <c r="A940" s="66"/>
      <c r="B940" s="67"/>
      <c r="C940" s="1"/>
      <c r="D940" s="1"/>
      <c r="E940" s="1"/>
      <c r="F940" s="1"/>
      <c r="G940" s="1"/>
      <c r="H940" s="1"/>
      <c r="I940" s="71">
        <f>IFERROR(__xludf.DUMMYFUNCTION("""COMPUTED_VALUE"""),0.0)</f>
        <v>0</v>
      </c>
      <c r="J940" s="69">
        <f>IFERROR(__xludf.DUMMYFUNCTION("""COMPUTED_VALUE"""),0.0)</f>
        <v>0</v>
      </c>
      <c r="K940" s="4">
        <f>IFERROR(__xludf.DUMMYFUNCTION("""COMPUTED_VALUE"""),0.0)</f>
        <v>0</v>
      </c>
      <c r="N940" s="67"/>
      <c r="R940" s="4"/>
    </row>
    <row r="941">
      <c r="A941" s="66"/>
      <c r="B941" s="67"/>
      <c r="C941" s="1"/>
      <c r="D941" s="1"/>
      <c r="E941" s="1"/>
      <c r="F941" s="1"/>
      <c r="G941" s="1"/>
      <c r="H941" s="1"/>
      <c r="I941" s="71">
        <f>IFERROR(__xludf.DUMMYFUNCTION("""COMPUTED_VALUE"""),0.0)</f>
        <v>0</v>
      </c>
      <c r="J941" s="69">
        <f>IFERROR(__xludf.DUMMYFUNCTION("""COMPUTED_VALUE"""),0.0)</f>
        <v>0</v>
      </c>
      <c r="K941" s="4">
        <f>IFERROR(__xludf.DUMMYFUNCTION("""COMPUTED_VALUE"""),0.0)</f>
        <v>0</v>
      </c>
      <c r="N941" s="67"/>
      <c r="R941" s="4"/>
    </row>
    <row r="942">
      <c r="A942" s="66"/>
      <c r="B942" s="67"/>
      <c r="C942" s="1"/>
      <c r="D942" s="1"/>
      <c r="E942" s="1"/>
      <c r="F942" s="1"/>
      <c r="G942" s="1"/>
      <c r="H942" s="1"/>
      <c r="I942" s="71">
        <f>IFERROR(__xludf.DUMMYFUNCTION("""COMPUTED_VALUE"""),0.0)</f>
        <v>0</v>
      </c>
      <c r="J942" s="69">
        <f>IFERROR(__xludf.DUMMYFUNCTION("""COMPUTED_VALUE"""),0.0)</f>
        <v>0</v>
      </c>
      <c r="K942" s="4">
        <f>IFERROR(__xludf.DUMMYFUNCTION("""COMPUTED_VALUE"""),0.0)</f>
        <v>0</v>
      </c>
      <c r="N942" s="67"/>
      <c r="R942" s="4"/>
    </row>
    <row r="943">
      <c r="A943" s="66"/>
      <c r="B943" s="67"/>
      <c r="C943" s="1"/>
      <c r="D943" s="1"/>
      <c r="E943" s="1"/>
      <c r="F943" s="1"/>
      <c r="G943" s="1"/>
      <c r="H943" s="1"/>
      <c r="I943" s="71">
        <f>IFERROR(__xludf.DUMMYFUNCTION("""COMPUTED_VALUE"""),0.0)</f>
        <v>0</v>
      </c>
      <c r="J943" s="69">
        <f>IFERROR(__xludf.DUMMYFUNCTION("""COMPUTED_VALUE"""),0.0)</f>
        <v>0</v>
      </c>
      <c r="K943" s="4">
        <f>IFERROR(__xludf.DUMMYFUNCTION("""COMPUTED_VALUE"""),0.0)</f>
        <v>0</v>
      </c>
      <c r="N943" s="67"/>
      <c r="R943" s="4"/>
    </row>
    <row r="944">
      <c r="A944" s="66"/>
      <c r="B944" s="67"/>
      <c r="C944" s="1"/>
      <c r="D944" s="1"/>
      <c r="E944" s="1"/>
      <c r="F944" s="1"/>
      <c r="G944" s="1"/>
      <c r="H944" s="1"/>
      <c r="I944" s="71">
        <f>IFERROR(__xludf.DUMMYFUNCTION("""COMPUTED_VALUE"""),0.0)</f>
        <v>0</v>
      </c>
      <c r="J944" s="69">
        <f>IFERROR(__xludf.DUMMYFUNCTION("""COMPUTED_VALUE"""),0.0)</f>
        <v>0</v>
      </c>
      <c r="K944" s="4">
        <f>IFERROR(__xludf.DUMMYFUNCTION("""COMPUTED_VALUE"""),0.0)</f>
        <v>0</v>
      </c>
      <c r="N944" s="67"/>
      <c r="R944" s="4"/>
    </row>
    <row r="945">
      <c r="A945" s="66"/>
      <c r="B945" s="67"/>
      <c r="C945" s="1"/>
      <c r="D945" s="1"/>
      <c r="E945" s="1"/>
      <c r="F945" s="1"/>
      <c r="G945" s="1"/>
      <c r="H945" s="1"/>
      <c r="I945" s="71">
        <f>IFERROR(__xludf.DUMMYFUNCTION("""COMPUTED_VALUE"""),0.0)</f>
        <v>0</v>
      </c>
      <c r="J945" s="69">
        <f>IFERROR(__xludf.DUMMYFUNCTION("""COMPUTED_VALUE"""),0.0)</f>
        <v>0</v>
      </c>
      <c r="K945" s="4">
        <f>IFERROR(__xludf.DUMMYFUNCTION("""COMPUTED_VALUE"""),0.0)</f>
        <v>0</v>
      </c>
      <c r="N945" s="67"/>
      <c r="R945" s="4"/>
    </row>
    <row r="946">
      <c r="A946" s="66"/>
      <c r="B946" s="67"/>
      <c r="C946" s="1"/>
      <c r="D946" s="1"/>
      <c r="E946" s="1"/>
      <c r="F946" s="1"/>
      <c r="G946" s="1"/>
      <c r="H946" s="1"/>
      <c r="I946" s="71">
        <f>IFERROR(__xludf.DUMMYFUNCTION("""COMPUTED_VALUE"""),0.0)</f>
        <v>0</v>
      </c>
      <c r="J946" s="69">
        <f>IFERROR(__xludf.DUMMYFUNCTION("""COMPUTED_VALUE"""),0.0)</f>
        <v>0</v>
      </c>
      <c r="K946" s="4">
        <f>IFERROR(__xludf.DUMMYFUNCTION("""COMPUTED_VALUE"""),0.0)</f>
        <v>0</v>
      </c>
      <c r="N946" s="67"/>
      <c r="R946" s="4"/>
    </row>
    <row r="947">
      <c r="A947" s="66"/>
      <c r="B947" s="67"/>
      <c r="C947" s="1"/>
      <c r="D947" s="1"/>
      <c r="E947" s="1"/>
      <c r="F947" s="1"/>
      <c r="G947" s="1"/>
      <c r="H947" s="1"/>
      <c r="I947" s="71">
        <f>IFERROR(__xludf.DUMMYFUNCTION("""COMPUTED_VALUE"""),0.0)</f>
        <v>0</v>
      </c>
      <c r="J947" s="69">
        <f>IFERROR(__xludf.DUMMYFUNCTION("""COMPUTED_VALUE"""),0.0)</f>
        <v>0</v>
      </c>
      <c r="K947" s="4">
        <f>IFERROR(__xludf.DUMMYFUNCTION("""COMPUTED_VALUE"""),0.0)</f>
        <v>0</v>
      </c>
      <c r="N947" s="67"/>
      <c r="R947" s="4"/>
    </row>
    <row r="948">
      <c r="A948" s="66"/>
      <c r="B948" s="67"/>
      <c r="C948" s="1"/>
      <c r="D948" s="1"/>
      <c r="E948" s="1"/>
      <c r="F948" s="1"/>
      <c r="G948" s="1"/>
      <c r="H948" s="1"/>
      <c r="I948" s="71">
        <f>IFERROR(__xludf.DUMMYFUNCTION("""COMPUTED_VALUE"""),0.0)</f>
        <v>0</v>
      </c>
      <c r="J948" s="69">
        <f>IFERROR(__xludf.DUMMYFUNCTION("""COMPUTED_VALUE"""),0.0)</f>
        <v>0</v>
      </c>
      <c r="K948" s="4">
        <f>IFERROR(__xludf.DUMMYFUNCTION("""COMPUTED_VALUE"""),0.0)</f>
        <v>0</v>
      </c>
      <c r="N948" s="67"/>
      <c r="R948" s="4"/>
    </row>
    <row r="949">
      <c r="A949" s="66"/>
      <c r="B949" s="67"/>
      <c r="C949" s="1"/>
      <c r="D949" s="1"/>
      <c r="E949" s="1"/>
      <c r="F949" s="1"/>
      <c r="G949" s="1"/>
      <c r="H949" s="1"/>
      <c r="I949" s="71">
        <f>IFERROR(__xludf.DUMMYFUNCTION("""COMPUTED_VALUE"""),0.0)</f>
        <v>0</v>
      </c>
      <c r="J949" s="69">
        <f>IFERROR(__xludf.DUMMYFUNCTION("""COMPUTED_VALUE"""),0.0)</f>
        <v>0</v>
      </c>
      <c r="K949" s="4">
        <f>IFERROR(__xludf.DUMMYFUNCTION("""COMPUTED_VALUE"""),0.0)</f>
        <v>0</v>
      </c>
      <c r="N949" s="67"/>
      <c r="R949" s="4"/>
    </row>
    <row r="950">
      <c r="A950" s="66"/>
      <c r="B950" s="67"/>
      <c r="C950" s="1"/>
      <c r="D950" s="1"/>
      <c r="E950" s="1"/>
      <c r="F950" s="1"/>
      <c r="G950" s="1"/>
      <c r="H950" s="1"/>
      <c r="I950" s="71">
        <f>IFERROR(__xludf.DUMMYFUNCTION("""COMPUTED_VALUE"""),0.0)</f>
        <v>0</v>
      </c>
      <c r="J950" s="69">
        <f>IFERROR(__xludf.DUMMYFUNCTION("""COMPUTED_VALUE"""),0.0)</f>
        <v>0</v>
      </c>
      <c r="K950" s="4">
        <f>IFERROR(__xludf.DUMMYFUNCTION("""COMPUTED_VALUE"""),0.0)</f>
        <v>0</v>
      </c>
      <c r="N950" s="67"/>
      <c r="R950" s="4"/>
    </row>
    <row r="951">
      <c r="A951" s="66"/>
      <c r="B951" s="67"/>
      <c r="C951" s="1"/>
      <c r="D951" s="1"/>
      <c r="E951" s="1"/>
      <c r="F951" s="1"/>
      <c r="G951" s="1"/>
      <c r="H951" s="1"/>
      <c r="I951" s="71">
        <f>IFERROR(__xludf.DUMMYFUNCTION("""COMPUTED_VALUE"""),0.0)</f>
        <v>0</v>
      </c>
      <c r="J951" s="69">
        <f>IFERROR(__xludf.DUMMYFUNCTION("""COMPUTED_VALUE"""),0.0)</f>
        <v>0</v>
      </c>
      <c r="K951" s="4">
        <f>IFERROR(__xludf.DUMMYFUNCTION("""COMPUTED_VALUE"""),0.0)</f>
        <v>0</v>
      </c>
      <c r="N951" s="67"/>
      <c r="R951" s="4"/>
    </row>
    <row r="952">
      <c r="A952" s="66"/>
      <c r="B952" s="67"/>
      <c r="C952" s="1"/>
      <c r="D952" s="1"/>
      <c r="E952" s="1"/>
      <c r="F952" s="1"/>
      <c r="G952" s="1"/>
      <c r="H952" s="1"/>
      <c r="I952" s="71">
        <f>IFERROR(__xludf.DUMMYFUNCTION("""COMPUTED_VALUE"""),0.0)</f>
        <v>0</v>
      </c>
      <c r="J952" s="69">
        <f>IFERROR(__xludf.DUMMYFUNCTION("""COMPUTED_VALUE"""),0.0)</f>
        <v>0</v>
      </c>
      <c r="K952" s="4">
        <f>IFERROR(__xludf.DUMMYFUNCTION("""COMPUTED_VALUE"""),0.0)</f>
        <v>0</v>
      </c>
      <c r="N952" s="67"/>
      <c r="R952" s="4"/>
    </row>
    <row r="953">
      <c r="A953" s="66"/>
      <c r="B953" s="67"/>
      <c r="C953" s="1"/>
      <c r="D953" s="1"/>
      <c r="E953" s="1"/>
      <c r="F953" s="1"/>
      <c r="G953" s="1"/>
      <c r="H953" s="1"/>
      <c r="I953" s="71">
        <f>IFERROR(__xludf.DUMMYFUNCTION("""COMPUTED_VALUE"""),0.0)</f>
        <v>0</v>
      </c>
      <c r="J953" s="69">
        <f>IFERROR(__xludf.DUMMYFUNCTION("""COMPUTED_VALUE"""),0.0)</f>
        <v>0</v>
      </c>
      <c r="K953" s="4">
        <f>IFERROR(__xludf.DUMMYFUNCTION("""COMPUTED_VALUE"""),0.0)</f>
        <v>0</v>
      </c>
      <c r="N953" s="67"/>
      <c r="R953" s="4"/>
    </row>
    <row r="954">
      <c r="A954" s="66"/>
      <c r="B954" s="67"/>
      <c r="C954" s="1"/>
      <c r="D954" s="1"/>
      <c r="E954" s="1"/>
      <c r="F954" s="1"/>
      <c r="G954" s="1"/>
      <c r="H954" s="1"/>
      <c r="I954" s="71">
        <f>IFERROR(__xludf.DUMMYFUNCTION("""COMPUTED_VALUE"""),0.0)</f>
        <v>0</v>
      </c>
      <c r="J954" s="69">
        <f>IFERROR(__xludf.DUMMYFUNCTION("""COMPUTED_VALUE"""),0.0)</f>
        <v>0</v>
      </c>
      <c r="K954" s="4">
        <f>IFERROR(__xludf.DUMMYFUNCTION("""COMPUTED_VALUE"""),0.0)</f>
        <v>0</v>
      </c>
      <c r="N954" s="67"/>
      <c r="R954" s="4"/>
    </row>
    <row r="955">
      <c r="A955" s="66"/>
      <c r="B955" s="67"/>
      <c r="C955" s="1"/>
      <c r="D955" s="1"/>
      <c r="E955" s="1"/>
      <c r="F955" s="1"/>
      <c r="G955" s="1"/>
      <c r="H955" s="1"/>
      <c r="I955" s="71">
        <f>IFERROR(__xludf.DUMMYFUNCTION("""COMPUTED_VALUE"""),0.0)</f>
        <v>0</v>
      </c>
      <c r="J955" s="69">
        <f>IFERROR(__xludf.DUMMYFUNCTION("""COMPUTED_VALUE"""),0.0)</f>
        <v>0</v>
      </c>
      <c r="K955" s="4">
        <f>IFERROR(__xludf.DUMMYFUNCTION("""COMPUTED_VALUE"""),0.0)</f>
        <v>0</v>
      </c>
      <c r="N955" s="67"/>
      <c r="R955" s="4"/>
    </row>
    <row r="956">
      <c r="A956" s="66"/>
      <c r="B956" s="67"/>
      <c r="C956" s="1"/>
      <c r="D956" s="1"/>
      <c r="E956" s="1"/>
      <c r="F956" s="1"/>
      <c r="G956" s="1"/>
      <c r="H956" s="1"/>
      <c r="I956" s="71">
        <f>IFERROR(__xludf.DUMMYFUNCTION("""COMPUTED_VALUE"""),0.0)</f>
        <v>0</v>
      </c>
      <c r="J956" s="69">
        <f>IFERROR(__xludf.DUMMYFUNCTION("""COMPUTED_VALUE"""),0.0)</f>
        <v>0</v>
      </c>
      <c r="K956" s="4">
        <f>IFERROR(__xludf.DUMMYFUNCTION("""COMPUTED_VALUE"""),0.0)</f>
        <v>0</v>
      </c>
      <c r="N956" s="67"/>
      <c r="R956" s="4"/>
    </row>
    <row r="957">
      <c r="A957" s="66"/>
      <c r="B957" s="67"/>
      <c r="C957" s="1"/>
      <c r="D957" s="1"/>
      <c r="E957" s="1"/>
      <c r="F957" s="1"/>
      <c r="G957" s="1"/>
      <c r="H957" s="1"/>
      <c r="I957" s="71">
        <f>IFERROR(__xludf.DUMMYFUNCTION("""COMPUTED_VALUE"""),0.0)</f>
        <v>0</v>
      </c>
      <c r="J957" s="69">
        <f>IFERROR(__xludf.DUMMYFUNCTION("""COMPUTED_VALUE"""),0.0)</f>
        <v>0</v>
      </c>
      <c r="K957" s="4">
        <f>IFERROR(__xludf.DUMMYFUNCTION("""COMPUTED_VALUE"""),0.0)</f>
        <v>0</v>
      </c>
      <c r="N957" s="67"/>
      <c r="R957" s="4"/>
    </row>
    <row r="958">
      <c r="A958" s="66"/>
      <c r="B958" s="67"/>
      <c r="C958" s="1"/>
      <c r="D958" s="1"/>
      <c r="E958" s="1"/>
      <c r="F958" s="1"/>
      <c r="G958" s="1"/>
      <c r="H958" s="1"/>
      <c r="I958" s="71">
        <f>IFERROR(__xludf.DUMMYFUNCTION("""COMPUTED_VALUE"""),0.0)</f>
        <v>0</v>
      </c>
      <c r="J958" s="69">
        <f>IFERROR(__xludf.DUMMYFUNCTION("""COMPUTED_VALUE"""),0.0)</f>
        <v>0</v>
      </c>
      <c r="K958" s="4">
        <f>IFERROR(__xludf.DUMMYFUNCTION("""COMPUTED_VALUE"""),0.0)</f>
        <v>0</v>
      </c>
      <c r="N958" s="67"/>
      <c r="R958" s="4"/>
    </row>
    <row r="959">
      <c r="A959" s="66"/>
      <c r="B959" s="67"/>
      <c r="C959" s="1"/>
      <c r="D959" s="1"/>
      <c r="E959" s="1"/>
      <c r="F959" s="1"/>
      <c r="G959" s="1"/>
      <c r="H959" s="1"/>
      <c r="I959" s="71">
        <f>IFERROR(__xludf.DUMMYFUNCTION("""COMPUTED_VALUE"""),0.0)</f>
        <v>0</v>
      </c>
      <c r="J959" s="69">
        <f>IFERROR(__xludf.DUMMYFUNCTION("""COMPUTED_VALUE"""),0.0)</f>
        <v>0</v>
      </c>
      <c r="K959" s="4">
        <f>IFERROR(__xludf.DUMMYFUNCTION("""COMPUTED_VALUE"""),0.0)</f>
        <v>0</v>
      </c>
      <c r="N959" s="67"/>
      <c r="R959" s="4"/>
    </row>
    <row r="960">
      <c r="A960" s="66"/>
      <c r="B960" s="67"/>
      <c r="C960" s="1"/>
      <c r="D960" s="1"/>
      <c r="E960" s="1"/>
      <c r="F960" s="1"/>
      <c r="G960" s="1"/>
      <c r="H960" s="1"/>
      <c r="I960" s="71">
        <f>IFERROR(__xludf.DUMMYFUNCTION("""COMPUTED_VALUE"""),0.0)</f>
        <v>0</v>
      </c>
      <c r="J960" s="69">
        <f>IFERROR(__xludf.DUMMYFUNCTION("""COMPUTED_VALUE"""),0.0)</f>
        <v>0</v>
      </c>
      <c r="K960" s="4">
        <f>IFERROR(__xludf.DUMMYFUNCTION("""COMPUTED_VALUE"""),0.0)</f>
        <v>0</v>
      </c>
      <c r="N960" s="67"/>
      <c r="R960" s="4"/>
    </row>
    <row r="961">
      <c r="A961" s="66"/>
      <c r="B961" s="67"/>
      <c r="C961" s="1"/>
      <c r="D961" s="1"/>
      <c r="E961" s="1"/>
      <c r="F961" s="1"/>
      <c r="G961" s="1"/>
      <c r="H961" s="1"/>
      <c r="I961" s="71">
        <f>IFERROR(__xludf.DUMMYFUNCTION("""COMPUTED_VALUE"""),0.0)</f>
        <v>0</v>
      </c>
      <c r="J961" s="69">
        <f>IFERROR(__xludf.DUMMYFUNCTION("""COMPUTED_VALUE"""),0.0)</f>
        <v>0</v>
      </c>
      <c r="K961" s="4">
        <f>IFERROR(__xludf.DUMMYFUNCTION("""COMPUTED_VALUE"""),0.0)</f>
        <v>0</v>
      </c>
      <c r="N961" s="67"/>
      <c r="R961" s="4"/>
    </row>
    <row r="962">
      <c r="A962" s="66"/>
      <c r="B962" s="67"/>
      <c r="C962" s="1"/>
      <c r="D962" s="1"/>
      <c r="E962" s="1"/>
      <c r="F962" s="1"/>
      <c r="G962" s="1"/>
      <c r="H962" s="1"/>
      <c r="I962" s="71">
        <f>IFERROR(__xludf.DUMMYFUNCTION("""COMPUTED_VALUE"""),0.0)</f>
        <v>0</v>
      </c>
      <c r="J962" s="69">
        <f>IFERROR(__xludf.DUMMYFUNCTION("""COMPUTED_VALUE"""),0.0)</f>
        <v>0</v>
      </c>
      <c r="K962" s="4">
        <f>IFERROR(__xludf.DUMMYFUNCTION("""COMPUTED_VALUE"""),0.0)</f>
        <v>0</v>
      </c>
      <c r="N962" s="67"/>
      <c r="R962" s="4"/>
    </row>
    <row r="963">
      <c r="A963" s="66"/>
      <c r="B963" s="67"/>
      <c r="C963" s="1"/>
      <c r="D963" s="1"/>
      <c r="E963" s="1"/>
      <c r="F963" s="1"/>
      <c r="G963" s="1"/>
      <c r="H963" s="1"/>
      <c r="I963" s="71">
        <f>IFERROR(__xludf.DUMMYFUNCTION("""COMPUTED_VALUE"""),0.0)</f>
        <v>0</v>
      </c>
      <c r="J963" s="69">
        <f>IFERROR(__xludf.DUMMYFUNCTION("""COMPUTED_VALUE"""),0.0)</f>
        <v>0</v>
      </c>
      <c r="K963" s="4">
        <f>IFERROR(__xludf.DUMMYFUNCTION("""COMPUTED_VALUE"""),0.0)</f>
        <v>0</v>
      </c>
      <c r="N963" s="67"/>
      <c r="R963" s="4"/>
    </row>
    <row r="964">
      <c r="A964" s="66"/>
      <c r="B964" s="67"/>
      <c r="C964" s="1"/>
      <c r="D964" s="1"/>
      <c r="E964" s="1"/>
      <c r="F964" s="1"/>
      <c r="G964" s="1"/>
      <c r="H964" s="1"/>
      <c r="I964" s="71">
        <f>IFERROR(__xludf.DUMMYFUNCTION("""COMPUTED_VALUE"""),0.0)</f>
        <v>0</v>
      </c>
      <c r="J964" s="69">
        <f>IFERROR(__xludf.DUMMYFUNCTION("""COMPUTED_VALUE"""),0.0)</f>
        <v>0</v>
      </c>
      <c r="K964" s="4">
        <f>IFERROR(__xludf.DUMMYFUNCTION("""COMPUTED_VALUE"""),0.0)</f>
        <v>0</v>
      </c>
      <c r="N964" s="67"/>
      <c r="R964" s="4"/>
    </row>
    <row r="965">
      <c r="A965" s="66"/>
      <c r="B965" s="67"/>
      <c r="C965" s="1"/>
      <c r="D965" s="1"/>
      <c r="E965" s="1"/>
      <c r="F965" s="1"/>
      <c r="G965" s="1"/>
      <c r="H965" s="1"/>
      <c r="I965" s="71">
        <f>IFERROR(__xludf.DUMMYFUNCTION("""COMPUTED_VALUE"""),0.0)</f>
        <v>0</v>
      </c>
      <c r="J965" s="69">
        <f>IFERROR(__xludf.DUMMYFUNCTION("""COMPUTED_VALUE"""),0.0)</f>
        <v>0</v>
      </c>
      <c r="K965" s="4">
        <f>IFERROR(__xludf.DUMMYFUNCTION("""COMPUTED_VALUE"""),0.0)</f>
        <v>0</v>
      </c>
      <c r="N965" s="67"/>
      <c r="R965" s="4"/>
    </row>
    <row r="966">
      <c r="A966" s="66"/>
      <c r="B966" s="67"/>
      <c r="C966" s="1"/>
      <c r="D966" s="1"/>
      <c r="E966" s="1"/>
      <c r="F966" s="1"/>
      <c r="G966" s="1"/>
      <c r="H966" s="1"/>
      <c r="I966" s="71">
        <f>IFERROR(__xludf.DUMMYFUNCTION("""COMPUTED_VALUE"""),0.0)</f>
        <v>0</v>
      </c>
      <c r="J966" s="69">
        <f>IFERROR(__xludf.DUMMYFUNCTION("""COMPUTED_VALUE"""),0.0)</f>
        <v>0</v>
      </c>
      <c r="K966" s="4">
        <f>IFERROR(__xludf.DUMMYFUNCTION("""COMPUTED_VALUE"""),0.0)</f>
        <v>0</v>
      </c>
      <c r="N966" s="67"/>
      <c r="R966" s="4"/>
    </row>
    <row r="967">
      <c r="A967" s="66"/>
      <c r="B967" s="67"/>
      <c r="C967" s="1"/>
      <c r="D967" s="1"/>
      <c r="E967" s="1"/>
      <c r="F967" s="1"/>
      <c r="G967" s="1"/>
      <c r="H967" s="1"/>
      <c r="I967" s="71">
        <f>IFERROR(__xludf.DUMMYFUNCTION("""COMPUTED_VALUE"""),0.0)</f>
        <v>0</v>
      </c>
      <c r="J967" s="69">
        <f>IFERROR(__xludf.DUMMYFUNCTION("""COMPUTED_VALUE"""),0.0)</f>
        <v>0</v>
      </c>
      <c r="K967" s="4">
        <f>IFERROR(__xludf.DUMMYFUNCTION("""COMPUTED_VALUE"""),0.0)</f>
        <v>0</v>
      </c>
      <c r="N967" s="67"/>
      <c r="R967" s="4"/>
    </row>
    <row r="968">
      <c r="A968" s="66"/>
      <c r="B968" s="67"/>
      <c r="C968" s="1"/>
      <c r="D968" s="1"/>
      <c r="E968" s="1"/>
      <c r="F968" s="1"/>
      <c r="G968" s="1"/>
      <c r="H968" s="1"/>
      <c r="I968" s="71">
        <f>IFERROR(__xludf.DUMMYFUNCTION("""COMPUTED_VALUE"""),0.0)</f>
        <v>0</v>
      </c>
      <c r="J968" s="69">
        <f>IFERROR(__xludf.DUMMYFUNCTION("""COMPUTED_VALUE"""),0.0)</f>
        <v>0</v>
      </c>
      <c r="K968" s="4">
        <f>IFERROR(__xludf.DUMMYFUNCTION("""COMPUTED_VALUE"""),0.0)</f>
        <v>0</v>
      </c>
      <c r="N968" s="67"/>
      <c r="R968" s="4"/>
    </row>
    <row r="969">
      <c r="A969" s="66"/>
      <c r="B969" s="67"/>
      <c r="C969" s="1"/>
      <c r="D969" s="1"/>
      <c r="E969" s="1"/>
      <c r="F969" s="1"/>
      <c r="G969" s="1"/>
      <c r="H969" s="1"/>
      <c r="I969" s="71">
        <f>IFERROR(__xludf.DUMMYFUNCTION("""COMPUTED_VALUE"""),0.0)</f>
        <v>0</v>
      </c>
      <c r="J969" s="69">
        <f>IFERROR(__xludf.DUMMYFUNCTION("""COMPUTED_VALUE"""),0.0)</f>
        <v>0</v>
      </c>
      <c r="K969" s="4">
        <f>IFERROR(__xludf.DUMMYFUNCTION("""COMPUTED_VALUE"""),0.0)</f>
        <v>0</v>
      </c>
      <c r="N969" s="67"/>
      <c r="R969" s="4"/>
    </row>
    <row r="970">
      <c r="A970" s="66"/>
      <c r="B970" s="67"/>
      <c r="C970" s="1"/>
      <c r="D970" s="1"/>
      <c r="E970" s="1"/>
      <c r="F970" s="1"/>
      <c r="G970" s="1"/>
      <c r="H970" s="1"/>
      <c r="I970" s="71">
        <f>IFERROR(__xludf.DUMMYFUNCTION("""COMPUTED_VALUE"""),0.0)</f>
        <v>0</v>
      </c>
      <c r="J970" s="69">
        <f>IFERROR(__xludf.DUMMYFUNCTION("""COMPUTED_VALUE"""),0.0)</f>
        <v>0</v>
      </c>
      <c r="K970" s="4">
        <f>IFERROR(__xludf.DUMMYFUNCTION("""COMPUTED_VALUE"""),0.0)</f>
        <v>0</v>
      </c>
      <c r="N970" s="67"/>
      <c r="R970" s="4"/>
    </row>
    <row r="971">
      <c r="A971" s="66"/>
      <c r="B971" s="67"/>
      <c r="C971" s="1"/>
      <c r="D971" s="1"/>
      <c r="E971" s="1"/>
      <c r="F971" s="1"/>
      <c r="G971" s="1"/>
      <c r="H971" s="1"/>
      <c r="I971" s="71">
        <f>IFERROR(__xludf.DUMMYFUNCTION("""COMPUTED_VALUE"""),0.0)</f>
        <v>0</v>
      </c>
      <c r="J971" s="69">
        <f>IFERROR(__xludf.DUMMYFUNCTION("""COMPUTED_VALUE"""),0.0)</f>
        <v>0</v>
      </c>
      <c r="K971" s="4">
        <f>IFERROR(__xludf.DUMMYFUNCTION("""COMPUTED_VALUE"""),0.0)</f>
        <v>0</v>
      </c>
      <c r="N971" s="67"/>
      <c r="R971" s="4"/>
    </row>
    <row r="972">
      <c r="A972" s="66"/>
      <c r="B972" s="67"/>
      <c r="C972" s="1"/>
      <c r="D972" s="1"/>
      <c r="E972" s="1"/>
      <c r="F972" s="1"/>
      <c r="G972" s="1"/>
      <c r="H972" s="1"/>
      <c r="I972" s="71">
        <f>IFERROR(__xludf.DUMMYFUNCTION("""COMPUTED_VALUE"""),0.0)</f>
        <v>0</v>
      </c>
      <c r="J972" s="69">
        <f>IFERROR(__xludf.DUMMYFUNCTION("""COMPUTED_VALUE"""),0.0)</f>
        <v>0</v>
      </c>
      <c r="K972" s="4">
        <f>IFERROR(__xludf.DUMMYFUNCTION("""COMPUTED_VALUE"""),0.0)</f>
        <v>0</v>
      </c>
      <c r="N972" s="67"/>
      <c r="R972" s="4"/>
    </row>
    <row r="973">
      <c r="A973" s="66"/>
      <c r="B973" s="67"/>
      <c r="C973" s="1"/>
      <c r="D973" s="1"/>
      <c r="E973" s="1"/>
      <c r="F973" s="1"/>
      <c r="G973" s="1"/>
      <c r="H973" s="1"/>
      <c r="I973" s="71">
        <f>IFERROR(__xludf.DUMMYFUNCTION("""COMPUTED_VALUE"""),0.0)</f>
        <v>0</v>
      </c>
      <c r="J973" s="69">
        <f>IFERROR(__xludf.DUMMYFUNCTION("""COMPUTED_VALUE"""),0.0)</f>
        <v>0</v>
      </c>
      <c r="K973" s="4">
        <f>IFERROR(__xludf.DUMMYFUNCTION("""COMPUTED_VALUE"""),0.0)</f>
        <v>0</v>
      </c>
      <c r="N973" s="67"/>
      <c r="R973" s="4"/>
    </row>
    <row r="974">
      <c r="A974" s="66"/>
      <c r="B974" s="67"/>
      <c r="C974" s="1"/>
      <c r="D974" s="1"/>
      <c r="E974" s="1"/>
      <c r="F974" s="1"/>
      <c r="G974" s="1"/>
      <c r="H974" s="1"/>
      <c r="I974" s="71">
        <f>IFERROR(__xludf.DUMMYFUNCTION("""COMPUTED_VALUE"""),0.0)</f>
        <v>0</v>
      </c>
      <c r="J974" s="69">
        <f>IFERROR(__xludf.DUMMYFUNCTION("""COMPUTED_VALUE"""),0.0)</f>
        <v>0</v>
      </c>
      <c r="K974" s="4">
        <f>IFERROR(__xludf.DUMMYFUNCTION("""COMPUTED_VALUE"""),0.0)</f>
        <v>0</v>
      </c>
      <c r="N974" s="67"/>
      <c r="R974" s="4"/>
    </row>
    <row r="975">
      <c r="A975" s="66"/>
      <c r="B975" s="67"/>
      <c r="C975" s="1"/>
      <c r="D975" s="1"/>
      <c r="E975" s="1"/>
      <c r="F975" s="1"/>
      <c r="G975" s="1"/>
      <c r="H975" s="1"/>
      <c r="I975" s="71">
        <f>IFERROR(__xludf.DUMMYFUNCTION("""COMPUTED_VALUE"""),0.0)</f>
        <v>0</v>
      </c>
      <c r="J975" s="69">
        <f>IFERROR(__xludf.DUMMYFUNCTION("""COMPUTED_VALUE"""),0.0)</f>
        <v>0</v>
      </c>
      <c r="K975" s="4">
        <f>IFERROR(__xludf.DUMMYFUNCTION("""COMPUTED_VALUE"""),0.0)</f>
        <v>0</v>
      </c>
      <c r="N975" s="67"/>
      <c r="R975" s="4"/>
    </row>
    <row r="976">
      <c r="A976" s="66"/>
      <c r="B976" s="67"/>
      <c r="C976" s="1"/>
      <c r="D976" s="1"/>
      <c r="E976" s="1"/>
      <c r="F976" s="1"/>
      <c r="G976" s="1"/>
      <c r="H976" s="1"/>
      <c r="I976" s="71">
        <f>IFERROR(__xludf.DUMMYFUNCTION("""COMPUTED_VALUE"""),0.0)</f>
        <v>0</v>
      </c>
      <c r="J976" s="69">
        <f>IFERROR(__xludf.DUMMYFUNCTION("""COMPUTED_VALUE"""),0.0)</f>
        <v>0</v>
      </c>
      <c r="K976" s="4">
        <f>IFERROR(__xludf.DUMMYFUNCTION("""COMPUTED_VALUE"""),0.0)</f>
        <v>0</v>
      </c>
      <c r="N976" s="67"/>
      <c r="R976" s="4"/>
    </row>
    <row r="977">
      <c r="A977" s="66"/>
      <c r="B977" s="67"/>
      <c r="C977" s="1"/>
      <c r="D977" s="1"/>
      <c r="E977" s="1"/>
      <c r="F977" s="1"/>
      <c r="G977" s="1"/>
      <c r="H977" s="1"/>
      <c r="I977" s="71">
        <f>IFERROR(__xludf.DUMMYFUNCTION("""COMPUTED_VALUE"""),0.0)</f>
        <v>0</v>
      </c>
      <c r="J977" s="69">
        <f>IFERROR(__xludf.DUMMYFUNCTION("""COMPUTED_VALUE"""),0.0)</f>
        <v>0</v>
      </c>
      <c r="K977" s="4">
        <f>IFERROR(__xludf.DUMMYFUNCTION("""COMPUTED_VALUE"""),0.0)</f>
        <v>0</v>
      </c>
      <c r="N977" s="67"/>
      <c r="R977" s="4"/>
    </row>
    <row r="978">
      <c r="A978" s="66"/>
      <c r="B978" s="67"/>
      <c r="C978" s="1"/>
      <c r="D978" s="1"/>
      <c r="E978" s="1"/>
      <c r="F978" s="1"/>
      <c r="G978" s="1"/>
      <c r="H978" s="1"/>
      <c r="I978" s="71">
        <f>IFERROR(__xludf.DUMMYFUNCTION("""COMPUTED_VALUE"""),0.0)</f>
        <v>0</v>
      </c>
      <c r="J978" s="69">
        <f>IFERROR(__xludf.DUMMYFUNCTION("""COMPUTED_VALUE"""),0.0)</f>
        <v>0</v>
      </c>
      <c r="K978" s="4">
        <f>IFERROR(__xludf.DUMMYFUNCTION("""COMPUTED_VALUE"""),0.0)</f>
        <v>0</v>
      </c>
      <c r="N978" s="67"/>
      <c r="R978" s="4"/>
    </row>
    <row r="979">
      <c r="A979" s="66"/>
      <c r="B979" s="67"/>
      <c r="C979" s="1"/>
      <c r="D979" s="1"/>
      <c r="E979" s="1"/>
      <c r="F979" s="1"/>
      <c r="G979" s="1"/>
      <c r="H979" s="1"/>
      <c r="I979" s="71">
        <f>IFERROR(__xludf.DUMMYFUNCTION("""COMPUTED_VALUE"""),0.0)</f>
        <v>0</v>
      </c>
      <c r="J979" s="69">
        <f>IFERROR(__xludf.DUMMYFUNCTION("""COMPUTED_VALUE"""),0.0)</f>
        <v>0</v>
      </c>
      <c r="K979" s="4">
        <f>IFERROR(__xludf.DUMMYFUNCTION("""COMPUTED_VALUE"""),0.0)</f>
        <v>0</v>
      </c>
      <c r="N979" s="67"/>
      <c r="R979" s="4"/>
    </row>
    <row r="980">
      <c r="A980" s="66"/>
      <c r="B980" s="67"/>
      <c r="C980" s="1"/>
      <c r="D980" s="1"/>
      <c r="E980" s="1"/>
      <c r="F980" s="1"/>
      <c r="G980" s="1"/>
      <c r="H980" s="1"/>
      <c r="I980" s="71">
        <f>IFERROR(__xludf.DUMMYFUNCTION("""COMPUTED_VALUE"""),0.0)</f>
        <v>0</v>
      </c>
      <c r="J980" s="69">
        <f>IFERROR(__xludf.DUMMYFUNCTION("""COMPUTED_VALUE"""),0.0)</f>
        <v>0</v>
      </c>
      <c r="K980" s="4">
        <f>IFERROR(__xludf.DUMMYFUNCTION("""COMPUTED_VALUE"""),0.0)</f>
        <v>0</v>
      </c>
      <c r="N980" s="67"/>
      <c r="R980" s="4"/>
    </row>
    <row r="981">
      <c r="A981" s="66"/>
      <c r="B981" s="67"/>
      <c r="C981" s="1"/>
      <c r="D981" s="1"/>
      <c r="E981" s="1"/>
      <c r="F981" s="1"/>
      <c r="G981" s="1"/>
      <c r="H981" s="1"/>
      <c r="I981" s="71">
        <f>IFERROR(__xludf.DUMMYFUNCTION("""COMPUTED_VALUE"""),0.0)</f>
        <v>0</v>
      </c>
      <c r="J981" s="69">
        <f>IFERROR(__xludf.DUMMYFUNCTION("""COMPUTED_VALUE"""),0.0)</f>
        <v>0</v>
      </c>
      <c r="K981" s="4">
        <f>IFERROR(__xludf.DUMMYFUNCTION("""COMPUTED_VALUE"""),0.0)</f>
        <v>0</v>
      </c>
      <c r="N981" s="67"/>
      <c r="R981" s="4"/>
    </row>
    <row r="982">
      <c r="A982" s="66"/>
      <c r="B982" s="67"/>
      <c r="C982" s="1"/>
      <c r="D982" s="1"/>
      <c r="E982" s="1"/>
      <c r="F982" s="1"/>
      <c r="G982" s="1"/>
      <c r="H982" s="1"/>
      <c r="I982" s="71">
        <f>IFERROR(__xludf.DUMMYFUNCTION("""COMPUTED_VALUE"""),0.0)</f>
        <v>0</v>
      </c>
      <c r="J982" s="69">
        <f>IFERROR(__xludf.DUMMYFUNCTION("""COMPUTED_VALUE"""),0.0)</f>
        <v>0</v>
      </c>
      <c r="K982" s="4">
        <f>IFERROR(__xludf.DUMMYFUNCTION("""COMPUTED_VALUE"""),0.0)</f>
        <v>0</v>
      </c>
      <c r="N982" s="67"/>
      <c r="R982" s="4"/>
    </row>
    <row r="983">
      <c r="A983" s="66"/>
      <c r="B983" s="67"/>
      <c r="C983" s="1"/>
      <c r="D983" s="1"/>
      <c r="E983" s="1"/>
      <c r="F983" s="1"/>
      <c r="G983" s="1"/>
      <c r="H983" s="1"/>
      <c r="I983" s="71">
        <f>IFERROR(__xludf.DUMMYFUNCTION("""COMPUTED_VALUE"""),0.0)</f>
        <v>0</v>
      </c>
      <c r="J983" s="69">
        <f>IFERROR(__xludf.DUMMYFUNCTION("""COMPUTED_VALUE"""),0.0)</f>
        <v>0</v>
      </c>
      <c r="K983" s="4">
        <f>IFERROR(__xludf.DUMMYFUNCTION("""COMPUTED_VALUE"""),0.0)</f>
        <v>0</v>
      </c>
      <c r="N983" s="67"/>
      <c r="R983" s="4"/>
    </row>
    <row r="984">
      <c r="A984" s="66"/>
      <c r="B984" s="67"/>
      <c r="C984" s="1"/>
      <c r="D984" s="1"/>
      <c r="E984" s="1"/>
      <c r="F984" s="1"/>
      <c r="G984" s="1"/>
      <c r="H984" s="1"/>
      <c r="I984" s="71">
        <f>IFERROR(__xludf.DUMMYFUNCTION("""COMPUTED_VALUE"""),0.0)</f>
        <v>0</v>
      </c>
      <c r="J984" s="69">
        <f>IFERROR(__xludf.DUMMYFUNCTION("""COMPUTED_VALUE"""),0.0)</f>
        <v>0</v>
      </c>
      <c r="K984" s="4">
        <f>IFERROR(__xludf.DUMMYFUNCTION("""COMPUTED_VALUE"""),0.0)</f>
        <v>0</v>
      </c>
      <c r="N984" s="67"/>
      <c r="R984" s="4"/>
    </row>
    <row r="985">
      <c r="A985" s="66"/>
      <c r="B985" s="67"/>
      <c r="C985" s="1"/>
      <c r="D985" s="1"/>
      <c r="E985" s="1"/>
      <c r="F985" s="1"/>
      <c r="G985" s="1"/>
      <c r="H985" s="1"/>
      <c r="I985" s="71">
        <f>IFERROR(__xludf.DUMMYFUNCTION("""COMPUTED_VALUE"""),0.0)</f>
        <v>0</v>
      </c>
      <c r="J985" s="69">
        <f>IFERROR(__xludf.DUMMYFUNCTION("""COMPUTED_VALUE"""),0.0)</f>
        <v>0</v>
      </c>
      <c r="K985" s="4">
        <f>IFERROR(__xludf.DUMMYFUNCTION("""COMPUTED_VALUE"""),0.0)</f>
        <v>0</v>
      </c>
      <c r="N985" s="67"/>
      <c r="R985" s="4"/>
    </row>
    <row r="986">
      <c r="A986" s="66"/>
      <c r="B986" s="67"/>
      <c r="C986" s="1"/>
      <c r="D986" s="1"/>
      <c r="E986" s="1"/>
      <c r="F986" s="1"/>
      <c r="G986" s="1"/>
      <c r="H986" s="1"/>
      <c r="I986" s="71">
        <f>IFERROR(__xludf.DUMMYFUNCTION("""COMPUTED_VALUE"""),0.0)</f>
        <v>0</v>
      </c>
      <c r="J986" s="69">
        <f>IFERROR(__xludf.DUMMYFUNCTION("""COMPUTED_VALUE"""),0.0)</f>
        <v>0</v>
      </c>
      <c r="K986" s="4">
        <f>IFERROR(__xludf.DUMMYFUNCTION("""COMPUTED_VALUE"""),0.0)</f>
        <v>0</v>
      </c>
      <c r="N986" s="67"/>
      <c r="R986" s="4"/>
    </row>
    <row r="987">
      <c r="A987" s="66"/>
      <c r="B987" s="67"/>
      <c r="C987" s="1"/>
      <c r="D987" s="1"/>
      <c r="E987" s="1"/>
      <c r="F987" s="1"/>
      <c r="G987" s="1"/>
      <c r="H987" s="1"/>
      <c r="I987" s="71">
        <f>IFERROR(__xludf.DUMMYFUNCTION("""COMPUTED_VALUE"""),0.0)</f>
        <v>0</v>
      </c>
      <c r="J987" s="69">
        <f>IFERROR(__xludf.DUMMYFUNCTION("""COMPUTED_VALUE"""),0.0)</f>
        <v>0</v>
      </c>
      <c r="K987" s="4">
        <f>IFERROR(__xludf.DUMMYFUNCTION("""COMPUTED_VALUE"""),0.0)</f>
        <v>0</v>
      </c>
      <c r="N987" s="67"/>
      <c r="R987" s="4"/>
    </row>
    <row r="988">
      <c r="A988" s="66"/>
      <c r="B988" s="67"/>
      <c r="C988" s="1"/>
      <c r="D988" s="1"/>
      <c r="E988" s="1"/>
      <c r="F988" s="1"/>
      <c r="G988" s="1"/>
      <c r="H988" s="1"/>
      <c r="I988" s="71">
        <f>IFERROR(__xludf.DUMMYFUNCTION("""COMPUTED_VALUE"""),0.0)</f>
        <v>0</v>
      </c>
      <c r="J988" s="69">
        <f>IFERROR(__xludf.DUMMYFUNCTION("""COMPUTED_VALUE"""),0.0)</f>
        <v>0</v>
      </c>
      <c r="K988" s="4">
        <f>IFERROR(__xludf.DUMMYFUNCTION("""COMPUTED_VALUE"""),0.0)</f>
        <v>0</v>
      </c>
      <c r="N988" s="67"/>
      <c r="R988" s="4"/>
    </row>
    <row r="989">
      <c r="A989" s="66"/>
      <c r="B989" s="67"/>
      <c r="C989" s="1"/>
      <c r="D989" s="1"/>
      <c r="E989" s="1"/>
      <c r="F989" s="1"/>
      <c r="G989" s="1"/>
      <c r="H989" s="1"/>
      <c r="I989" s="71">
        <f>IFERROR(__xludf.DUMMYFUNCTION("""COMPUTED_VALUE"""),0.0)</f>
        <v>0</v>
      </c>
      <c r="J989" s="69">
        <f>IFERROR(__xludf.DUMMYFUNCTION("""COMPUTED_VALUE"""),0.0)</f>
        <v>0</v>
      </c>
      <c r="K989" s="4">
        <f>IFERROR(__xludf.DUMMYFUNCTION("""COMPUTED_VALUE"""),0.0)</f>
        <v>0</v>
      </c>
      <c r="N989" s="67"/>
      <c r="R989" s="4"/>
    </row>
    <row r="990">
      <c r="A990" s="66"/>
      <c r="B990" s="67"/>
      <c r="C990" s="1"/>
      <c r="D990" s="1"/>
      <c r="E990" s="1"/>
      <c r="F990" s="1"/>
      <c r="G990" s="1"/>
      <c r="H990" s="1"/>
      <c r="I990" s="71">
        <f>IFERROR(__xludf.DUMMYFUNCTION("""COMPUTED_VALUE"""),0.0)</f>
        <v>0</v>
      </c>
      <c r="J990" s="69">
        <f>IFERROR(__xludf.DUMMYFUNCTION("""COMPUTED_VALUE"""),0.0)</f>
        <v>0</v>
      </c>
      <c r="K990" s="4">
        <f>IFERROR(__xludf.DUMMYFUNCTION("""COMPUTED_VALUE"""),0.0)</f>
        <v>0</v>
      </c>
      <c r="N990" s="67"/>
      <c r="R990" s="4"/>
    </row>
    <row r="991">
      <c r="A991" s="66"/>
      <c r="B991" s="67"/>
      <c r="C991" s="1"/>
      <c r="D991" s="1"/>
      <c r="E991" s="1"/>
      <c r="F991" s="1"/>
      <c r="G991" s="1"/>
      <c r="H991" s="1"/>
      <c r="I991" s="71">
        <f>IFERROR(__xludf.DUMMYFUNCTION("""COMPUTED_VALUE"""),0.0)</f>
        <v>0</v>
      </c>
      <c r="J991" s="69">
        <f>IFERROR(__xludf.DUMMYFUNCTION("""COMPUTED_VALUE"""),0.0)</f>
        <v>0</v>
      </c>
      <c r="K991" s="4">
        <f>IFERROR(__xludf.DUMMYFUNCTION("""COMPUTED_VALUE"""),0.0)</f>
        <v>0</v>
      </c>
      <c r="N991" s="67"/>
      <c r="R991" s="4"/>
    </row>
    <row r="992">
      <c r="A992" s="66"/>
      <c r="B992" s="67"/>
      <c r="C992" s="1"/>
      <c r="D992" s="1"/>
      <c r="E992" s="1"/>
      <c r="F992" s="1"/>
      <c r="G992" s="1"/>
      <c r="H992" s="1"/>
      <c r="I992" s="71">
        <f>IFERROR(__xludf.DUMMYFUNCTION("""COMPUTED_VALUE"""),0.0)</f>
        <v>0</v>
      </c>
      <c r="J992" s="69">
        <f>IFERROR(__xludf.DUMMYFUNCTION("""COMPUTED_VALUE"""),0.0)</f>
        <v>0</v>
      </c>
      <c r="K992" s="4">
        <f>IFERROR(__xludf.DUMMYFUNCTION("""COMPUTED_VALUE"""),0.0)</f>
        <v>0</v>
      </c>
      <c r="N992" s="67"/>
      <c r="R992" s="4"/>
    </row>
    <row r="993">
      <c r="A993" s="66"/>
      <c r="B993" s="67"/>
      <c r="C993" s="1"/>
      <c r="D993" s="1"/>
      <c r="E993" s="1"/>
      <c r="F993" s="1"/>
      <c r="G993" s="1"/>
      <c r="H993" s="1"/>
      <c r="I993" s="71">
        <f>IFERROR(__xludf.DUMMYFUNCTION("""COMPUTED_VALUE"""),0.0)</f>
        <v>0</v>
      </c>
      <c r="J993" s="69">
        <f>IFERROR(__xludf.DUMMYFUNCTION("""COMPUTED_VALUE"""),0.0)</f>
        <v>0</v>
      </c>
      <c r="K993" s="4">
        <f>IFERROR(__xludf.DUMMYFUNCTION("""COMPUTED_VALUE"""),0.0)</f>
        <v>0</v>
      </c>
      <c r="N993" s="67"/>
      <c r="R993" s="4"/>
    </row>
    <row r="994">
      <c r="A994" s="66"/>
      <c r="B994" s="67"/>
      <c r="C994" s="1"/>
      <c r="D994" s="1"/>
      <c r="E994" s="1"/>
      <c r="F994" s="1"/>
      <c r="G994" s="1"/>
      <c r="H994" s="1"/>
      <c r="I994" s="71">
        <f>IFERROR(__xludf.DUMMYFUNCTION("""COMPUTED_VALUE"""),0.0)</f>
        <v>0</v>
      </c>
      <c r="J994" s="69">
        <f>IFERROR(__xludf.DUMMYFUNCTION("""COMPUTED_VALUE"""),0.0)</f>
        <v>0</v>
      </c>
      <c r="K994" s="4">
        <f>IFERROR(__xludf.DUMMYFUNCTION("""COMPUTED_VALUE"""),0.0)</f>
        <v>0</v>
      </c>
      <c r="N994" s="67"/>
      <c r="R994" s="4"/>
    </row>
    <row r="995">
      <c r="A995" s="66"/>
      <c r="B995" s="67"/>
      <c r="C995" s="1"/>
      <c r="D995" s="1"/>
      <c r="E995" s="1"/>
      <c r="F995" s="1"/>
      <c r="G995" s="1"/>
      <c r="H995" s="1"/>
      <c r="I995" s="71">
        <f>IFERROR(__xludf.DUMMYFUNCTION("""COMPUTED_VALUE"""),0.0)</f>
        <v>0</v>
      </c>
      <c r="J995" s="69">
        <f>IFERROR(__xludf.DUMMYFUNCTION("""COMPUTED_VALUE"""),0.0)</f>
        <v>0</v>
      </c>
      <c r="K995" s="4">
        <f>IFERROR(__xludf.DUMMYFUNCTION("""COMPUTED_VALUE"""),0.0)</f>
        <v>0</v>
      </c>
      <c r="N995" s="67"/>
      <c r="R995" s="4"/>
    </row>
    <row r="996">
      <c r="A996" s="66"/>
      <c r="B996" s="67"/>
      <c r="C996" s="1"/>
      <c r="D996" s="1"/>
      <c r="E996" s="1"/>
      <c r="F996" s="1"/>
      <c r="G996" s="1"/>
      <c r="H996" s="1"/>
      <c r="I996" s="71">
        <f>IFERROR(__xludf.DUMMYFUNCTION("""COMPUTED_VALUE"""),0.0)</f>
        <v>0</v>
      </c>
      <c r="J996" s="69">
        <f>IFERROR(__xludf.DUMMYFUNCTION("""COMPUTED_VALUE"""),0.0)</f>
        <v>0</v>
      </c>
      <c r="K996" s="4">
        <f>IFERROR(__xludf.DUMMYFUNCTION("""COMPUTED_VALUE"""),0.0)</f>
        <v>0</v>
      </c>
      <c r="N996" s="67"/>
      <c r="R996" s="4"/>
    </row>
    <row r="997">
      <c r="A997" s="66"/>
      <c r="B997" s="67"/>
      <c r="C997" s="1"/>
      <c r="D997" s="1"/>
      <c r="E997" s="1"/>
      <c r="F997" s="1"/>
      <c r="G997" s="1"/>
      <c r="H997" s="1"/>
      <c r="I997" s="71">
        <f>IFERROR(__xludf.DUMMYFUNCTION("""COMPUTED_VALUE"""),0.0)</f>
        <v>0</v>
      </c>
      <c r="J997" s="69">
        <f>IFERROR(__xludf.DUMMYFUNCTION("""COMPUTED_VALUE"""),0.0)</f>
        <v>0</v>
      </c>
      <c r="K997" s="4">
        <f>IFERROR(__xludf.DUMMYFUNCTION("""COMPUTED_VALUE"""),0.0)</f>
        <v>0</v>
      </c>
      <c r="N997" s="67"/>
      <c r="R997" s="4"/>
    </row>
    <row r="998">
      <c r="A998" s="66"/>
      <c r="B998" s="67"/>
      <c r="C998" s="1"/>
      <c r="D998" s="1"/>
      <c r="E998" s="1"/>
      <c r="F998" s="1"/>
      <c r="G998" s="1"/>
      <c r="H998" s="1"/>
      <c r="I998" s="71">
        <f>IFERROR(__xludf.DUMMYFUNCTION("""COMPUTED_VALUE"""),0.0)</f>
        <v>0</v>
      </c>
      <c r="J998" s="69">
        <f>IFERROR(__xludf.DUMMYFUNCTION("""COMPUTED_VALUE"""),0.0)</f>
        <v>0</v>
      </c>
      <c r="K998" s="4">
        <f>IFERROR(__xludf.DUMMYFUNCTION("""COMPUTED_VALUE"""),0.0)</f>
        <v>0</v>
      </c>
      <c r="N998" s="67"/>
      <c r="R998" s="4"/>
    </row>
    <row r="999">
      <c r="A999" s="66"/>
      <c r="B999" s="67"/>
      <c r="C999" s="1"/>
      <c r="D999" s="1"/>
      <c r="E999" s="1"/>
      <c r="F999" s="1"/>
      <c r="G999" s="1"/>
      <c r="H999" s="1"/>
      <c r="I999" s="71">
        <f>IFERROR(__xludf.DUMMYFUNCTION("""COMPUTED_VALUE"""),0.0)</f>
        <v>0</v>
      </c>
      <c r="J999" s="69">
        <f>IFERROR(__xludf.DUMMYFUNCTION("""COMPUTED_VALUE"""),0.0)</f>
        <v>0</v>
      </c>
      <c r="K999" s="4">
        <f>IFERROR(__xludf.DUMMYFUNCTION("""COMPUTED_VALUE"""),0.0)</f>
        <v>0</v>
      </c>
      <c r="N999" s="67"/>
      <c r="R999" s="4"/>
    </row>
    <row r="1000">
      <c r="A1000" s="66"/>
      <c r="B1000" s="67"/>
      <c r="C1000" s="1"/>
      <c r="D1000" s="1"/>
      <c r="E1000" s="1"/>
      <c r="F1000" s="1"/>
      <c r="G1000" s="1"/>
      <c r="H1000" s="1"/>
      <c r="I1000" s="71">
        <f>IFERROR(__xludf.DUMMYFUNCTION("""COMPUTED_VALUE"""),0.0)</f>
        <v>0</v>
      </c>
      <c r="J1000" s="69">
        <f>IFERROR(__xludf.DUMMYFUNCTION("""COMPUTED_VALUE"""),0.0)</f>
        <v>0</v>
      </c>
      <c r="K1000" s="4">
        <f>IFERROR(__xludf.DUMMYFUNCTION("""COMPUTED_VALUE"""),0.0)</f>
        <v>0</v>
      </c>
      <c r="N1000" s="67"/>
      <c r="R1000" s="4"/>
    </row>
    <row r="1001">
      <c r="A1001" s="66"/>
      <c r="B1001" s="67"/>
      <c r="C1001" s="1"/>
      <c r="D1001" s="1"/>
      <c r="E1001" s="1"/>
      <c r="F1001" s="1"/>
      <c r="G1001" s="1"/>
      <c r="H1001" s="1"/>
      <c r="I1001" s="71">
        <f>IFERROR(__xludf.DUMMYFUNCTION("""COMPUTED_VALUE"""),0.0)</f>
        <v>0</v>
      </c>
      <c r="J1001" s="69">
        <f>IFERROR(__xludf.DUMMYFUNCTION("""COMPUTED_VALUE"""),0.0)</f>
        <v>0</v>
      </c>
      <c r="K1001" s="4">
        <f>IFERROR(__xludf.DUMMYFUNCTION("""COMPUTED_VALUE"""),0.0)</f>
        <v>0</v>
      </c>
      <c r="N1001" s="67"/>
      <c r="R1001" s="4"/>
    </row>
    <row r="1002">
      <c r="A1002" s="66"/>
      <c r="B1002" s="67"/>
      <c r="C1002" s="1"/>
      <c r="D1002" s="1"/>
      <c r="E1002" s="1"/>
      <c r="F1002" s="1"/>
      <c r="G1002" s="1"/>
      <c r="H1002" s="1"/>
      <c r="I1002" s="71">
        <f>IFERROR(__xludf.DUMMYFUNCTION("""COMPUTED_VALUE"""),0.0)</f>
        <v>0</v>
      </c>
      <c r="J1002" s="69">
        <f>IFERROR(__xludf.DUMMYFUNCTION("""COMPUTED_VALUE"""),0.0)</f>
        <v>0</v>
      </c>
      <c r="K1002" s="4">
        <f>IFERROR(__xludf.DUMMYFUNCTION("""COMPUTED_VALUE"""),0.0)</f>
        <v>0</v>
      </c>
      <c r="N1002" s="67"/>
      <c r="R1002" s="4"/>
    </row>
    <row r="1003">
      <c r="A1003" s="66"/>
      <c r="B1003" s="67"/>
      <c r="C1003" s="1"/>
      <c r="D1003" s="1"/>
      <c r="E1003" s="1"/>
      <c r="F1003" s="1"/>
      <c r="G1003" s="1"/>
      <c r="H1003" s="1"/>
      <c r="I1003" s="71">
        <f>IFERROR(__xludf.DUMMYFUNCTION("""COMPUTED_VALUE"""),0.0)</f>
        <v>0</v>
      </c>
      <c r="J1003" s="69">
        <f>IFERROR(__xludf.DUMMYFUNCTION("""COMPUTED_VALUE"""),0.0)</f>
        <v>0</v>
      </c>
      <c r="K1003" s="4">
        <f>IFERROR(__xludf.DUMMYFUNCTION("""COMPUTED_VALUE"""),0.0)</f>
        <v>0</v>
      </c>
      <c r="N1003" s="67"/>
      <c r="R1003" s="4"/>
    </row>
    <row r="1004">
      <c r="A1004" s="66"/>
      <c r="B1004" s="67"/>
      <c r="C1004" s="1"/>
      <c r="D1004" s="1"/>
      <c r="E1004" s="1"/>
      <c r="F1004" s="1"/>
      <c r="G1004" s="1"/>
      <c r="H1004" s="1"/>
      <c r="I1004" s="71">
        <f>IFERROR(__xludf.DUMMYFUNCTION("""COMPUTED_VALUE"""),0.0)</f>
        <v>0</v>
      </c>
      <c r="J1004" s="69">
        <f>IFERROR(__xludf.DUMMYFUNCTION("""COMPUTED_VALUE"""),0.0)</f>
        <v>0</v>
      </c>
      <c r="K1004" s="4">
        <f>IFERROR(__xludf.DUMMYFUNCTION("""COMPUTED_VALUE"""),0.0)</f>
        <v>0</v>
      </c>
      <c r="N1004" s="67"/>
      <c r="R1004" s="4"/>
    </row>
    <row r="1005">
      <c r="A1005" s="66"/>
      <c r="B1005" s="67"/>
      <c r="C1005" s="1"/>
      <c r="D1005" s="1"/>
      <c r="E1005" s="1"/>
      <c r="F1005" s="1"/>
      <c r="G1005" s="1"/>
      <c r="H1005" s="1"/>
      <c r="I1005" s="71">
        <f>IFERROR(__xludf.DUMMYFUNCTION("""COMPUTED_VALUE"""),0.0)</f>
        <v>0</v>
      </c>
      <c r="J1005" s="69">
        <f>IFERROR(__xludf.DUMMYFUNCTION("""COMPUTED_VALUE"""),0.0)</f>
        <v>0</v>
      </c>
      <c r="K1005" s="4">
        <f>IFERROR(__xludf.DUMMYFUNCTION("""COMPUTED_VALUE"""),0.0)</f>
        <v>0</v>
      </c>
      <c r="N1005" s="67"/>
      <c r="R1005" s="4"/>
    </row>
    <row r="1006">
      <c r="A1006" s="66"/>
      <c r="B1006" s="67"/>
      <c r="C1006" s="1"/>
      <c r="D1006" s="1"/>
      <c r="E1006" s="1"/>
      <c r="F1006" s="1"/>
      <c r="G1006" s="1"/>
      <c r="H1006" s="1"/>
      <c r="I1006" s="71">
        <f>IFERROR(__xludf.DUMMYFUNCTION("""COMPUTED_VALUE"""),0.0)</f>
        <v>0</v>
      </c>
      <c r="J1006" s="69">
        <f>IFERROR(__xludf.DUMMYFUNCTION("""COMPUTED_VALUE"""),0.0)</f>
        <v>0</v>
      </c>
      <c r="K1006" s="4">
        <f>IFERROR(__xludf.DUMMYFUNCTION("""COMPUTED_VALUE"""),0.0)</f>
        <v>0</v>
      </c>
      <c r="N1006" s="67"/>
      <c r="R1006" s="4"/>
    </row>
    <row r="1007">
      <c r="A1007" s="66"/>
      <c r="B1007" s="67"/>
      <c r="C1007" s="1"/>
      <c r="D1007" s="1"/>
      <c r="E1007" s="1"/>
      <c r="F1007" s="1"/>
      <c r="G1007" s="1"/>
      <c r="H1007" s="1"/>
      <c r="I1007" s="71">
        <f>IFERROR(__xludf.DUMMYFUNCTION("""COMPUTED_VALUE"""),0.0)</f>
        <v>0</v>
      </c>
      <c r="J1007" s="69">
        <f>IFERROR(__xludf.DUMMYFUNCTION("""COMPUTED_VALUE"""),0.0)</f>
        <v>0</v>
      </c>
      <c r="K1007" s="4">
        <f>IFERROR(__xludf.DUMMYFUNCTION("""COMPUTED_VALUE"""),0.0)</f>
        <v>0</v>
      </c>
      <c r="N1007" s="67"/>
      <c r="R1007" s="4"/>
    </row>
    <row r="1008">
      <c r="A1008" s="66"/>
      <c r="B1008" s="67"/>
      <c r="C1008" s="1"/>
      <c r="D1008" s="1"/>
      <c r="E1008" s="1"/>
      <c r="F1008" s="1"/>
      <c r="G1008" s="1"/>
      <c r="H1008" s="1"/>
      <c r="I1008" s="71">
        <f>IFERROR(__xludf.DUMMYFUNCTION("""COMPUTED_VALUE"""),0.0)</f>
        <v>0</v>
      </c>
      <c r="J1008" s="69">
        <f>IFERROR(__xludf.DUMMYFUNCTION("""COMPUTED_VALUE"""),0.0)</f>
        <v>0</v>
      </c>
      <c r="K1008" s="4">
        <f>IFERROR(__xludf.DUMMYFUNCTION("""COMPUTED_VALUE"""),0.0)</f>
        <v>0</v>
      </c>
      <c r="N1008" s="67"/>
      <c r="R1008" s="4"/>
    </row>
    <row r="1009">
      <c r="A1009" s="66"/>
      <c r="B1009" s="67"/>
      <c r="C1009" s="1"/>
      <c r="D1009" s="1"/>
      <c r="E1009" s="1"/>
      <c r="F1009" s="1"/>
      <c r="G1009" s="1"/>
      <c r="H1009" s="1"/>
      <c r="I1009" s="71">
        <f>IFERROR(__xludf.DUMMYFUNCTION("""COMPUTED_VALUE"""),0.0)</f>
        <v>0</v>
      </c>
      <c r="J1009" s="69">
        <f>IFERROR(__xludf.DUMMYFUNCTION("""COMPUTED_VALUE"""),0.0)</f>
        <v>0</v>
      </c>
      <c r="K1009" s="4">
        <f>IFERROR(__xludf.DUMMYFUNCTION("""COMPUTED_VALUE"""),0.0)</f>
        <v>0</v>
      </c>
      <c r="N1009" s="67"/>
      <c r="R1009" s="4"/>
    </row>
    <row r="1010">
      <c r="A1010" s="66"/>
      <c r="B1010" s="67"/>
      <c r="C1010" s="1"/>
      <c r="D1010" s="1"/>
      <c r="E1010" s="1"/>
      <c r="F1010" s="1"/>
      <c r="G1010" s="1"/>
      <c r="H1010" s="1"/>
      <c r="I1010" s="71">
        <f>IFERROR(__xludf.DUMMYFUNCTION("""COMPUTED_VALUE"""),0.0)</f>
        <v>0</v>
      </c>
      <c r="J1010" s="69">
        <f>IFERROR(__xludf.DUMMYFUNCTION("""COMPUTED_VALUE"""),0.0)</f>
        <v>0</v>
      </c>
      <c r="K1010" s="4">
        <f>IFERROR(__xludf.DUMMYFUNCTION("""COMPUTED_VALUE"""),0.0)</f>
        <v>0</v>
      </c>
      <c r="N1010" s="67"/>
      <c r="R1010" s="4"/>
    </row>
    <row r="1011">
      <c r="A1011" s="66"/>
      <c r="B1011" s="67"/>
      <c r="C1011" s="1"/>
      <c r="D1011" s="1"/>
      <c r="E1011" s="1"/>
      <c r="F1011" s="1"/>
      <c r="G1011" s="1"/>
      <c r="H1011" s="1"/>
      <c r="I1011" s="71">
        <f>IFERROR(__xludf.DUMMYFUNCTION("""COMPUTED_VALUE"""),0.0)</f>
        <v>0</v>
      </c>
      <c r="J1011" s="69">
        <f>IFERROR(__xludf.DUMMYFUNCTION("""COMPUTED_VALUE"""),0.0)</f>
        <v>0</v>
      </c>
      <c r="K1011" s="4">
        <f>IFERROR(__xludf.DUMMYFUNCTION("""COMPUTED_VALUE"""),0.0)</f>
        <v>0</v>
      </c>
      <c r="N1011" s="67"/>
      <c r="R1011" s="4"/>
    </row>
    <row r="1012">
      <c r="A1012" s="66"/>
      <c r="B1012" s="67"/>
      <c r="C1012" s="1"/>
      <c r="D1012" s="1"/>
      <c r="E1012" s="1"/>
      <c r="F1012" s="1"/>
      <c r="G1012" s="1"/>
      <c r="H1012" s="1"/>
      <c r="I1012" s="71">
        <f>IFERROR(__xludf.DUMMYFUNCTION("""COMPUTED_VALUE"""),0.0)</f>
        <v>0</v>
      </c>
      <c r="J1012" s="69">
        <f>IFERROR(__xludf.DUMMYFUNCTION("""COMPUTED_VALUE"""),0.0)</f>
        <v>0</v>
      </c>
      <c r="K1012" s="4">
        <f>IFERROR(__xludf.DUMMYFUNCTION("""COMPUTED_VALUE"""),0.0)</f>
        <v>0</v>
      </c>
      <c r="N1012" s="67"/>
      <c r="R1012" s="4"/>
    </row>
    <row r="1013">
      <c r="A1013" s="66"/>
      <c r="B1013" s="67"/>
      <c r="C1013" s="1"/>
      <c r="D1013" s="1"/>
      <c r="E1013" s="1"/>
      <c r="F1013" s="1"/>
      <c r="G1013" s="1"/>
      <c r="H1013" s="1"/>
      <c r="I1013" s="71">
        <f>IFERROR(__xludf.DUMMYFUNCTION("""COMPUTED_VALUE"""),0.0)</f>
        <v>0</v>
      </c>
      <c r="J1013" s="69">
        <f>IFERROR(__xludf.DUMMYFUNCTION("""COMPUTED_VALUE"""),0.0)</f>
        <v>0</v>
      </c>
      <c r="K1013" s="4">
        <f>IFERROR(__xludf.DUMMYFUNCTION("""COMPUTED_VALUE"""),0.0)</f>
        <v>0</v>
      </c>
      <c r="N1013" s="67"/>
      <c r="R1013" s="4"/>
    </row>
    <row r="1014">
      <c r="A1014" s="66"/>
      <c r="B1014" s="67"/>
      <c r="C1014" s="1"/>
      <c r="D1014" s="1"/>
      <c r="E1014" s="1"/>
      <c r="F1014" s="1"/>
      <c r="G1014" s="1"/>
      <c r="H1014" s="1"/>
      <c r="I1014" s="71">
        <f>IFERROR(__xludf.DUMMYFUNCTION("""COMPUTED_VALUE"""),0.0)</f>
        <v>0</v>
      </c>
      <c r="J1014" s="69">
        <f>IFERROR(__xludf.DUMMYFUNCTION("""COMPUTED_VALUE"""),0.0)</f>
        <v>0</v>
      </c>
      <c r="K1014" s="4">
        <f>IFERROR(__xludf.DUMMYFUNCTION("""COMPUTED_VALUE"""),0.0)</f>
        <v>0</v>
      </c>
      <c r="N1014" s="67"/>
      <c r="R1014" s="4"/>
    </row>
    <row r="1015">
      <c r="A1015" s="66"/>
      <c r="B1015" s="67"/>
      <c r="C1015" s="1"/>
      <c r="D1015" s="1"/>
      <c r="E1015" s="1"/>
      <c r="F1015" s="1"/>
      <c r="G1015" s="1"/>
      <c r="H1015" s="1"/>
      <c r="I1015" s="71">
        <f>IFERROR(__xludf.DUMMYFUNCTION("""COMPUTED_VALUE"""),0.0)</f>
        <v>0</v>
      </c>
      <c r="J1015" s="69">
        <f>IFERROR(__xludf.DUMMYFUNCTION("""COMPUTED_VALUE"""),0.0)</f>
        <v>0</v>
      </c>
      <c r="K1015" s="4">
        <f>IFERROR(__xludf.DUMMYFUNCTION("""COMPUTED_VALUE"""),0.0)</f>
        <v>0</v>
      </c>
      <c r="N1015" s="67"/>
      <c r="R1015" s="4"/>
    </row>
    <row r="1016">
      <c r="A1016" s="66"/>
      <c r="B1016" s="67"/>
      <c r="C1016" s="1"/>
      <c r="D1016" s="1"/>
      <c r="E1016" s="1"/>
      <c r="F1016" s="1"/>
      <c r="G1016" s="1"/>
      <c r="H1016" s="1"/>
      <c r="I1016" s="71">
        <f>IFERROR(__xludf.DUMMYFUNCTION("""COMPUTED_VALUE"""),0.0)</f>
        <v>0</v>
      </c>
      <c r="J1016" s="69">
        <f>IFERROR(__xludf.DUMMYFUNCTION("""COMPUTED_VALUE"""),0.0)</f>
        <v>0</v>
      </c>
      <c r="K1016" s="4">
        <f>IFERROR(__xludf.DUMMYFUNCTION("""COMPUTED_VALUE"""),0.0)</f>
        <v>0</v>
      </c>
      <c r="N1016" s="67"/>
      <c r="R1016" s="4"/>
    </row>
    <row r="1017">
      <c r="A1017" s="66"/>
      <c r="B1017" s="67"/>
      <c r="C1017" s="1"/>
      <c r="D1017" s="1"/>
      <c r="E1017" s="1"/>
      <c r="F1017" s="1"/>
      <c r="G1017" s="1"/>
      <c r="H1017" s="1"/>
      <c r="I1017" s="71">
        <f>IFERROR(__xludf.DUMMYFUNCTION("""COMPUTED_VALUE"""),0.0)</f>
        <v>0</v>
      </c>
      <c r="J1017" s="69">
        <f>IFERROR(__xludf.DUMMYFUNCTION("""COMPUTED_VALUE"""),0.0)</f>
        <v>0</v>
      </c>
      <c r="K1017" s="4">
        <f>IFERROR(__xludf.DUMMYFUNCTION("""COMPUTED_VALUE"""),0.0)</f>
        <v>0</v>
      </c>
      <c r="N1017" s="67"/>
      <c r="R1017" s="4"/>
    </row>
    <row r="1018">
      <c r="A1018" s="66"/>
      <c r="B1018" s="67"/>
      <c r="C1018" s="1"/>
      <c r="D1018" s="1"/>
      <c r="E1018" s="1"/>
      <c r="F1018" s="1"/>
      <c r="G1018" s="1"/>
      <c r="H1018" s="1"/>
      <c r="I1018" s="71">
        <f>IFERROR(__xludf.DUMMYFUNCTION("""COMPUTED_VALUE"""),0.0)</f>
        <v>0</v>
      </c>
      <c r="J1018" s="69">
        <f>IFERROR(__xludf.DUMMYFUNCTION("""COMPUTED_VALUE"""),0.0)</f>
        <v>0</v>
      </c>
      <c r="K1018" s="4">
        <f>IFERROR(__xludf.DUMMYFUNCTION("""COMPUTED_VALUE"""),0.0)</f>
        <v>0</v>
      </c>
      <c r="N1018" s="67"/>
      <c r="R1018" s="4"/>
    </row>
    <row r="1019">
      <c r="A1019" s="66"/>
      <c r="B1019" s="67"/>
      <c r="C1019" s="1"/>
      <c r="D1019" s="1"/>
      <c r="E1019" s="1"/>
      <c r="F1019" s="1"/>
      <c r="G1019" s="1"/>
      <c r="H1019" s="1"/>
      <c r="I1019" s="71">
        <f>IFERROR(__xludf.DUMMYFUNCTION("""COMPUTED_VALUE"""),0.0)</f>
        <v>0</v>
      </c>
      <c r="J1019" s="69">
        <f>IFERROR(__xludf.DUMMYFUNCTION("""COMPUTED_VALUE"""),0.0)</f>
        <v>0</v>
      </c>
      <c r="K1019" s="4">
        <f>IFERROR(__xludf.DUMMYFUNCTION("""COMPUTED_VALUE"""),0.0)</f>
        <v>0</v>
      </c>
      <c r="N1019" s="67"/>
      <c r="R1019" s="4"/>
    </row>
    <row r="1020">
      <c r="A1020" s="66"/>
      <c r="B1020" s="67"/>
      <c r="C1020" s="1"/>
      <c r="D1020" s="1"/>
      <c r="E1020" s="1"/>
      <c r="F1020" s="1"/>
      <c r="G1020" s="1"/>
      <c r="H1020" s="1"/>
      <c r="I1020" s="71">
        <f>IFERROR(__xludf.DUMMYFUNCTION("""COMPUTED_VALUE"""),0.0)</f>
        <v>0</v>
      </c>
      <c r="J1020" s="69">
        <f>IFERROR(__xludf.DUMMYFUNCTION("""COMPUTED_VALUE"""),0.0)</f>
        <v>0</v>
      </c>
      <c r="K1020" s="4">
        <f>IFERROR(__xludf.DUMMYFUNCTION("""COMPUTED_VALUE"""),0.0)</f>
        <v>0</v>
      </c>
      <c r="N1020" s="67"/>
      <c r="R1020" s="4"/>
    </row>
    <row r="1021">
      <c r="A1021" s="66"/>
      <c r="B1021" s="67"/>
      <c r="C1021" s="1"/>
      <c r="D1021" s="1"/>
      <c r="E1021" s="1"/>
      <c r="F1021" s="1"/>
      <c r="G1021" s="1"/>
      <c r="H1021" s="1"/>
      <c r="I1021" s="71">
        <f>IFERROR(__xludf.DUMMYFUNCTION("""COMPUTED_VALUE"""),0.0)</f>
        <v>0</v>
      </c>
      <c r="J1021" s="69">
        <f>IFERROR(__xludf.DUMMYFUNCTION("""COMPUTED_VALUE"""),0.0)</f>
        <v>0</v>
      </c>
      <c r="K1021" s="4">
        <f>IFERROR(__xludf.DUMMYFUNCTION("""COMPUTED_VALUE"""),0.0)</f>
        <v>0</v>
      </c>
      <c r="N1021" s="67"/>
      <c r="R1021" s="4"/>
    </row>
    <row r="1022">
      <c r="A1022" s="66"/>
      <c r="B1022" s="67"/>
      <c r="C1022" s="1"/>
      <c r="D1022" s="1"/>
      <c r="E1022" s="1"/>
      <c r="F1022" s="1"/>
      <c r="G1022" s="1"/>
      <c r="H1022" s="1"/>
      <c r="I1022" s="71">
        <f>IFERROR(__xludf.DUMMYFUNCTION("""COMPUTED_VALUE"""),0.0)</f>
        <v>0</v>
      </c>
      <c r="J1022" s="69">
        <f>IFERROR(__xludf.DUMMYFUNCTION("""COMPUTED_VALUE"""),0.0)</f>
        <v>0</v>
      </c>
      <c r="K1022" s="4">
        <f>IFERROR(__xludf.DUMMYFUNCTION("""COMPUTED_VALUE"""),0.0)</f>
        <v>0</v>
      </c>
      <c r="N1022" s="67"/>
      <c r="R1022" s="4"/>
    </row>
    <row r="1023">
      <c r="A1023" s="66"/>
      <c r="B1023" s="67"/>
      <c r="C1023" s="1"/>
      <c r="D1023" s="1"/>
      <c r="E1023" s="1"/>
      <c r="F1023" s="1"/>
      <c r="G1023" s="1"/>
      <c r="H1023" s="1"/>
      <c r="I1023" s="71">
        <f>IFERROR(__xludf.DUMMYFUNCTION("""COMPUTED_VALUE"""),0.0)</f>
        <v>0</v>
      </c>
      <c r="J1023" s="69">
        <f>IFERROR(__xludf.DUMMYFUNCTION("""COMPUTED_VALUE"""),0.0)</f>
        <v>0</v>
      </c>
      <c r="K1023" s="4">
        <f>IFERROR(__xludf.DUMMYFUNCTION("""COMPUTED_VALUE"""),0.0)</f>
        <v>0</v>
      </c>
      <c r="N1023" s="67"/>
      <c r="R1023" s="4"/>
    </row>
    <row r="1024">
      <c r="A1024" s="66"/>
      <c r="B1024" s="67"/>
      <c r="C1024" s="1"/>
      <c r="D1024" s="1"/>
      <c r="E1024" s="1"/>
      <c r="F1024" s="1"/>
      <c r="G1024" s="1"/>
      <c r="H1024" s="1"/>
      <c r="I1024" s="71">
        <f>IFERROR(__xludf.DUMMYFUNCTION("""COMPUTED_VALUE"""),0.0)</f>
        <v>0</v>
      </c>
      <c r="J1024" s="69">
        <f>IFERROR(__xludf.DUMMYFUNCTION("""COMPUTED_VALUE"""),0.0)</f>
        <v>0</v>
      </c>
      <c r="K1024" s="4">
        <f>IFERROR(__xludf.DUMMYFUNCTION("""COMPUTED_VALUE"""),0.0)</f>
        <v>0</v>
      </c>
      <c r="N1024" s="67"/>
      <c r="R1024" s="4"/>
    </row>
    <row r="1025">
      <c r="A1025" s="66"/>
      <c r="B1025" s="67"/>
      <c r="C1025" s="1"/>
      <c r="D1025" s="1"/>
      <c r="E1025" s="1"/>
      <c r="F1025" s="1"/>
      <c r="G1025" s="1"/>
      <c r="H1025" s="1"/>
      <c r="I1025" s="71">
        <f>IFERROR(__xludf.DUMMYFUNCTION("""COMPUTED_VALUE"""),0.0)</f>
        <v>0</v>
      </c>
      <c r="J1025" s="69">
        <f>IFERROR(__xludf.DUMMYFUNCTION("""COMPUTED_VALUE"""),0.0)</f>
        <v>0</v>
      </c>
      <c r="K1025" s="4">
        <f>IFERROR(__xludf.DUMMYFUNCTION("""COMPUTED_VALUE"""),0.0)</f>
        <v>0</v>
      </c>
      <c r="N1025" s="67"/>
      <c r="R1025" s="4"/>
    </row>
    <row r="1026">
      <c r="A1026" s="66"/>
      <c r="B1026" s="67"/>
      <c r="C1026" s="1"/>
      <c r="D1026" s="1"/>
      <c r="E1026" s="1"/>
      <c r="F1026" s="1"/>
      <c r="G1026" s="1"/>
      <c r="H1026" s="1"/>
      <c r="I1026" s="71">
        <f>IFERROR(__xludf.DUMMYFUNCTION("""COMPUTED_VALUE"""),0.0)</f>
        <v>0</v>
      </c>
      <c r="J1026" s="69">
        <f>IFERROR(__xludf.DUMMYFUNCTION("""COMPUTED_VALUE"""),0.0)</f>
        <v>0</v>
      </c>
      <c r="K1026" s="4">
        <f>IFERROR(__xludf.DUMMYFUNCTION("""COMPUTED_VALUE"""),0.0)</f>
        <v>0</v>
      </c>
      <c r="N1026" s="67"/>
      <c r="R1026" s="4"/>
    </row>
    <row r="1027">
      <c r="A1027" s="66"/>
      <c r="B1027" s="67"/>
      <c r="C1027" s="1"/>
      <c r="D1027" s="1"/>
      <c r="E1027" s="1"/>
      <c r="F1027" s="1"/>
      <c r="G1027" s="1"/>
      <c r="H1027" s="1"/>
      <c r="I1027" s="71">
        <f>IFERROR(__xludf.DUMMYFUNCTION("""COMPUTED_VALUE"""),0.0)</f>
        <v>0</v>
      </c>
      <c r="J1027" s="69">
        <f>IFERROR(__xludf.DUMMYFUNCTION("""COMPUTED_VALUE"""),0.0)</f>
        <v>0</v>
      </c>
      <c r="K1027" s="4">
        <f>IFERROR(__xludf.DUMMYFUNCTION("""COMPUTED_VALUE"""),0.0)</f>
        <v>0</v>
      </c>
      <c r="N1027" s="67"/>
      <c r="R1027" s="4"/>
    </row>
    <row r="1028">
      <c r="A1028" s="66"/>
      <c r="B1028" s="67"/>
      <c r="C1028" s="1"/>
      <c r="D1028" s="1"/>
      <c r="E1028" s="1"/>
      <c r="F1028" s="1"/>
      <c r="G1028" s="1"/>
      <c r="H1028" s="1"/>
      <c r="I1028" s="71">
        <f>IFERROR(__xludf.DUMMYFUNCTION("""COMPUTED_VALUE"""),0.0)</f>
        <v>0</v>
      </c>
      <c r="J1028" s="69">
        <f>IFERROR(__xludf.DUMMYFUNCTION("""COMPUTED_VALUE"""),0.0)</f>
        <v>0</v>
      </c>
      <c r="K1028" s="4">
        <f>IFERROR(__xludf.DUMMYFUNCTION("""COMPUTED_VALUE"""),0.0)</f>
        <v>0</v>
      </c>
      <c r="N1028" s="67"/>
      <c r="R1028" s="4"/>
    </row>
    <row r="1029">
      <c r="A1029" s="66"/>
      <c r="B1029" s="67"/>
      <c r="C1029" s="1"/>
      <c r="D1029" s="1"/>
      <c r="E1029" s="1"/>
      <c r="F1029" s="1"/>
      <c r="G1029" s="1"/>
      <c r="H1029" s="1"/>
      <c r="I1029" s="71">
        <f>IFERROR(__xludf.DUMMYFUNCTION("""COMPUTED_VALUE"""),0.0)</f>
        <v>0</v>
      </c>
      <c r="J1029" s="69">
        <f>IFERROR(__xludf.DUMMYFUNCTION("""COMPUTED_VALUE"""),0.0)</f>
        <v>0</v>
      </c>
      <c r="K1029" s="4">
        <f>IFERROR(__xludf.DUMMYFUNCTION("""COMPUTED_VALUE"""),0.0)</f>
        <v>0</v>
      </c>
      <c r="N1029" s="67"/>
      <c r="R1029" s="4"/>
    </row>
    <row r="1030">
      <c r="A1030" s="66"/>
      <c r="B1030" s="67"/>
      <c r="C1030" s="1"/>
      <c r="D1030" s="1"/>
      <c r="E1030" s="1"/>
      <c r="F1030" s="1"/>
      <c r="G1030" s="1"/>
      <c r="H1030" s="1"/>
      <c r="I1030" s="71">
        <f>IFERROR(__xludf.DUMMYFUNCTION("""COMPUTED_VALUE"""),0.0)</f>
        <v>0</v>
      </c>
      <c r="J1030" s="69">
        <f>IFERROR(__xludf.DUMMYFUNCTION("""COMPUTED_VALUE"""),0.0)</f>
        <v>0</v>
      </c>
      <c r="K1030" s="4">
        <f>IFERROR(__xludf.DUMMYFUNCTION("""COMPUTED_VALUE"""),0.0)</f>
        <v>0</v>
      </c>
      <c r="N1030" s="67"/>
      <c r="R1030" s="4"/>
    </row>
    <row r="1031">
      <c r="A1031" s="66"/>
      <c r="B1031" s="67"/>
      <c r="C1031" s="1"/>
      <c r="D1031" s="1"/>
      <c r="E1031" s="1"/>
      <c r="F1031" s="1"/>
      <c r="G1031" s="1"/>
      <c r="H1031" s="1"/>
      <c r="I1031" s="71">
        <f>IFERROR(__xludf.DUMMYFUNCTION("""COMPUTED_VALUE"""),0.0)</f>
        <v>0</v>
      </c>
      <c r="J1031" s="69">
        <f>IFERROR(__xludf.DUMMYFUNCTION("""COMPUTED_VALUE"""),0.0)</f>
        <v>0</v>
      </c>
      <c r="K1031" s="4">
        <f>IFERROR(__xludf.DUMMYFUNCTION("""COMPUTED_VALUE"""),0.0)</f>
        <v>0</v>
      </c>
      <c r="N1031" s="67"/>
      <c r="R1031" s="4"/>
    </row>
    <row r="1032">
      <c r="A1032" s="66"/>
      <c r="B1032" s="67"/>
      <c r="C1032" s="1"/>
      <c r="D1032" s="1"/>
      <c r="E1032" s="1"/>
      <c r="F1032" s="1"/>
      <c r="G1032" s="1"/>
      <c r="H1032" s="1"/>
      <c r="I1032" s="71">
        <f>IFERROR(__xludf.DUMMYFUNCTION("""COMPUTED_VALUE"""),0.0)</f>
        <v>0</v>
      </c>
      <c r="J1032" s="69">
        <f>IFERROR(__xludf.DUMMYFUNCTION("""COMPUTED_VALUE"""),0.0)</f>
        <v>0</v>
      </c>
      <c r="K1032" s="4">
        <f>IFERROR(__xludf.DUMMYFUNCTION("""COMPUTED_VALUE"""),0.0)</f>
        <v>0</v>
      </c>
      <c r="N1032" s="67"/>
      <c r="R1032" s="4"/>
    </row>
    <row r="1033">
      <c r="A1033" s="66"/>
      <c r="B1033" s="67"/>
      <c r="C1033" s="1"/>
      <c r="D1033" s="1"/>
      <c r="E1033" s="1"/>
      <c r="F1033" s="1"/>
      <c r="G1033" s="1"/>
      <c r="H1033" s="1"/>
      <c r="I1033" s="71">
        <f>IFERROR(__xludf.DUMMYFUNCTION("""COMPUTED_VALUE"""),0.0)</f>
        <v>0</v>
      </c>
      <c r="J1033" s="69">
        <f>IFERROR(__xludf.DUMMYFUNCTION("""COMPUTED_VALUE"""),0.0)</f>
        <v>0</v>
      </c>
      <c r="K1033" s="4">
        <f>IFERROR(__xludf.DUMMYFUNCTION("""COMPUTED_VALUE"""),0.0)</f>
        <v>0</v>
      </c>
      <c r="N1033" s="67"/>
      <c r="R1033" s="4"/>
    </row>
    <row r="1034">
      <c r="A1034" s="66"/>
      <c r="B1034" s="67"/>
      <c r="C1034" s="1"/>
      <c r="D1034" s="1"/>
      <c r="E1034" s="1"/>
      <c r="F1034" s="1"/>
      <c r="G1034" s="1"/>
      <c r="H1034" s="1"/>
      <c r="I1034" s="71">
        <f>IFERROR(__xludf.DUMMYFUNCTION("""COMPUTED_VALUE"""),0.0)</f>
        <v>0</v>
      </c>
      <c r="J1034" s="69">
        <f>IFERROR(__xludf.DUMMYFUNCTION("""COMPUTED_VALUE"""),0.0)</f>
        <v>0</v>
      </c>
      <c r="K1034" s="4">
        <f>IFERROR(__xludf.DUMMYFUNCTION("""COMPUTED_VALUE"""),0.0)</f>
        <v>0</v>
      </c>
      <c r="N1034" s="67"/>
      <c r="R1034" s="4"/>
    </row>
    <row r="1035">
      <c r="A1035" s="66"/>
      <c r="B1035" s="67"/>
      <c r="C1035" s="1"/>
      <c r="D1035" s="1"/>
      <c r="E1035" s="1"/>
      <c r="F1035" s="1"/>
      <c r="G1035" s="1"/>
      <c r="H1035" s="1"/>
      <c r="I1035" s="71">
        <f>IFERROR(__xludf.DUMMYFUNCTION("""COMPUTED_VALUE"""),0.0)</f>
        <v>0</v>
      </c>
      <c r="J1035" s="69">
        <f>IFERROR(__xludf.DUMMYFUNCTION("""COMPUTED_VALUE"""),0.0)</f>
        <v>0</v>
      </c>
      <c r="K1035" s="4">
        <f>IFERROR(__xludf.DUMMYFUNCTION("""COMPUTED_VALUE"""),0.0)</f>
        <v>0</v>
      </c>
      <c r="N1035" s="67"/>
      <c r="R1035" s="4"/>
    </row>
    <row r="1036">
      <c r="A1036" s="66"/>
      <c r="B1036" s="67"/>
      <c r="C1036" s="1"/>
      <c r="D1036" s="1"/>
      <c r="E1036" s="1"/>
      <c r="F1036" s="1"/>
      <c r="G1036" s="1"/>
      <c r="H1036" s="1"/>
      <c r="I1036" s="71">
        <f>IFERROR(__xludf.DUMMYFUNCTION("""COMPUTED_VALUE"""),0.0)</f>
        <v>0</v>
      </c>
      <c r="J1036" s="69">
        <f>IFERROR(__xludf.DUMMYFUNCTION("""COMPUTED_VALUE"""),0.0)</f>
        <v>0</v>
      </c>
      <c r="K1036" s="4">
        <f>IFERROR(__xludf.DUMMYFUNCTION("""COMPUTED_VALUE"""),0.0)</f>
        <v>0</v>
      </c>
      <c r="N1036" s="67"/>
      <c r="R1036" s="4"/>
    </row>
    <row r="1037">
      <c r="A1037" s="66"/>
      <c r="B1037" s="67"/>
      <c r="C1037" s="1"/>
      <c r="D1037" s="1"/>
      <c r="E1037" s="1"/>
      <c r="F1037" s="1"/>
      <c r="G1037" s="1"/>
      <c r="H1037" s="1"/>
      <c r="I1037" s="71">
        <f>IFERROR(__xludf.DUMMYFUNCTION("""COMPUTED_VALUE"""),0.0)</f>
        <v>0</v>
      </c>
      <c r="J1037" s="69">
        <f>IFERROR(__xludf.DUMMYFUNCTION("""COMPUTED_VALUE"""),0.0)</f>
        <v>0</v>
      </c>
      <c r="K1037" s="4">
        <f>IFERROR(__xludf.DUMMYFUNCTION("""COMPUTED_VALUE"""),0.0)</f>
        <v>0</v>
      </c>
      <c r="N1037" s="67"/>
      <c r="R1037" s="4"/>
    </row>
    <row r="1038">
      <c r="A1038" s="66"/>
      <c r="B1038" s="67"/>
      <c r="C1038" s="1"/>
      <c r="D1038" s="1"/>
      <c r="E1038" s="1"/>
      <c r="F1038" s="1"/>
      <c r="G1038" s="1"/>
      <c r="H1038" s="1"/>
      <c r="I1038" s="71">
        <f>IFERROR(__xludf.DUMMYFUNCTION("""COMPUTED_VALUE"""),0.0)</f>
        <v>0</v>
      </c>
      <c r="J1038" s="69">
        <f>IFERROR(__xludf.DUMMYFUNCTION("""COMPUTED_VALUE"""),0.0)</f>
        <v>0</v>
      </c>
      <c r="K1038" s="4">
        <f>IFERROR(__xludf.DUMMYFUNCTION("""COMPUTED_VALUE"""),0.0)</f>
        <v>0</v>
      </c>
      <c r="N1038" s="67"/>
      <c r="R1038" s="4"/>
    </row>
    <row r="1039">
      <c r="A1039" s="66"/>
      <c r="B1039" s="67"/>
      <c r="C1039" s="1"/>
      <c r="D1039" s="1"/>
      <c r="E1039" s="1"/>
      <c r="F1039" s="1"/>
      <c r="G1039" s="1"/>
      <c r="H1039" s="1"/>
      <c r="I1039" s="71">
        <f>IFERROR(__xludf.DUMMYFUNCTION("""COMPUTED_VALUE"""),0.0)</f>
        <v>0</v>
      </c>
      <c r="J1039" s="69">
        <f>IFERROR(__xludf.DUMMYFUNCTION("""COMPUTED_VALUE"""),0.0)</f>
        <v>0</v>
      </c>
      <c r="K1039" s="4">
        <f>IFERROR(__xludf.DUMMYFUNCTION("""COMPUTED_VALUE"""),0.0)</f>
        <v>0</v>
      </c>
      <c r="N1039" s="67"/>
      <c r="R1039" s="4"/>
    </row>
    <row r="1040">
      <c r="A1040" s="66"/>
      <c r="B1040" s="67"/>
      <c r="C1040" s="1"/>
      <c r="D1040" s="1"/>
      <c r="E1040" s="1"/>
      <c r="F1040" s="1"/>
      <c r="G1040" s="1"/>
      <c r="H1040" s="1"/>
      <c r="I1040" s="71">
        <f>IFERROR(__xludf.DUMMYFUNCTION("""COMPUTED_VALUE"""),0.0)</f>
        <v>0</v>
      </c>
      <c r="J1040" s="69">
        <f>IFERROR(__xludf.DUMMYFUNCTION("""COMPUTED_VALUE"""),0.0)</f>
        <v>0</v>
      </c>
      <c r="K1040" s="4">
        <f>IFERROR(__xludf.DUMMYFUNCTION("""COMPUTED_VALUE"""),0.0)</f>
        <v>0</v>
      </c>
      <c r="N1040" s="67"/>
      <c r="R1040" s="4"/>
    </row>
    <row r="1041">
      <c r="A1041" s="66"/>
      <c r="B1041" s="67"/>
      <c r="C1041" s="1"/>
      <c r="D1041" s="1"/>
      <c r="E1041" s="1"/>
      <c r="F1041" s="1"/>
      <c r="G1041" s="1"/>
      <c r="H1041" s="1"/>
      <c r="I1041" s="71">
        <f>IFERROR(__xludf.DUMMYFUNCTION("""COMPUTED_VALUE"""),0.0)</f>
        <v>0</v>
      </c>
      <c r="J1041" s="69">
        <f>IFERROR(__xludf.DUMMYFUNCTION("""COMPUTED_VALUE"""),0.0)</f>
        <v>0</v>
      </c>
      <c r="K1041" s="4">
        <f>IFERROR(__xludf.DUMMYFUNCTION("""COMPUTED_VALUE"""),0.0)</f>
        <v>0</v>
      </c>
      <c r="N1041" s="67"/>
      <c r="R1041" s="4"/>
    </row>
    <row r="1042">
      <c r="A1042" s="66"/>
      <c r="B1042" s="67"/>
      <c r="C1042" s="1"/>
      <c r="D1042" s="1"/>
      <c r="E1042" s="1"/>
      <c r="F1042" s="1"/>
      <c r="G1042" s="1"/>
      <c r="H1042" s="1"/>
      <c r="I1042" s="71">
        <f>IFERROR(__xludf.DUMMYFUNCTION("""COMPUTED_VALUE"""),0.0)</f>
        <v>0</v>
      </c>
      <c r="J1042" s="69">
        <f>IFERROR(__xludf.DUMMYFUNCTION("""COMPUTED_VALUE"""),0.0)</f>
        <v>0</v>
      </c>
      <c r="K1042" s="4">
        <f>IFERROR(__xludf.DUMMYFUNCTION("""COMPUTED_VALUE"""),0.0)</f>
        <v>0</v>
      </c>
      <c r="N1042" s="67"/>
      <c r="R1042" s="4"/>
    </row>
    <row r="1043">
      <c r="A1043" s="66"/>
      <c r="B1043" s="67"/>
      <c r="C1043" s="1"/>
      <c r="D1043" s="1"/>
      <c r="E1043" s="1"/>
      <c r="F1043" s="1"/>
      <c r="G1043" s="1"/>
      <c r="H1043" s="1"/>
      <c r="I1043" s="71">
        <f>IFERROR(__xludf.DUMMYFUNCTION("""COMPUTED_VALUE"""),0.0)</f>
        <v>0</v>
      </c>
      <c r="J1043" s="69">
        <f>IFERROR(__xludf.DUMMYFUNCTION("""COMPUTED_VALUE"""),0.0)</f>
        <v>0</v>
      </c>
      <c r="K1043" s="4">
        <f>IFERROR(__xludf.DUMMYFUNCTION("""COMPUTED_VALUE"""),0.0)</f>
        <v>0</v>
      </c>
      <c r="N1043" s="67"/>
      <c r="R1043" s="4"/>
    </row>
    <row r="1044">
      <c r="A1044" s="66"/>
      <c r="B1044" s="67"/>
      <c r="C1044" s="1"/>
      <c r="D1044" s="1"/>
      <c r="E1044" s="1"/>
      <c r="F1044" s="1"/>
      <c r="G1044" s="1"/>
      <c r="H1044" s="1"/>
      <c r="I1044" s="71">
        <f>IFERROR(__xludf.DUMMYFUNCTION("""COMPUTED_VALUE"""),0.0)</f>
        <v>0</v>
      </c>
      <c r="J1044" s="69">
        <f>IFERROR(__xludf.DUMMYFUNCTION("""COMPUTED_VALUE"""),0.0)</f>
        <v>0</v>
      </c>
      <c r="K1044" s="4">
        <f>IFERROR(__xludf.DUMMYFUNCTION("""COMPUTED_VALUE"""),0.0)</f>
        <v>0</v>
      </c>
      <c r="N1044" s="67"/>
      <c r="R1044" s="4"/>
    </row>
    <row r="1045">
      <c r="A1045" s="66"/>
      <c r="B1045" s="67"/>
      <c r="C1045" s="1"/>
      <c r="D1045" s="1"/>
      <c r="E1045" s="1"/>
      <c r="F1045" s="1"/>
      <c r="G1045" s="1"/>
      <c r="H1045" s="1"/>
      <c r="I1045" s="71">
        <f>IFERROR(__xludf.DUMMYFUNCTION("""COMPUTED_VALUE"""),0.0)</f>
        <v>0</v>
      </c>
      <c r="J1045" s="69">
        <f>IFERROR(__xludf.DUMMYFUNCTION("""COMPUTED_VALUE"""),0.0)</f>
        <v>0</v>
      </c>
      <c r="K1045" s="4">
        <f>IFERROR(__xludf.DUMMYFUNCTION("""COMPUTED_VALUE"""),0.0)</f>
        <v>0</v>
      </c>
      <c r="N1045" s="67"/>
      <c r="R1045" s="4"/>
    </row>
    <row r="1046">
      <c r="A1046" s="66"/>
      <c r="B1046" s="67"/>
      <c r="C1046" s="1"/>
      <c r="D1046" s="1"/>
      <c r="E1046" s="1"/>
      <c r="F1046" s="1"/>
      <c r="G1046" s="1"/>
      <c r="H1046" s="1"/>
      <c r="I1046" s="71">
        <f>IFERROR(__xludf.DUMMYFUNCTION("""COMPUTED_VALUE"""),0.0)</f>
        <v>0</v>
      </c>
      <c r="J1046" s="69">
        <f>IFERROR(__xludf.DUMMYFUNCTION("""COMPUTED_VALUE"""),0.0)</f>
        <v>0</v>
      </c>
      <c r="K1046" s="4">
        <f>IFERROR(__xludf.DUMMYFUNCTION("""COMPUTED_VALUE"""),0.0)</f>
        <v>0</v>
      </c>
      <c r="N1046" s="67"/>
      <c r="R1046" s="4"/>
    </row>
    <row r="1047">
      <c r="A1047" s="66"/>
      <c r="B1047" s="67"/>
      <c r="C1047" s="1"/>
      <c r="D1047" s="1"/>
      <c r="E1047" s="1"/>
      <c r="F1047" s="1"/>
      <c r="G1047" s="1"/>
      <c r="H1047" s="1"/>
      <c r="I1047" s="71">
        <f>IFERROR(__xludf.DUMMYFUNCTION("""COMPUTED_VALUE"""),0.0)</f>
        <v>0</v>
      </c>
      <c r="J1047" s="69">
        <f>IFERROR(__xludf.DUMMYFUNCTION("""COMPUTED_VALUE"""),0.0)</f>
        <v>0</v>
      </c>
      <c r="K1047" s="4">
        <f>IFERROR(__xludf.DUMMYFUNCTION("""COMPUTED_VALUE"""),0.0)</f>
        <v>0</v>
      </c>
      <c r="N1047" s="67"/>
      <c r="R1047" s="4"/>
    </row>
    <row r="1048">
      <c r="A1048" s="66"/>
      <c r="B1048" s="67"/>
      <c r="C1048" s="1"/>
      <c r="D1048" s="1"/>
      <c r="E1048" s="1"/>
      <c r="F1048" s="1"/>
      <c r="G1048" s="1"/>
      <c r="H1048" s="1"/>
      <c r="I1048" s="71">
        <f>IFERROR(__xludf.DUMMYFUNCTION("""COMPUTED_VALUE"""),0.0)</f>
        <v>0</v>
      </c>
      <c r="J1048" s="69">
        <f>IFERROR(__xludf.DUMMYFUNCTION("""COMPUTED_VALUE"""),0.0)</f>
        <v>0</v>
      </c>
      <c r="K1048" s="4">
        <f>IFERROR(__xludf.DUMMYFUNCTION("""COMPUTED_VALUE"""),0.0)</f>
        <v>0</v>
      </c>
      <c r="N1048" s="67"/>
      <c r="R1048" s="4"/>
    </row>
    <row r="1049">
      <c r="A1049" s="66"/>
      <c r="B1049" s="67"/>
      <c r="C1049" s="1"/>
      <c r="D1049" s="1"/>
      <c r="E1049" s="1"/>
      <c r="F1049" s="1"/>
      <c r="G1049" s="1"/>
      <c r="H1049" s="1"/>
      <c r="I1049" s="71">
        <f>IFERROR(__xludf.DUMMYFUNCTION("""COMPUTED_VALUE"""),0.0)</f>
        <v>0</v>
      </c>
      <c r="J1049" s="69">
        <f>IFERROR(__xludf.DUMMYFUNCTION("""COMPUTED_VALUE"""),0.0)</f>
        <v>0</v>
      </c>
      <c r="K1049" s="4">
        <f>IFERROR(__xludf.DUMMYFUNCTION("""COMPUTED_VALUE"""),0.0)</f>
        <v>0</v>
      </c>
      <c r="N1049" s="67"/>
      <c r="R1049" s="4"/>
    </row>
    <row r="1050">
      <c r="A1050" s="66"/>
      <c r="B1050" s="67"/>
      <c r="C1050" s="1"/>
      <c r="D1050" s="1"/>
      <c r="E1050" s="1"/>
      <c r="F1050" s="1"/>
      <c r="G1050" s="1"/>
      <c r="H1050" s="1"/>
      <c r="I1050" s="71">
        <f>IFERROR(__xludf.DUMMYFUNCTION("""COMPUTED_VALUE"""),0.0)</f>
        <v>0</v>
      </c>
      <c r="J1050" s="69">
        <f>IFERROR(__xludf.DUMMYFUNCTION("""COMPUTED_VALUE"""),0.0)</f>
        <v>0</v>
      </c>
      <c r="K1050" s="4">
        <f>IFERROR(__xludf.DUMMYFUNCTION("""COMPUTED_VALUE"""),0.0)</f>
        <v>0</v>
      </c>
      <c r="N1050" s="67"/>
      <c r="R1050" s="4"/>
    </row>
    <row r="1051">
      <c r="A1051" s="66"/>
      <c r="B1051" s="67"/>
      <c r="C1051" s="1"/>
      <c r="D1051" s="1"/>
      <c r="E1051" s="1"/>
      <c r="F1051" s="1"/>
      <c r="G1051" s="1"/>
      <c r="H1051" s="1"/>
      <c r="I1051" s="71">
        <f>IFERROR(__xludf.DUMMYFUNCTION("""COMPUTED_VALUE"""),0.0)</f>
        <v>0</v>
      </c>
      <c r="J1051" s="69">
        <f>IFERROR(__xludf.DUMMYFUNCTION("""COMPUTED_VALUE"""),0.0)</f>
        <v>0</v>
      </c>
      <c r="K1051" s="4">
        <f>IFERROR(__xludf.DUMMYFUNCTION("""COMPUTED_VALUE"""),0.0)</f>
        <v>0</v>
      </c>
      <c r="N1051" s="67"/>
      <c r="R1051" s="4"/>
    </row>
    <row r="1052">
      <c r="A1052" s="66"/>
      <c r="B1052" s="67"/>
      <c r="C1052" s="1"/>
      <c r="D1052" s="1"/>
      <c r="E1052" s="1"/>
      <c r="F1052" s="1"/>
      <c r="G1052" s="1"/>
      <c r="H1052" s="1"/>
      <c r="I1052" s="71">
        <f>IFERROR(__xludf.DUMMYFUNCTION("""COMPUTED_VALUE"""),0.0)</f>
        <v>0</v>
      </c>
      <c r="J1052" s="69">
        <f>IFERROR(__xludf.DUMMYFUNCTION("""COMPUTED_VALUE"""),0.0)</f>
        <v>0</v>
      </c>
      <c r="K1052" s="4">
        <f>IFERROR(__xludf.DUMMYFUNCTION("""COMPUTED_VALUE"""),0.0)</f>
        <v>0</v>
      </c>
      <c r="N1052" s="67"/>
      <c r="R1052" s="4"/>
    </row>
    <row r="1053">
      <c r="A1053" s="66"/>
      <c r="B1053" s="67"/>
      <c r="C1053" s="1"/>
      <c r="D1053" s="1"/>
      <c r="E1053" s="1"/>
      <c r="F1053" s="1"/>
      <c r="G1053" s="1"/>
      <c r="H1053" s="1"/>
      <c r="I1053" s="71">
        <f>IFERROR(__xludf.DUMMYFUNCTION("""COMPUTED_VALUE"""),0.0)</f>
        <v>0</v>
      </c>
      <c r="J1053" s="69">
        <f>IFERROR(__xludf.DUMMYFUNCTION("""COMPUTED_VALUE"""),0.0)</f>
        <v>0</v>
      </c>
      <c r="K1053" s="4">
        <f>IFERROR(__xludf.DUMMYFUNCTION("""COMPUTED_VALUE"""),0.0)</f>
        <v>0</v>
      </c>
      <c r="N1053" s="67"/>
      <c r="R1053" s="4"/>
    </row>
    <row r="1054">
      <c r="A1054" s="66"/>
      <c r="B1054" s="67"/>
      <c r="C1054" s="1"/>
      <c r="D1054" s="1"/>
      <c r="E1054" s="1"/>
      <c r="F1054" s="1"/>
      <c r="G1054" s="1"/>
      <c r="H1054" s="1"/>
      <c r="I1054" s="71">
        <f>IFERROR(__xludf.DUMMYFUNCTION("""COMPUTED_VALUE"""),0.0)</f>
        <v>0</v>
      </c>
      <c r="J1054" s="69">
        <f>IFERROR(__xludf.DUMMYFUNCTION("""COMPUTED_VALUE"""),0.0)</f>
        <v>0</v>
      </c>
      <c r="K1054" s="4">
        <f>IFERROR(__xludf.DUMMYFUNCTION("""COMPUTED_VALUE"""),0.0)</f>
        <v>0</v>
      </c>
      <c r="N1054" s="67"/>
      <c r="R1054" s="4"/>
    </row>
    <row r="1055">
      <c r="A1055" s="66"/>
      <c r="B1055" s="67"/>
      <c r="C1055" s="1"/>
      <c r="D1055" s="1"/>
      <c r="E1055" s="1"/>
      <c r="F1055" s="1"/>
      <c r="G1055" s="1"/>
      <c r="H1055" s="1"/>
      <c r="I1055" s="71">
        <f>IFERROR(__xludf.DUMMYFUNCTION("""COMPUTED_VALUE"""),0.0)</f>
        <v>0</v>
      </c>
      <c r="J1055" s="69">
        <f>IFERROR(__xludf.DUMMYFUNCTION("""COMPUTED_VALUE"""),0.0)</f>
        <v>0</v>
      </c>
      <c r="K1055" s="4">
        <f>IFERROR(__xludf.DUMMYFUNCTION("""COMPUTED_VALUE"""),0.0)</f>
        <v>0</v>
      </c>
      <c r="N1055" s="67"/>
      <c r="R1055" s="4"/>
    </row>
    <row r="1056">
      <c r="A1056" s="66"/>
      <c r="B1056" s="67"/>
      <c r="C1056" s="1"/>
      <c r="D1056" s="1"/>
      <c r="E1056" s="1"/>
      <c r="F1056" s="1"/>
      <c r="G1056" s="1"/>
      <c r="H1056" s="1"/>
      <c r="I1056" s="71">
        <f>IFERROR(__xludf.DUMMYFUNCTION("""COMPUTED_VALUE"""),0.0)</f>
        <v>0</v>
      </c>
      <c r="J1056" s="69">
        <f>IFERROR(__xludf.DUMMYFUNCTION("""COMPUTED_VALUE"""),0.0)</f>
        <v>0</v>
      </c>
      <c r="K1056" s="4">
        <f>IFERROR(__xludf.DUMMYFUNCTION("""COMPUTED_VALUE"""),0.0)</f>
        <v>0</v>
      </c>
      <c r="N1056" s="67"/>
      <c r="R1056" s="4"/>
    </row>
    <row r="1057">
      <c r="A1057" s="66"/>
      <c r="B1057" s="67"/>
      <c r="C1057" s="1"/>
      <c r="D1057" s="1"/>
      <c r="E1057" s="1"/>
      <c r="F1057" s="1"/>
      <c r="G1057" s="1"/>
      <c r="H1057" s="1"/>
      <c r="I1057" s="71">
        <f>IFERROR(__xludf.DUMMYFUNCTION("""COMPUTED_VALUE"""),0.0)</f>
        <v>0</v>
      </c>
      <c r="J1057" s="69">
        <f>IFERROR(__xludf.DUMMYFUNCTION("""COMPUTED_VALUE"""),0.0)</f>
        <v>0</v>
      </c>
      <c r="K1057" s="4">
        <f>IFERROR(__xludf.DUMMYFUNCTION("""COMPUTED_VALUE"""),0.0)</f>
        <v>0</v>
      </c>
      <c r="N1057" s="67"/>
      <c r="R1057" s="4"/>
    </row>
    <row r="1058">
      <c r="A1058" s="66"/>
      <c r="B1058" s="67"/>
      <c r="C1058" s="1"/>
      <c r="D1058" s="1"/>
      <c r="E1058" s="1"/>
      <c r="F1058" s="1"/>
      <c r="G1058" s="1"/>
      <c r="H1058" s="1"/>
      <c r="I1058" s="71">
        <f>IFERROR(__xludf.DUMMYFUNCTION("""COMPUTED_VALUE"""),0.0)</f>
        <v>0</v>
      </c>
      <c r="J1058" s="69">
        <f>IFERROR(__xludf.DUMMYFUNCTION("""COMPUTED_VALUE"""),0.0)</f>
        <v>0</v>
      </c>
      <c r="K1058" s="4">
        <f>IFERROR(__xludf.DUMMYFUNCTION("""COMPUTED_VALUE"""),0.0)</f>
        <v>0</v>
      </c>
      <c r="N1058" s="67"/>
      <c r="R1058" s="4"/>
    </row>
    <row r="1059">
      <c r="A1059" s="66"/>
      <c r="B1059" s="67"/>
      <c r="C1059" s="1"/>
      <c r="D1059" s="1"/>
      <c r="E1059" s="1"/>
      <c r="F1059" s="1"/>
      <c r="G1059" s="1"/>
      <c r="H1059" s="1"/>
      <c r="I1059" s="71">
        <f>IFERROR(__xludf.DUMMYFUNCTION("""COMPUTED_VALUE"""),0.0)</f>
        <v>0</v>
      </c>
      <c r="J1059" s="69">
        <f>IFERROR(__xludf.DUMMYFUNCTION("""COMPUTED_VALUE"""),0.0)</f>
        <v>0</v>
      </c>
      <c r="K1059" s="4">
        <f>IFERROR(__xludf.DUMMYFUNCTION("""COMPUTED_VALUE"""),0.0)</f>
        <v>0</v>
      </c>
      <c r="N1059" s="67"/>
      <c r="R1059" s="4"/>
    </row>
    <row r="1060">
      <c r="A1060" s="66"/>
      <c r="B1060" s="67"/>
      <c r="C1060" s="1"/>
      <c r="D1060" s="1"/>
      <c r="E1060" s="1"/>
      <c r="F1060" s="1"/>
      <c r="G1060" s="1"/>
      <c r="H1060" s="1"/>
      <c r="I1060" s="71">
        <f>IFERROR(__xludf.DUMMYFUNCTION("""COMPUTED_VALUE"""),0.0)</f>
        <v>0</v>
      </c>
      <c r="J1060" s="69">
        <f>IFERROR(__xludf.DUMMYFUNCTION("""COMPUTED_VALUE"""),0.0)</f>
        <v>0</v>
      </c>
      <c r="K1060" s="4">
        <f>IFERROR(__xludf.DUMMYFUNCTION("""COMPUTED_VALUE"""),0.0)</f>
        <v>0</v>
      </c>
      <c r="N1060" s="67"/>
      <c r="R1060" s="4"/>
    </row>
    <row r="1061">
      <c r="A1061" s="66"/>
      <c r="B1061" s="67"/>
      <c r="C1061" s="1"/>
      <c r="D1061" s="1"/>
      <c r="E1061" s="1"/>
      <c r="F1061" s="1"/>
      <c r="G1061" s="1"/>
      <c r="H1061" s="1"/>
      <c r="I1061" s="71">
        <f>IFERROR(__xludf.DUMMYFUNCTION("""COMPUTED_VALUE"""),0.0)</f>
        <v>0</v>
      </c>
      <c r="J1061" s="69">
        <f>IFERROR(__xludf.DUMMYFUNCTION("""COMPUTED_VALUE"""),0.0)</f>
        <v>0</v>
      </c>
      <c r="K1061" s="4">
        <f>IFERROR(__xludf.DUMMYFUNCTION("""COMPUTED_VALUE"""),0.0)</f>
        <v>0</v>
      </c>
      <c r="N1061" s="67"/>
      <c r="R1061" s="4"/>
    </row>
    <row r="1062">
      <c r="A1062" s="66"/>
      <c r="B1062" s="67"/>
      <c r="C1062" s="1"/>
      <c r="D1062" s="1"/>
      <c r="E1062" s="1"/>
      <c r="F1062" s="1"/>
      <c r="G1062" s="1"/>
      <c r="H1062" s="1"/>
      <c r="I1062" s="71">
        <f>IFERROR(__xludf.DUMMYFUNCTION("""COMPUTED_VALUE"""),0.0)</f>
        <v>0</v>
      </c>
      <c r="J1062" s="69">
        <f>IFERROR(__xludf.DUMMYFUNCTION("""COMPUTED_VALUE"""),0.0)</f>
        <v>0</v>
      </c>
      <c r="K1062" s="4">
        <f>IFERROR(__xludf.DUMMYFUNCTION("""COMPUTED_VALUE"""),0.0)</f>
        <v>0</v>
      </c>
      <c r="N1062" s="67"/>
      <c r="R1062" s="4"/>
    </row>
    <row r="1063">
      <c r="A1063" s="66"/>
      <c r="B1063" s="67"/>
      <c r="C1063" s="1"/>
      <c r="D1063" s="1"/>
      <c r="E1063" s="1"/>
      <c r="F1063" s="1"/>
      <c r="G1063" s="1"/>
      <c r="H1063" s="1"/>
      <c r="I1063" s="71">
        <f>IFERROR(__xludf.DUMMYFUNCTION("""COMPUTED_VALUE"""),0.0)</f>
        <v>0</v>
      </c>
      <c r="J1063" s="69">
        <f>IFERROR(__xludf.DUMMYFUNCTION("""COMPUTED_VALUE"""),0.0)</f>
        <v>0</v>
      </c>
      <c r="K1063" s="4">
        <f>IFERROR(__xludf.DUMMYFUNCTION("""COMPUTED_VALUE"""),0.0)</f>
        <v>0</v>
      </c>
      <c r="N1063" s="67"/>
      <c r="R1063" s="4"/>
    </row>
    <row r="1064">
      <c r="A1064" s="66"/>
      <c r="B1064" s="67"/>
      <c r="C1064" s="1"/>
      <c r="D1064" s="1"/>
      <c r="E1064" s="1"/>
      <c r="F1064" s="1"/>
      <c r="G1064" s="1"/>
      <c r="H1064" s="1"/>
      <c r="I1064" s="71">
        <f>IFERROR(__xludf.DUMMYFUNCTION("""COMPUTED_VALUE"""),0.0)</f>
        <v>0</v>
      </c>
      <c r="J1064" s="69">
        <f>IFERROR(__xludf.DUMMYFUNCTION("""COMPUTED_VALUE"""),0.0)</f>
        <v>0</v>
      </c>
      <c r="K1064" s="4">
        <f>IFERROR(__xludf.DUMMYFUNCTION("""COMPUTED_VALUE"""),0.0)</f>
        <v>0</v>
      </c>
      <c r="N1064" s="67"/>
      <c r="R1064" s="4"/>
    </row>
    <row r="1065">
      <c r="A1065" s="66"/>
      <c r="B1065" s="67"/>
      <c r="C1065" s="1"/>
      <c r="D1065" s="1"/>
      <c r="E1065" s="1"/>
      <c r="F1065" s="1"/>
      <c r="G1065" s="1"/>
      <c r="H1065" s="1"/>
      <c r="I1065" s="71">
        <f>IFERROR(__xludf.DUMMYFUNCTION("""COMPUTED_VALUE"""),0.0)</f>
        <v>0</v>
      </c>
      <c r="J1065" s="69">
        <f>IFERROR(__xludf.DUMMYFUNCTION("""COMPUTED_VALUE"""),0.0)</f>
        <v>0</v>
      </c>
      <c r="K1065" s="4">
        <f>IFERROR(__xludf.DUMMYFUNCTION("""COMPUTED_VALUE"""),0.0)</f>
        <v>0</v>
      </c>
      <c r="N1065" s="67"/>
      <c r="R1065" s="4"/>
    </row>
    <row r="1066">
      <c r="A1066" s="66"/>
      <c r="B1066" s="67"/>
      <c r="C1066" s="1"/>
      <c r="D1066" s="1"/>
      <c r="E1066" s="1"/>
      <c r="F1066" s="1"/>
      <c r="G1066" s="1"/>
      <c r="H1066" s="1"/>
      <c r="I1066" s="71">
        <f>IFERROR(__xludf.DUMMYFUNCTION("""COMPUTED_VALUE"""),0.0)</f>
        <v>0</v>
      </c>
      <c r="J1066" s="69">
        <f>IFERROR(__xludf.DUMMYFUNCTION("""COMPUTED_VALUE"""),0.0)</f>
        <v>0</v>
      </c>
      <c r="K1066" s="4">
        <f>IFERROR(__xludf.DUMMYFUNCTION("""COMPUTED_VALUE"""),0.0)</f>
        <v>0</v>
      </c>
      <c r="N1066" s="67"/>
      <c r="R1066" s="4"/>
    </row>
    <row r="1067">
      <c r="A1067" s="66"/>
      <c r="B1067" s="67"/>
      <c r="C1067" s="1"/>
      <c r="D1067" s="1"/>
      <c r="E1067" s="1"/>
      <c r="F1067" s="1"/>
      <c r="G1067" s="1"/>
      <c r="H1067" s="1"/>
      <c r="I1067" s="71">
        <f>IFERROR(__xludf.DUMMYFUNCTION("""COMPUTED_VALUE"""),0.0)</f>
        <v>0</v>
      </c>
      <c r="J1067" s="69">
        <f>IFERROR(__xludf.DUMMYFUNCTION("""COMPUTED_VALUE"""),0.0)</f>
        <v>0</v>
      </c>
      <c r="K1067" s="4">
        <f>IFERROR(__xludf.DUMMYFUNCTION("""COMPUTED_VALUE"""),0.0)</f>
        <v>0</v>
      </c>
      <c r="N1067" s="67"/>
      <c r="R1067" s="4"/>
    </row>
    <row r="1068">
      <c r="A1068" s="66"/>
      <c r="B1068" s="67"/>
      <c r="C1068" s="1"/>
      <c r="D1068" s="1"/>
      <c r="E1068" s="1"/>
      <c r="F1068" s="1"/>
      <c r="G1068" s="1"/>
      <c r="H1068" s="1"/>
      <c r="I1068" s="71">
        <f>IFERROR(__xludf.DUMMYFUNCTION("""COMPUTED_VALUE"""),0.0)</f>
        <v>0</v>
      </c>
      <c r="J1068" s="69">
        <f>IFERROR(__xludf.DUMMYFUNCTION("""COMPUTED_VALUE"""),0.0)</f>
        <v>0</v>
      </c>
      <c r="K1068" s="4">
        <f>IFERROR(__xludf.DUMMYFUNCTION("""COMPUTED_VALUE"""),0.0)</f>
        <v>0</v>
      </c>
      <c r="N1068" s="67"/>
      <c r="R1068" s="4"/>
    </row>
    <row r="1069">
      <c r="A1069" s="66"/>
      <c r="B1069" s="67"/>
      <c r="C1069" s="1"/>
      <c r="D1069" s="1"/>
      <c r="E1069" s="1"/>
      <c r="F1069" s="1"/>
      <c r="G1069" s="1"/>
      <c r="H1069" s="1"/>
      <c r="I1069" s="71">
        <f>IFERROR(__xludf.DUMMYFUNCTION("""COMPUTED_VALUE"""),0.0)</f>
        <v>0</v>
      </c>
      <c r="J1069" s="69">
        <f>IFERROR(__xludf.DUMMYFUNCTION("""COMPUTED_VALUE"""),0.0)</f>
        <v>0</v>
      </c>
      <c r="K1069" s="4">
        <f>IFERROR(__xludf.DUMMYFUNCTION("""COMPUTED_VALUE"""),0.0)</f>
        <v>0</v>
      </c>
      <c r="N1069" s="67"/>
      <c r="R1069" s="4"/>
    </row>
    <row r="1070">
      <c r="A1070" s="66"/>
      <c r="B1070" s="67"/>
      <c r="C1070" s="1"/>
      <c r="D1070" s="1"/>
      <c r="E1070" s="1"/>
      <c r="F1070" s="1"/>
      <c r="G1070" s="1"/>
      <c r="H1070" s="1"/>
      <c r="I1070" s="71">
        <f>IFERROR(__xludf.DUMMYFUNCTION("""COMPUTED_VALUE"""),0.0)</f>
        <v>0</v>
      </c>
      <c r="J1070" s="69">
        <f>IFERROR(__xludf.DUMMYFUNCTION("""COMPUTED_VALUE"""),0.0)</f>
        <v>0</v>
      </c>
      <c r="K1070" s="4">
        <f>IFERROR(__xludf.DUMMYFUNCTION("""COMPUTED_VALUE"""),0.0)</f>
        <v>0</v>
      </c>
      <c r="N1070" s="67"/>
      <c r="R1070" s="4"/>
    </row>
    <row r="1071">
      <c r="A1071" s="66"/>
      <c r="B1071" s="67"/>
      <c r="C1071" s="1"/>
      <c r="D1071" s="1"/>
      <c r="E1071" s="1"/>
      <c r="F1071" s="1"/>
      <c r="G1071" s="1"/>
      <c r="H1071" s="1"/>
      <c r="I1071" s="71">
        <f>IFERROR(__xludf.DUMMYFUNCTION("""COMPUTED_VALUE"""),0.0)</f>
        <v>0</v>
      </c>
      <c r="J1071" s="69">
        <f>IFERROR(__xludf.DUMMYFUNCTION("""COMPUTED_VALUE"""),0.0)</f>
        <v>0</v>
      </c>
      <c r="K1071" s="4">
        <f>IFERROR(__xludf.DUMMYFUNCTION("""COMPUTED_VALUE"""),0.0)</f>
        <v>0</v>
      </c>
      <c r="N1071" s="67"/>
      <c r="R1071" s="4"/>
    </row>
    <row r="1072">
      <c r="A1072" s="66"/>
      <c r="B1072" s="67"/>
      <c r="C1072" s="1"/>
      <c r="D1072" s="1"/>
      <c r="E1072" s="1"/>
      <c r="F1072" s="1"/>
      <c r="G1072" s="1"/>
      <c r="H1072" s="1"/>
      <c r="I1072" s="71">
        <f>IFERROR(__xludf.DUMMYFUNCTION("""COMPUTED_VALUE"""),0.0)</f>
        <v>0</v>
      </c>
      <c r="J1072" s="69">
        <f>IFERROR(__xludf.DUMMYFUNCTION("""COMPUTED_VALUE"""),0.0)</f>
        <v>0</v>
      </c>
      <c r="K1072" s="4">
        <f>IFERROR(__xludf.DUMMYFUNCTION("""COMPUTED_VALUE"""),0.0)</f>
        <v>0</v>
      </c>
      <c r="N1072" s="67"/>
      <c r="R1072" s="4"/>
    </row>
    <row r="1073">
      <c r="A1073" s="66"/>
      <c r="B1073" s="67"/>
      <c r="C1073" s="1"/>
      <c r="D1073" s="1"/>
      <c r="E1073" s="1"/>
      <c r="F1073" s="1"/>
      <c r="G1073" s="1"/>
      <c r="H1073" s="1"/>
      <c r="I1073" s="71">
        <f>IFERROR(__xludf.DUMMYFUNCTION("""COMPUTED_VALUE"""),0.0)</f>
        <v>0</v>
      </c>
      <c r="J1073" s="69">
        <f>IFERROR(__xludf.DUMMYFUNCTION("""COMPUTED_VALUE"""),0.0)</f>
        <v>0</v>
      </c>
      <c r="K1073" s="4">
        <f>IFERROR(__xludf.DUMMYFUNCTION("""COMPUTED_VALUE"""),0.0)</f>
        <v>0</v>
      </c>
      <c r="N1073" s="67"/>
      <c r="R1073" s="4"/>
    </row>
    <row r="1074">
      <c r="A1074" s="66"/>
      <c r="B1074" s="67"/>
      <c r="C1074" s="1"/>
      <c r="D1074" s="1"/>
      <c r="E1074" s="1"/>
      <c r="F1074" s="1"/>
      <c r="G1074" s="1"/>
      <c r="H1074" s="1"/>
      <c r="I1074" s="71">
        <f>IFERROR(__xludf.DUMMYFUNCTION("""COMPUTED_VALUE"""),0.0)</f>
        <v>0</v>
      </c>
      <c r="J1074" s="69">
        <f>IFERROR(__xludf.DUMMYFUNCTION("""COMPUTED_VALUE"""),0.0)</f>
        <v>0</v>
      </c>
      <c r="K1074" s="4">
        <f>IFERROR(__xludf.DUMMYFUNCTION("""COMPUTED_VALUE"""),0.0)</f>
        <v>0</v>
      </c>
      <c r="N1074" s="67"/>
      <c r="R1074" s="4"/>
    </row>
    <row r="1075">
      <c r="A1075" s="66"/>
      <c r="B1075" s="67"/>
      <c r="C1075" s="1"/>
      <c r="D1075" s="1"/>
      <c r="E1075" s="1"/>
      <c r="F1075" s="1"/>
      <c r="G1075" s="1"/>
      <c r="H1075" s="1"/>
      <c r="I1075" s="71">
        <f>IFERROR(__xludf.DUMMYFUNCTION("""COMPUTED_VALUE"""),0.0)</f>
        <v>0</v>
      </c>
      <c r="J1075" s="69">
        <f>IFERROR(__xludf.DUMMYFUNCTION("""COMPUTED_VALUE"""),0.0)</f>
        <v>0</v>
      </c>
      <c r="K1075" s="4">
        <f>IFERROR(__xludf.DUMMYFUNCTION("""COMPUTED_VALUE"""),0.0)</f>
        <v>0</v>
      </c>
      <c r="N1075" s="67"/>
      <c r="R1075" s="4"/>
    </row>
    <row r="1076">
      <c r="A1076" s="66"/>
      <c r="B1076" s="67"/>
      <c r="C1076" s="1"/>
      <c r="D1076" s="1"/>
      <c r="E1076" s="1"/>
      <c r="F1076" s="1"/>
      <c r="G1076" s="1"/>
      <c r="H1076" s="1"/>
      <c r="I1076" s="71">
        <f>IFERROR(__xludf.DUMMYFUNCTION("""COMPUTED_VALUE"""),0.0)</f>
        <v>0</v>
      </c>
      <c r="J1076" s="69">
        <f>IFERROR(__xludf.DUMMYFUNCTION("""COMPUTED_VALUE"""),0.0)</f>
        <v>0</v>
      </c>
      <c r="K1076" s="4">
        <f>IFERROR(__xludf.DUMMYFUNCTION("""COMPUTED_VALUE"""),0.0)</f>
        <v>0</v>
      </c>
      <c r="N1076" s="67"/>
      <c r="R1076" s="4"/>
    </row>
    <row r="1077">
      <c r="A1077" s="66"/>
      <c r="B1077" s="67"/>
      <c r="C1077" s="1"/>
      <c r="D1077" s="1"/>
      <c r="E1077" s="1"/>
      <c r="F1077" s="1"/>
      <c r="G1077" s="1"/>
      <c r="H1077" s="1"/>
      <c r="I1077" s="71">
        <f>IFERROR(__xludf.DUMMYFUNCTION("""COMPUTED_VALUE"""),0.0)</f>
        <v>0</v>
      </c>
      <c r="J1077" s="69">
        <f>IFERROR(__xludf.DUMMYFUNCTION("""COMPUTED_VALUE"""),0.0)</f>
        <v>0</v>
      </c>
      <c r="K1077" s="4">
        <f>IFERROR(__xludf.DUMMYFUNCTION("""COMPUTED_VALUE"""),0.0)</f>
        <v>0</v>
      </c>
      <c r="N1077" s="67"/>
      <c r="R1077" s="4"/>
    </row>
    <row r="1078">
      <c r="A1078" s="66"/>
      <c r="B1078" s="67"/>
      <c r="C1078" s="1"/>
      <c r="D1078" s="1"/>
      <c r="E1078" s="1"/>
      <c r="F1078" s="1"/>
      <c r="G1078" s="1"/>
      <c r="H1078" s="1"/>
      <c r="I1078" s="71">
        <f>IFERROR(__xludf.DUMMYFUNCTION("""COMPUTED_VALUE"""),0.0)</f>
        <v>0</v>
      </c>
      <c r="J1078" s="69">
        <f>IFERROR(__xludf.DUMMYFUNCTION("""COMPUTED_VALUE"""),0.0)</f>
        <v>0</v>
      </c>
      <c r="K1078" s="4">
        <f>IFERROR(__xludf.DUMMYFUNCTION("""COMPUTED_VALUE"""),0.0)</f>
        <v>0</v>
      </c>
      <c r="N1078" s="67"/>
      <c r="R1078" s="4"/>
    </row>
    <row r="1079">
      <c r="A1079" s="66"/>
      <c r="B1079" s="67"/>
      <c r="C1079" s="1"/>
      <c r="D1079" s="1"/>
      <c r="E1079" s="1"/>
      <c r="F1079" s="1"/>
      <c r="G1079" s="1"/>
      <c r="H1079" s="1"/>
      <c r="I1079" s="71">
        <f>IFERROR(__xludf.DUMMYFUNCTION("""COMPUTED_VALUE"""),0.0)</f>
        <v>0</v>
      </c>
      <c r="J1079" s="69">
        <f>IFERROR(__xludf.DUMMYFUNCTION("""COMPUTED_VALUE"""),0.0)</f>
        <v>0</v>
      </c>
      <c r="K1079" s="4">
        <f>IFERROR(__xludf.DUMMYFUNCTION("""COMPUTED_VALUE"""),0.0)</f>
        <v>0</v>
      </c>
      <c r="N1079" s="67"/>
      <c r="R1079" s="4"/>
    </row>
    <row r="1080">
      <c r="A1080" s="66"/>
      <c r="B1080" s="67"/>
      <c r="C1080" s="1"/>
      <c r="D1080" s="1"/>
      <c r="E1080" s="1"/>
      <c r="F1080" s="1"/>
      <c r="G1080" s="1"/>
      <c r="H1080" s="1"/>
      <c r="I1080" s="71">
        <f>IFERROR(__xludf.DUMMYFUNCTION("""COMPUTED_VALUE"""),0.0)</f>
        <v>0</v>
      </c>
      <c r="J1080" s="69">
        <f>IFERROR(__xludf.DUMMYFUNCTION("""COMPUTED_VALUE"""),0.0)</f>
        <v>0</v>
      </c>
      <c r="K1080" s="4">
        <f>IFERROR(__xludf.DUMMYFUNCTION("""COMPUTED_VALUE"""),0.0)</f>
        <v>0</v>
      </c>
      <c r="N1080" s="67"/>
      <c r="R1080" s="4"/>
    </row>
    <row r="1081">
      <c r="A1081" s="66"/>
      <c r="B1081" s="67"/>
      <c r="C1081" s="1"/>
      <c r="D1081" s="1"/>
      <c r="E1081" s="1"/>
      <c r="F1081" s="1"/>
      <c r="G1081" s="1"/>
      <c r="H1081" s="1"/>
      <c r="I1081" s="71">
        <f>IFERROR(__xludf.DUMMYFUNCTION("""COMPUTED_VALUE"""),0.0)</f>
        <v>0</v>
      </c>
      <c r="J1081" s="69">
        <f>IFERROR(__xludf.DUMMYFUNCTION("""COMPUTED_VALUE"""),0.0)</f>
        <v>0</v>
      </c>
      <c r="K1081" s="4">
        <f>IFERROR(__xludf.DUMMYFUNCTION("""COMPUTED_VALUE"""),0.0)</f>
        <v>0</v>
      </c>
      <c r="N1081" s="67"/>
      <c r="R1081" s="4"/>
    </row>
    <row r="1082">
      <c r="A1082" s="66"/>
      <c r="B1082" s="67"/>
      <c r="C1082" s="1"/>
      <c r="D1082" s="1"/>
      <c r="E1082" s="1"/>
      <c r="F1082" s="1"/>
      <c r="G1082" s="1"/>
      <c r="H1082" s="1"/>
      <c r="I1082" s="71">
        <f>IFERROR(__xludf.DUMMYFUNCTION("""COMPUTED_VALUE"""),0.0)</f>
        <v>0</v>
      </c>
      <c r="J1082" s="69">
        <f>IFERROR(__xludf.DUMMYFUNCTION("""COMPUTED_VALUE"""),0.0)</f>
        <v>0</v>
      </c>
      <c r="K1082" s="4">
        <f>IFERROR(__xludf.DUMMYFUNCTION("""COMPUTED_VALUE"""),0.0)</f>
        <v>0</v>
      </c>
      <c r="N1082" s="67"/>
      <c r="R1082" s="4"/>
    </row>
    <row r="1083">
      <c r="A1083" s="66"/>
      <c r="B1083" s="67"/>
      <c r="C1083" s="1"/>
      <c r="D1083" s="1"/>
      <c r="E1083" s="1"/>
      <c r="F1083" s="1"/>
      <c r="G1083" s="1"/>
      <c r="H1083" s="1"/>
      <c r="I1083" s="71">
        <f>IFERROR(__xludf.DUMMYFUNCTION("""COMPUTED_VALUE"""),0.0)</f>
        <v>0</v>
      </c>
      <c r="J1083" s="69">
        <f>IFERROR(__xludf.DUMMYFUNCTION("""COMPUTED_VALUE"""),0.0)</f>
        <v>0</v>
      </c>
      <c r="K1083" s="4">
        <f>IFERROR(__xludf.DUMMYFUNCTION("""COMPUTED_VALUE"""),0.0)</f>
        <v>0</v>
      </c>
      <c r="N1083" s="67"/>
      <c r="R1083" s="4"/>
    </row>
    <row r="1084">
      <c r="A1084" s="66"/>
      <c r="B1084" s="67"/>
      <c r="C1084" s="1"/>
      <c r="D1084" s="1"/>
      <c r="E1084" s="1"/>
      <c r="F1084" s="1"/>
      <c r="G1084" s="1"/>
      <c r="H1084" s="1"/>
      <c r="I1084" s="71">
        <f>IFERROR(__xludf.DUMMYFUNCTION("""COMPUTED_VALUE"""),0.0)</f>
        <v>0</v>
      </c>
      <c r="J1084" s="69">
        <f>IFERROR(__xludf.DUMMYFUNCTION("""COMPUTED_VALUE"""),0.0)</f>
        <v>0</v>
      </c>
      <c r="K1084" s="4">
        <f>IFERROR(__xludf.DUMMYFUNCTION("""COMPUTED_VALUE"""),0.0)</f>
        <v>0</v>
      </c>
      <c r="N1084" s="67"/>
      <c r="R1084" s="4"/>
    </row>
    <row r="1085">
      <c r="A1085" s="66"/>
      <c r="B1085" s="67"/>
      <c r="C1085" s="1"/>
      <c r="D1085" s="1"/>
      <c r="E1085" s="1"/>
      <c r="F1085" s="1"/>
      <c r="G1085" s="1"/>
      <c r="H1085" s="1"/>
      <c r="I1085" s="71">
        <f>IFERROR(__xludf.DUMMYFUNCTION("""COMPUTED_VALUE"""),0.0)</f>
        <v>0</v>
      </c>
      <c r="J1085" s="69">
        <f>IFERROR(__xludf.DUMMYFUNCTION("""COMPUTED_VALUE"""),0.0)</f>
        <v>0</v>
      </c>
      <c r="K1085" s="4">
        <f>IFERROR(__xludf.DUMMYFUNCTION("""COMPUTED_VALUE"""),0.0)</f>
        <v>0</v>
      </c>
      <c r="N1085" s="67"/>
      <c r="R1085" s="4"/>
    </row>
    <row r="1086">
      <c r="A1086" s="66"/>
      <c r="B1086" s="67"/>
      <c r="C1086" s="1"/>
      <c r="D1086" s="1"/>
      <c r="E1086" s="1"/>
      <c r="F1086" s="1"/>
      <c r="G1086" s="1"/>
      <c r="H1086" s="1"/>
      <c r="I1086" s="71">
        <f>IFERROR(__xludf.DUMMYFUNCTION("""COMPUTED_VALUE"""),0.0)</f>
        <v>0</v>
      </c>
      <c r="J1086" s="69">
        <f>IFERROR(__xludf.DUMMYFUNCTION("""COMPUTED_VALUE"""),0.0)</f>
        <v>0</v>
      </c>
      <c r="K1086" s="4">
        <f>IFERROR(__xludf.DUMMYFUNCTION("""COMPUTED_VALUE"""),0.0)</f>
        <v>0</v>
      </c>
      <c r="N1086" s="67"/>
      <c r="R1086" s="4"/>
    </row>
    <row r="1087">
      <c r="A1087" s="66"/>
      <c r="B1087" s="67"/>
      <c r="C1087" s="1"/>
      <c r="D1087" s="1"/>
      <c r="E1087" s="1"/>
      <c r="F1087" s="1"/>
      <c r="G1087" s="1"/>
      <c r="H1087" s="1"/>
      <c r="I1087" s="71">
        <f>IFERROR(__xludf.DUMMYFUNCTION("""COMPUTED_VALUE"""),0.0)</f>
        <v>0</v>
      </c>
      <c r="J1087" s="69">
        <f>IFERROR(__xludf.DUMMYFUNCTION("""COMPUTED_VALUE"""),0.0)</f>
        <v>0</v>
      </c>
      <c r="K1087" s="4">
        <f>IFERROR(__xludf.DUMMYFUNCTION("""COMPUTED_VALUE"""),0.0)</f>
        <v>0</v>
      </c>
      <c r="N1087" s="67"/>
      <c r="R1087" s="4"/>
    </row>
    <row r="1088">
      <c r="A1088" s="66"/>
      <c r="B1088" s="67"/>
      <c r="C1088" s="1"/>
      <c r="D1088" s="1"/>
      <c r="E1088" s="1"/>
      <c r="F1088" s="1"/>
      <c r="G1088" s="1"/>
      <c r="H1088" s="1"/>
      <c r="I1088" s="71">
        <f>IFERROR(__xludf.DUMMYFUNCTION("""COMPUTED_VALUE"""),0.0)</f>
        <v>0</v>
      </c>
      <c r="J1088" s="69">
        <f>IFERROR(__xludf.DUMMYFUNCTION("""COMPUTED_VALUE"""),0.0)</f>
        <v>0</v>
      </c>
      <c r="K1088" s="4">
        <f>IFERROR(__xludf.DUMMYFUNCTION("""COMPUTED_VALUE"""),0.0)</f>
        <v>0</v>
      </c>
      <c r="N1088" s="67"/>
      <c r="R1088" s="4"/>
    </row>
    <row r="1089">
      <c r="A1089" s="66"/>
      <c r="B1089" s="67"/>
      <c r="C1089" s="1"/>
      <c r="D1089" s="1"/>
      <c r="E1089" s="1"/>
      <c r="F1089" s="1"/>
      <c r="G1089" s="1"/>
      <c r="H1089" s="1"/>
      <c r="I1089" s="71">
        <f>IFERROR(__xludf.DUMMYFUNCTION("""COMPUTED_VALUE"""),0.0)</f>
        <v>0</v>
      </c>
      <c r="J1089" s="69">
        <f>IFERROR(__xludf.DUMMYFUNCTION("""COMPUTED_VALUE"""),0.0)</f>
        <v>0</v>
      </c>
      <c r="K1089" s="4">
        <f>IFERROR(__xludf.DUMMYFUNCTION("""COMPUTED_VALUE"""),0.0)</f>
        <v>0</v>
      </c>
      <c r="N1089" s="67"/>
      <c r="R1089" s="4"/>
    </row>
    <row r="1090">
      <c r="A1090" s="66"/>
      <c r="B1090" s="67"/>
      <c r="C1090" s="1"/>
      <c r="D1090" s="1"/>
      <c r="E1090" s="1"/>
      <c r="F1090" s="1"/>
      <c r="G1090" s="1"/>
      <c r="H1090" s="1"/>
      <c r="I1090" s="71">
        <f>IFERROR(__xludf.DUMMYFUNCTION("""COMPUTED_VALUE"""),0.0)</f>
        <v>0</v>
      </c>
      <c r="J1090" s="69">
        <f>IFERROR(__xludf.DUMMYFUNCTION("""COMPUTED_VALUE"""),0.0)</f>
        <v>0</v>
      </c>
      <c r="K1090" s="4">
        <f>IFERROR(__xludf.DUMMYFUNCTION("""COMPUTED_VALUE"""),0.0)</f>
        <v>0</v>
      </c>
      <c r="N1090" s="67"/>
      <c r="R1090" s="4"/>
    </row>
    <row r="1091">
      <c r="A1091" s="66"/>
      <c r="B1091" s="67"/>
      <c r="K1091" s="4"/>
      <c r="N1091" s="67"/>
      <c r="R1091" s="4"/>
    </row>
    <row r="1092">
      <c r="A1092" s="66"/>
      <c r="B1092" s="67"/>
      <c r="K1092" s="4"/>
      <c r="N1092" s="67"/>
      <c r="R1092" s="4"/>
    </row>
    <row r="1093">
      <c r="A1093" s="66"/>
      <c r="B1093" s="67"/>
      <c r="K1093" s="4"/>
      <c r="N1093" s="67"/>
      <c r="R1093" s="4"/>
    </row>
    <row r="1094">
      <c r="A1094" s="66"/>
      <c r="B1094" s="67"/>
      <c r="K1094" s="4"/>
      <c r="N1094" s="67"/>
      <c r="R1094" s="4"/>
    </row>
    <row r="1095">
      <c r="A1095" s="66"/>
      <c r="B1095" s="67"/>
      <c r="K1095" s="4"/>
      <c r="N1095" s="67"/>
      <c r="R1095" s="4"/>
    </row>
    <row r="1096">
      <c r="A1096" s="66"/>
      <c r="B1096" s="67"/>
      <c r="K1096" s="4"/>
      <c r="N1096" s="67"/>
      <c r="R1096" s="4"/>
    </row>
    <row r="1097">
      <c r="A1097" s="66"/>
      <c r="B1097" s="67"/>
      <c r="K1097" s="4"/>
      <c r="N1097" s="67"/>
      <c r="R1097" s="4"/>
    </row>
    <row r="1098">
      <c r="A1098" s="66"/>
      <c r="B1098" s="67"/>
      <c r="K1098" s="4"/>
      <c r="N1098" s="67"/>
      <c r="R1098" s="4"/>
    </row>
    <row r="1099">
      <c r="A1099" s="66"/>
      <c r="B1099" s="67"/>
      <c r="K1099" s="4"/>
      <c r="N1099" s="67"/>
      <c r="R1099" s="4"/>
    </row>
    <row r="1100">
      <c r="A1100" s="66"/>
      <c r="B1100" s="67"/>
      <c r="K1100" s="4"/>
      <c r="N1100" s="67"/>
      <c r="R1100" s="4"/>
    </row>
    <row r="1101">
      <c r="A1101" s="66"/>
      <c r="B1101" s="67"/>
      <c r="K1101" s="4"/>
      <c r="N1101" s="67"/>
      <c r="R1101" s="4"/>
    </row>
    <row r="1102">
      <c r="A1102" s="66"/>
      <c r="B1102" s="67"/>
      <c r="K1102" s="4"/>
      <c r="N1102" s="67"/>
      <c r="R1102" s="4"/>
    </row>
    <row r="1103">
      <c r="A1103" s="66"/>
      <c r="B1103" s="67"/>
      <c r="K1103" s="4"/>
      <c r="N1103" s="67"/>
      <c r="R1103" s="4"/>
    </row>
    <row r="1104">
      <c r="A1104" s="66"/>
      <c r="B1104" s="67"/>
      <c r="K1104" s="4"/>
      <c r="N1104" s="67"/>
      <c r="R1104" s="4"/>
    </row>
    <row r="1105">
      <c r="A1105" s="66"/>
      <c r="B1105" s="67"/>
      <c r="K1105" s="4"/>
      <c r="N1105" s="67"/>
      <c r="R1105" s="4"/>
    </row>
    <row r="1106">
      <c r="A1106" s="66"/>
      <c r="B1106" s="67"/>
      <c r="K1106" s="4"/>
      <c r="N1106" s="67"/>
      <c r="R1106" s="4"/>
    </row>
    <row r="1107">
      <c r="A1107" s="66"/>
      <c r="B1107" s="67"/>
      <c r="K1107" s="4"/>
      <c r="N1107" s="67"/>
      <c r="R1107" s="4"/>
    </row>
    <row r="1108">
      <c r="A1108" s="66"/>
      <c r="B1108" s="67"/>
      <c r="K1108" s="4"/>
      <c r="N1108" s="67"/>
      <c r="R1108" s="4"/>
    </row>
    <row r="1109">
      <c r="A1109" s="66"/>
      <c r="B1109" s="67"/>
      <c r="K1109" s="4"/>
      <c r="N1109" s="67"/>
      <c r="R1109" s="4"/>
    </row>
    <row r="1110">
      <c r="A1110" s="66"/>
      <c r="B1110" s="67"/>
      <c r="K1110" s="4"/>
      <c r="N1110" s="67"/>
      <c r="R1110" s="4"/>
    </row>
    <row r="1111">
      <c r="A1111" s="66"/>
      <c r="B1111" s="67"/>
      <c r="K1111" s="4"/>
      <c r="N1111" s="67"/>
      <c r="R1111" s="4"/>
    </row>
    <row r="1112">
      <c r="A1112" s="66"/>
      <c r="B1112" s="67"/>
      <c r="K1112" s="4"/>
      <c r="N1112" s="67"/>
      <c r="R1112" s="4"/>
    </row>
    <row r="1113">
      <c r="A1113" s="66"/>
      <c r="B1113" s="67"/>
      <c r="K1113" s="4"/>
      <c r="N1113" s="67"/>
      <c r="R1113" s="4"/>
    </row>
    <row r="1114">
      <c r="A1114" s="66"/>
      <c r="B1114" s="67"/>
      <c r="K1114" s="4"/>
      <c r="N1114" s="67"/>
      <c r="R1114" s="4"/>
    </row>
    <row r="1115">
      <c r="A1115" s="66"/>
      <c r="B1115" s="67"/>
      <c r="K1115" s="4"/>
      <c r="N1115" s="67"/>
      <c r="R1115" s="4"/>
    </row>
    <row r="1116">
      <c r="A1116" s="66"/>
      <c r="B1116" s="67"/>
      <c r="K1116" s="4"/>
      <c r="N1116" s="67"/>
      <c r="R1116" s="4"/>
    </row>
    <row r="1117">
      <c r="A1117" s="66"/>
      <c r="B1117" s="67"/>
      <c r="K1117" s="4"/>
      <c r="N1117" s="67"/>
      <c r="R1117" s="4"/>
    </row>
    <row r="1118">
      <c r="A1118" s="66"/>
      <c r="B1118" s="67"/>
      <c r="K1118" s="4"/>
      <c r="N1118" s="67"/>
      <c r="R1118" s="4"/>
    </row>
    <row r="1119">
      <c r="A1119" s="66"/>
      <c r="B1119" s="67"/>
      <c r="K1119" s="4"/>
      <c r="N1119" s="67"/>
      <c r="R1119" s="4"/>
    </row>
    <row r="1120">
      <c r="A1120" s="66"/>
      <c r="B1120" s="67"/>
      <c r="K1120" s="4"/>
      <c r="N1120" s="67"/>
      <c r="R1120" s="4"/>
    </row>
    <row r="1121">
      <c r="A1121" s="66"/>
      <c r="B1121" s="67"/>
      <c r="K1121" s="4"/>
      <c r="N1121" s="67"/>
      <c r="R1121" s="4"/>
    </row>
    <row r="1122">
      <c r="A1122" s="66"/>
      <c r="B1122" s="67"/>
      <c r="K1122" s="4"/>
      <c r="N1122" s="67"/>
      <c r="R1122" s="4"/>
    </row>
    <row r="1123">
      <c r="A1123" s="66"/>
      <c r="B1123" s="67"/>
      <c r="K1123" s="4"/>
      <c r="N1123" s="67"/>
      <c r="R1123" s="4"/>
    </row>
    <row r="1124">
      <c r="A1124" s="66"/>
      <c r="B1124" s="67"/>
      <c r="K1124" s="4"/>
      <c r="N1124" s="67"/>
      <c r="R1124" s="4"/>
    </row>
    <row r="1125">
      <c r="A1125" s="66"/>
      <c r="B1125" s="67"/>
      <c r="K1125" s="4"/>
      <c r="N1125" s="67"/>
      <c r="R1125" s="4"/>
    </row>
    <row r="1126">
      <c r="A1126" s="66"/>
      <c r="B1126" s="67"/>
      <c r="K1126" s="4"/>
      <c r="N1126" s="67"/>
      <c r="R1126" s="4"/>
    </row>
    <row r="1127">
      <c r="A1127" s="66"/>
      <c r="B1127" s="67"/>
      <c r="K1127" s="4"/>
      <c r="N1127" s="67"/>
      <c r="R1127" s="4"/>
    </row>
    <row r="1128">
      <c r="A1128" s="66"/>
      <c r="B1128" s="67"/>
      <c r="K1128" s="4"/>
      <c r="N1128" s="67"/>
      <c r="R1128" s="4"/>
    </row>
    <row r="1129">
      <c r="A1129" s="66"/>
      <c r="B1129" s="67"/>
      <c r="K1129" s="4"/>
      <c r="N1129" s="67"/>
      <c r="R1129" s="4"/>
    </row>
    <row r="1130">
      <c r="A1130" s="66"/>
      <c r="B1130" s="67"/>
      <c r="K1130" s="4"/>
      <c r="N1130" s="67"/>
      <c r="R1130" s="4"/>
    </row>
    <row r="1131">
      <c r="A1131" s="66"/>
      <c r="B1131" s="67"/>
      <c r="K1131" s="4"/>
      <c r="N1131" s="67"/>
      <c r="R1131" s="4"/>
    </row>
    <row r="1132">
      <c r="A1132" s="66"/>
      <c r="B1132" s="67"/>
      <c r="K1132" s="4"/>
      <c r="N1132" s="67"/>
      <c r="R1132" s="4"/>
    </row>
    <row r="1133">
      <c r="A1133" s="66"/>
      <c r="B1133" s="67"/>
      <c r="K1133" s="4"/>
      <c r="N1133" s="67"/>
      <c r="R1133" s="4"/>
    </row>
    <row r="1134">
      <c r="A1134" s="66"/>
      <c r="B1134" s="67"/>
      <c r="K1134" s="4"/>
      <c r="N1134" s="67"/>
      <c r="R1134" s="4"/>
    </row>
    <row r="1135">
      <c r="A1135" s="66"/>
      <c r="B1135" s="67"/>
      <c r="K1135" s="4"/>
      <c r="N1135" s="67"/>
      <c r="R1135" s="4"/>
    </row>
    <row r="1136">
      <c r="A1136" s="66"/>
      <c r="B1136" s="67"/>
      <c r="K1136" s="4"/>
      <c r="N1136" s="67"/>
      <c r="R1136" s="4"/>
    </row>
    <row r="1137">
      <c r="A1137" s="66"/>
      <c r="B1137" s="67"/>
      <c r="K1137" s="4"/>
      <c r="N1137" s="67"/>
      <c r="R1137" s="4"/>
    </row>
    <row r="1138">
      <c r="A1138" s="66"/>
      <c r="B1138" s="67"/>
      <c r="K1138" s="4"/>
      <c r="N1138" s="67"/>
      <c r="R1138" s="4"/>
    </row>
    <row r="1139">
      <c r="A1139" s="66"/>
      <c r="B1139" s="67"/>
      <c r="K1139" s="4"/>
      <c r="N1139" s="67"/>
      <c r="R1139" s="4"/>
    </row>
    <row r="1140">
      <c r="A1140" s="66"/>
      <c r="B1140" s="67"/>
      <c r="K1140" s="4"/>
      <c r="N1140" s="67"/>
      <c r="R1140" s="4"/>
    </row>
    <row r="1141">
      <c r="A1141" s="66"/>
      <c r="B1141" s="67"/>
      <c r="K1141" s="4"/>
      <c r="N1141" s="67"/>
      <c r="R1141" s="4"/>
    </row>
    <row r="1142">
      <c r="A1142" s="66"/>
      <c r="B1142" s="67"/>
      <c r="K1142" s="4"/>
      <c r="N1142" s="67"/>
      <c r="R1142" s="4"/>
    </row>
    <row r="1143">
      <c r="A1143" s="66"/>
      <c r="B1143" s="67"/>
      <c r="K1143" s="4"/>
      <c r="N1143" s="67"/>
      <c r="R1143" s="4"/>
    </row>
    <row r="1144">
      <c r="A1144" s="66"/>
      <c r="B1144" s="67"/>
      <c r="K1144" s="4"/>
      <c r="N1144" s="67"/>
      <c r="R1144" s="4"/>
    </row>
    <row r="1145">
      <c r="A1145" s="66"/>
      <c r="B1145" s="67"/>
      <c r="K1145" s="4"/>
      <c r="N1145" s="67"/>
      <c r="R1145" s="4"/>
    </row>
    <row r="1146">
      <c r="A1146" s="66"/>
      <c r="B1146" s="67"/>
      <c r="K1146" s="4"/>
      <c r="N1146" s="67"/>
      <c r="R1146" s="4"/>
    </row>
    <row r="1147">
      <c r="A1147" s="66"/>
      <c r="B1147" s="67"/>
      <c r="K1147" s="4"/>
      <c r="N1147" s="67"/>
      <c r="R1147" s="4"/>
    </row>
    <row r="1148">
      <c r="A1148" s="66"/>
      <c r="B1148" s="67"/>
      <c r="K1148" s="4"/>
      <c r="N1148" s="67"/>
      <c r="R1148" s="4"/>
    </row>
    <row r="1149">
      <c r="A1149" s="66"/>
      <c r="B1149" s="67"/>
      <c r="K1149" s="4"/>
      <c r="N1149" s="67"/>
      <c r="R1149" s="4"/>
    </row>
    <row r="1150">
      <c r="A1150" s="66"/>
      <c r="B1150" s="67"/>
      <c r="K1150" s="4"/>
      <c r="N1150" s="67"/>
      <c r="R1150" s="4"/>
    </row>
    <row r="1151">
      <c r="A1151" s="66"/>
      <c r="B1151" s="67"/>
      <c r="K1151" s="4"/>
      <c r="N1151" s="67"/>
      <c r="R1151" s="4"/>
    </row>
    <row r="1152">
      <c r="A1152" s="66"/>
      <c r="B1152" s="67"/>
      <c r="K1152" s="4"/>
      <c r="N1152" s="67"/>
      <c r="R1152" s="4"/>
    </row>
    <row r="1153">
      <c r="A1153" s="66"/>
      <c r="B1153" s="67"/>
      <c r="K1153" s="4"/>
      <c r="N1153" s="67"/>
      <c r="R1153" s="4"/>
    </row>
    <row r="1154">
      <c r="A1154" s="66"/>
      <c r="B1154" s="67"/>
      <c r="K1154" s="4"/>
      <c r="N1154" s="67"/>
      <c r="R1154" s="4"/>
    </row>
    <row r="1155">
      <c r="A1155" s="66"/>
      <c r="B1155" s="67"/>
      <c r="K1155" s="4"/>
      <c r="N1155" s="67"/>
      <c r="R1155" s="4"/>
    </row>
    <row r="1156">
      <c r="A1156" s="66"/>
      <c r="B1156" s="67"/>
      <c r="K1156" s="4"/>
      <c r="N1156" s="67"/>
      <c r="R1156" s="4"/>
    </row>
    <row r="1157">
      <c r="A1157" s="66"/>
      <c r="B1157" s="67"/>
      <c r="K1157" s="4"/>
      <c r="N1157" s="67"/>
      <c r="R1157" s="4"/>
    </row>
    <row r="1158">
      <c r="A1158" s="66"/>
      <c r="B1158" s="67"/>
      <c r="K1158" s="4"/>
      <c r="N1158" s="67"/>
      <c r="R1158" s="4"/>
    </row>
    <row r="1159">
      <c r="A1159" s="66"/>
      <c r="B1159" s="67"/>
      <c r="K1159" s="4"/>
      <c r="N1159" s="67"/>
      <c r="R1159" s="4"/>
    </row>
    <row r="1160">
      <c r="A1160" s="66"/>
      <c r="B1160" s="67"/>
      <c r="K1160" s="4"/>
      <c r="N1160" s="67"/>
      <c r="R1160" s="4"/>
    </row>
    <row r="1161">
      <c r="A1161" s="66"/>
      <c r="B1161" s="67"/>
      <c r="K1161" s="4"/>
      <c r="N1161" s="67"/>
      <c r="R1161" s="4"/>
    </row>
    <row r="1162">
      <c r="A1162" s="66"/>
      <c r="B1162" s="67"/>
      <c r="K1162" s="4"/>
      <c r="N1162" s="67"/>
      <c r="R1162" s="4"/>
    </row>
    <row r="1163">
      <c r="A1163" s="66"/>
      <c r="B1163" s="67"/>
      <c r="K1163" s="4"/>
      <c r="N1163" s="67"/>
      <c r="R1163" s="4"/>
    </row>
    <row r="1164">
      <c r="A1164" s="66"/>
      <c r="B1164" s="67"/>
      <c r="K1164" s="4"/>
      <c r="N1164" s="67"/>
      <c r="R1164" s="4"/>
    </row>
    <row r="1165">
      <c r="A1165" s="66"/>
      <c r="B1165" s="67"/>
      <c r="K1165" s="4"/>
      <c r="N1165" s="67"/>
      <c r="R1165" s="4"/>
    </row>
    <row r="1166">
      <c r="A1166" s="66"/>
      <c r="B1166" s="67"/>
      <c r="K1166" s="4"/>
      <c r="N1166" s="67"/>
      <c r="R1166" s="4"/>
    </row>
    <row r="1167">
      <c r="A1167" s="66"/>
      <c r="B1167" s="67"/>
      <c r="K1167" s="4"/>
      <c r="N1167" s="67"/>
      <c r="R1167" s="4"/>
    </row>
    <row r="1168">
      <c r="A1168" s="66"/>
      <c r="B1168" s="67"/>
      <c r="K1168" s="4"/>
      <c r="N1168" s="67"/>
      <c r="R1168" s="4"/>
    </row>
    <row r="1169">
      <c r="A1169" s="66"/>
      <c r="B1169" s="67"/>
      <c r="K1169" s="4"/>
      <c r="N1169" s="67"/>
      <c r="R1169" s="4"/>
    </row>
    <row r="1170">
      <c r="A1170" s="66"/>
      <c r="B1170" s="67"/>
      <c r="K1170" s="4"/>
      <c r="N1170" s="67"/>
      <c r="R1170" s="4"/>
    </row>
    <row r="1171">
      <c r="A1171" s="66"/>
      <c r="B1171" s="67"/>
      <c r="K1171" s="4"/>
      <c r="N1171" s="67"/>
      <c r="R1171" s="4"/>
    </row>
    <row r="1172">
      <c r="A1172" s="66"/>
      <c r="B1172" s="67"/>
      <c r="K1172" s="4"/>
      <c r="N1172" s="67"/>
      <c r="R1172" s="4"/>
    </row>
    <row r="1173">
      <c r="A1173" s="66"/>
      <c r="B1173" s="67"/>
      <c r="K1173" s="4"/>
      <c r="N1173" s="67"/>
      <c r="R1173" s="4"/>
    </row>
    <row r="1174">
      <c r="A1174" s="66"/>
      <c r="B1174" s="67"/>
      <c r="K1174" s="4"/>
      <c r="N1174" s="67"/>
      <c r="R1174" s="4"/>
    </row>
    <row r="1175">
      <c r="A1175" s="66"/>
      <c r="B1175" s="67"/>
      <c r="K1175" s="4"/>
      <c r="N1175" s="67"/>
      <c r="R1175" s="4"/>
    </row>
    <row r="1176">
      <c r="A1176" s="66"/>
      <c r="B1176" s="67"/>
      <c r="K1176" s="4"/>
      <c r="N1176" s="67"/>
      <c r="R1176" s="4"/>
    </row>
    <row r="1177">
      <c r="A1177" s="66"/>
      <c r="B1177" s="67"/>
      <c r="K1177" s="4"/>
      <c r="N1177" s="67"/>
      <c r="R1177" s="4"/>
    </row>
    <row r="1178">
      <c r="A1178" s="66"/>
      <c r="B1178" s="67"/>
      <c r="K1178" s="4"/>
      <c r="N1178" s="67"/>
      <c r="R1178" s="4"/>
    </row>
    <row r="1179">
      <c r="A1179" s="66"/>
      <c r="B1179" s="67"/>
      <c r="K1179" s="4"/>
      <c r="N1179" s="67"/>
      <c r="R1179" s="4"/>
    </row>
    <row r="1180">
      <c r="A1180" s="66"/>
      <c r="B1180" s="67"/>
      <c r="K1180" s="4"/>
      <c r="N1180" s="67"/>
      <c r="R1180" s="4"/>
    </row>
    <row r="1181">
      <c r="A1181" s="66"/>
      <c r="B1181" s="67"/>
      <c r="K1181" s="4"/>
      <c r="N1181" s="67"/>
      <c r="R1181" s="4"/>
    </row>
    <row r="1182">
      <c r="A1182" s="66"/>
      <c r="B1182" s="67"/>
      <c r="K1182" s="4"/>
      <c r="N1182" s="67"/>
      <c r="R1182" s="4"/>
    </row>
    <row r="1183">
      <c r="A1183" s="66"/>
      <c r="B1183" s="67"/>
      <c r="K1183" s="4"/>
      <c r="N1183" s="67"/>
      <c r="R1183" s="4"/>
    </row>
    <row r="1184">
      <c r="A1184" s="66"/>
      <c r="B1184" s="67"/>
      <c r="K1184" s="4"/>
      <c r="N1184" s="67"/>
      <c r="R1184" s="4"/>
    </row>
    <row r="1185">
      <c r="A1185" s="66"/>
      <c r="B1185" s="67"/>
      <c r="K1185" s="4"/>
      <c r="N1185" s="67"/>
      <c r="R1185" s="4"/>
    </row>
    <row r="1186">
      <c r="A1186" s="66"/>
      <c r="B1186" s="67"/>
      <c r="K1186" s="4"/>
      <c r="N1186" s="67"/>
      <c r="R1186" s="4"/>
    </row>
    <row r="1187">
      <c r="A1187" s="66"/>
      <c r="B1187" s="67"/>
      <c r="K1187" s="4"/>
      <c r="N1187" s="67"/>
      <c r="R1187" s="4"/>
    </row>
    <row r="1188">
      <c r="A1188" s="66"/>
      <c r="B1188" s="67"/>
      <c r="K1188" s="4"/>
      <c r="N1188" s="67"/>
      <c r="R1188" s="4"/>
    </row>
    <row r="1189">
      <c r="A1189" s="66"/>
      <c r="B1189" s="67"/>
      <c r="K1189" s="4"/>
      <c r="N1189" s="67"/>
      <c r="R1189" s="4"/>
    </row>
    <row r="1190">
      <c r="A1190" s="66"/>
      <c r="B1190" s="67"/>
      <c r="K1190" s="4"/>
      <c r="N1190" s="67"/>
      <c r="R1190" s="4"/>
    </row>
    <row r="1191">
      <c r="A1191" s="66"/>
      <c r="B1191" s="67"/>
      <c r="K1191" s="4"/>
      <c r="N1191" s="67"/>
      <c r="R1191" s="4"/>
    </row>
    <row r="1192">
      <c r="A1192" s="66"/>
      <c r="B1192" s="67"/>
      <c r="K1192" s="4"/>
      <c r="N1192" s="67"/>
      <c r="R1192" s="4"/>
    </row>
    <row r="1193">
      <c r="A1193" s="66"/>
      <c r="B1193" s="67"/>
      <c r="K1193" s="4"/>
      <c r="N1193" s="67"/>
      <c r="R1193" s="4"/>
    </row>
    <row r="1194">
      <c r="A1194" s="66"/>
      <c r="B1194" s="67"/>
      <c r="K1194" s="4"/>
      <c r="N1194" s="67"/>
      <c r="R1194" s="4"/>
    </row>
    <row r="1195">
      <c r="A1195" s="66"/>
      <c r="B1195" s="67"/>
      <c r="K1195" s="4"/>
      <c r="N1195" s="67"/>
      <c r="R1195" s="4"/>
    </row>
    <row r="1196">
      <c r="A1196" s="66"/>
      <c r="B1196" s="67"/>
      <c r="K1196" s="4"/>
      <c r="N1196" s="67"/>
      <c r="R1196" s="4"/>
    </row>
    <row r="1197">
      <c r="A1197" s="66"/>
      <c r="B1197" s="67"/>
      <c r="K1197" s="4"/>
      <c r="N1197" s="67"/>
      <c r="R1197" s="4"/>
    </row>
    <row r="1198">
      <c r="A1198" s="66"/>
      <c r="B1198" s="67"/>
      <c r="K1198" s="4"/>
      <c r="N1198" s="67"/>
      <c r="R1198" s="4"/>
    </row>
    <row r="1199">
      <c r="A1199" s="66"/>
      <c r="B1199" s="67"/>
      <c r="K1199" s="4"/>
      <c r="N1199" s="67"/>
      <c r="R1199" s="4"/>
    </row>
    <row r="1200">
      <c r="A1200" s="66"/>
      <c r="B1200" s="67"/>
      <c r="K1200" s="4"/>
      <c r="N1200" s="67"/>
      <c r="R1200" s="4"/>
    </row>
    <row r="1201">
      <c r="A1201" s="66"/>
      <c r="B1201" s="67"/>
      <c r="K1201" s="4"/>
      <c r="N1201" s="67"/>
      <c r="R1201" s="4"/>
    </row>
    <row r="1202">
      <c r="A1202" s="66"/>
      <c r="B1202" s="67"/>
      <c r="K1202" s="4"/>
      <c r="N1202" s="67"/>
      <c r="R1202" s="4"/>
    </row>
    <row r="1203">
      <c r="A1203" s="66"/>
      <c r="B1203" s="67"/>
      <c r="K1203" s="4"/>
      <c r="N1203" s="67"/>
      <c r="R1203" s="4"/>
    </row>
    <row r="1204">
      <c r="A1204" s="66"/>
      <c r="B1204" s="67"/>
      <c r="K1204" s="4"/>
      <c r="N1204" s="67"/>
      <c r="R1204" s="4"/>
    </row>
    <row r="1205">
      <c r="A1205" s="66"/>
      <c r="B1205" s="67"/>
      <c r="K1205" s="4"/>
      <c r="N1205" s="67"/>
      <c r="R1205" s="4"/>
    </row>
    <row r="1206">
      <c r="A1206" s="66"/>
      <c r="B1206" s="67"/>
      <c r="K1206" s="4"/>
      <c r="N1206" s="67"/>
      <c r="R1206" s="4"/>
    </row>
    <row r="1207">
      <c r="A1207" s="66"/>
      <c r="B1207" s="67"/>
      <c r="K1207" s="4"/>
      <c r="N1207" s="67"/>
      <c r="R1207" s="4"/>
    </row>
    <row r="1208">
      <c r="A1208" s="66"/>
      <c r="B1208" s="67"/>
      <c r="K1208" s="4"/>
      <c r="N1208" s="67"/>
      <c r="R1208" s="4"/>
    </row>
    <row r="1209">
      <c r="A1209" s="66"/>
      <c r="B1209" s="67"/>
      <c r="K1209" s="4"/>
      <c r="N1209" s="67"/>
      <c r="R1209" s="4"/>
    </row>
    <row r="1210">
      <c r="A1210" s="66"/>
      <c r="B1210" s="67"/>
      <c r="K1210" s="4"/>
      <c r="N1210" s="67"/>
      <c r="R1210" s="4"/>
    </row>
    <row r="1211">
      <c r="A1211" s="66"/>
      <c r="B1211" s="67"/>
      <c r="K1211" s="4"/>
      <c r="N1211" s="67"/>
      <c r="R1211" s="4"/>
    </row>
    <row r="1212">
      <c r="A1212" s="66"/>
      <c r="B1212" s="67"/>
      <c r="K1212" s="4"/>
      <c r="N1212" s="67"/>
      <c r="R1212" s="4"/>
    </row>
    <row r="1213">
      <c r="A1213" s="66"/>
      <c r="B1213" s="67"/>
      <c r="K1213" s="4"/>
      <c r="N1213" s="67"/>
      <c r="R1213" s="4"/>
    </row>
    <row r="1214">
      <c r="A1214" s="66"/>
      <c r="B1214" s="67"/>
      <c r="K1214" s="4"/>
      <c r="N1214" s="67"/>
      <c r="R1214" s="4"/>
    </row>
    <row r="1215">
      <c r="A1215" s="66"/>
      <c r="B1215" s="67"/>
      <c r="K1215" s="4"/>
      <c r="N1215" s="67"/>
      <c r="R1215" s="4"/>
    </row>
    <row r="1216">
      <c r="A1216" s="66"/>
      <c r="B1216" s="67"/>
      <c r="K1216" s="4"/>
      <c r="N1216" s="67"/>
      <c r="R1216" s="4"/>
    </row>
    <row r="1217">
      <c r="A1217" s="66"/>
      <c r="B1217" s="67"/>
      <c r="K1217" s="4"/>
      <c r="N1217" s="67"/>
      <c r="R1217" s="4"/>
    </row>
    <row r="1218">
      <c r="A1218" s="66"/>
      <c r="B1218" s="67"/>
      <c r="K1218" s="4"/>
      <c r="N1218" s="67"/>
      <c r="R1218" s="4"/>
    </row>
    <row r="1219">
      <c r="A1219" s="66"/>
      <c r="B1219" s="67"/>
      <c r="K1219" s="4"/>
      <c r="N1219" s="67"/>
      <c r="R1219" s="4"/>
    </row>
    <row r="1220">
      <c r="A1220" s="66"/>
      <c r="B1220" s="67"/>
      <c r="K1220" s="4"/>
      <c r="N1220" s="67"/>
      <c r="R1220" s="4"/>
    </row>
    <row r="1221">
      <c r="A1221" s="66"/>
      <c r="B1221" s="67"/>
      <c r="K1221" s="4"/>
      <c r="N1221" s="67"/>
      <c r="R1221" s="4"/>
    </row>
    <row r="1222">
      <c r="A1222" s="66"/>
      <c r="B1222" s="67"/>
      <c r="K1222" s="4"/>
      <c r="N1222" s="67"/>
      <c r="R1222" s="4"/>
    </row>
    <row r="1223">
      <c r="A1223" s="66"/>
      <c r="B1223" s="67"/>
      <c r="K1223" s="4"/>
      <c r="N1223" s="67"/>
      <c r="R1223" s="4"/>
    </row>
    <row r="1224">
      <c r="A1224" s="66"/>
      <c r="B1224" s="67"/>
      <c r="K1224" s="4"/>
      <c r="N1224" s="67"/>
      <c r="R1224" s="4"/>
    </row>
    <row r="1225">
      <c r="A1225" s="66"/>
      <c r="B1225" s="67"/>
      <c r="K1225" s="4"/>
      <c r="N1225" s="67"/>
      <c r="R1225" s="4"/>
    </row>
    <row r="1226">
      <c r="A1226" s="66"/>
      <c r="B1226" s="67"/>
      <c r="K1226" s="4"/>
      <c r="N1226" s="67"/>
      <c r="R1226" s="4"/>
    </row>
    <row r="1227">
      <c r="A1227" s="66"/>
      <c r="B1227" s="67"/>
      <c r="K1227" s="4"/>
      <c r="N1227" s="67"/>
      <c r="R1227" s="4"/>
    </row>
    <row r="1228">
      <c r="A1228" s="66"/>
      <c r="B1228" s="67"/>
      <c r="K1228" s="4"/>
      <c r="N1228" s="67"/>
      <c r="R1228" s="4"/>
    </row>
    <row r="1229">
      <c r="A1229" s="66"/>
      <c r="B1229" s="67"/>
      <c r="K1229" s="4"/>
      <c r="N1229" s="67"/>
      <c r="R1229" s="4"/>
    </row>
    <row r="1230">
      <c r="A1230" s="66"/>
      <c r="B1230" s="67"/>
      <c r="K1230" s="4"/>
      <c r="N1230" s="67"/>
      <c r="R1230" s="4"/>
    </row>
    <row r="1231">
      <c r="A1231" s="66"/>
      <c r="B1231" s="67"/>
      <c r="K1231" s="4"/>
      <c r="N1231" s="67"/>
      <c r="R1231" s="4"/>
    </row>
    <row r="1232">
      <c r="A1232" s="66"/>
      <c r="B1232" s="67"/>
      <c r="K1232" s="4"/>
      <c r="N1232" s="67"/>
      <c r="R1232" s="4"/>
    </row>
    <row r="1233">
      <c r="A1233" s="66"/>
      <c r="B1233" s="67"/>
      <c r="K1233" s="4"/>
      <c r="N1233" s="67"/>
      <c r="R1233" s="4"/>
    </row>
    <row r="1234">
      <c r="A1234" s="66"/>
      <c r="B1234" s="67"/>
      <c r="K1234" s="4"/>
      <c r="N1234" s="67"/>
      <c r="R1234" s="4"/>
    </row>
    <row r="1235">
      <c r="A1235" s="66"/>
      <c r="B1235" s="67"/>
      <c r="K1235" s="4"/>
      <c r="N1235" s="67"/>
      <c r="R1235" s="4"/>
    </row>
    <row r="1236">
      <c r="A1236" s="66"/>
      <c r="B1236" s="67"/>
      <c r="K1236" s="4"/>
      <c r="N1236" s="67"/>
      <c r="R1236" s="4"/>
    </row>
    <row r="1237">
      <c r="A1237" s="66"/>
      <c r="B1237" s="67"/>
      <c r="K1237" s="4"/>
      <c r="N1237" s="67"/>
      <c r="R1237" s="4"/>
    </row>
    <row r="1238">
      <c r="A1238" s="66"/>
      <c r="B1238" s="67"/>
      <c r="K1238" s="4"/>
      <c r="N1238" s="67"/>
      <c r="R1238" s="4"/>
    </row>
    <row r="1239">
      <c r="A1239" s="66"/>
      <c r="B1239" s="67"/>
      <c r="K1239" s="4"/>
      <c r="N1239" s="67"/>
      <c r="R1239" s="4"/>
    </row>
    <row r="1240">
      <c r="A1240" s="66"/>
      <c r="B1240" s="67"/>
      <c r="K1240" s="4"/>
      <c r="N1240" s="67"/>
      <c r="R1240" s="4"/>
    </row>
    <row r="1241">
      <c r="A1241" s="66"/>
      <c r="B1241" s="67"/>
      <c r="K1241" s="4"/>
      <c r="N1241" s="67"/>
      <c r="R1241" s="4"/>
    </row>
    <row r="1242">
      <c r="A1242" s="66"/>
      <c r="B1242" s="67"/>
      <c r="K1242" s="4"/>
      <c r="N1242" s="67"/>
      <c r="R1242" s="4"/>
    </row>
    <row r="1243">
      <c r="A1243" s="66"/>
      <c r="B1243" s="67"/>
      <c r="K1243" s="4"/>
      <c r="N1243" s="67"/>
      <c r="R1243" s="4"/>
    </row>
    <row r="1244">
      <c r="A1244" s="66"/>
      <c r="B1244" s="67"/>
      <c r="K1244" s="4"/>
      <c r="N1244" s="67"/>
      <c r="R1244" s="4"/>
    </row>
    <row r="1245">
      <c r="A1245" s="66"/>
      <c r="B1245" s="67"/>
      <c r="K1245" s="4"/>
      <c r="N1245" s="67"/>
      <c r="R1245" s="4"/>
    </row>
    <row r="1246">
      <c r="A1246" s="66"/>
      <c r="B1246" s="67"/>
      <c r="K1246" s="4"/>
      <c r="N1246" s="67"/>
      <c r="R1246" s="4"/>
    </row>
    <row r="1247">
      <c r="A1247" s="66"/>
      <c r="B1247" s="67"/>
      <c r="K1247" s="4"/>
      <c r="N1247" s="67"/>
      <c r="R1247" s="4"/>
    </row>
    <row r="1248">
      <c r="A1248" s="66"/>
      <c r="B1248" s="67"/>
      <c r="K1248" s="4"/>
      <c r="N1248" s="67"/>
      <c r="R1248" s="4"/>
    </row>
    <row r="1249">
      <c r="A1249" s="66"/>
      <c r="B1249" s="67"/>
      <c r="K1249" s="4"/>
      <c r="N1249" s="67"/>
      <c r="R1249" s="4"/>
    </row>
    <row r="1250">
      <c r="A1250" s="66"/>
      <c r="B1250" s="67"/>
      <c r="K1250" s="4"/>
      <c r="N1250" s="67"/>
      <c r="R1250" s="4"/>
    </row>
    <row r="1251">
      <c r="A1251" s="66"/>
      <c r="B1251" s="67"/>
      <c r="K1251" s="4"/>
      <c r="N1251" s="67"/>
      <c r="R1251" s="4"/>
    </row>
    <row r="1252">
      <c r="A1252" s="66"/>
      <c r="B1252" s="67"/>
      <c r="K1252" s="4"/>
      <c r="N1252" s="67"/>
      <c r="R1252" s="4"/>
    </row>
    <row r="1253">
      <c r="A1253" s="66"/>
      <c r="B1253" s="67"/>
      <c r="K1253" s="4"/>
      <c r="N1253" s="67"/>
      <c r="R1253" s="4"/>
    </row>
    <row r="1254">
      <c r="A1254" s="66"/>
      <c r="B1254" s="67"/>
      <c r="K1254" s="4"/>
      <c r="N1254" s="67"/>
      <c r="R1254" s="4"/>
    </row>
    <row r="1255">
      <c r="A1255" s="66"/>
      <c r="B1255" s="67"/>
      <c r="K1255" s="4"/>
      <c r="N1255" s="67"/>
      <c r="R1255" s="4"/>
    </row>
    <row r="1256">
      <c r="A1256" s="66"/>
      <c r="B1256" s="67"/>
      <c r="K1256" s="4"/>
      <c r="N1256" s="67"/>
      <c r="R1256" s="4"/>
    </row>
    <row r="1257">
      <c r="A1257" s="66"/>
      <c r="B1257" s="67"/>
      <c r="K1257" s="4"/>
      <c r="N1257" s="67"/>
      <c r="R1257" s="4"/>
    </row>
    <row r="1258">
      <c r="A1258" s="66"/>
      <c r="B1258" s="67"/>
      <c r="K1258" s="4"/>
      <c r="N1258" s="67"/>
      <c r="R1258" s="4"/>
    </row>
    <row r="1259">
      <c r="A1259" s="66"/>
      <c r="B1259" s="67"/>
      <c r="K1259" s="4"/>
      <c r="N1259" s="67"/>
      <c r="R1259" s="4"/>
    </row>
    <row r="1260">
      <c r="A1260" s="66"/>
      <c r="B1260" s="67"/>
      <c r="K1260" s="4"/>
      <c r="N1260" s="67"/>
      <c r="R1260" s="4"/>
    </row>
    <row r="1261">
      <c r="A1261" s="66"/>
      <c r="B1261" s="67"/>
      <c r="K1261" s="4"/>
      <c r="N1261" s="67"/>
      <c r="R1261" s="4"/>
    </row>
    <row r="1262">
      <c r="A1262" s="66"/>
      <c r="B1262" s="67"/>
      <c r="K1262" s="4"/>
      <c r="N1262" s="67"/>
      <c r="R1262" s="4"/>
    </row>
    <row r="1263">
      <c r="A1263" s="66"/>
      <c r="B1263" s="67"/>
      <c r="K1263" s="4"/>
      <c r="N1263" s="67"/>
      <c r="R1263" s="4"/>
    </row>
    <row r="1264">
      <c r="A1264" s="66"/>
      <c r="B1264" s="67"/>
      <c r="K1264" s="4"/>
      <c r="N1264" s="67"/>
      <c r="R1264" s="4"/>
    </row>
    <row r="1265">
      <c r="A1265" s="66"/>
      <c r="B1265" s="67"/>
      <c r="K1265" s="4"/>
      <c r="N1265" s="67"/>
      <c r="R1265" s="4"/>
    </row>
    <row r="1266">
      <c r="A1266" s="66"/>
      <c r="B1266" s="67"/>
      <c r="K1266" s="4"/>
      <c r="N1266" s="67"/>
      <c r="R1266" s="4"/>
    </row>
    <row r="1267">
      <c r="A1267" s="66"/>
      <c r="B1267" s="67"/>
      <c r="K1267" s="4"/>
      <c r="N1267" s="67"/>
      <c r="R1267" s="4"/>
    </row>
    <row r="1268">
      <c r="A1268" s="66"/>
      <c r="B1268" s="67"/>
      <c r="K1268" s="4"/>
      <c r="N1268" s="67"/>
      <c r="R1268" s="4"/>
    </row>
    <row r="1269">
      <c r="A1269" s="66"/>
      <c r="B1269" s="67"/>
      <c r="K1269" s="4"/>
      <c r="N1269" s="67"/>
      <c r="R1269" s="4"/>
    </row>
    <row r="1270">
      <c r="A1270" s="66"/>
      <c r="B1270" s="67"/>
      <c r="K1270" s="4"/>
      <c r="N1270" s="67"/>
      <c r="R1270" s="4"/>
    </row>
    <row r="1271">
      <c r="A1271" s="66"/>
      <c r="B1271" s="67"/>
      <c r="K1271" s="4"/>
      <c r="N1271" s="67"/>
      <c r="R1271" s="4"/>
    </row>
    <row r="1272">
      <c r="A1272" s="66"/>
      <c r="B1272" s="67"/>
      <c r="K1272" s="4"/>
      <c r="N1272" s="67"/>
      <c r="R1272" s="4"/>
    </row>
    <row r="1273">
      <c r="A1273" s="66"/>
      <c r="B1273" s="67"/>
      <c r="K1273" s="4"/>
      <c r="N1273" s="67"/>
      <c r="R1273" s="4"/>
    </row>
    <row r="1274">
      <c r="A1274" s="66"/>
      <c r="B1274" s="67"/>
      <c r="K1274" s="4"/>
      <c r="N1274" s="67"/>
      <c r="R1274" s="4"/>
    </row>
    <row r="1275">
      <c r="A1275" s="66"/>
      <c r="B1275" s="67"/>
      <c r="K1275" s="4"/>
      <c r="N1275" s="67"/>
      <c r="R1275" s="4"/>
    </row>
    <row r="1276">
      <c r="A1276" s="66"/>
      <c r="B1276" s="67"/>
      <c r="K1276" s="4"/>
      <c r="N1276" s="67"/>
      <c r="R1276" s="4"/>
    </row>
    <row r="1277">
      <c r="A1277" s="66"/>
      <c r="B1277" s="67"/>
      <c r="K1277" s="4"/>
      <c r="N1277" s="67"/>
      <c r="R1277" s="4"/>
    </row>
    <row r="1278">
      <c r="A1278" s="66"/>
      <c r="B1278" s="67"/>
      <c r="K1278" s="4"/>
      <c r="N1278" s="67"/>
      <c r="R1278" s="4"/>
    </row>
    <row r="1279">
      <c r="A1279" s="66"/>
      <c r="B1279" s="67"/>
      <c r="K1279" s="4"/>
      <c r="N1279" s="67"/>
      <c r="R1279" s="4"/>
    </row>
    <row r="1280">
      <c r="A1280" s="66"/>
      <c r="B1280" s="67"/>
      <c r="K1280" s="4"/>
      <c r="N1280" s="67"/>
      <c r="R1280" s="4"/>
    </row>
    <row r="1281">
      <c r="A1281" s="66"/>
      <c r="B1281" s="67"/>
      <c r="K1281" s="4"/>
      <c r="N1281" s="67"/>
      <c r="R1281" s="4"/>
    </row>
    <row r="1282">
      <c r="A1282" s="66"/>
      <c r="B1282" s="67"/>
      <c r="K1282" s="4"/>
      <c r="N1282" s="67"/>
      <c r="R1282" s="4"/>
    </row>
    <row r="1283">
      <c r="A1283" s="66"/>
      <c r="B1283" s="67"/>
      <c r="K1283" s="4"/>
      <c r="N1283" s="67"/>
      <c r="R1283" s="4"/>
    </row>
    <row r="1284">
      <c r="A1284" s="66"/>
      <c r="B1284" s="67"/>
      <c r="K1284" s="4"/>
      <c r="N1284" s="67"/>
      <c r="R1284" s="4"/>
    </row>
    <row r="1285">
      <c r="A1285" s="66"/>
      <c r="B1285" s="67"/>
      <c r="K1285" s="4"/>
      <c r="N1285" s="67"/>
      <c r="R1285" s="4"/>
    </row>
    <row r="1286">
      <c r="A1286" s="66"/>
      <c r="B1286" s="67"/>
      <c r="K1286" s="4"/>
      <c r="N1286" s="67"/>
      <c r="R1286" s="4"/>
    </row>
    <row r="1287">
      <c r="A1287" s="66"/>
      <c r="B1287" s="67"/>
      <c r="K1287" s="4"/>
      <c r="N1287" s="67"/>
      <c r="R1287" s="4"/>
    </row>
    <row r="1288">
      <c r="A1288" s="66"/>
      <c r="B1288" s="67"/>
      <c r="K1288" s="4"/>
      <c r="N1288" s="67"/>
      <c r="R1288" s="4"/>
    </row>
    <row r="1289">
      <c r="A1289" s="66"/>
      <c r="B1289" s="67"/>
      <c r="K1289" s="4"/>
      <c r="N1289" s="67"/>
      <c r="R1289" s="4"/>
    </row>
    <row r="1290">
      <c r="A1290" s="66"/>
      <c r="B1290" s="67"/>
      <c r="K1290" s="4"/>
      <c r="N1290" s="67"/>
      <c r="R1290" s="4"/>
    </row>
    <row r="1291">
      <c r="A1291" s="66"/>
      <c r="B1291" s="67"/>
      <c r="K1291" s="4"/>
      <c r="N1291" s="67"/>
      <c r="R1291" s="4"/>
    </row>
    <row r="1292">
      <c r="A1292" s="66"/>
      <c r="B1292" s="67"/>
      <c r="K1292" s="4"/>
      <c r="N1292" s="67"/>
      <c r="R1292" s="4"/>
    </row>
    <row r="1293">
      <c r="A1293" s="66"/>
      <c r="B1293" s="67"/>
      <c r="K1293" s="4"/>
      <c r="N1293" s="67"/>
      <c r="R1293" s="4"/>
    </row>
    <row r="1294">
      <c r="A1294" s="66"/>
      <c r="B1294" s="67"/>
      <c r="K1294" s="4"/>
      <c r="N1294" s="67"/>
      <c r="R1294" s="4"/>
    </row>
    <row r="1295">
      <c r="A1295" s="66"/>
      <c r="B1295" s="67"/>
      <c r="K1295" s="4"/>
      <c r="N1295" s="67"/>
      <c r="R1295" s="4"/>
    </row>
    <row r="1296">
      <c r="A1296" s="66"/>
      <c r="B1296" s="67"/>
      <c r="K1296" s="4"/>
      <c r="N1296" s="67"/>
      <c r="R1296" s="4"/>
    </row>
    <row r="1297">
      <c r="A1297" s="66"/>
      <c r="B1297" s="67"/>
      <c r="K1297" s="4"/>
      <c r="N1297" s="67"/>
      <c r="R1297" s="4"/>
    </row>
    <row r="1298">
      <c r="A1298" s="66"/>
      <c r="B1298" s="67"/>
      <c r="K1298" s="4"/>
      <c r="N1298" s="67"/>
      <c r="R1298" s="4"/>
    </row>
    <row r="1299">
      <c r="A1299" s="66"/>
      <c r="B1299" s="67"/>
      <c r="K1299" s="4"/>
      <c r="N1299" s="67"/>
      <c r="R1299" s="4"/>
    </row>
    <row r="1300">
      <c r="A1300" s="66"/>
      <c r="B1300" s="67"/>
      <c r="K1300" s="4"/>
      <c r="N1300" s="67"/>
      <c r="R1300" s="4"/>
    </row>
    <row r="1301">
      <c r="A1301" s="66"/>
      <c r="B1301" s="67"/>
      <c r="K1301" s="4"/>
      <c r="N1301" s="67"/>
      <c r="R1301" s="4"/>
    </row>
    <row r="1302">
      <c r="A1302" s="66"/>
      <c r="B1302" s="67"/>
      <c r="K1302" s="4"/>
      <c r="N1302" s="67"/>
      <c r="R1302" s="4"/>
    </row>
    <row r="1303">
      <c r="A1303" s="66"/>
      <c r="B1303" s="67"/>
      <c r="K1303" s="4"/>
      <c r="N1303" s="67"/>
      <c r="R1303" s="4"/>
    </row>
    <row r="1304">
      <c r="A1304" s="66"/>
      <c r="B1304" s="67"/>
      <c r="K1304" s="4"/>
      <c r="N1304" s="67"/>
      <c r="R1304" s="4"/>
    </row>
    <row r="1305">
      <c r="A1305" s="66"/>
      <c r="B1305" s="67"/>
      <c r="K1305" s="4"/>
      <c r="N1305" s="67"/>
      <c r="R1305" s="4"/>
    </row>
    <row r="1306">
      <c r="A1306" s="66"/>
      <c r="B1306" s="67"/>
      <c r="K1306" s="4"/>
      <c r="N1306" s="67"/>
      <c r="R1306" s="4"/>
    </row>
    <row r="1307">
      <c r="A1307" s="66"/>
      <c r="B1307" s="67"/>
      <c r="K1307" s="4"/>
      <c r="N1307" s="67"/>
      <c r="R1307" s="4"/>
    </row>
    <row r="1308">
      <c r="A1308" s="66"/>
      <c r="B1308" s="67"/>
      <c r="K1308" s="4"/>
      <c r="N1308" s="67"/>
      <c r="R1308" s="4"/>
    </row>
    <row r="1309">
      <c r="A1309" s="66"/>
      <c r="B1309" s="67"/>
      <c r="K1309" s="4"/>
      <c r="N1309" s="67"/>
      <c r="R1309" s="4"/>
    </row>
    <row r="1310">
      <c r="A1310" s="66"/>
      <c r="B1310" s="67"/>
      <c r="K1310" s="4"/>
      <c r="N1310" s="67"/>
      <c r="R1310" s="4"/>
    </row>
    <row r="1311">
      <c r="A1311" s="66"/>
      <c r="B1311" s="67"/>
      <c r="K1311" s="4"/>
      <c r="N1311" s="67"/>
      <c r="R1311" s="4"/>
    </row>
    <row r="1312">
      <c r="A1312" s="66"/>
      <c r="B1312" s="67"/>
      <c r="K1312" s="4"/>
      <c r="N1312" s="67"/>
      <c r="R1312" s="4"/>
    </row>
    <row r="1313">
      <c r="A1313" s="66"/>
      <c r="B1313" s="67"/>
      <c r="K1313" s="4"/>
      <c r="N1313" s="67"/>
      <c r="R1313" s="4"/>
    </row>
    <row r="1314">
      <c r="A1314" s="66"/>
      <c r="B1314" s="67"/>
      <c r="K1314" s="4"/>
      <c r="N1314" s="67"/>
      <c r="R1314" s="4"/>
    </row>
    <row r="1315">
      <c r="A1315" s="66"/>
      <c r="B1315" s="67"/>
      <c r="K1315" s="4"/>
      <c r="N1315" s="67"/>
      <c r="R1315" s="4"/>
    </row>
    <row r="1316">
      <c r="A1316" s="66"/>
      <c r="B1316" s="67"/>
      <c r="K1316" s="4"/>
      <c r="N1316" s="67"/>
      <c r="R1316" s="4"/>
    </row>
    <row r="1317">
      <c r="A1317" s="66"/>
      <c r="B1317" s="67"/>
      <c r="K1317" s="4"/>
      <c r="N1317" s="67"/>
      <c r="R1317" s="4"/>
    </row>
    <row r="1318">
      <c r="A1318" s="66"/>
      <c r="B1318" s="67"/>
      <c r="K1318" s="4"/>
      <c r="N1318" s="67"/>
      <c r="R1318" s="4"/>
    </row>
    <row r="1319">
      <c r="A1319" s="66"/>
      <c r="B1319" s="67"/>
      <c r="K1319" s="4"/>
      <c r="N1319" s="67"/>
      <c r="R1319" s="4"/>
    </row>
    <row r="1320">
      <c r="A1320" s="66"/>
      <c r="B1320" s="67"/>
      <c r="K1320" s="4"/>
      <c r="N1320" s="67"/>
      <c r="R1320" s="4"/>
    </row>
    <row r="1321">
      <c r="A1321" s="66"/>
      <c r="B1321" s="67"/>
      <c r="K1321" s="4"/>
      <c r="N1321" s="67"/>
      <c r="R1321" s="4"/>
    </row>
    <row r="1322">
      <c r="A1322" s="66"/>
      <c r="B1322" s="67"/>
      <c r="K1322" s="4"/>
      <c r="N1322" s="67"/>
      <c r="R1322" s="4"/>
    </row>
    <row r="1323">
      <c r="A1323" s="66"/>
      <c r="B1323" s="67"/>
      <c r="K1323" s="4"/>
      <c r="N1323" s="67"/>
      <c r="R1323" s="4"/>
    </row>
    <row r="1324">
      <c r="A1324" s="66"/>
      <c r="B1324" s="67"/>
      <c r="K1324" s="4"/>
      <c r="N1324" s="67"/>
      <c r="R1324" s="4"/>
    </row>
    <row r="1325">
      <c r="A1325" s="66"/>
      <c r="B1325" s="67"/>
      <c r="K1325" s="4"/>
      <c r="N1325" s="67"/>
      <c r="R1325" s="4"/>
    </row>
    <row r="1326">
      <c r="A1326" s="66"/>
      <c r="B1326" s="67"/>
      <c r="K1326" s="4"/>
      <c r="N1326" s="67"/>
      <c r="R1326" s="4"/>
    </row>
    <row r="1327">
      <c r="A1327" s="66"/>
      <c r="B1327" s="67"/>
      <c r="K1327" s="4"/>
      <c r="N1327" s="67"/>
      <c r="R1327" s="4"/>
    </row>
    <row r="1328">
      <c r="A1328" s="66"/>
      <c r="B1328" s="67"/>
      <c r="K1328" s="4"/>
      <c r="N1328" s="67"/>
      <c r="R1328" s="4"/>
    </row>
    <row r="1329">
      <c r="A1329" s="66"/>
      <c r="B1329" s="67"/>
      <c r="K1329" s="4"/>
      <c r="N1329" s="67"/>
      <c r="R1329" s="4"/>
    </row>
    <row r="1330">
      <c r="A1330" s="66"/>
      <c r="B1330" s="67"/>
      <c r="K1330" s="4"/>
      <c r="N1330" s="67"/>
      <c r="R1330" s="4"/>
    </row>
    <row r="1331">
      <c r="A1331" s="66"/>
      <c r="B1331" s="67"/>
      <c r="K1331" s="4"/>
      <c r="N1331" s="67"/>
      <c r="R1331" s="4"/>
    </row>
    <row r="1332">
      <c r="A1332" s="66"/>
      <c r="B1332" s="67"/>
      <c r="K1332" s="4"/>
      <c r="N1332" s="67"/>
      <c r="R1332" s="4"/>
    </row>
    <row r="1333">
      <c r="A1333" s="66"/>
      <c r="B1333" s="67"/>
      <c r="K1333" s="4"/>
      <c r="N1333" s="67"/>
      <c r="R1333" s="4"/>
    </row>
    <row r="1334">
      <c r="A1334" s="66"/>
      <c r="B1334" s="67"/>
      <c r="K1334" s="4"/>
      <c r="N1334" s="67"/>
      <c r="R1334" s="4"/>
    </row>
    <row r="1335">
      <c r="A1335" s="66"/>
      <c r="B1335" s="67"/>
      <c r="K1335" s="4"/>
      <c r="N1335" s="67"/>
      <c r="R1335" s="4"/>
    </row>
    <row r="1336">
      <c r="A1336" s="66"/>
      <c r="B1336" s="67"/>
      <c r="K1336" s="4"/>
      <c r="N1336" s="67"/>
      <c r="R1336" s="4"/>
    </row>
    <row r="1337">
      <c r="A1337" s="66"/>
      <c r="B1337" s="67"/>
      <c r="K1337" s="4"/>
      <c r="N1337" s="67"/>
      <c r="R1337" s="4"/>
    </row>
    <row r="1338">
      <c r="A1338" s="66"/>
      <c r="B1338" s="67"/>
      <c r="K1338" s="4"/>
      <c r="N1338" s="67"/>
      <c r="R1338" s="4"/>
    </row>
    <row r="1339">
      <c r="A1339" s="66"/>
      <c r="B1339" s="67"/>
      <c r="K1339" s="4"/>
      <c r="N1339" s="67"/>
      <c r="R1339" s="4"/>
    </row>
    <row r="1340">
      <c r="A1340" s="66"/>
      <c r="B1340" s="67"/>
      <c r="K1340" s="4"/>
      <c r="N1340" s="67"/>
      <c r="R1340" s="4"/>
    </row>
    <row r="1341">
      <c r="A1341" s="66"/>
      <c r="B1341" s="67"/>
      <c r="K1341" s="4"/>
      <c r="N1341" s="67"/>
      <c r="R1341" s="4"/>
    </row>
    <row r="1342">
      <c r="A1342" s="66"/>
      <c r="B1342" s="67"/>
      <c r="K1342" s="4"/>
      <c r="N1342" s="67"/>
      <c r="R1342" s="4"/>
    </row>
    <row r="1343">
      <c r="A1343" s="66"/>
      <c r="B1343" s="67"/>
      <c r="K1343" s="4"/>
      <c r="N1343" s="67"/>
      <c r="R1343" s="4"/>
    </row>
    <row r="1344">
      <c r="A1344" s="66"/>
      <c r="B1344" s="67"/>
      <c r="K1344" s="4"/>
      <c r="N1344" s="67"/>
      <c r="R1344" s="4"/>
    </row>
    <row r="1345">
      <c r="A1345" s="66"/>
      <c r="B1345" s="67"/>
      <c r="K1345" s="4"/>
      <c r="N1345" s="67"/>
      <c r="R1345" s="4"/>
    </row>
    <row r="1346">
      <c r="A1346" s="66"/>
      <c r="B1346" s="67"/>
      <c r="K1346" s="4"/>
      <c r="N1346" s="67"/>
      <c r="R1346" s="4"/>
    </row>
    <row r="1347">
      <c r="A1347" s="66"/>
      <c r="B1347" s="67"/>
      <c r="K1347" s="4"/>
      <c r="N1347" s="67"/>
      <c r="R1347" s="4"/>
    </row>
    <row r="1348">
      <c r="A1348" s="66"/>
      <c r="B1348" s="67"/>
      <c r="K1348" s="4"/>
      <c r="N1348" s="67"/>
      <c r="R1348" s="4"/>
    </row>
    <row r="1349">
      <c r="A1349" s="66"/>
      <c r="B1349" s="67"/>
      <c r="K1349" s="4"/>
      <c r="N1349" s="67"/>
      <c r="R1349" s="4"/>
    </row>
    <row r="1350">
      <c r="A1350" s="66"/>
      <c r="B1350" s="67"/>
      <c r="K1350" s="4"/>
      <c r="N1350" s="67"/>
      <c r="R1350" s="4"/>
    </row>
    <row r="1351">
      <c r="A1351" s="66"/>
      <c r="B1351" s="67"/>
      <c r="K1351" s="4"/>
      <c r="N1351" s="67"/>
      <c r="R1351" s="4"/>
    </row>
    <row r="1352">
      <c r="A1352" s="66"/>
      <c r="B1352" s="67"/>
      <c r="K1352" s="4"/>
      <c r="N1352" s="67"/>
      <c r="R1352" s="4"/>
    </row>
    <row r="1353">
      <c r="A1353" s="66"/>
      <c r="B1353" s="67"/>
      <c r="K1353" s="4"/>
      <c r="N1353" s="67"/>
      <c r="R1353" s="4"/>
    </row>
    <row r="1354">
      <c r="A1354" s="66"/>
      <c r="B1354" s="67"/>
      <c r="K1354" s="4"/>
      <c r="N1354" s="67"/>
      <c r="R1354" s="4"/>
    </row>
    <row r="1355">
      <c r="A1355" s="66"/>
      <c r="B1355" s="67"/>
      <c r="K1355" s="4"/>
      <c r="N1355" s="67"/>
      <c r="R1355" s="4"/>
    </row>
    <row r="1356">
      <c r="A1356" s="66"/>
      <c r="B1356" s="67"/>
      <c r="K1356" s="4"/>
      <c r="N1356" s="67"/>
      <c r="R1356" s="4"/>
    </row>
    <row r="1357">
      <c r="A1357" s="66"/>
      <c r="B1357" s="67"/>
      <c r="K1357" s="4"/>
      <c r="N1357" s="67"/>
      <c r="R1357" s="4"/>
    </row>
    <row r="1358">
      <c r="A1358" s="66"/>
      <c r="B1358" s="67"/>
      <c r="K1358" s="4"/>
      <c r="N1358" s="67"/>
      <c r="R1358" s="4"/>
    </row>
    <row r="1359">
      <c r="A1359" s="66"/>
      <c r="B1359" s="67"/>
      <c r="K1359" s="4"/>
      <c r="N1359" s="67"/>
      <c r="R1359" s="4"/>
    </row>
    <row r="1360">
      <c r="A1360" s="66"/>
      <c r="B1360" s="67"/>
      <c r="K1360" s="4"/>
      <c r="N1360" s="67"/>
      <c r="R1360" s="4"/>
    </row>
    <row r="1361">
      <c r="A1361" s="66"/>
      <c r="B1361" s="67"/>
      <c r="K1361" s="4"/>
      <c r="N1361" s="67"/>
      <c r="R1361" s="4"/>
    </row>
    <row r="1362">
      <c r="A1362" s="66"/>
      <c r="B1362" s="67"/>
      <c r="K1362" s="4"/>
      <c r="N1362" s="67"/>
      <c r="R1362" s="4"/>
    </row>
    <row r="1363">
      <c r="A1363" s="66"/>
      <c r="B1363" s="67"/>
      <c r="K1363" s="4"/>
      <c r="N1363" s="67"/>
      <c r="R1363" s="4"/>
    </row>
    <row r="1364">
      <c r="A1364" s="66"/>
      <c r="B1364" s="67"/>
      <c r="K1364" s="4"/>
      <c r="N1364" s="67"/>
      <c r="R1364" s="4"/>
    </row>
    <row r="1365">
      <c r="A1365" s="66"/>
      <c r="B1365" s="67"/>
      <c r="K1365" s="4"/>
      <c r="N1365" s="67"/>
      <c r="R1365" s="4"/>
    </row>
    <row r="1366">
      <c r="A1366" s="66"/>
      <c r="B1366" s="67"/>
      <c r="K1366" s="4"/>
      <c r="N1366" s="67"/>
      <c r="R1366" s="4"/>
    </row>
    <row r="1367">
      <c r="A1367" s="66"/>
      <c r="B1367" s="67"/>
      <c r="K1367" s="4"/>
      <c r="N1367" s="67"/>
      <c r="R1367" s="4"/>
    </row>
    <row r="1368">
      <c r="A1368" s="66"/>
      <c r="B1368" s="67"/>
      <c r="K1368" s="4"/>
      <c r="N1368" s="67"/>
      <c r="R1368" s="4"/>
    </row>
    <row r="1369">
      <c r="A1369" s="66"/>
      <c r="B1369" s="67"/>
      <c r="K1369" s="4"/>
      <c r="N1369" s="67"/>
      <c r="R1369" s="4"/>
    </row>
    <row r="1370">
      <c r="A1370" s="66"/>
      <c r="B1370" s="67"/>
      <c r="K1370" s="4"/>
      <c r="N1370" s="67"/>
      <c r="R1370" s="4"/>
    </row>
    <row r="1371">
      <c r="A1371" s="66"/>
      <c r="B1371" s="67"/>
      <c r="K1371" s="4"/>
      <c r="N1371" s="67"/>
      <c r="R1371" s="4"/>
    </row>
    <row r="1372">
      <c r="A1372" s="66"/>
      <c r="B1372" s="67"/>
      <c r="K1372" s="4"/>
      <c r="N1372" s="67"/>
      <c r="R1372" s="4"/>
    </row>
    <row r="1373">
      <c r="A1373" s="66"/>
      <c r="B1373" s="67"/>
      <c r="K1373" s="4"/>
      <c r="N1373" s="67"/>
      <c r="R1373" s="4"/>
    </row>
    <row r="1374">
      <c r="A1374" s="66"/>
      <c r="B1374" s="67"/>
      <c r="K1374" s="4"/>
      <c r="N1374" s="67"/>
      <c r="R1374" s="4"/>
    </row>
    <row r="1375">
      <c r="A1375" s="66"/>
      <c r="B1375" s="67"/>
      <c r="K1375" s="4"/>
      <c r="N1375" s="67"/>
      <c r="R1375" s="4"/>
    </row>
    <row r="1376">
      <c r="A1376" s="66"/>
      <c r="B1376" s="67"/>
      <c r="K1376" s="4"/>
      <c r="N1376" s="67"/>
      <c r="R1376" s="4"/>
    </row>
    <row r="1377">
      <c r="A1377" s="66"/>
      <c r="B1377" s="67"/>
      <c r="K1377" s="4"/>
      <c r="N1377" s="67"/>
      <c r="R1377" s="4"/>
    </row>
    <row r="1378">
      <c r="A1378" s="66"/>
      <c r="B1378" s="67"/>
      <c r="K1378" s="4"/>
      <c r="N1378" s="67"/>
      <c r="R1378" s="4"/>
    </row>
    <row r="1379">
      <c r="A1379" s="66"/>
      <c r="B1379" s="67"/>
      <c r="K1379" s="4"/>
      <c r="N1379" s="67"/>
      <c r="R1379" s="4"/>
    </row>
    <row r="1380">
      <c r="A1380" s="66"/>
      <c r="B1380" s="67"/>
      <c r="K1380" s="4"/>
      <c r="N1380" s="67"/>
      <c r="R1380" s="4"/>
    </row>
    <row r="1381">
      <c r="A1381" s="66"/>
      <c r="B1381" s="67"/>
      <c r="K1381" s="4"/>
      <c r="N1381" s="67"/>
      <c r="R1381" s="4"/>
    </row>
    <row r="1382">
      <c r="A1382" s="66"/>
      <c r="B1382" s="67"/>
      <c r="K1382" s="4"/>
      <c r="N1382" s="67"/>
      <c r="R1382" s="4"/>
    </row>
    <row r="1383">
      <c r="A1383" s="66"/>
      <c r="B1383" s="67"/>
      <c r="K1383" s="4"/>
      <c r="N1383" s="67"/>
      <c r="R1383" s="4"/>
    </row>
    <row r="1384">
      <c r="A1384" s="66"/>
      <c r="B1384" s="67"/>
      <c r="K1384" s="4"/>
      <c r="N1384" s="67"/>
      <c r="R1384" s="4"/>
    </row>
    <row r="1385">
      <c r="A1385" s="66"/>
      <c r="B1385" s="67"/>
      <c r="K1385" s="4"/>
      <c r="N1385" s="67"/>
      <c r="R1385" s="4"/>
    </row>
    <row r="1386">
      <c r="A1386" s="66"/>
      <c r="B1386" s="67"/>
      <c r="K1386" s="4"/>
      <c r="N1386" s="67"/>
      <c r="R1386" s="4"/>
    </row>
    <row r="1387">
      <c r="A1387" s="66"/>
      <c r="B1387" s="67"/>
      <c r="K1387" s="4"/>
      <c r="N1387" s="67"/>
      <c r="R1387" s="4"/>
    </row>
    <row r="1388">
      <c r="A1388" s="66"/>
      <c r="B1388" s="67"/>
      <c r="K1388" s="4"/>
      <c r="N1388" s="67"/>
      <c r="R1388" s="4"/>
    </row>
    <row r="1389">
      <c r="A1389" s="66"/>
      <c r="B1389" s="67"/>
      <c r="K1389" s="4"/>
      <c r="N1389" s="67"/>
      <c r="R1389" s="4"/>
    </row>
    <row r="1390">
      <c r="A1390" s="66"/>
      <c r="B1390" s="67"/>
      <c r="K1390" s="4"/>
      <c r="N1390" s="67"/>
      <c r="R1390" s="4"/>
    </row>
    <row r="1391">
      <c r="A1391" s="66"/>
      <c r="B1391" s="67"/>
      <c r="K1391" s="4"/>
      <c r="N1391" s="67"/>
      <c r="R1391" s="4"/>
    </row>
    <row r="1392">
      <c r="A1392" s="66"/>
      <c r="B1392" s="67"/>
      <c r="K1392" s="4"/>
      <c r="N1392" s="67"/>
      <c r="R1392" s="4"/>
    </row>
    <row r="1393">
      <c r="A1393" s="66"/>
      <c r="B1393" s="67"/>
      <c r="K1393" s="4"/>
      <c r="N1393" s="67"/>
      <c r="R1393" s="4"/>
    </row>
    <row r="1394">
      <c r="A1394" s="66"/>
      <c r="B1394" s="67"/>
      <c r="K1394" s="4"/>
      <c r="N1394" s="67"/>
      <c r="R1394" s="4"/>
    </row>
    <row r="1395">
      <c r="A1395" s="66"/>
      <c r="B1395" s="67"/>
      <c r="K1395" s="4"/>
      <c r="N1395" s="67"/>
      <c r="R1395" s="4"/>
    </row>
    <row r="1396">
      <c r="A1396" s="66"/>
      <c r="B1396" s="67"/>
      <c r="K1396" s="4"/>
      <c r="N1396" s="67"/>
      <c r="R1396" s="4"/>
    </row>
    <row r="1397">
      <c r="A1397" s="66"/>
      <c r="B1397" s="67"/>
      <c r="K1397" s="4"/>
      <c r="N1397" s="67"/>
      <c r="R1397" s="4"/>
    </row>
    <row r="1398">
      <c r="A1398" s="66"/>
      <c r="B1398" s="67"/>
      <c r="K1398" s="4"/>
      <c r="N1398" s="67"/>
      <c r="R1398" s="4"/>
    </row>
    <row r="1399">
      <c r="A1399" s="66"/>
      <c r="B1399" s="67"/>
      <c r="K1399" s="4"/>
      <c r="N1399" s="67"/>
      <c r="R1399" s="4"/>
    </row>
    <row r="1400">
      <c r="A1400" s="66"/>
      <c r="B1400" s="67"/>
      <c r="K1400" s="4"/>
      <c r="N1400" s="67"/>
      <c r="R1400" s="4"/>
    </row>
    <row r="1401">
      <c r="A1401" s="66"/>
      <c r="B1401" s="67"/>
      <c r="K1401" s="4"/>
      <c r="N1401" s="67"/>
      <c r="R1401" s="4"/>
    </row>
    <row r="1402">
      <c r="A1402" s="66"/>
      <c r="B1402" s="67"/>
      <c r="K1402" s="4"/>
      <c r="N1402" s="67"/>
      <c r="R1402" s="4"/>
    </row>
    <row r="1403">
      <c r="A1403" s="66"/>
      <c r="B1403" s="67"/>
      <c r="K1403" s="4"/>
      <c r="N1403" s="67"/>
      <c r="R1403" s="4"/>
    </row>
    <row r="1404">
      <c r="A1404" s="66"/>
      <c r="B1404" s="67"/>
      <c r="K1404" s="4"/>
      <c r="N1404" s="67"/>
      <c r="R1404" s="4"/>
    </row>
    <row r="1405">
      <c r="A1405" s="66"/>
      <c r="B1405" s="67"/>
      <c r="K1405" s="4"/>
      <c r="N1405" s="67"/>
      <c r="R1405" s="4"/>
    </row>
    <row r="1406">
      <c r="A1406" s="66"/>
      <c r="B1406" s="67"/>
      <c r="K1406" s="4"/>
      <c r="N1406" s="67"/>
      <c r="R1406" s="4"/>
    </row>
    <row r="1407">
      <c r="A1407" s="66"/>
      <c r="B1407" s="67"/>
      <c r="K1407" s="4"/>
      <c r="N1407" s="67"/>
      <c r="R1407" s="4"/>
    </row>
    <row r="1408">
      <c r="A1408" s="66"/>
      <c r="B1408" s="67"/>
      <c r="K1408" s="4"/>
      <c r="N1408" s="67"/>
      <c r="R1408" s="4"/>
    </row>
    <row r="1409">
      <c r="A1409" s="66"/>
      <c r="B1409" s="67"/>
      <c r="K1409" s="4"/>
      <c r="N1409" s="67"/>
      <c r="R1409" s="4"/>
    </row>
    <row r="1410">
      <c r="A1410" s="66"/>
      <c r="B1410" s="67"/>
      <c r="K1410" s="4"/>
      <c r="N1410" s="67"/>
      <c r="R1410" s="4"/>
    </row>
    <row r="1411">
      <c r="A1411" s="66"/>
      <c r="B1411" s="67"/>
      <c r="K1411" s="4"/>
      <c r="N1411" s="67"/>
      <c r="R1411" s="4"/>
    </row>
    <row r="1412">
      <c r="A1412" s="66"/>
      <c r="B1412" s="67"/>
      <c r="K1412" s="4"/>
      <c r="N1412" s="67"/>
      <c r="R1412" s="4"/>
    </row>
    <row r="1413">
      <c r="A1413" s="66"/>
      <c r="B1413" s="67"/>
      <c r="K1413" s="4"/>
      <c r="N1413" s="67"/>
      <c r="R1413" s="4"/>
    </row>
    <row r="1414">
      <c r="A1414" s="66"/>
      <c r="B1414" s="67"/>
      <c r="K1414" s="4"/>
      <c r="N1414" s="67"/>
      <c r="R1414" s="4"/>
    </row>
    <row r="1415">
      <c r="A1415" s="66"/>
      <c r="B1415" s="67"/>
      <c r="K1415" s="4"/>
      <c r="N1415" s="67"/>
      <c r="R1415" s="4"/>
    </row>
    <row r="1416">
      <c r="A1416" s="66"/>
      <c r="B1416" s="67"/>
      <c r="K1416" s="4"/>
      <c r="N1416" s="67"/>
      <c r="R1416" s="4"/>
    </row>
    <row r="1417">
      <c r="A1417" s="66"/>
      <c r="B1417" s="67"/>
      <c r="K1417" s="4"/>
      <c r="N1417" s="67"/>
      <c r="R1417" s="4"/>
    </row>
    <row r="1418">
      <c r="A1418" s="66"/>
      <c r="B1418" s="67"/>
      <c r="K1418" s="4"/>
      <c r="N1418" s="67"/>
      <c r="R1418" s="4"/>
    </row>
    <row r="1419">
      <c r="A1419" s="66"/>
      <c r="B1419" s="67"/>
      <c r="K1419" s="4"/>
      <c r="N1419" s="67"/>
      <c r="R1419" s="4"/>
    </row>
    <row r="1420">
      <c r="A1420" s="66"/>
      <c r="B1420" s="67"/>
      <c r="K1420" s="4"/>
      <c r="N1420" s="67"/>
      <c r="R1420" s="4"/>
    </row>
    <row r="1421">
      <c r="A1421" s="66"/>
      <c r="B1421" s="67"/>
      <c r="K1421" s="4"/>
      <c r="N1421" s="67"/>
      <c r="R1421" s="4"/>
    </row>
    <row r="1422">
      <c r="A1422" s="66"/>
      <c r="B1422" s="67"/>
      <c r="K1422" s="4"/>
      <c r="N1422" s="67"/>
      <c r="R1422" s="4"/>
    </row>
    <row r="1423">
      <c r="A1423" s="66"/>
      <c r="B1423" s="67"/>
      <c r="K1423" s="4"/>
      <c r="N1423" s="67"/>
      <c r="R1423" s="4"/>
    </row>
    <row r="1424">
      <c r="A1424" s="66"/>
      <c r="B1424" s="67"/>
      <c r="K1424" s="4"/>
      <c r="N1424" s="67"/>
      <c r="R1424" s="4"/>
    </row>
    <row r="1425">
      <c r="A1425" s="66"/>
      <c r="B1425" s="67"/>
      <c r="K1425" s="4"/>
      <c r="N1425" s="67"/>
      <c r="R1425" s="4"/>
    </row>
    <row r="1426">
      <c r="A1426" s="66"/>
      <c r="B1426" s="67"/>
      <c r="K1426" s="4"/>
      <c r="N1426" s="67"/>
      <c r="R1426" s="4"/>
    </row>
    <row r="1427">
      <c r="A1427" s="66"/>
      <c r="B1427" s="67"/>
      <c r="K1427" s="4"/>
      <c r="N1427" s="67"/>
      <c r="R1427" s="4"/>
    </row>
    <row r="1428">
      <c r="A1428" s="66"/>
      <c r="B1428" s="67"/>
      <c r="K1428" s="4"/>
      <c r="N1428" s="67"/>
      <c r="R1428" s="4"/>
    </row>
    <row r="1429">
      <c r="A1429" s="66"/>
      <c r="B1429" s="67"/>
      <c r="K1429" s="4"/>
      <c r="N1429" s="67"/>
      <c r="R1429" s="4"/>
    </row>
    <row r="1430">
      <c r="A1430" s="66"/>
      <c r="B1430" s="67"/>
      <c r="K1430" s="4"/>
      <c r="N1430" s="67"/>
      <c r="R1430" s="4"/>
    </row>
    <row r="1431">
      <c r="A1431" s="66"/>
      <c r="B1431" s="67"/>
      <c r="K1431" s="4"/>
      <c r="N1431" s="67"/>
      <c r="R1431" s="4"/>
    </row>
    <row r="1432">
      <c r="A1432" s="66"/>
      <c r="B1432" s="67"/>
      <c r="K1432" s="4"/>
      <c r="N1432" s="67"/>
      <c r="R1432" s="4"/>
    </row>
    <row r="1433">
      <c r="A1433" s="66"/>
      <c r="B1433" s="67"/>
      <c r="K1433" s="4"/>
      <c r="N1433" s="67"/>
      <c r="R1433" s="4"/>
    </row>
    <row r="1434">
      <c r="A1434" s="66"/>
      <c r="B1434" s="67"/>
      <c r="K1434" s="4"/>
      <c r="N1434" s="67"/>
      <c r="R1434" s="4"/>
    </row>
    <row r="1435">
      <c r="A1435" s="66"/>
      <c r="B1435" s="67"/>
      <c r="K1435" s="4"/>
      <c r="N1435" s="67"/>
      <c r="R1435" s="4"/>
    </row>
    <row r="1436">
      <c r="A1436" s="66"/>
      <c r="B1436" s="67"/>
      <c r="K1436" s="4"/>
      <c r="N1436" s="67"/>
      <c r="R1436" s="4"/>
    </row>
    <row r="1437">
      <c r="A1437" s="66"/>
      <c r="B1437" s="67"/>
      <c r="K1437" s="4"/>
      <c r="N1437" s="67"/>
      <c r="R1437" s="4"/>
    </row>
    <row r="1438">
      <c r="A1438" s="66"/>
      <c r="B1438" s="67"/>
      <c r="K1438" s="4"/>
      <c r="N1438" s="67"/>
      <c r="R1438" s="4"/>
    </row>
    <row r="1439">
      <c r="A1439" s="66"/>
      <c r="B1439" s="67"/>
      <c r="K1439" s="4"/>
      <c r="N1439" s="67"/>
      <c r="R1439" s="4"/>
    </row>
    <row r="1440">
      <c r="A1440" s="66"/>
      <c r="B1440" s="67"/>
      <c r="K1440" s="4"/>
      <c r="N1440" s="67"/>
      <c r="R1440" s="4"/>
    </row>
    <row r="1441">
      <c r="A1441" s="66"/>
      <c r="B1441" s="67"/>
      <c r="K1441" s="4"/>
      <c r="N1441" s="67"/>
      <c r="R1441" s="4"/>
    </row>
    <row r="1442">
      <c r="A1442" s="66"/>
      <c r="B1442" s="67"/>
      <c r="K1442" s="4"/>
      <c r="N1442" s="67"/>
      <c r="R1442" s="4"/>
    </row>
    <row r="1443">
      <c r="A1443" s="66"/>
      <c r="B1443" s="67"/>
      <c r="K1443" s="4"/>
      <c r="N1443" s="67"/>
      <c r="R1443" s="4"/>
    </row>
    <row r="1444">
      <c r="A1444" s="66"/>
      <c r="B1444" s="67"/>
      <c r="K1444" s="4"/>
      <c r="N1444" s="67"/>
      <c r="R1444" s="4"/>
    </row>
    <row r="1445">
      <c r="A1445" s="66"/>
      <c r="B1445" s="67"/>
      <c r="K1445" s="4"/>
      <c r="N1445" s="67"/>
      <c r="R1445" s="4"/>
    </row>
    <row r="1446">
      <c r="A1446" s="66"/>
      <c r="B1446" s="67"/>
      <c r="K1446" s="4"/>
      <c r="N1446" s="67"/>
      <c r="R1446" s="4"/>
    </row>
    <row r="1447">
      <c r="A1447" s="66"/>
      <c r="B1447" s="67"/>
      <c r="K1447" s="4"/>
      <c r="N1447" s="67"/>
      <c r="R1447" s="4"/>
    </row>
    <row r="1448">
      <c r="A1448" s="66"/>
      <c r="B1448" s="67"/>
      <c r="K1448" s="4"/>
      <c r="N1448" s="67"/>
      <c r="R1448" s="4"/>
    </row>
    <row r="1449">
      <c r="A1449" s="66"/>
      <c r="B1449" s="67"/>
      <c r="K1449" s="4"/>
      <c r="N1449" s="67"/>
      <c r="R1449" s="4"/>
    </row>
    <row r="1450">
      <c r="A1450" s="66"/>
      <c r="B1450" s="67"/>
      <c r="K1450" s="4"/>
      <c r="N1450" s="67"/>
      <c r="R1450" s="4"/>
    </row>
    <row r="1451">
      <c r="A1451" s="66"/>
      <c r="B1451" s="67"/>
      <c r="K1451" s="4"/>
      <c r="N1451" s="67"/>
      <c r="R1451" s="4"/>
    </row>
    <row r="1452">
      <c r="A1452" s="66"/>
      <c r="B1452" s="67"/>
      <c r="K1452" s="4"/>
      <c r="N1452" s="67"/>
      <c r="R1452" s="4"/>
    </row>
    <row r="1453">
      <c r="A1453" s="66"/>
      <c r="B1453" s="67"/>
      <c r="K1453" s="4"/>
      <c r="N1453" s="67"/>
      <c r="R1453" s="4"/>
    </row>
    <row r="1454">
      <c r="A1454" s="66"/>
      <c r="B1454" s="67"/>
      <c r="K1454" s="4"/>
      <c r="N1454" s="67"/>
      <c r="R1454" s="4"/>
    </row>
    <row r="1455">
      <c r="A1455" s="66"/>
      <c r="B1455" s="67"/>
      <c r="K1455" s="4"/>
      <c r="N1455" s="67"/>
      <c r="R1455" s="4"/>
    </row>
    <row r="1456">
      <c r="A1456" s="66"/>
      <c r="B1456" s="67"/>
      <c r="K1456" s="4"/>
      <c r="N1456" s="67"/>
      <c r="R1456" s="4"/>
    </row>
    <row r="1457">
      <c r="A1457" s="66"/>
      <c r="B1457" s="67"/>
      <c r="K1457" s="4"/>
      <c r="N1457" s="67"/>
      <c r="R1457" s="4"/>
    </row>
    <row r="1458">
      <c r="A1458" s="66"/>
      <c r="B1458" s="67"/>
      <c r="K1458" s="4"/>
      <c r="N1458" s="67"/>
      <c r="R1458" s="4"/>
    </row>
    <row r="1459">
      <c r="A1459" s="66"/>
      <c r="B1459" s="67"/>
      <c r="K1459" s="4"/>
      <c r="N1459" s="67"/>
      <c r="R1459" s="4"/>
    </row>
    <row r="1460">
      <c r="A1460" s="66"/>
      <c r="B1460" s="67"/>
      <c r="K1460" s="4"/>
      <c r="N1460" s="67"/>
      <c r="R1460" s="4"/>
    </row>
    <row r="1461">
      <c r="A1461" s="66"/>
      <c r="B1461" s="67"/>
      <c r="K1461" s="4"/>
      <c r="N1461" s="67"/>
      <c r="R1461" s="4"/>
    </row>
    <row r="1462">
      <c r="A1462" s="66"/>
      <c r="B1462" s="67"/>
      <c r="K1462" s="4"/>
      <c r="N1462" s="67"/>
      <c r="R1462" s="4"/>
    </row>
    <row r="1463">
      <c r="A1463" s="66"/>
      <c r="B1463" s="67"/>
      <c r="K1463" s="4"/>
      <c r="N1463" s="67"/>
      <c r="R1463" s="4"/>
    </row>
    <row r="1464">
      <c r="A1464" s="66"/>
      <c r="B1464" s="67"/>
      <c r="K1464" s="4"/>
      <c r="N1464" s="67"/>
      <c r="R1464" s="4"/>
    </row>
    <row r="1465">
      <c r="A1465" s="66"/>
      <c r="B1465" s="67"/>
      <c r="K1465" s="4"/>
      <c r="N1465" s="67"/>
      <c r="R1465" s="4"/>
    </row>
    <row r="1466">
      <c r="A1466" s="66"/>
      <c r="B1466" s="67"/>
      <c r="K1466" s="4"/>
      <c r="N1466" s="67"/>
      <c r="R1466" s="4"/>
    </row>
    <row r="1467">
      <c r="A1467" s="66"/>
      <c r="B1467" s="67"/>
      <c r="K1467" s="4"/>
      <c r="N1467" s="67"/>
      <c r="R1467" s="4"/>
    </row>
    <row r="1468">
      <c r="A1468" s="66"/>
      <c r="B1468" s="67"/>
      <c r="K1468" s="4"/>
      <c r="N1468" s="67"/>
      <c r="R1468" s="4"/>
    </row>
    <row r="1469">
      <c r="A1469" s="66"/>
      <c r="B1469" s="67"/>
      <c r="K1469" s="4"/>
      <c r="N1469" s="67"/>
      <c r="R1469" s="4"/>
    </row>
    <row r="1470">
      <c r="A1470" s="66"/>
      <c r="B1470" s="67"/>
      <c r="K1470" s="4"/>
      <c r="N1470" s="67"/>
      <c r="R1470" s="4"/>
    </row>
    <row r="1471">
      <c r="A1471" s="66"/>
      <c r="B1471" s="67"/>
      <c r="K1471" s="4"/>
      <c r="N1471" s="67"/>
      <c r="R1471" s="4"/>
    </row>
    <row r="1472">
      <c r="A1472" s="66"/>
      <c r="B1472" s="67"/>
      <c r="K1472" s="4"/>
      <c r="N1472" s="67"/>
      <c r="R1472" s="4"/>
    </row>
    <row r="1473">
      <c r="A1473" s="66"/>
      <c r="B1473" s="67"/>
      <c r="K1473" s="4"/>
      <c r="N1473" s="67"/>
      <c r="R1473" s="4"/>
    </row>
    <row r="1474">
      <c r="A1474" s="66"/>
      <c r="B1474" s="67"/>
      <c r="K1474" s="4"/>
      <c r="N1474" s="67"/>
      <c r="R1474" s="4"/>
    </row>
    <row r="1475">
      <c r="A1475" s="66"/>
      <c r="B1475" s="67"/>
      <c r="K1475" s="4"/>
      <c r="N1475" s="67"/>
      <c r="R1475" s="4"/>
    </row>
    <row r="1476">
      <c r="A1476" s="66"/>
      <c r="B1476" s="67"/>
      <c r="K1476" s="4"/>
      <c r="N1476" s="67"/>
      <c r="R1476" s="4"/>
    </row>
    <row r="1477">
      <c r="A1477" s="66"/>
      <c r="B1477" s="67"/>
      <c r="K1477" s="4"/>
      <c r="N1477" s="67"/>
      <c r="R1477" s="4"/>
    </row>
    <row r="1478">
      <c r="A1478" s="66"/>
      <c r="B1478" s="67"/>
      <c r="K1478" s="4"/>
      <c r="N1478" s="67"/>
      <c r="R1478" s="4"/>
    </row>
    <row r="1479">
      <c r="A1479" s="66"/>
      <c r="B1479" s="67"/>
      <c r="K1479" s="4"/>
      <c r="N1479" s="67"/>
      <c r="R1479" s="4"/>
    </row>
    <row r="1480">
      <c r="A1480" s="66"/>
      <c r="B1480" s="67"/>
      <c r="K1480" s="4"/>
      <c r="N1480" s="67"/>
      <c r="R1480" s="4"/>
    </row>
    <row r="1481">
      <c r="A1481" s="66"/>
      <c r="B1481" s="67"/>
      <c r="K1481" s="4"/>
      <c r="N1481" s="67"/>
      <c r="R1481" s="4"/>
    </row>
    <row r="1482">
      <c r="A1482" s="66"/>
      <c r="B1482" s="67"/>
      <c r="K1482" s="4"/>
      <c r="N1482" s="67"/>
      <c r="R1482" s="4"/>
    </row>
    <row r="1483">
      <c r="A1483" s="66"/>
      <c r="B1483" s="67"/>
      <c r="K1483" s="4"/>
      <c r="N1483" s="67"/>
      <c r="R1483" s="4"/>
    </row>
    <row r="1484">
      <c r="A1484" s="66"/>
      <c r="B1484" s="67"/>
      <c r="K1484" s="4"/>
      <c r="N1484" s="67"/>
      <c r="R1484" s="4"/>
    </row>
    <row r="1485">
      <c r="A1485" s="66"/>
      <c r="B1485" s="67"/>
      <c r="K1485" s="4"/>
      <c r="N1485" s="67"/>
      <c r="R1485" s="4"/>
    </row>
    <row r="1486">
      <c r="A1486" s="66"/>
      <c r="B1486" s="67"/>
      <c r="K1486" s="4"/>
      <c r="N1486" s="67"/>
      <c r="R1486" s="4"/>
    </row>
    <row r="1487">
      <c r="A1487" s="66"/>
      <c r="B1487" s="67"/>
      <c r="K1487" s="4"/>
      <c r="N1487" s="67"/>
      <c r="R1487" s="4"/>
    </row>
    <row r="1488">
      <c r="A1488" s="66"/>
      <c r="B1488" s="67"/>
      <c r="K1488" s="4"/>
      <c r="N1488" s="67"/>
      <c r="R1488" s="4"/>
    </row>
    <row r="1489">
      <c r="A1489" s="66"/>
      <c r="B1489" s="67"/>
      <c r="K1489" s="4"/>
      <c r="N1489" s="67"/>
      <c r="R1489" s="4"/>
    </row>
    <row r="1490">
      <c r="A1490" s="66"/>
      <c r="B1490" s="67"/>
      <c r="K1490" s="4"/>
      <c r="N1490" s="67"/>
      <c r="R1490" s="4"/>
    </row>
    <row r="1491">
      <c r="A1491" s="66"/>
      <c r="B1491" s="67"/>
      <c r="K1491" s="4"/>
      <c r="N1491" s="67"/>
      <c r="R1491" s="4"/>
    </row>
    <row r="1492">
      <c r="A1492" s="66"/>
      <c r="B1492" s="67"/>
      <c r="K1492" s="4"/>
      <c r="N1492" s="67"/>
      <c r="R1492" s="4"/>
    </row>
    <row r="1493">
      <c r="A1493" s="66"/>
      <c r="B1493" s="67"/>
      <c r="K1493" s="4"/>
      <c r="N1493" s="67"/>
      <c r="R1493" s="4"/>
    </row>
    <row r="1494">
      <c r="A1494" s="66"/>
      <c r="B1494" s="67"/>
      <c r="K1494" s="4"/>
      <c r="N1494" s="67"/>
      <c r="R1494" s="4"/>
    </row>
    <row r="1495">
      <c r="A1495" s="66"/>
      <c r="B1495" s="67"/>
      <c r="K1495" s="4"/>
      <c r="N1495" s="67"/>
      <c r="R1495" s="4"/>
    </row>
    <row r="1496">
      <c r="A1496" s="66"/>
      <c r="B1496" s="67"/>
      <c r="K1496" s="4"/>
      <c r="N1496" s="67"/>
      <c r="R1496" s="4"/>
    </row>
    <row r="1497">
      <c r="A1497" s="66"/>
      <c r="B1497" s="67"/>
      <c r="K1497" s="4"/>
      <c r="N1497" s="67"/>
      <c r="R1497" s="4"/>
    </row>
    <row r="1498">
      <c r="A1498" s="66"/>
      <c r="B1498" s="67"/>
      <c r="K1498" s="4"/>
      <c r="N1498" s="67"/>
      <c r="R1498" s="4"/>
    </row>
    <row r="1499">
      <c r="A1499" s="66"/>
      <c r="B1499" s="67"/>
      <c r="K1499" s="4"/>
      <c r="N1499" s="67"/>
      <c r="R1499" s="4"/>
    </row>
    <row r="1500">
      <c r="A1500" s="66"/>
      <c r="B1500" s="67"/>
      <c r="K1500" s="4"/>
      <c r="N1500" s="67"/>
      <c r="R1500" s="4"/>
    </row>
    <row r="1501">
      <c r="A1501" s="66"/>
      <c r="B1501" s="67"/>
      <c r="K1501" s="4"/>
      <c r="N1501" s="67"/>
      <c r="R1501" s="4"/>
    </row>
    <row r="1502">
      <c r="A1502" s="66"/>
      <c r="B1502" s="67"/>
      <c r="K1502" s="4"/>
      <c r="N1502" s="67"/>
      <c r="R1502" s="4"/>
    </row>
    <row r="1503">
      <c r="A1503" s="66"/>
      <c r="B1503" s="67"/>
      <c r="K1503" s="4"/>
      <c r="N1503" s="67"/>
      <c r="R1503" s="4"/>
    </row>
    <row r="1504">
      <c r="A1504" s="66"/>
      <c r="B1504" s="67"/>
      <c r="K1504" s="4"/>
      <c r="N1504" s="67"/>
      <c r="R1504" s="4"/>
    </row>
    <row r="1505">
      <c r="A1505" s="66"/>
      <c r="B1505" s="67"/>
      <c r="K1505" s="4"/>
      <c r="N1505" s="67"/>
      <c r="R1505" s="4"/>
    </row>
    <row r="1506">
      <c r="A1506" s="66"/>
      <c r="B1506" s="67"/>
      <c r="K1506" s="4"/>
      <c r="N1506" s="67"/>
      <c r="R1506" s="4"/>
    </row>
    <row r="1507">
      <c r="A1507" s="66"/>
      <c r="B1507" s="67"/>
      <c r="K1507" s="4"/>
      <c r="N1507" s="67"/>
      <c r="R1507" s="4"/>
    </row>
    <row r="1508">
      <c r="A1508" s="66"/>
      <c r="B1508" s="67"/>
      <c r="K1508" s="4"/>
      <c r="N1508" s="67"/>
      <c r="R1508" s="4"/>
    </row>
    <row r="1509">
      <c r="A1509" s="66"/>
      <c r="B1509" s="67"/>
      <c r="K1509" s="4"/>
      <c r="N1509" s="67"/>
      <c r="R1509" s="4"/>
    </row>
    <row r="1510">
      <c r="A1510" s="66"/>
      <c r="B1510" s="67"/>
      <c r="K1510" s="4"/>
      <c r="N1510" s="67"/>
      <c r="R1510" s="4"/>
    </row>
    <row r="1511">
      <c r="A1511" s="66"/>
      <c r="B1511" s="67"/>
      <c r="K1511" s="4"/>
      <c r="N1511" s="67"/>
      <c r="R1511" s="4"/>
    </row>
    <row r="1512">
      <c r="A1512" s="66"/>
      <c r="B1512" s="67"/>
      <c r="K1512" s="4"/>
      <c r="N1512" s="67"/>
      <c r="R1512" s="4"/>
    </row>
    <row r="1513">
      <c r="A1513" s="66"/>
      <c r="B1513" s="67"/>
      <c r="K1513" s="4"/>
      <c r="N1513" s="67"/>
      <c r="R1513" s="4"/>
    </row>
    <row r="1514">
      <c r="A1514" s="66"/>
      <c r="B1514" s="67"/>
      <c r="K1514" s="4"/>
      <c r="N1514" s="67"/>
      <c r="R1514" s="4"/>
    </row>
    <row r="1515">
      <c r="A1515" s="66"/>
      <c r="B1515" s="67"/>
      <c r="K1515" s="4"/>
      <c r="N1515" s="67"/>
      <c r="R1515" s="4"/>
    </row>
    <row r="1516">
      <c r="A1516" s="66"/>
      <c r="B1516" s="67"/>
      <c r="K1516" s="4"/>
      <c r="N1516" s="67"/>
      <c r="R1516" s="4"/>
    </row>
    <row r="1517">
      <c r="A1517" s="66"/>
      <c r="B1517" s="67"/>
      <c r="K1517" s="4"/>
      <c r="N1517" s="67"/>
      <c r="R1517" s="4"/>
    </row>
    <row r="1518">
      <c r="A1518" s="66"/>
      <c r="B1518" s="67"/>
      <c r="K1518" s="4"/>
      <c r="N1518" s="67"/>
      <c r="R1518" s="4"/>
    </row>
    <row r="1519">
      <c r="A1519" s="66"/>
      <c r="B1519" s="67"/>
      <c r="K1519" s="4"/>
      <c r="N1519" s="67"/>
      <c r="R1519" s="4"/>
    </row>
    <row r="1520">
      <c r="A1520" s="66"/>
      <c r="B1520" s="67"/>
      <c r="K1520" s="4"/>
      <c r="N1520" s="67"/>
      <c r="R1520" s="4"/>
    </row>
    <row r="1521">
      <c r="A1521" s="66"/>
      <c r="B1521" s="67"/>
      <c r="K1521" s="4"/>
      <c r="N1521" s="67"/>
      <c r="R1521" s="4"/>
    </row>
    <row r="1522">
      <c r="A1522" s="66"/>
      <c r="B1522" s="67"/>
      <c r="K1522" s="4"/>
      <c r="N1522" s="67"/>
      <c r="R1522" s="4"/>
    </row>
    <row r="1523">
      <c r="A1523" s="66"/>
      <c r="B1523" s="67"/>
      <c r="K1523" s="4"/>
      <c r="N1523" s="67"/>
      <c r="R1523" s="4"/>
    </row>
    <row r="1524">
      <c r="A1524" s="66"/>
      <c r="B1524" s="67"/>
      <c r="K1524" s="4"/>
      <c r="N1524" s="67"/>
      <c r="R1524" s="4"/>
    </row>
    <row r="1525">
      <c r="A1525" s="66"/>
      <c r="B1525" s="67"/>
      <c r="K1525" s="4"/>
      <c r="N1525" s="67"/>
      <c r="R1525" s="4"/>
    </row>
    <row r="1526">
      <c r="A1526" s="66"/>
      <c r="B1526" s="67"/>
      <c r="K1526" s="4"/>
      <c r="N1526" s="67"/>
      <c r="R1526" s="4"/>
    </row>
    <row r="1527">
      <c r="A1527" s="66"/>
      <c r="B1527" s="67"/>
      <c r="K1527" s="4"/>
      <c r="N1527" s="67"/>
      <c r="R1527" s="4"/>
    </row>
    <row r="1528">
      <c r="A1528" s="66"/>
      <c r="B1528" s="67"/>
      <c r="K1528" s="4"/>
      <c r="N1528" s="67"/>
      <c r="R1528" s="4"/>
    </row>
    <row r="1529">
      <c r="A1529" s="66"/>
      <c r="B1529" s="67"/>
      <c r="K1529" s="4"/>
      <c r="N1529" s="67"/>
      <c r="R1529" s="4"/>
    </row>
    <row r="1530">
      <c r="A1530" s="66"/>
      <c r="B1530" s="67"/>
      <c r="K1530" s="4"/>
      <c r="N1530" s="67"/>
      <c r="R1530" s="4"/>
    </row>
    <row r="1531">
      <c r="A1531" s="66"/>
      <c r="B1531" s="67"/>
      <c r="K1531" s="4"/>
      <c r="N1531" s="67"/>
      <c r="R1531" s="4"/>
    </row>
    <row r="1532">
      <c r="A1532" s="66"/>
      <c r="B1532" s="67"/>
      <c r="K1532" s="4"/>
      <c r="N1532" s="67"/>
      <c r="R1532" s="4"/>
    </row>
    <row r="1533">
      <c r="A1533" s="66"/>
      <c r="B1533" s="67"/>
      <c r="K1533" s="4"/>
      <c r="N1533" s="67"/>
      <c r="R1533" s="4"/>
    </row>
    <row r="1534">
      <c r="A1534" s="66"/>
      <c r="B1534" s="67"/>
      <c r="K1534" s="4"/>
      <c r="N1534" s="67"/>
      <c r="R1534" s="4"/>
    </row>
    <row r="1535">
      <c r="A1535" s="66"/>
      <c r="B1535" s="67"/>
      <c r="K1535" s="4"/>
      <c r="N1535" s="67"/>
      <c r="R1535" s="4"/>
    </row>
    <row r="1536">
      <c r="A1536" s="66"/>
      <c r="B1536" s="67"/>
      <c r="K1536" s="4"/>
      <c r="N1536" s="67"/>
      <c r="R1536" s="4"/>
    </row>
    <row r="1537">
      <c r="A1537" s="66"/>
      <c r="B1537" s="67"/>
      <c r="K1537" s="4"/>
      <c r="N1537" s="67"/>
      <c r="R1537" s="4"/>
    </row>
    <row r="1538">
      <c r="A1538" s="66"/>
      <c r="B1538" s="67"/>
      <c r="K1538" s="4"/>
      <c r="N1538" s="67"/>
      <c r="R1538" s="4"/>
    </row>
    <row r="1539">
      <c r="A1539" s="66"/>
      <c r="B1539" s="67"/>
      <c r="K1539" s="4"/>
      <c r="N1539" s="67"/>
      <c r="R1539" s="4"/>
    </row>
    <row r="1540">
      <c r="A1540" s="66"/>
      <c r="B1540" s="67"/>
      <c r="K1540" s="4"/>
      <c r="N1540" s="67"/>
      <c r="R1540" s="4"/>
    </row>
    <row r="1541">
      <c r="A1541" s="66"/>
      <c r="B1541" s="67"/>
      <c r="K1541" s="4"/>
      <c r="N1541" s="67"/>
      <c r="R1541" s="4"/>
    </row>
    <row r="1542">
      <c r="A1542" s="66"/>
      <c r="B1542" s="67"/>
      <c r="K1542" s="4"/>
      <c r="N1542" s="67"/>
      <c r="R1542" s="4"/>
    </row>
    <row r="1543">
      <c r="A1543" s="66"/>
      <c r="B1543" s="67"/>
      <c r="K1543" s="4"/>
      <c r="N1543" s="67"/>
      <c r="R1543" s="4"/>
    </row>
    <row r="1544">
      <c r="A1544" s="66"/>
      <c r="B1544" s="67"/>
      <c r="K1544" s="4"/>
      <c r="N1544" s="67"/>
      <c r="R1544" s="4"/>
    </row>
    <row r="1545">
      <c r="A1545" s="66"/>
      <c r="B1545" s="67"/>
      <c r="K1545" s="4"/>
      <c r="N1545" s="67"/>
      <c r="R1545" s="4"/>
    </row>
    <row r="1546">
      <c r="A1546" s="66"/>
      <c r="B1546" s="67"/>
      <c r="K1546" s="4"/>
      <c r="N1546" s="67"/>
      <c r="R1546" s="4"/>
    </row>
    <row r="1547">
      <c r="A1547" s="66"/>
      <c r="B1547" s="67"/>
      <c r="K1547" s="4"/>
      <c r="N1547" s="67"/>
      <c r="R1547" s="4"/>
    </row>
    <row r="1548">
      <c r="A1548" s="66"/>
      <c r="B1548" s="67"/>
      <c r="K1548" s="4"/>
      <c r="N1548" s="67"/>
      <c r="R1548" s="4"/>
    </row>
    <row r="1549">
      <c r="A1549" s="66"/>
      <c r="B1549" s="67"/>
      <c r="K1549" s="4"/>
      <c r="N1549" s="67"/>
      <c r="R1549" s="4"/>
    </row>
    <row r="1550">
      <c r="A1550" s="66"/>
      <c r="B1550" s="67"/>
      <c r="K1550" s="4"/>
      <c r="N1550" s="67"/>
      <c r="R1550" s="4"/>
    </row>
    <row r="1551">
      <c r="A1551" s="66"/>
      <c r="B1551" s="67"/>
      <c r="K1551" s="4"/>
      <c r="N1551" s="67"/>
      <c r="R1551" s="4"/>
    </row>
    <row r="1552">
      <c r="A1552" s="66"/>
      <c r="B1552" s="67"/>
      <c r="K1552" s="4"/>
      <c r="N1552" s="67"/>
      <c r="R1552" s="4"/>
    </row>
    <row r="1553">
      <c r="A1553" s="66"/>
      <c r="B1553" s="67"/>
      <c r="K1553" s="4"/>
      <c r="N1553" s="67"/>
      <c r="R1553" s="4"/>
    </row>
    <row r="1554">
      <c r="A1554" s="66"/>
      <c r="B1554" s="67"/>
      <c r="K1554" s="4"/>
      <c r="N1554" s="67"/>
      <c r="R1554" s="4"/>
    </row>
    <row r="1555">
      <c r="A1555" s="66"/>
      <c r="B1555" s="67"/>
      <c r="K1555" s="4"/>
      <c r="N1555" s="67"/>
      <c r="R1555" s="4"/>
    </row>
    <row r="1556">
      <c r="A1556" s="66"/>
      <c r="B1556" s="67"/>
      <c r="K1556" s="4"/>
      <c r="N1556" s="67"/>
      <c r="R1556" s="4"/>
    </row>
  </sheetData>
  <autoFilter ref="$A$1:$K$1556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2" t="s">
        <v>591</v>
      </c>
      <c r="B1" s="73">
        <v>232.97</v>
      </c>
    </row>
    <row r="2">
      <c r="A2" s="72" t="s">
        <v>594</v>
      </c>
      <c r="B2" s="73">
        <v>246.0</v>
      </c>
    </row>
    <row r="3">
      <c r="A3" s="72" t="s">
        <v>597</v>
      </c>
      <c r="B3" s="73">
        <v>35.33</v>
      </c>
    </row>
    <row r="4">
      <c r="A4" s="72" t="s">
        <v>599</v>
      </c>
      <c r="B4" s="73">
        <v>335.98</v>
      </c>
    </row>
    <row r="5">
      <c r="A5" s="72" t="s">
        <v>601</v>
      </c>
      <c r="B5" s="73">
        <v>27781.07</v>
      </c>
    </row>
    <row r="6">
      <c r="A6" s="72" t="s">
        <v>604</v>
      </c>
      <c r="B6" s="73">
        <v>63.78</v>
      </c>
    </row>
    <row r="7">
      <c r="A7" s="72" t="s">
        <v>606</v>
      </c>
      <c r="B7" s="73">
        <v>82.24</v>
      </c>
    </row>
    <row r="8">
      <c r="A8" s="72" t="s">
        <v>68</v>
      </c>
      <c r="B8" s="73">
        <v>954.78</v>
      </c>
    </row>
    <row r="9">
      <c r="A9" s="72" t="s">
        <v>610</v>
      </c>
      <c r="B9" s="73">
        <v>104.35</v>
      </c>
    </row>
    <row r="10">
      <c r="A10" s="72" t="s">
        <v>611</v>
      </c>
      <c r="B10" s="73">
        <v>96.0</v>
      </c>
    </row>
    <row r="11">
      <c r="A11" s="72" t="s">
        <v>613</v>
      </c>
      <c r="B11" s="73">
        <v>78.25</v>
      </c>
    </row>
    <row r="12">
      <c r="A12" s="72" t="s">
        <v>74</v>
      </c>
      <c r="B12" s="73">
        <v>472.51</v>
      </c>
    </row>
    <row r="13">
      <c r="A13" s="72" t="s">
        <v>614</v>
      </c>
      <c r="B13" s="73">
        <v>212.71</v>
      </c>
    </row>
    <row r="14">
      <c r="A14" s="72" t="s">
        <v>615</v>
      </c>
      <c r="B14" s="73">
        <v>96.0</v>
      </c>
    </row>
    <row r="15">
      <c r="A15" s="72" t="s">
        <v>617</v>
      </c>
      <c r="B15" s="73">
        <v>96.0</v>
      </c>
    </row>
    <row r="16">
      <c r="A16" s="72" t="s">
        <v>620</v>
      </c>
      <c r="B16" s="73">
        <v>90.43</v>
      </c>
    </row>
    <row r="17">
      <c r="A17" s="72" t="s">
        <v>93</v>
      </c>
      <c r="B17" s="73">
        <v>72.48</v>
      </c>
    </row>
    <row r="18">
      <c r="A18" s="72" t="s">
        <v>88</v>
      </c>
      <c r="B18" s="73">
        <v>509.99</v>
      </c>
    </row>
    <row r="19">
      <c r="A19" s="72" t="s">
        <v>622</v>
      </c>
      <c r="B19" s="73">
        <v>69.28</v>
      </c>
    </row>
    <row r="20">
      <c r="A20" s="72" t="s">
        <v>623</v>
      </c>
      <c r="B20" s="73">
        <v>261.97</v>
      </c>
    </row>
    <row r="21">
      <c r="A21" s="72" t="s">
        <v>624</v>
      </c>
      <c r="B21" s="73">
        <v>146.08</v>
      </c>
    </row>
    <row r="22">
      <c r="A22" s="72" t="s">
        <v>76</v>
      </c>
      <c r="B22" s="73">
        <v>289.16</v>
      </c>
    </row>
    <row r="23">
      <c r="A23" s="72" t="s">
        <v>625</v>
      </c>
      <c r="B23" s="73">
        <v>101.0</v>
      </c>
    </row>
    <row r="24">
      <c r="A24" s="72" t="s">
        <v>627</v>
      </c>
      <c r="B24" s="73">
        <v>243.01</v>
      </c>
    </row>
    <row r="25">
      <c r="A25" s="72" t="s">
        <v>628</v>
      </c>
      <c r="B25" s="73">
        <v>185.04</v>
      </c>
    </row>
    <row r="26">
      <c r="A26" s="72" t="s">
        <v>95</v>
      </c>
      <c r="B26" s="73">
        <v>434.84</v>
      </c>
    </row>
    <row r="27">
      <c r="A27" s="72" t="s">
        <v>629</v>
      </c>
      <c r="B27" s="73">
        <v>75.01</v>
      </c>
    </row>
    <row r="28">
      <c r="A28" s="72" t="s">
        <v>631</v>
      </c>
      <c r="B28" s="73">
        <v>90.02</v>
      </c>
    </row>
    <row r="29">
      <c r="A29" s="72" t="s">
        <v>632</v>
      </c>
      <c r="B29" s="73">
        <v>28.88</v>
      </c>
    </row>
    <row r="30">
      <c r="A30" s="72" t="s">
        <v>66</v>
      </c>
      <c r="B30" s="73">
        <v>1080.61</v>
      </c>
    </row>
    <row r="31">
      <c r="A31" s="72" t="s">
        <v>634</v>
      </c>
      <c r="B31" s="73">
        <v>160.98</v>
      </c>
    </row>
    <row r="32">
      <c r="A32" s="72" t="s">
        <v>636</v>
      </c>
      <c r="B32" s="73">
        <v>151.96</v>
      </c>
    </row>
    <row r="33">
      <c r="A33" s="72" t="s">
        <v>637</v>
      </c>
      <c r="B33" s="73">
        <v>362.52</v>
      </c>
    </row>
    <row r="34">
      <c r="A34" s="72" t="s">
        <v>639</v>
      </c>
      <c r="B34" s="73">
        <v>2421.89</v>
      </c>
    </row>
    <row r="35">
      <c r="A35" s="72" t="s">
        <v>42</v>
      </c>
      <c r="B35" s="73">
        <v>55.34</v>
      </c>
    </row>
    <row r="36">
      <c r="A36" s="72" t="s">
        <v>642</v>
      </c>
      <c r="B36" s="73">
        <v>129.99</v>
      </c>
    </row>
    <row r="37">
      <c r="A37" s="72" t="s">
        <v>643</v>
      </c>
      <c r="B37" s="73">
        <v>1893.12</v>
      </c>
    </row>
    <row r="38">
      <c r="A38" s="72" t="s">
        <v>645</v>
      </c>
      <c r="B38" s="73">
        <v>53.79</v>
      </c>
    </row>
    <row r="39">
      <c r="A39" s="72" t="s">
        <v>101</v>
      </c>
      <c r="B39" s="73">
        <v>1033.53</v>
      </c>
    </row>
    <row r="40">
      <c r="A40" s="72" t="s">
        <v>647</v>
      </c>
      <c r="B40" s="73">
        <v>64.99</v>
      </c>
    </row>
    <row r="41">
      <c r="A41" s="72" t="s">
        <v>648</v>
      </c>
      <c r="B41" s="73">
        <v>120.01</v>
      </c>
    </row>
    <row r="42">
      <c r="A42" s="72" t="s">
        <v>649</v>
      </c>
      <c r="B42" s="73">
        <v>259.99</v>
      </c>
    </row>
    <row r="43">
      <c r="A43" s="72" t="s">
        <v>650</v>
      </c>
      <c r="B43" s="73">
        <v>792.33</v>
      </c>
    </row>
    <row r="44">
      <c r="A44" s="72" t="s">
        <v>105</v>
      </c>
      <c r="B44" s="73">
        <v>582.77</v>
      </c>
    </row>
    <row r="45">
      <c r="A45" s="72" t="s">
        <v>652</v>
      </c>
      <c r="B45" s="73">
        <v>72.0</v>
      </c>
    </row>
    <row r="46">
      <c r="A46" s="72" t="s">
        <v>653</v>
      </c>
      <c r="B46" s="73">
        <v>133.99</v>
      </c>
    </row>
    <row r="47">
      <c r="A47" s="72" t="s">
        <v>654</v>
      </c>
      <c r="B47" s="73">
        <v>84.3</v>
      </c>
    </row>
    <row r="48">
      <c r="A48" s="72" t="s">
        <v>97</v>
      </c>
      <c r="B48" s="73">
        <v>241.81</v>
      </c>
    </row>
    <row r="49">
      <c r="A49" s="72" t="s">
        <v>116</v>
      </c>
      <c r="B49" s="73">
        <v>2036.89</v>
      </c>
    </row>
    <row r="50">
      <c r="A50" s="72" t="s">
        <v>655</v>
      </c>
      <c r="B50" s="73">
        <v>209.87</v>
      </c>
    </row>
    <row r="51">
      <c r="A51" s="72" t="s">
        <v>193</v>
      </c>
      <c r="B51" s="73">
        <v>10739.62</v>
      </c>
    </row>
    <row r="52">
      <c r="A52" s="72" t="s">
        <v>656</v>
      </c>
      <c r="B52" s="73">
        <v>3393.87</v>
      </c>
    </row>
    <row r="53">
      <c r="A53" s="72" t="s">
        <v>657</v>
      </c>
      <c r="B53" s="73">
        <v>72.0</v>
      </c>
    </row>
    <row r="54">
      <c r="A54" s="72" t="s">
        <v>658</v>
      </c>
      <c r="B54" s="73">
        <v>170.36</v>
      </c>
    </row>
    <row r="55">
      <c r="A55" s="72" t="s">
        <v>660</v>
      </c>
      <c r="B55" s="73">
        <v>375.35</v>
      </c>
    </row>
    <row r="56">
      <c r="A56" s="72" t="s">
        <v>661</v>
      </c>
      <c r="B56" s="73">
        <v>132.47</v>
      </c>
    </row>
    <row r="57">
      <c r="A57" s="72" t="s">
        <v>662</v>
      </c>
      <c r="B57" s="73">
        <v>160.5</v>
      </c>
    </row>
    <row r="58">
      <c r="A58" s="72" t="s">
        <v>15</v>
      </c>
      <c r="B58" s="73">
        <v>560.86</v>
      </c>
    </row>
    <row r="59">
      <c r="A59" s="72" t="s">
        <v>664</v>
      </c>
      <c r="B59" s="73">
        <v>78.62</v>
      </c>
    </row>
    <row r="60">
      <c r="A60" s="72" t="s">
        <v>107</v>
      </c>
      <c r="B60" s="73">
        <v>415.08</v>
      </c>
    </row>
    <row r="61">
      <c r="A61" s="72" t="s">
        <v>665</v>
      </c>
      <c r="B61" s="73">
        <v>183.5</v>
      </c>
    </row>
    <row r="62">
      <c r="A62" s="72" t="s">
        <v>667</v>
      </c>
      <c r="B62" s="73">
        <v>35.99</v>
      </c>
    </row>
    <row r="63">
      <c r="A63" s="72" t="s">
        <v>51</v>
      </c>
      <c r="B63" s="73">
        <v>300.86</v>
      </c>
    </row>
    <row r="64">
      <c r="A64" s="72" t="s">
        <v>669</v>
      </c>
      <c r="B64" s="73">
        <v>533.34</v>
      </c>
    </row>
    <row r="65">
      <c r="A65" s="72" t="s">
        <v>670</v>
      </c>
      <c r="B65" s="73">
        <v>71.99</v>
      </c>
    </row>
    <row r="66">
      <c r="A66" s="72" t="s">
        <v>672</v>
      </c>
      <c r="B66" s="73">
        <v>1633.07</v>
      </c>
    </row>
    <row r="67">
      <c r="A67" s="72" t="s">
        <v>109</v>
      </c>
      <c r="B67" s="73">
        <v>970.06</v>
      </c>
    </row>
    <row r="68">
      <c r="A68" s="72" t="s">
        <v>78</v>
      </c>
      <c r="B68" s="73">
        <v>67.37</v>
      </c>
    </row>
    <row r="69">
      <c r="A69" s="72" t="s">
        <v>673</v>
      </c>
      <c r="B69" s="73">
        <v>173.65</v>
      </c>
    </row>
    <row r="70">
      <c r="A70" s="72" t="s">
        <v>674</v>
      </c>
      <c r="B70" s="73">
        <v>392.65</v>
      </c>
    </row>
    <row r="71">
      <c r="A71" s="72" t="s">
        <v>83</v>
      </c>
      <c r="B71" s="73">
        <v>286.51</v>
      </c>
    </row>
    <row r="72">
      <c r="A72" s="72" t="s">
        <v>675</v>
      </c>
      <c r="B72" s="73">
        <v>89.99</v>
      </c>
    </row>
    <row r="73">
      <c r="A73" s="72" t="s">
        <v>676</v>
      </c>
      <c r="B73" s="73">
        <v>171.0</v>
      </c>
    </row>
    <row r="74">
      <c r="A74" s="72" t="s">
        <v>677</v>
      </c>
      <c r="B74" s="73">
        <v>126.0</v>
      </c>
    </row>
    <row r="75">
      <c r="A75" s="72" t="s">
        <v>678</v>
      </c>
      <c r="B75" s="73">
        <v>246.0</v>
      </c>
    </row>
    <row r="76">
      <c r="A76" s="72" t="s">
        <v>681</v>
      </c>
      <c r="B76" s="73">
        <v>191.09</v>
      </c>
    </row>
    <row r="77">
      <c r="A77" s="72" t="s">
        <v>682</v>
      </c>
      <c r="B77" s="73">
        <v>368.51</v>
      </c>
    </row>
    <row r="78">
      <c r="A78" s="72" t="s">
        <v>683</v>
      </c>
      <c r="B78" s="73">
        <v>434.93</v>
      </c>
    </row>
    <row r="79">
      <c r="A79" s="72" t="s">
        <v>118</v>
      </c>
      <c r="B79" s="73">
        <v>530.98</v>
      </c>
    </row>
    <row r="80">
      <c r="A80" s="72" t="s">
        <v>25</v>
      </c>
      <c r="B80" s="73">
        <v>1623.8</v>
      </c>
    </row>
    <row r="81">
      <c r="A81" s="72" t="s">
        <v>685</v>
      </c>
      <c r="B81" s="73">
        <v>93.0</v>
      </c>
    </row>
    <row r="82">
      <c r="A82" s="72" t="s">
        <v>686</v>
      </c>
      <c r="B82" s="73">
        <v>197.55</v>
      </c>
    </row>
    <row r="83">
      <c r="A83" s="72" t="s">
        <v>39</v>
      </c>
      <c r="B83" s="73">
        <v>184.1</v>
      </c>
    </row>
    <row r="84">
      <c r="A84" s="72" t="s">
        <v>189</v>
      </c>
      <c r="B84" s="73">
        <v>711.13</v>
      </c>
    </row>
    <row r="85">
      <c r="A85" s="72" t="s">
        <v>687</v>
      </c>
      <c r="B85" s="73">
        <v>297.02</v>
      </c>
    </row>
    <row r="86">
      <c r="A86" s="72" t="s">
        <v>688</v>
      </c>
      <c r="B86" s="73">
        <v>280.5</v>
      </c>
    </row>
    <row r="87">
      <c r="A87" s="72" t="s">
        <v>689</v>
      </c>
      <c r="B87" s="73">
        <v>991.22</v>
      </c>
    </row>
    <row r="88">
      <c r="A88" s="72" t="s">
        <v>690</v>
      </c>
      <c r="B88" s="73">
        <v>110.01</v>
      </c>
    </row>
    <row r="89">
      <c r="A89" s="72" t="s">
        <v>691</v>
      </c>
      <c r="B89" s="73">
        <v>108.0</v>
      </c>
    </row>
    <row r="90">
      <c r="A90" s="72" t="s">
        <v>191</v>
      </c>
      <c r="B90" s="73">
        <v>296.98</v>
      </c>
    </row>
    <row r="91">
      <c r="A91" s="72" t="s">
        <v>692</v>
      </c>
      <c r="B91" s="73">
        <v>99.01</v>
      </c>
    </row>
    <row r="92">
      <c r="A92" s="72" t="s">
        <v>693</v>
      </c>
      <c r="B92" s="73">
        <v>207.05</v>
      </c>
    </row>
    <row r="93">
      <c r="A93" s="72" t="s">
        <v>694</v>
      </c>
      <c r="B93" s="73">
        <v>50.65</v>
      </c>
    </row>
    <row r="94">
      <c r="A94" s="72" t="s">
        <v>696</v>
      </c>
      <c r="B94" s="73">
        <v>289.79</v>
      </c>
    </row>
    <row r="95">
      <c r="A95" s="72" t="s">
        <v>99</v>
      </c>
      <c r="B95" s="73">
        <v>180.0</v>
      </c>
    </row>
    <row r="96">
      <c r="A96" s="72" t="s">
        <v>697</v>
      </c>
      <c r="B96" s="73">
        <v>390.77</v>
      </c>
    </row>
    <row r="97">
      <c r="A97" s="72" t="s">
        <v>33</v>
      </c>
      <c r="B97" s="73">
        <v>72.0</v>
      </c>
    </row>
    <row r="98">
      <c r="A98" s="72" t="s">
        <v>698</v>
      </c>
      <c r="B98" s="73">
        <v>106.5</v>
      </c>
    </row>
    <row r="99">
      <c r="A99" s="72" t="s">
        <v>132</v>
      </c>
      <c r="B99" s="73">
        <v>4655.88</v>
      </c>
    </row>
    <row r="100">
      <c r="A100" s="72" t="s">
        <v>90</v>
      </c>
      <c r="B100" s="73">
        <v>199.5</v>
      </c>
    </row>
    <row r="101">
      <c r="A101" s="72" t="s">
        <v>125</v>
      </c>
      <c r="B101" s="73">
        <v>2259.37</v>
      </c>
    </row>
    <row r="102">
      <c r="A102" s="72" t="s">
        <v>138</v>
      </c>
      <c r="B102" s="73">
        <v>952.5</v>
      </c>
    </row>
    <row r="103">
      <c r="A103" s="72" t="s">
        <v>127</v>
      </c>
      <c r="B103" s="73">
        <v>296.98</v>
      </c>
    </row>
    <row r="104">
      <c r="A104" s="72" t="s">
        <v>143</v>
      </c>
      <c r="B104" s="73">
        <v>1947.26</v>
      </c>
    </row>
    <row r="105">
      <c r="A105" s="72" t="s">
        <v>700</v>
      </c>
      <c r="B105" s="73">
        <v>850.49</v>
      </c>
    </row>
    <row r="106">
      <c r="A106" s="72" t="s">
        <v>702</v>
      </c>
      <c r="B106" s="73">
        <v>51.01</v>
      </c>
    </row>
    <row r="107">
      <c r="A107" s="72" t="s">
        <v>704</v>
      </c>
      <c r="B107" s="73">
        <v>94.01</v>
      </c>
    </row>
    <row r="108">
      <c r="A108" s="72" t="s">
        <v>270</v>
      </c>
      <c r="B108" s="73">
        <v>20275.64</v>
      </c>
    </row>
    <row r="109">
      <c r="A109" s="72" t="s">
        <v>705</v>
      </c>
      <c r="B109" s="73">
        <v>93.0</v>
      </c>
    </row>
    <row r="110">
      <c r="A110" s="72" t="s">
        <v>706</v>
      </c>
      <c r="B110" s="73">
        <v>129.92</v>
      </c>
    </row>
    <row r="111">
      <c r="A111" s="72" t="s">
        <v>151</v>
      </c>
      <c r="B111" s="73">
        <v>360.01</v>
      </c>
    </row>
    <row r="112">
      <c r="A112" s="72" t="s">
        <v>707</v>
      </c>
      <c r="B112" s="73">
        <v>972.01</v>
      </c>
    </row>
    <row r="113">
      <c r="A113" s="72" t="s">
        <v>708</v>
      </c>
      <c r="B113" s="73">
        <v>53.65</v>
      </c>
    </row>
    <row r="114">
      <c r="A114" s="72" t="s">
        <v>710</v>
      </c>
      <c r="B114" s="73">
        <v>301.51</v>
      </c>
    </row>
    <row r="115">
      <c r="A115" s="72" t="s">
        <v>711</v>
      </c>
      <c r="B115" s="73">
        <v>192.05</v>
      </c>
    </row>
    <row r="116">
      <c r="A116" s="72" t="s">
        <v>713</v>
      </c>
      <c r="B116" s="73">
        <v>309.0</v>
      </c>
    </row>
    <row r="117">
      <c r="A117" s="72" t="s">
        <v>29</v>
      </c>
      <c r="B117" s="73">
        <v>108.0</v>
      </c>
    </row>
    <row r="118">
      <c r="A118" s="72" t="s">
        <v>36</v>
      </c>
      <c r="B118" s="73">
        <v>1105.53</v>
      </c>
    </row>
    <row r="119">
      <c r="A119" s="72" t="s">
        <v>113</v>
      </c>
      <c r="B119" s="73">
        <v>1996.24</v>
      </c>
    </row>
    <row r="120">
      <c r="A120" s="72" t="s">
        <v>714</v>
      </c>
      <c r="B120" s="73">
        <v>36.08</v>
      </c>
    </row>
    <row r="121">
      <c r="A121" s="72" t="s">
        <v>257</v>
      </c>
      <c r="B121" s="73">
        <v>2625.01</v>
      </c>
    </row>
    <row r="122">
      <c r="A122" s="72" t="s">
        <v>715</v>
      </c>
      <c r="B122" s="73">
        <v>248.99</v>
      </c>
    </row>
    <row r="123">
      <c r="A123" s="72" t="s">
        <v>153</v>
      </c>
      <c r="B123" s="73">
        <v>288.0</v>
      </c>
    </row>
    <row r="124">
      <c r="A124" s="72" t="s">
        <v>717</v>
      </c>
      <c r="B124" s="73">
        <v>35.99</v>
      </c>
    </row>
    <row r="125">
      <c r="A125" s="72" t="s">
        <v>719</v>
      </c>
      <c r="B125" s="73">
        <v>152.99</v>
      </c>
    </row>
    <row r="126">
      <c r="A126" s="72" t="s">
        <v>103</v>
      </c>
      <c r="B126" s="73">
        <v>1183.21</v>
      </c>
    </row>
    <row r="127">
      <c r="A127" s="72" t="s">
        <v>721</v>
      </c>
      <c r="B127" s="73">
        <v>55.58</v>
      </c>
    </row>
    <row r="128">
      <c r="A128" s="72" t="s">
        <v>723</v>
      </c>
      <c r="B128" s="73">
        <v>123.99</v>
      </c>
    </row>
    <row r="129">
      <c r="A129" s="72" t="s">
        <v>57</v>
      </c>
      <c r="B129" s="73">
        <v>1092.0</v>
      </c>
    </row>
    <row r="130">
      <c r="A130" s="72" t="s">
        <v>725</v>
      </c>
      <c r="B130" s="73">
        <v>2119.47</v>
      </c>
    </row>
    <row r="131">
      <c r="A131" s="72" t="s">
        <v>182</v>
      </c>
      <c r="B131" s="73">
        <v>1881.83</v>
      </c>
    </row>
    <row r="132">
      <c r="A132" s="72" t="s">
        <v>26</v>
      </c>
      <c r="B132" s="73">
        <v>712.47</v>
      </c>
    </row>
    <row r="133">
      <c r="A133" s="72" t="s">
        <v>726</v>
      </c>
      <c r="B133" s="73">
        <v>345.1</v>
      </c>
    </row>
    <row r="134">
      <c r="A134" s="72" t="s">
        <v>728</v>
      </c>
      <c r="B134" s="73">
        <v>354.76</v>
      </c>
    </row>
    <row r="135">
      <c r="A135" s="72" t="s">
        <v>111</v>
      </c>
      <c r="B135" s="73">
        <v>721.49</v>
      </c>
    </row>
    <row r="136">
      <c r="A136" s="72" t="s">
        <v>134</v>
      </c>
      <c r="B136" s="73">
        <v>201.0</v>
      </c>
    </row>
    <row r="137">
      <c r="A137" s="72" t="s">
        <v>136</v>
      </c>
      <c r="B137" s="73">
        <v>164.99</v>
      </c>
    </row>
    <row r="138">
      <c r="A138" s="72" t="s">
        <v>729</v>
      </c>
      <c r="B138" s="73">
        <v>373.5</v>
      </c>
    </row>
    <row r="139">
      <c r="A139" s="72" t="s">
        <v>730</v>
      </c>
      <c r="B139" s="73">
        <v>24.0</v>
      </c>
    </row>
    <row r="140">
      <c r="A140" s="72" t="s">
        <v>731</v>
      </c>
      <c r="B140" s="73">
        <v>247.89</v>
      </c>
    </row>
    <row r="141">
      <c r="A141" s="72" t="s">
        <v>732</v>
      </c>
      <c r="B141" s="73">
        <v>259.98</v>
      </c>
    </row>
    <row r="142">
      <c r="A142" s="72" t="s">
        <v>120</v>
      </c>
      <c r="B142" s="73">
        <v>543.01</v>
      </c>
    </row>
    <row r="143">
      <c r="A143" s="72" t="s">
        <v>733</v>
      </c>
      <c r="B143" s="73">
        <v>161.99</v>
      </c>
    </row>
    <row r="144">
      <c r="A144" s="72" t="s">
        <v>734</v>
      </c>
      <c r="B144" s="73">
        <v>159.99</v>
      </c>
    </row>
    <row r="145">
      <c r="A145" s="72" t="s">
        <v>178</v>
      </c>
      <c r="B145" s="73">
        <v>372.0</v>
      </c>
    </row>
    <row r="146">
      <c r="A146" s="72" t="s">
        <v>180</v>
      </c>
      <c r="B146" s="73">
        <v>941.99</v>
      </c>
    </row>
    <row r="147">
      <c r="A147" s="72" t="s">
        <v>187</v>
      </c>
      <c r="B147" s="73">
        <v>1783.22</v>
      </c>
    </row>
    <row r="148">
      <c r="A148" s="72" t="s">
        <v>736</v>
      </c>
      <c r="B148" s="73">
        <v>140.99</v>
      </c>
    </row>
    <row r="149">
      <c r="A149" s="72" t="s">
        <v>6</v>
      </c>
      <c r="B149" s="73">
        <v>180.0</v>
      </c>
    </row>
    <row r="150">
      <c r="A150" s="72" t="s">
        <v>169</v>
      </c>
      <c r="B150" s="73">
        <v>1177.4</v>
      </c>
    </row>
    <row r="151">
      <c r="A151" s="72" t="s">
        <v>7</v>
      </c>
      <c r="B151" s="73">
        <v>107.96</v>
      </c>
    </row>
    <row r="152">
      <c r="A152" s="72" t="s">
        <v>737</v>
      </c>
      <c r="B152" s="73">
        <v>157.76</v>
      </c>
    </row>
    <row r="153">
      <c r="A153" s="72" t="s">
        <v>203</v>
      </c>
      <c r="B153" s="73">
        <v>164.72</v>
      </c>
    </row>
    <row r="154">
      <c r="A154" s="72" t="s">
        <v>205</v>
      </c>
      <c r="B154" s="73">
        <v>180.96</v>
      </c>
    </row>
    <row r="155">
      <c r="A155" s="72" t="s">
        <v>739</v>
      </c>
      <c r="B155" s="73">
        <v>143.52</v>
      </c>
    </row>
    <row r="156">
      <c r="A156" s="72" t="s">
        <v>740</v>
      </c>
      <c r="B156" s="73">
        <v>140.01</v>
      </c>
    </row>
    <row r="157">
      <c r="A157" s="72" t="s">
        <v>63</v>
      </c>
      <c r="B157" s="73">
        <v>533.46</v>
      </c>
    </row>
    <row r="158">
      <c r="A158" s="72" t="s">
        <v>214</v>
      </c>
      <c r="B158" s="73">
        <v>112.3</v>
      </c>
    </row>
    <row r="159">
      <c r="A159" s="72" t="s">
        <v>742</v>
      </c>
      <c r="B159" s="73">
        <v>680.77</v>
      </c>
    </row>
    <row r="160">
      <c r="A160" s="72" t="s">
        <v>743</v>
      </c>
      <c r="B160" s="73">
        <v>214.6</v>
      </c>
    </row>
    <row r="161">
      <c r="A161" s="72" t="s">
        <v>155</v>
      </c>
      <c r="B161" s="73">
        <v>258.01</v>
      </c>
    </row>
    <row r="162">
      <c r="A162" s="72" t="s">
        <v>159</v>
      </c>
      <c r="B162" s="73">
        <v>315.52</v>
      </c>
    </row>
    <row r="163">
      <c r="A163" s="72" t="s">
        <v>148</v>
      </c>
      <c r="B163" s="73">
        <v>580.0</v>
      </c>
    </row>
    <row r="164">
      <c r="A164" s="72" t="s">
        <v>745</v>
      </c>
      <c r="B164" s="73">
        <v>199.52</v>
      </c>
    </row>
    <row r="165">
      <c r="A165" s="72" t="s">
        <v>157</v>
      </c>
      <c r="B165" s="73">
        <v>183.0</v>
      </c>
    </row>
    <row r="166">
      <c r="A166" s="72" t="s">
        <v>746</v>
      </c>
      <c r="B166" s="73">
        <v>104.4</v>
      </c>
    </row>
    <row r="167">
      <c r="A167" s="72" t="s">
        <v>129</v>
      </c>
      <c r="B167" s="73">
        <v>721.52</v>
      </c>
    </row>
    <row r="168">
      <c r="A168" s="72" t="s">
        <v>122</v>
      </c>
      <c r="B168" s="73">
        <v>429.2</v>
      </c>
    </row>
    <row r="169">
      <c r="A169" s="72" t="s">
        <v>48</v>
      </c>
      <c r="B169" s="73">
        <v>361.92</v>
      </c>
    </row>
    <row r="170">
      <c r="A170" s="72" t="s">
        <v>167</v>
      </c>
      <c r="B170" s="73">
        <v>756.32</v>
      </c>
    </row>
    <row r="171">
      <c r="A171" s="72" t="s">
        <v>747</v>
      </c>
      <c r="B171" s="73">
        <v>227.02</v>
      </c>
    </row>
    <row r="172">
      <c r="A172" s="72" t="s">
        <v>161</v>
      </c>
      <c r="B172" s="73">
        <v>539.4</v>
      </c>
    </row>
    <row r="173">
      <c r="A173" s="72" t="s">
        <v>165</v>
      </c>
      <c r="B173" s="73">
        <v>183.28</v>
      </c>
    </row>
    <row r="174">
      <c r="A174" s="72" t="s">
        <v>748</v>
      </c>
      <c r="B174" s="73">
        <v>98.6</v>
      </c>
    </row>
    <row r="175">
      <c r="A175" s="72" t="s">
        <v>163</v>
      </c>
      <c r="B175" s="73">
        <v>371.2</v>
      </c>
    </row>
    <row r="176">
      <c r="A176" s="72" t="s">
        <v>140</v>
      </c>
      <c r="B176" s="73">
        <v>431.52</v>
      </c>
    </row>
    <row r="177">
      <c r="A177" s="72" t="s">
        <v>22</v>
      </c>
      <c r="B177" s="73">
        <v>10077.45</v>
      </c>
    </row>
    <row r="178">
      <c r="A178" s="72" t="s">
        <v>176</v>
      </c>
      <c r="B178" s="73">
        <v>116.0</v>
      </c>
    </row>
    <row r="179">
      <c r="A179" s="72" t="s">
        <v>233</v>
      </c>
      <c r="B179" s="73">
        <v>444.28</v>
      </c>
    </row>
    <row r="180">
      <c r="A180" s="72" t="s">
        <v>174</v>
      </c>
      <c r="B180" s="73">
        <v>343.0</v>
      </c>
    </row>
    <row r="181">
      <c r="A181" s="72" t="s">
        <v>749</v>
      </c>
      <c r="B181" s="73">
        <v>125.28</v>
      </c>
    </row>
    <row r="182">
      <c r="A182" s="72" t="s">
        <v>45</v>
      </c>
      <c r="B182" s="73">
        <v>215.33</v>
      </c>
    </row>
    <row r="183">
      <c r="A183" s="72" t="s">
        <v>245</v>
      </c>
      <c r="B183" s="73">
        <v>498.8</v>
      </c>
    </row>
    <row r="184">
      <c r="A184" s="72" t="s">
        <v>247</v>
      </c>
      <c r="B184" s="73">
        <v>431.52</v>
      </c>
    </row>
    <row r="185">
      <c r="A185" s="72" t="s">
        <v>750</v>
      </c>
      <c r="B185" s="73">
        <v>3991.56</v>
      </c>
    </row>
    <row r="186">
      <c r="A186" s="72" t="s">
        <v>212</v>
      </c>
      <c r="B186" s="73">
        <v>406.15</v>
      </c>
    </row>
    <row r="187">
      <c r="A187" s="72" t="s">
        <v>751</v>
      </c>
      <c r="B187" s="73">
        <v>676.28</v>
      </c>
    </row>
    <row r="188">
      <c r="A188" s="72" t="s">
        <v>753</v>
      </c>
      <c r="B188" s="73">
        <v>295.8</v>
      </c>
    </row>
    <row r="189">
      <c r="A189" s="72" t="s">
        <v>755</v>
      </c>
      <c r="B189" s="73">
        <v>514.92</v>
      </c>
    </row>
    <row r="190">
      <c r="A190" s="72" t="s">
        <v>757</v>
      </c>
      <c r="B190" s="73">
        <v>1409.4</v>
      </c>
    </row>
    <row r="191">
      <c r="A191" s="72" t="s">
        <v>253</v>
      </c>
      <c r="B191" s="73">
        <v>1057.92</v>
      </c>
    </row>
    <row r="192">
      <c r="A192" s="72" t="s">
        <v>758</v>
      </c>
      <c r="B192" s="73">
        <v>164.72</v>
      </c>
    </row>
    <row r="193">
      <c r="A193" s="72" t="s">
        <v>760</v>
      </c>
      <c r="B193" s="73">
        <v>251.99</v>
      </c>
    </row>
    <row r="194">
      <c r="A194" s="72" t="s">
        <v>61</v>
      </c>
      <c r="B194" s="73">
        <v>5968.03</v>
      </c>
    </row>
    <row r="195">
      <c r="A195" s="72" t="s">
        <v>60</v>
      </c>
      <c r="B195" s="73">
        <v>4875.25</v>
      </c>
    </row>
    <row r="196">
      <c r="A196" s="72" t="s">
        <v>762</v>
      </c>
      <c r="B196" s="73">
        <v>445.44</v>
      </c>
    </row>
    <row r="197">
      <c r="A197" s="72" t="s">
        <v>763</v>
      </c>
      <c r="B197" s="73">
        <v>74.99</v>
      </c>
    </row>
    <row r="198">
      <c r="A198" s="72" t="s">
        <v>765</v>
      </c>
      <c r="B198" s="73">
        <v>64.99</v>
      </c>
    </row>
    <row r="199">
      <c r="A199" s="72" t="s">
        <v>767</v>
      </c>
      <c r="B199" s="73">
        <v>116.0</v>
      </c>
    </row>
    <row r="200">
      <c r="A200" s="72" t="s">
        <v>768</v>
      </c>
      <c r="B200" s="73">
        <v>161.0</v>
      </c>
    </row>
    <row r="201">
      <c r="A201" s="72" t="s">
        <v>769</v>
      </c>
      <c r="B201" s="73">
        <v>1090.4</v>
      </c>
    </row>
    <row r="202">
      <c r="A202" s="72" t="s">
        <v>221</v>
      </c>
      <c r="B202" s="73">
        <v>394.4</v>
      </c>
    </row>
    <row r="203">
      <c r="A203" s="72" t="s">
        <v>219</v>
      </c>
      <c r="B203" s="73">
        <v>464.0</v>
      </c>
    </row>
    <row r="204">
      <c r="A204" s="72" t="s">
        <v>227</v>
      </c>
      <c r="B204" s="73">
        <v>111.36</v>
      </c>
    </row>
    <row r="205">
      <c r="A205" s="72" t="s">
        <v>771</v>
      </c>
      <c r="B205" s="73">
        <v>3853.52</v>
      </c>
    </row>
    <row r="206">
      <c r="A206" s="72" t="s">
        <v>223</v>
      </c>
      <c r="B206" s="73">
        <v>453.59</v>
      </c>
    </row>
    <row r="207">
      <c r="A207" s="72" t="s">
        <v>326</v>
      </c>
      <c r="B207" s="73">
        <v>104.4</v>
      </c>
    </row>
    <row r="208">
      <c r="A208" s="72" t="s">
        <v>225</v>
      </c>
      <c r="B208" s="73">
        <v>777.2</v>
      </c>
    </row>
    <row r="209">
      <c r="A209" s="72" t="s">
        <v>207</v>
      </c>
      <c r="B209" s="73">
        <v>104.4</v>
      </c>
    </row>
    <row r="210">
      <c r="A210" s="72" t="s">
        <v>235</v>
      </c>
      <c r="B210" s="73">
        <v>315.52</v>
      </c>
    </row>
    <row r="211">
      <c r="A211" s="72" t="s">
        <v>231</v>
      </c>
      <c r="B211" s="73">
        <v>163.56</v>
      </c>
    </row>
    <row r="212">
      <c r="A212" s="72" t="s">
        <v>229</v>
      </c>
      <c r="B212" s="73">
        <v>329.44</v>
      </c>
    </row>
    <row r="213">
      <c r="A213" s="72" t="s">
        <v>772</v>
      </c>
      <c r="B213" s="73">
        <v>313.2</v>
      </c>
    </row>
    <row r="214">
      <c r="A214" s="72" t="s">
        <v>267</v>
      </c>
      <c r="B214" s="73">
        <v>231.72</v>
      </c>
    </row>
    <row r="215">
      <c r="A215" s="72" t="s">
        <v>773</v>
      </c>
      <c r="B215" s="73">
        <v>5151.59</v>
      </c>
    </row>
    <row r="216">
      <c r="A216" s="72" t="s">
        <v>16</v>
      </c>
      <c r="B216" s="73">
        <v>394.54</v>
      </c>
    </row>
    <row r="217">
      <c r="A217" s="72" t="s">
        <v>775</v>
      </c>
      <c r="B217" s="73">
        <v>222.72</v>
      </c>
    </row>
    <row r="218">
      <c r="A218" s="72" t="s">
        <v>239</v>
      </c>
      <c r="B218" s="73">
        <v>272.6</v>
      </c>
    </row>
    <row r="219">
      <c r="A219" s="72" t="s">
        <v>776</v>
      </c>
      <c r="B219" s="73">
        <v>273.98</v>
      </c>
    </row>
    <row r="220">
      <c r="A220" s="72" t="s">
        <v>777</v>
      </c>
      <c r="B220" s="73">
        <v>133.99</v>
      </c>
    </row>
    <row r="221">
      <c r="A221" s="72" t="s">
        <v>778</v>
      </c>
      <c r="B221" s="73">
        <v>177.48</v>
      </c>
    </row>
    <row r="222">
      <c r="A222" s="72" t="s">
        <v>237</v>
      </c>
      <c r="B222" s="73">
        <v>250.56</v>
      </c>
    </row>
    <row r="223">
      <c r="A223" s="72" t="s">
        <v>241</v>
      </c>
      <c r="B223" s="73">
        <v>211.12</v>
      </c>
    </row>
    <row r="224">
      <c r="A224" s="72" t="s">
        <v>779</v>
      </c>
      <c r="B224" s="73">
        <v>59.16</v>
      </c>
    </row>
    <row r="225">
      <c r="A225" s="72" t="s">
        <v>80</v>
      </c>
      <c r="B225" s="73">
        <v>116.0</v>
      </c>
    </row>
    <row r="226">
      <c r="A226" s="72" t="s">
        <v>251</v>
      </c>
      <c r="B226" s="73">
        <v>172.84</v>
      </c>
    </row>
    <row r="227">
      <c r="A227" s="72" t="s">
        <v>249</v>
      </c>
      <c r="B227" s="73">
        <v>1073.0</v>
      </c>
    </row>
    <row r="228">
      <c r="A228" s="72" t="s">
        <v>781</v>
      </c>
      <c r="B228" s="73">
        <v>120.59</v>
      </c>
    </row>
    <row r="229">
      <c r="A229" s="72" t="s">
        <v>782</v>
      </c>
      <c r="B229" s="73">
        <v>599.72</v>
      </c>
    </row>
    <row r="230">
      <c r="A230" s="72" t="s">
        <v>184</v>
      </c>
      <c r="B230" s="73">
        <v>64.96</v>
      </c>
    </row>
    <row r="231">
      <c r="A231" s="72" t="s">
        <v>200</v>
      </c>
      <c r="B231" s="73">
        <v>306.24</v>
      </c>
    </row>
    <row r="232">
      <c r="A232" s="72" t="s">
        <v>21</v>
      </c>
      <c r="B232" s="73">
        <v>3312.79</v>
      </c>
    </row>
    <row r="233">
      <c r="A233" s="72" t="s">
        <v>783</v>
      </c>
      <c r="B233" s="73">
        <v>116.0</v>
      </c>
    </row>
    <row r="234">
      <c r="A234" s="72" t="s">
        <v>20</v>
      </c>
      <c r="B234" s="73">
        <v>436.16</v>
      </c>
    </row>
    <row r="235">
      <c r="A235" s="72" t="s">
        <v>255</v>
      </c>
      <c r="B235" s="73">
        <v>0.59</v>
      </c>
    </row>
    <row r="236">
      <c r="A236" s="72" t="s">
        <v>197</v>
      </c>
      <c r="B236" s="73">
        <v>164.0</v>
      </c>
    </row>
    <row r="237">
      <c r="A237" s="72" t="s">
        <v>281</v>
      </c>
      <c r="B237" s="73">
        <v>79.99</v>
      </c>
    </row>
    <row r="238">
      <c r="A238" s="72" t="s">
        <v>785</v>
      </c>
      <c r="B238" s="73">
        <v>104.4</v>
      </c>
    </row>
    <row r="239">
      <c r="A239" s="72" t="s">
        <v>8</v>
      </c>
      <c r="B239" s="73">
        <v>296.37</v>
      </c>
    </row>
    <row r="240">
      <c r="A240" s="72" t="s">
        <v>85</v>
      </c>
      <c r="B240" s="73">
        <v>1211.07</v>
      </c>
    </row>
    <row r="241">
      <c r="A241" s="72" t="s">
        <v>787</v>
      </c>
      <c r="B241" s="73">
        <v>116.0</v>
      </c>
    </row>
    <row r="242">
      <c r="A242" s="72" t="s">
        <v>788</v>
      </c>
      <c r="B242" s="73">
        <v>80.04</v>
      </c>
    </row>
    <row r="243">
      <c r="A243" s="72" t="s">
        <v>243</v>
      </c>
      <c r="B243" s="73">
        <v>98.41</v>
      </c>
    </row>
    <row r="244">
      <c r="A244" s="72" t="s">
        <v>789</v>
      </c>
      <c r="B244" s="73">
        <v>197.2</v>
      </c>
    </row>
    <row r="245">
      <c r="A245" s="72" t="s">
        <v>263</v>
      </c>
      <c r="B245" s="73">
        <v>100.92</v>
      </c>
    </row>
    <row r="246">
      <c r="A246" s="72" t="s">
        <v>790</v>
      </c>
      <c r="B246" s="73">
        <v>104.4</v>
      </c>
    </row>
    <row r="247">
      <c r="A247" s="72" t="s">
        <v>53</v>
      </c>
      <c r="B247" s="73">
        <v>100.92</v>
      </c>
    </row>
    <row r="248">
      <c r="A248" s="72" t="s">
        <v>9</v>
      </c>
      <c r="B248" s="73">
        <v>362.42</v>
      </c>
    </row>
    <row r="249">
      <c r="A249" s="72" t="s">
        <v>86</v>
      </c>
      <c r="B249" s="73">
        <v>807.96</v>
      </c>
    </row>
    <row r="250">
      <c r="A250" s="72" t="s">
        <v>791</v>
      </c>
      <c r="B250" s="73">
        <v>83.52</v>
      </c>
    </row>
    <row r="251">
      <c r="A251" s="72" t="s">
        <v>46</v>
      </c>
      <c r="B251" s="73">
        <v>357.28</v>
      </c>
    </row>
    <row r="252">
      <c r="A252" s="72" t="s">
        <v>793</v>
      </c>
      <c r="B252" s="73">
        <v>81.2</v>
      </c>
    </row>
    <row r="253">
      <c r="A253" s="72" t="s">
        <v>275</v>
      </c>
      <c r="B253" s="73">
        <v>499.96</v>
      </c>
    </row>
    <row r="254">
      <c r="A254" s="72" t="s">
        <v>470</v>
      </c>
      <c r="B254" s="73">
        <v>774.88</v>
      </c>
    </row>
    <row r="255">
      <c r="A255" s="72" t="s">
        <v>277</v>
      </c>
      <c r="B255" s="73">
        <v>146.16</v>
      </c>
    </row>
    <row r="256">
      <c r="A256" s="72" t="s">
        <v>794</v>
      </c>
      <c r="B256" s="73">
        <v>98.6</v>
      </c>
    </row>
    <row r="257">
      <c r="A257" s="72" t="s">
        <v>70</v>
      </c>
      <c r="B257" s="73">
        <v>215.54</v>
      </c>
    </row>
    <row r="258">
      <c r="A258" s="72" t="s">
        <v>279</v>
      </c>
      <c r="B258" s="73">
        <v>241.04</v>
      </c>
    </row>
    <row r="259">
      <c r="A259" s="72" t="s">
        <v>795</v>
      </c>
      <c r="B259" s="73">
        <v>79.96</v>
      </c>
    </row>
    <row r="260">
      <c r="A260" s="72" t="s">
        <v>797</v>
      </c>
      <c r="B260" s="73">
        <v>74.24</v>
      </c>
    </row>
    <row r="261">
      <c r="A261" s="72" t="s">
        <v>216</v>
      </c>
      <c r="B261" s="73">
        <v>954.71</v>
      </c>
    </row>
    <row r="262">
      <c r="A262" s="72" t="s">
        <v>798</v>
      </c>
      <c r="B262" s="73">
        <v>6802.37</v>
      </c>
    </row>
    <row r="263">
      <c r="A263" s="72" t="s">
        <v>800</v>
      </c>
      <c r="B263" s="73">
        <v>280.72</v>
      </c>
    </row>
    <row r="264">
      <c r="A264" s="72" t="s">
        <v>260</v>
      </c>
      <c r="B264" s="73">
        <v>106.72</v>
      </c>
    </row>
    <row r="265">
      <c r="A265" s="72" t="s">
        <v>335</v>
      </c>
      <c r="B265" s="73">
        <v>176.32</v>
      </c>
    </row>
    <row r="266">
      <c r="A266" s="72" t="s">
        <v>801</v>
      </c>
      <c r="B266" s="73">
        <v>299.28</v>
      </c>
    </row>
    <row r="267">
      <c r="A267" s="72" t="s">
        <v>171</v>
      </c>
      <c r="B267" s="73">
        <v>447.76</v>
      </c>
    </row>
    <row r="268">
      <c r="A268" s="72" t="s">
        <v>145</v>
      </c>
      <c r="B268" s="73">
        <v>312.04</v>
      </c>
    </row>
    <row r="269">
      <c r="A269" s="72" t="s">
        <v>265</v>
      </c>
      <c r="B269" s="73">
        <v>87.0</v>
      </c>
    </row>
    <row r="270">
      <c r="A270" s="72" t="s">
        <v>283</v>
      </c>
      <c r="B270" s="73">
        <v>104.4</v>
      </c>
    </row>
    <row r="271">
      <c r="A271" s="72" t="s">
        <v>37</v>
      </c>
      <c r="B271" s="73">
        <v>1223.8</v>
      </c>
    </row>
    <row r="272">
      <c r="A272" s="72" t="s">
        <v>802</v>
      </c>
      <c r="B272" s="73">
        <v>225.04</v>
      </c>
    </row>
    <row r="273">
      <c r="A273" s="72" t="s">
        <v>357</v>
      </c>
      <c r="B273" s="73">
        <v>116.0</v>
      </c>
    </row>
    <row r="274">
      <c r="A274" s="72" t="s">
        <v>288</v>
      </c>
      <c r="B274" s="73">
        <v>382.8</v>
      </c>
    </row>
    <row r="275">
      <c r="A275" s="72" t="s">
        <v>10</v>
      </c>
      <c r="B275" s="73">
        <v>148.48</v>
      </c>
    </row>
    <row r="276">
      <c r="A276" s="72" t="s">
        <v>290</v>
      </c>
      <c r="B276" s="73">
        <v>1051.51</v>
      </c>
    </row>
    <row r="277">
      <c r="A277" s="72" t="s">
        <v>292</v>
      </c>
      <c r="B277" s="73">
        <v>348.0</v>
      </c>
    </row>
    <row r="278">
      <c r="A278" s="72" t="s">
        <v>803</v>
      </c>
      <c r="B278" s="73">
        <v>487.2</v>
      </c>
    </row>
    <row r="279">
      <c r="A279" s="72" t="s">
        <v>804</v>
      </c>
      <c r="B279" s="73">
        <v>74.24</v>
      </c>
    </row>
    <row r="280">
      <c r="A280" s="72" t="s">
        <v>488</v>
      </c>
      <c r="B280" s="73">
        <v>2308.4</v>
      </c>
    </row>
    <row r="281">
      <c r="A281" s="72" t="s">
        <v>806</v>
      </c>
      <c r="B281" s="73">
        <v>162.4</v>
      </c>
    </row>
    <row r="282">
      <c r="A282" s="72" t="s">
        <v>81</v>
      </c>
      <c r="B282" s="73">
        <v>406.0</v>
      </c>
    </row>
    <row r="283">
      <c r="A283" s="72" t="s">
        <v>34</v>
      </c>
      <c r="B283" s="73">
        <v>162.4</v>
      </c>
    </row>
    <row r="284">
      <c r="A284" s="72" t="s">
        <v>294</v>
      </c>
      <c r="B284" s="73">
        <v>334.08</v>
      </c>
    </row>
    <row r="285">
      <c r="A285" s="72" t="s">
        <v>302</v>
      </c>
      <c r="B285" s="73">
        <v>646.5</v>
      </c>
    </row>
    <row r="286">
      <c r="A286" s="72" t="s">
        <v>146</v>
      </c>
      <c r="B286" s="73">
        <v>115.86</v>
      </c>
    </row>
    <row r="287">
      <c r="A287" s="72" t="s">
        <v>808</v>
      </c>
      <c r="B287" s="73">
        <v>3457.96</v>
      </c>
    </row>
    <row r="288">
      <c r="A288" s="72" t="s">
        <v>809</v>
      </c>
      <c r="B288" s="73">
        <v>1077.51</v>
      </c>
    </row>
    <row r="289">
      <c r="A289" s="72" t="s">
        <v>810</v>
      </c>
      <c r="B289" s="73">
        <v>324.41</v>
      </c>
    </row>
    <row r="290">
      <c r="A290" s="72" t="s">
        <v>811</v>
      </c>
      <c r="B290" s="73">
        <v>318.62</v>
      </c>
    </row>
    <row r="291">
      <c r="A291" s="72" t="s">
        <v>304</v>
      </c>
      <c r="B291" s="73">
        <v>770.47</v>
      </c>
    </row>
    <row r="292">
      <c r="A292" s="72" t="s">
        <v>306</v>
      </c>
      <c r="B292" s="73">
        <v>1071.71</v>
      </c>
    </row>
    <row r="293">
      <c r="A293" s="72" t="s">
        <v>813</v>
      </c>
      <c r="B293" s="73">
        <v>162.2</v>
      </c>
    </row>
    <row r="294">
      <c r="A294" s="72" t="s">
        <v>815</v>
      </c>
      <c r="B294" s="73">
        <v>112.38</v>
      </c>
    </row>
    <row r="295">
      <c r="A295" s="72" t="s">
        <v>817</v>
      </c>
      <c r="B295" s="73">
        <v>115.86</v>
      </c>
    </row>
    <row r="296">
      <c r="A296" s="72" t="s">
        <v>27</v>
      </c>
      <c r="B296" s="73">
        <v>2128.46</v>
      </c>
    </row>
    <row r="297">
      <c r="A297" s="72" t="s">
        <v>818</v>
      </c>
      <c r="B297" s="73">
        <v>76.0</v>
      </c>
    </row>
    <row r="298">
      <c r="A298" s="72" t="s">
        <v>820</v>
      </c>
      <c r="B298" s="73">
        <v>644.14</v>
      </c>
    </row>
    <row r="299">
      <c r="A299" s="72" t="s">
        <v>310</v>
      </c>
      <c r="B299" s="73">
        <v>472.0</v>
      </c>
    </row>
    <row r="300">
      <c r="A300" s="72" t="s">
        <v>312</v>
      </c>
      <c r="B300" s="73">
        <v>249.67</v>
      </c>
    </row>
    <row r="301">
      <c r="A301" s="72" t="s">
        <v>823</v>
      </c>
      <c r="B301" s="73">
        <v>102.6</v>
      </c>
    </row>
    <row r="302">
      <c r="A302" s="72" t="s">
        <v>350</v>
      </c>
      <c r="B302" s="73">
        <v>476.55</v>
      </c>
    </row>
    <row r="303">
      <c r="A303" s="72" t="s">
        <v>824</v>
      </c>
      <c r="B303" s="73">
        <v>171.01</v>
      </c>
    </row>
    <row r="304">
      <c r="A304" s="72" t="s">
        <v>825</v>
      </c>
      <c r="B304" s="73">
        <v>134.53</v>
      </c>
    </row>
    <row r="305">
      <c r="A305" s="72" t="s">
        <v>308</v>
      </c>
      <c r="B305" s="73">
        <v>102.6</v>
      </c>
    </row>
    <row r="306">
      <c r="A306" s="72" t="s">
        <v>826</v>
      </c>
      <c r="B306" s="73">
        <v>220.13</v>
      </c>
    </row>
    <row r="307">
      <c r="A307" s="72" t="s">
        <v>209</v>
      </c>
      <c r="B307" s="73">
        <v>52.22</v>
      </c>
    </row>
    <row r="308">
      <c r="A308" s="72" t="s">
        <v>314</v>
      </c>
      <c r="B308" s="73">
        <v>100.0</v>
      </c>
    </row>
    <row r="309">
      <c r="A309" s="72" t="s">
        <v>320</v>
      </c>
      <c r="B309" s="73">
        <v>425.0</v>
      </c>
    </row>
    <row r="310">
      <c r="A310" s="72" t="s">
        <v>316</v>
      </c>
      <c r="B310" s="73">
        <v>266.16</v>
      </c>
    </row>
    <row r="311">
      <c r="A311" s="72" t="s">
        <v>318</v>
      </c>
      <c r="B311" s="73">
        <v>255.0</v>
      </c>
    </row>
    <row r="312">
      <c r="A312" s="72" t="s">
        <v>324</v>
      </c>
      <c r="B312" s="73">
        <v>116.93</v>
      </c>
    </row>
    <row r="313">
      <c r="A313" s="72" t="s">
        <v>322</v>
      </c>
      <c r="B313" s="73">
        <v>306.16</v>
      </c>
    </row>
    <row r="314">
      <c r="A314" s="72" t="s">
        <v>827</v>
      </c>
      <c r="B314" s="73">
        <v>341.55</v>
      </c>
    </row>
    <row r="315">
      <c r="A315" s="72" t="s">
        <v>368</v>
      </c>
      <c r="B315" s="73">
        <v>81.54</v>
      </c>
    </row>
    <row r="316">
      <c r="A316" s="72" t="s">
        <v>829</v>
      </c>
      <c r="B316" s="73">
        <v>163.07</v>
      </c>
    </row>
    <row r="317">
      <c r="A317" s="72" t="s">
        <v>49</v>
      </c>
      <c r="B317" s="73">
        <v>130.77</v>
      </c>
    </row>
    <row r="318">
      <c r="A318" s="72" t="s">
        <v>285</v>
      </c>
      <c r="B318" s="73">
        <v>244.61</v>
      </c>
    </row>
    <row r="319">
      <c r="A319" s="72" t="s">
        <v>328</v>
      </c>
      <c r="B319" s="73">
        <v>252.3</v>
      </c>
    </row>
    <row r="320">
      <c r="A320" s="72" t="s">
        <v>330</v>
      </c>
      <c r="B320" s="73">
        <v>215.39</v>
      </c>
    </row>
    <row r="321">
      <c r="A321" s="72" t="s">
        <v>830</v>
      </c>
      <c r="B321" s="73">
        <v>53.85</v>
      </c>
    </row>
    <row r="322">
      <c r="A322" s="72" t="s">
        <v>832</v>
      </c>
      <c r="B322" s="73">
        <v>104.62</v>
      </c>
    </row>
    <row r="323">
      <c r="A323" s="72" t="s">
        <v>54</v>
      </c>
      <c r="B323" s="73">
        <v>68.44</v>
      </c>
    </row>
    <row r="324">
      <c r="A324" s="72" t="s">
        <v>64</v>
      </c>
      <c r="B324" s="73">
        <v>110.77</v>
      </c>
    </row>
    <row r="325">
      <c r="A325" s="72" t="s">
        <v>71</v>
      </c>
      <c r="B325" s="73">
        <v>224.62</v>
      </c>
    </row>
    <row r="326">
      <c r="A326" s="72" t="s">
        <v>30</v>
      </c>
      <c r="B326" s="73">
        <v>192.3</v>
      </c>
    </row>
    <row r="327">
      <c r="A327" s="72" t="s">
        <v>833</v>
      </c>
      <c r="B327" s="73">
        <v>406.16</v>
      </c>
    </row>
    <row r="328">
      <c r="A328" s="72" t="s">
        <v>338</v>
      </c>
      <c r="B328" s="73">
        <v>1906.53</v>
      </c>
    </row>
    <row r="329">
      <c r="A329" s="72" t="s">
        <v>834</v>
      </c>
      <c r="B329" s="73">
        <v>109.98</v>
      </c>
    </row>
    <row r="330">
      <c r="A330" s="72" t="s">
        <v>342</v>
      </c>
      <c r="B330" s="73">
        <v>81.54</v>
      </c>
    </row>
    <row r="331">
      <c r="A331" s="72" t="s">
        <v>340</v>
      </c>
      <c r="B331" s="73">
        <v>229.23</v>
      </c>
    </row>
    <row r="332">
      <c r="A332" s="72" t="s">
        <v>359</v>
      </c>
      <c r="B332" s="73">
        <v>258.46</v>
      </c>
    </row>
    <row r="333">
      <c r="A333" s="72" t="s">
        <v>835</v>
      </c>
      <c r="B333" s="73">
        <v>500.02</v>
      </c>
    </row>
    <row r="334">
      <c r="A334" s="72" t="s">
        <v>346</v>
      </c>
      <c r="B334" s="73">
        <v>116.93</v>
      </c>
    </row>
    <row r="335">
      <c r="A335" s="72" t="s">
        <v>836</v>
      </c>
      <c r="B335" s="73">
        <v>81.54</v>
      </c>
    </row>
    <row r="336">
      <c r="A336" s="72" t="s">
        <v>11</v>
      </c>
      <c r="B336" s="73">
        <v>336.93</v>
      </c>
    </row>
    <row r="337">
      <c r="A337" s="72" t="s">
        <v>348</v>
      </c>
      <c r="B337" s="73">
        <v>333.86</v>
      </c>
    </row>
    <row r="338">
      <c r="A338" s="72" t="s">
        <v>172</v>
      </c>
      <c r="B338" s="73">
        <v>1073.85</v>
      </c>
    </row>
    <row r="339">
      <c r="A339" s="72" t="s">
        <v>296</v>
      </c>
      <c r="B339" s="73">
        <v>193.85</v>
      </c>
    </row>
    <row r="340">
      <c r="A340" s="72" t="s">
        <v>344</v>
      </c>
      <c r="B340" s="73">
        <v>721.53</v>
      </c>
    </row>
    <row r="341">
      <c r="A341" s="72" t="s">
        <v>837</v>
      </c>
      <c r="B341" s="73">
        <v>1304.58</v>
      </c>
    </row>
    <row r="342">
      <c r="A342" s="72" t="s">
        <v>17</v>
      </c>
      <c r="B342" s="73">
        <v>321.55</v>
      </c>
    </row>
    <row r="343">
      <c r="A343" s="72" t="s">
        <v>379</v>
      </c>
      <c r="B343" s="73">
        <v>233.86</v>
      </c>
    </row>
    <row r="344">
      <c r="A344" s="72" t="s">
        <v>23</v>
      </c>
      <c r="B344" s="73">
        <v>8147.68</v>
      </c>
    </row>
    <row r="345">
      <c r="A345" s="72" t="s">
        <v>839</v>
      </c>
      <c r="B345" s="73">
        <v>216.93</v>
      </c>
    </row>
    <row r="346">
      <c r="A346" s="72" t="s">
        <v>352</v>
      </c>
      <c r="B346" s="73">
        <v>395.37</v>
      </c>
    </row>
    <row r="347">
      <c r="A347" s="72" t="s">
        <v>58</v>
      </c>
      <c r="B347" s="73">
        <v>1669.26</v>
      </c>
    </row>
    <row r="348">
      <c r="A348" s="72" t="s">
        <v>840</v>
      </c>
      <c r="B348" s="73">
        <v>304.63</v>
      </c>
    </row>
    <row r="349">
      <c r="A349" s="72" t="s">
        <v>366</v>
      </c>
      <c r="B349" s="73">
        <v>496.99</v>
      </c>
    </row>
    <row r="350">
      <c r="A350" s="72" t="s">
        <v>40</v>
      </c>
      <c r="B350" s="73">
        <v>233.86</v>
      </c>
    </row>
    <row r="351">
      <c r="A351" s="72" t="s">
        <v>364</v>
      </c>
      <c r="B351" s="73">
        <v>104.62</v>
      </c>
    </row>
    <row r="352">
      <c r="A352" s="72" t="s">
        <v>842</v>
      </c>
      <c r="B352" s="73">
        <v>2858.47</v>
      </c>
    </row>
    <row r="353">
      <c r="A353" s="72" t="s">
        <v>210</v>
      </c>
      <c r="B353" s="73">
        <v>58.46</v>
      </c>
    </row>
    <row r="354">
      <c r="A354" s="72" t="s">
        <v>386</v>
      </c>
      <c r="B354" s="73">
        <v>116.93</v>
      </c>
    </row>
    <row r="355">
      <c r="A355" s="72" t="s">
        <v>371</v>
      </c>
      <c r="B355" s="73">
        <v>104.62</v>
      </c>
    </row>
    <row r="356">
      <c r="A356" s="72" t="s">
        <v>72</v>
      </c>
      <c r="B356" s="73">
        <v>224.62</v>
      </c>
    </row>
    <row r="357">
      <c r="A357" s="72" t="s">
        <v>844</v>
      </c>
      <c r="B357" s="73">
        <v>1850.75</v>
      </c>
    </row>
    <row r="358">
      <c r="A358" s="72" t="s">
        <v>389</v>
      </c>
      <c r="B358" s="73">
        <v>100.0</v>
      </c>
    </row>
    <row r="359">
      <c r="A359" s="72" t="s">
        <v>845</v>
      </c>
      <c r="B359" s="73">
        <v>260.0</v>
      </c>
    </row>
    <row r="360">
      <c r="A360" s="72" t="s">
        <v>299</v>
      </c>
      <c r="B360" s="73">
        <v>84.61</v>
      </c>
    </row>
    <row r="361">
      <c r="A361" s="72" t="s">
        <v>373</v>
      </c>
      <c r="B361" s="73">
        <v>110.77</v>
      </c>
    </row>
    <row r="362">
      <c r="A362" s="72" t="s">
        <v>375</v>
      </c>
      <c r="B362" s="73">
        <v>144.62</v>
      </c>
    </row>
    <row r="363">
      <c r="A363" s="72" t="s">
        <v>846</v>
      </c>
      <c r="B363" s="73">
        <v>2020.77</v>
      </c>
    </row>
    <row r="364">
      <c r="A364" s="72" t="s">
        <v>382</v>
      </c>
      <c r="B364" s="73">
        <v>224.56</v>
      </c>
    </row>
    <row r="365">
      <c r="A365" s="72" t="s">
        <v>12</v>
      </c>
      <c r="B365" s="73">
        <v>495.39</v>
      </c>
    </row>
    <row r="366">
      <c r="A366" s="72" t="s">
        <v>273</v>
      </c>
      <c r="B366" s="73">
        <v>497.48</v>
      </c>
    </row>
    <row r="367">
      <c r="A367" s="72" t="s">
        <v>272</v>
      </c>
      <c r="B367" s="73">
        <v>40.0</v>
      </c>
    </row>
    <row r="368">
      <c r="A368" s="72" t="s">
        <v>377</v>
      </c>
      <c r="B368" s="73">
        <v>273.84</v>
      </c>
    </row>
    <row r="369">
      <c r="A369" s="72" t="s">
        <v>847</v>
      </c>
      <c r="B369" s="73">
        <v>1361.52</v>
      </c>
    </row>
    <row r="370">
      <c r="A370" s="72" t="s">
        <v>848</v>
      </c>
      <c r="B370" s="73">
        <v>21143.13</v>
      </c>
    </row>
    <row r="371">
      <c r="A371" s="72" t="s">
        <v>391</v>
      </c>
      <c r="B371" s="73">
        <v>263.09</v>
      </c>
    </row>
    <row r="372">
      <c r="A372" s="72" t="s">
        <v>384</v>
      </c>
      <c r="B372" s="73">
        <v>315.13</v>
      </c>
    </row>
    <row r="373">
      <c r="A373" s="72" t="s">
        <v>393</v>
      </c>
      <c r="B373" s="73">
        <v>283.07</v>
      </c>
    </row>
    <row r="374">
      <c r="A374" s="72" t="s">
        <v>55</v>
      </c>
      <c r="B374" s="73">
        <v>81.54</v>
      </c>
    </row>
    <row r="375">
      <c r="A375" s="72" t="s">
        <v>149</v>
      </c>
      <c r="B375" s="73">
        <v>576.93</v>
      </c>
    </row>
    <row r="376">
      <c r="A376" s="72" t="s">
        <v>397</v>
      </c>
      <c r="B376" s="73">
        <v>1107.71</v>
      </c>
    </row>
    <row r="377">
      <c r="A377" s="72" t="s">
        <v>332</v>
      </c>
      <c r="B377" s="73">
        <v>216.93</v>
      </c>
    </row>
    <row r="378">
      <c r="A378" s="72" t="s">
        <v>403</v>
      </c>
      <c r="B378" s="73">
        <v>993.84</v>
      </c>
    </row>
    <row r="379">
      <c r="A379" s="72" t="s">
        <v>395</v>
      </c>
      <c r="B379" s="73">
        <v>261.53</v>
      </c>
    </row>
    <row r="380">
      <c r="A380" s="72" t="s">
        <v>850</v>
      </c>
      <c r="B380" s="73">
        <v>1630.73</v>
      </c>
    </row>
    <row r="381">
      <c r="A381" s="72" t="s">
        <v>486</v>
      </c>
      <c r="B381" s="73">
        <v>224.62</v>
      </c>
    </row>
    <row r="382">
      <c r="A382" s="72" t="s">
        <v>438</v>
      </c>
      <c r="B382" s="73">
        <v>75.39</v>
      </c>
    </row>
    <row r="383">
      <c r="A383" s="72" t="s">
        <v>369</v>
      </c>
      <c r="B383" s="73">
        <v>81.54</v>
      </c>
    </row>
    <row r="384">
      <c r="A384" s="72" t="s">
        <v>496</v>
      </c>
      <c r="B384" s="73">
        <v>260.0</v>
      </c>
    </row>
    <row r="385">
      <c r="A385" s="72" t="s">
        <v>432</v>
      </c>
      <c r="B385" s="73">
        <v>227.7</v>
      </c>
    </row>
    <row r="386">
      <c r="A386" s="72" t="s">
        <v>333</v>
      </c>
      <c r="B386" s="73">
        <v>116.93</v>
      </c>
    </row>
    <row r="387">
      <c r="A387" s="72" t="s">
        <v>399</v>
      </c>
      <c r="B387" s="73">
        <v>1543.12</v>
      </c>
    </row>
    <row r="388">
      <c r="A388" s="72" t="s">
        <v>217</v>
      </c>
      <c r="B388" s="73">
        <v>1073.85</v>
      </c>
    </row>
    <row r="389">
      <c r="A389" s="72" t="s">
        <v>444</v>
      </c>
      <c r="B389" s="73">
        <v>233.86</v>
      </c>
    </row>
    <row r="390">
      <c r="A390" s="72" t="s">
        <v>498</v>
      </c>
      <c r="B390" s="73">
        <v>350.78</v>
      </c>
    </row>
    <row r="391">
      <c r="A391" s="72" t="s">
        <v>361</v>
      </c>
      <c r="B391" s="73">
        <v>116.93</v>
      </c>
    </row>
    <row r="392">
      <c r="A392" s="72" t="s">
        <v>417</v>
      </c>
      <c r="B392" s="73">
        <v>116.93</v>
      </c>
    </row>
    <row r="393">
      <c r="A393" s="72" t="s">
        <v>43</v>
      </c>
      <c r="B393" s="73">
        <v>298.47</v>
      </c>
    </row>
    <row r="394">
      <c r="A394" s="72" t="s">
        <v>851</v>
      </c>
      <c r="B394" s="73">
        <v>444.63</v>
      </c>
    </row>
    <row r="395">
      <c r="A395" s="72" t="s">
        <v>460</v>
      </c>
      <c r="B395" s="73">
        <v>116.93</v>
      </c>
    </row>
    <row r="396">
      <c r="A396" s="72" t="s">
        <v>401</v>
      </c>
      <c r="B396" s="73">
        <v>729.26</v>
      </c>
    </row>
    <row r="397">
      <c r="A397" s="72" t="s">
        <v>405</v>
      </c>
      <c r="B397" s="73">
        <v>112.31</v>
      </c>
    </row>
    <row r="398">
      <c r="A398" s="72" t="s">
        <v>407</v>
      </c>
      <c r="B398" s="73">
        <v>179.99</v>
      </c>
    </row>
    <row r="399">
      <c r="A399" s="72" t="s">
        <v>336</v>
      </c>
      <c r="B399" s="73">
        <v>333.86</v>
      </c>
    </row>
    <row r="400">
      <c r="A400" s="72" t="s">
        <v>418</v>
      </c>
      <c r="B400" s="73">
        <v>40.0</v>
      </c>
    </row>
    <row r="401">
      <c r="A401" s="72" t="s">
        <v>300</v>
      </c>
      <c r="B401" s="73">
        <v>109.23</v>
      </c>
    </row>
    <row r="402">
      <c r="A402" s="72" t="s">
        <v>415</v>
      </c>
      <c r="B402" s="73">
        <v>369.24</v>
      </c>
    </row>
    <row r="403">
      <c r="A403" s="72" t="s">
        <v>198</v>
      </c>
      <c r="B403" s="73">
        <v>163.07</v>
      </c>
    </row>
    <row r="404">
      <c r="A404" s="72" t="s">
        <v>413</v>
      </c>
      <c r="B404" s="73">
        <v>390.0</v>
      </c>
    </row>
    <row r="405">
      <c r="A405" s="72" t="s">
        <v>185</v>
      </c>
      <c r="B405" s="73">
        <v>121.53</v>
      </c>
    </row>
    <row r="406">
      <c r="A406" s="72" t="s">
        <v>354</v>
      </c>
      <c r="B406" s="73">
        <v>116.93</v>
      </c>
    </row>
    <row r="407">
      <c r="A407" s="72" t="s">
        <v>854</v>
      </c>
      <c r="B407" s="73">
        <v>116.93</v>
      </c>
    </row>
    <row r="408">
      <c r="A408" s="72" t="s">
        <v>411</v>
      </c>
      <c r="B408" s="73">
        <v>75.39</v>
      </c>
    </row>
    <row r="409">
      <c r="A409" s="72" t="s">
        <v>855</v>
      </c>
      <c r="B409" s="73">
        <v>76.0</v>
      </c>
    </row>
    <row r="410">
      <c r="A410" s="72" t="s">
        <v>856</v>
      </c>
      <c r="B410" s="73">
        <v>158.47</v>
      </c>
    </row>
    <row r="411">
      <c r="A411" s="72" t="s">
        <v>201</v>
      </c>
      <c r="B411" s="73">
        <v>306.16</v>
      </c>
    </row>
    <row r="412">
      <c r="A412" s="72" t="s">
        <v>355</v>
      </c>
      <c r="B412" s="73">
        <v>73.0</v>
      </c>
    </row>
    <row r="413">
      <c r="A413" s="72" t="s">
        <v>426</v>
      </c>
      <c r="B413" s="73">
        <v>88.58</v>
      </c>
    </row>
    <row r="414">
      <c r="A414" s="72" t="s">
        <v>422</v>
      </c>
      <c r="B414" s="73">
        <v>2684.62</v>
      </c>
    </row>
    <row r="415">
      <c r="A415" s="72" t="s">
        <v>31</v>
      </c>
      <c r="B415" s="73">
        <v>110.77</v>
      </c>
    </row>
    <row r="416">
      <c r="A416" s="72" t="s">
        <v>857</v>
      </c>
      <c r="B416" s="73">
        <v>69.92</v>
      </c>
    </row>
    <row r="417">
      <c r="A417" s="72" t="s">
        <v>420</v>
      </c>
      <c r="B417" s="73">
        <v>119.99</v>
      </c>
    </row>
    <row r="418">
      <c r="A418" s="72" t="s">
        <v>858</v>
      </c>
      <c r="B418" s="73">
        <v>444.6</v>
      </c>
    </row>
    <row r="419">
      <c r="A419" s="72" t="s">
        <v>424</v>
      </c>
      <c r="B419" s="73">
        <v>221.55</v>
      </c>
    </row>
    <row r="420">
      <c r="A420" s="72" t="s">
        <v>362</v>
      </c>
      <c r="B420" s="73">
        <v>233.86</v>
      </c>
    </row>
    <row r="421">
      <c r="A421" s="72" t="s">
        <v>13</v>
      </c>
      <c r="B421" s="73">
        <v>163.07</v>
      </c>
    </row>
    <row r="422">
      <c r="A422" s="72" t="s">
        <v>440</v>
      </c>
      <c r="B422" s="73">
        <v>3496.92</v>
      </c>
    </row>
    <row r="423">
      <c r="A423" s="72" t="s">
        <v>123</v>
      </c>
      <c r="B423" s="73">
        <v>152.22</v>
      </c>
    </row>
    <row r="424">
      <c r="A424" s="72" t="s">
        <v>430</v>
      </c>
      <c r="B424" s="73">
        <v>1429.24</v>
      </c>
    </row>
    <row r="425">
      <c r="A425" s="72" t="s">
        <v>434</v>
      </c>
      <c r="B425" s="73">
        <v>421.34</v>
      </c>
    </row>
    <row r="426">
      <c r="A426" s="72" t="s">
        <v>436</v>
      </c>
      <c r="B426" s="73">
        <v>99.23</v>
      </c>
    </row>
    <row r="427">
      <c r="A427" s="72" t="s">
        <v>442</v>
      </c>
      <c r="B427" s="73">
        <v>116.02</v>
      </c>
    </row>
    <row r="428">
      <c r="A428" s="72" t="s">
        <v>494</v>
      </c>
      <c r="B428" s="73">
        <v>143.5</v>
      </c>
    </row>
    <row r="429">
      <c r="A429" s="72" t="s">
        <v>141</v>
      </c>
      <c r="B429" s="73">
        <v>55.0</v>
      </c>
    </row>
    <row r="430">
      <c r="A430" s="72" t="s">
        <v>91</v>
      </c>
      <c r="B430" s="73">
        <v>103.81</v>
      </c>
    </row>
    <row r="431">
      <c r="A431" s="72" t="s">
        <v>130</v>
      </c>
      <c r="B431" s="73">
        <v>757.18</v>
      </c>
    </row>
    <row r="432">
      <c r="A432" s="72" t="s">
        <v>387</v>
      </c>
      <c r="B432" s="73">
        <v>103.81</v>
      </c>
    </row>
    <row r="433">
      <c r="A433" s="72" t="s">
        <v>452</v>
      </c>
      <c r="B433" s="73">
        <v>1632.58</v>
      </c>
    </row>
    <row r="434">
      <c r="A434" s="72" t="s">
        <v>448</v>
      </c>
      <c r="B434" s="73">
        <v>160.4</v>
      </c>
    </row>
    <row r="435">
      <c r="A435" s="72" t="s">
        <v>268</v>
      </c>
      <c r="B435" s="73">
        <v>230.02</v>
      </c>
    </row>
    <row r="436">
      <c r="A436" s="72" t="s">
        <v>409</v>
      </c>
      <c r="B436" s="73">
        <v>335.96</v>
      </c>
    </row>
    <row r="437">
      <c r="A437" s="72" t="s">
        <v>297</v>
      </c>
      <c r="B437" s="73">
        <v>205.81</v>
      </c>
    </row>
    <row r="438">
      <c r="A438" s="72" t="s">
        <v>446</v>
      </c>
      <c r="B438" s="73">
        <v>160.4</v>
      </c>
    </row>
    <row r="439">
      <c r="A439" s="72" t="s">
        <v>450</v>
      </c>
      <c r="B439" s="73">
        <v>345.01</v>
      </c>
    </row>
    <row r="440">
      <c r="A440" s="72" t="s">
        <v>456</v>
      </c>
      <c r="B440" s="73">
        <v>220.95</v>
      </c>
    </row>
    <row r="441">
      <c r="A441" s="72" t="s">
        <v>860</v>
      </c>
      <c r="B441" s="73">
        <v>298.11</v>
      </c>
    </row>
    <row r="442">
      <c r="A442" s="72" t="s">
        <v>458</v>
      </c>
      <c r="B442" s="73">
        <v>349.57</v>
      </c>
    </row>
    <row r="443">
      <c r="A443" s="72" t="s">
        <v>114</v>
      </c>
      <c r="B443" s="73">
        <v>2049.11</v>
      </c>
    </row>
    <row r="444">
      <c r="A444" s="72" t="s">
        <v>861</v>
      </c>
      <c r="B444" s="73">
        <v>80.2</v>
      </c>
    </row>
    <row r="445">
      <c r="A445" s="72" t="s">
        <v>380</v>
      </c>
      <c r="B445" s="73">
        <v>441.87</v>
      </c>
    </row>
    <row r="446">
      <c r="A446" s="72" t="s">
        <v>454</v>
      </c>
      <c r="B446" s="73">
        <v>118.02</v>
      </c>
    </row>
    <row r="447">
      <c r="A447" s="72" t="s">
        <v>863</v>
      </c>
      <c r="B447" s="73">
        <v>399.13</v>
      </c>
    </row>
    <row r="448">
      <c r="A448" s="72" t="s">
        <v>462</v>
      </c>
      <c r="B448" s="73">
        <v>114.04</v>
      </c>
    </row>
    <row r="449">
      <c r="A449" s="72" t="s">
        <v>286</v>
      </c>
      <c r="B449" s="73">
        <v>363.13</v>
      </c>
    </row>
    <row r="450">
      <c r="A450" s="72" t="s">
        <v>474</v>
      </c>
      <c r="B450" s="73">
        <v>519.17</v>
      </c>
    </row>
    <row r="451">
      <c r="A451" s="72" t="s">
        <v>466</v>
      </c>
      <c r="B451" s="73">
        <v>424.63</v>
      </c>
    </row>
    <row r="452">
      <c r="A452" s="72" t="s">
        <v>464</v>
      </c>
      <c r="B452" s="73">
        <v>373.62</v>
      </c>
    </row>
    <row r="453">
      <c r="A453" s="72" t="s">
        <v>472</v>
      </c>
      <c r="B453" s="73">
        <v>349.62</v>
      </c>
    </row>
    <row r="454">
      <c r="A454" s="72" t="s">
        <v>468</v>
      </c>
      <c r="B454" s="73">
        <v>117.04</v>
      </c>
    </row>
    <row r="455">
      <c r="A455" s="72" t="s">
        <v>865</v>
      </c>
      <c r="B455" s="73">
        <v>428.32</v>
      </c>
    </row>
    <row r="456">
      <c r="A456" s="72" t="s">
        <v>261</v>
      </c>
      <c r="B456" s="73">
        <v>199.3</v>
      </c>
    </row>
    <row r="457">
      <c r="A457" s="72" t="s">
        <v>428</v>
      </c>
      <c r="B457" s="73">
        <v>136.0</v>
      </c>
    </row>
    <row r="458">
      <c r="A458" s="72" t="s">
        <v>476</v>
      </c>
      <c r="B458" s="73">
        <v>115.99</v>
      </c>
    </row>
    <row r="459">
      <c r="A459" s="72" t="s">
        <v>866</v>
      </c>
      <c r="B459" s="73">
        <v>226.07</v>
      </c>
    </row>
    <row r="460">
      <c r="A460" s="72" t="s">
        <v>868</v>
      </c>
      <c r="B460" s="73">
        <v>1023.22</v>
      </c>
    </row>
    <row r="461">
      <c r="A461" s="72" t="s">
        <v>480</v>
      </c>
      <c r="B461" s="73">
        <v>116.0</v>
      </c>
    </row>
    <row r="462">
      <c r="A462" s="72" t="s">
        <v>478</v>
      </c>
      <c r="B462" s="73">
        <v>1017.33</v>
      </c>
    </row>
    <row r="463">
      <c r="A463" s="72" t="s">
        <v>482</v>
      </c>
      <c r="B463" s="73">
        <v>353.95</v>
      </c>
    </row>
    <row r="464">
      <c r="A464" s="72" t="s">
        <v>490</v>
      </c>
      <c r="B464" s="73">
        <v>76.0</v>
      </c>
    </row>
    <row r="465">
      <c r="A465" s="72" t="s">
        <v>258</v>
      </c>
      <c r="B465" s="73">
        <v>2841.41</v>
      </c>
    </row>
    <row r="466">
      <c r="A466" s="72" t="s">
        <v>484</v>
      </c>
      <c r="B466" s="73">
        <v>359.98</v>
      </c>
    </row>
    <row r="467">
      <c r="A467" s="72" t="s">
        <v>492</v>
      </c>
      <c r="B467" s="73">
        <v>346.7</v>
      </c>
    </row>
    <row r="468">
      <c r="A468" s="72" t="s">
        <v>870</v>
      </c>
      <c r="B468" s="73">
        <v>36.66</v>
      </c>
    </row>
    <row r="469">
      <c r="A469" s="72" t="s">
        <v>195</v>
      </c>
      <c r="B469" s="73">
        <v>20547.78</v>
      </c>
    </row>
    <row r="470">
      <c r="A470" s="72" t="s">
        <v>500</v>
      </c>
      <c r="B470" s="73">
        <v>447.54</v>
      </c>
    </row>
    <row r="471">
      <c r="A471" s="72" t="s">
        <v>194</v>
      </c>
      <c r="B471" s="73">
        <v>1860.42</v>
      </c>
    </row>
    <row r="472">
      <c r="A472" s="72" t="s">
        <v>18</v>
      </c>
      <c r="B472" s="73">
        <v>222.33</v>
      </c>
    </row>
    <row r="473">
      <c r="A473" s="72" t="s">
        <v>506</v>
      </c>
      <c r="B473" s="73">
        <v>94.39</v>
      </c>
    </row>
    <row r="474">
      <c r="A474" s="72" t="s">
        <v>504</v>
      </c>
      <c r="B474" s="73">
        <v>148.11</v>
      </c>
    </row>
    <row r="475">
      <c r="A475" s="72" t="s">
        <v>502</v>
      </c>
      <c r="B475" s="73">
        <v>173.68</v>
      </c>
    </row>
    <row r="476">
      <c r="A476" s="72" t="s">
        <v>871</v>
      </c>
      <c r="B476" s="73">
        <v>387.73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27.43"/>
    <col customWidth="1" min="2" max="2" width="15.0"/>
    <col customWidth="1" min="3" max="3" width="18.43"/>
    <col customWidth="1" min="4" max="4" width="17.71"/>
    <col customWidth="1" min="5" max="5" width="12.43"/>
    <col customWidth="1" min="6" max="6" width="3.0"/>
    <col customWidth="1" min="7" max="7" width="15.0"/>
    <col customWidth="1" min="8" max="8" width="15.57"/>
    <col customWidth="1" min="9" max="9" width="3.0"/>
    <col customWidth="1" min="10" max="10" width="14.57"/>
    <col customWidth="1" min="11" max="11" width="15.71"/>
  </cols>
  <sheetData>
    <row r="1">
      <c r="A1" s="74" t="s">
        <v>899</v>
      </c>
      <c r="F1" s="75"/>
      <c r="G1" s="74" t="s">
        <v>900</v>
      </c>
      <c r="I1" s="75"/>
      <c r="J1" s="74" t="s">
        <v>901</v>
      </c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</row>
    <row r="2">
      <c r="A2" s="77" t="s">
        <v>902</v>
      </c>
      <c r="B2" s="77" t="s">
        <v>903</v>
      </c>
      <c r="C2" s="77" t="s">
        <v>904</v>
      </c>
      <c r="D2" s="77" t="s">
        <v>905</v>
      </c>
      <c r="E2" s="77" t="s">
        <v>906</v>
      </c>
      <c r="F2" s="78"/>
      <c r="G2" s="77" t="s">
        <v>902</v>
      </c>
      <c r="H2" s="77" t="s">
        <v>903</v>
      </c>
      <c r="I2" s="78"/>
      <c r="J2" s="77" t="s">
        <v>902</v>
      </c>
      <c r="K2" s="77" t="s">
        <v>907</v>
      </c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</row>
    <row r="3">
      <c r="A3" s="76" t="str">
        <f>IFERROR(__xludf.DUMMYFUNCTION("LET(odoo, FILTER('Montos Odoo'!A1:B1000, 'Montos Odoo'!A1:A1000 &lt;&gt; """"), orders_str, INDEX(odoo, 0, 1), orders_num, ARRAYFORMULA(VALUE(REGEXEXTRACT(orders_str, ""\d+""))), amounts, INDEX(odoo, 0, 2), ventas_e, ARRAYFORMULA(IFERROR(VLOOKUP(orders_num, {Ve"&amp;"ntas!I:I, Ventas!E:E}, 2, FALSE), """")), ventas_m, ARRAYFORMULA(IFERROR(VLOOKUP(orders_num, {Ventas!I:I, Ventas!M:M}, 2, FALSE), """")), diff, ARRAYFORMULA(IF(ventas_m="""", """", amounts - ventas_m)), IFERROR(FILTER({orders_str, amounts, ventas_e, venta"&amp;"s_m, diff}, ventas_m &lt;&gt; """", ABS(diff) &gt; 0.05), {""Ninguna"","""","""","""",""""}))"),"S00004")</f>
        <v>S00004</v>
      </c>
      <c r="B3" s="80">
        <f>IFERROR(__xludf.DUMMYFUNCTION("""COMPUTED_VALUE"""),232.97)</f>
        <v>232.97</v>
      </c>
      <c r="C3" s="80">
        <f>IFERROR(__xludf.DUMMYFUNCTION("""COMPUTED_VALUE"""),232.98)</f>
        <v>232.98</v>
      </c>
      <c r="D3" s="80">
        <f>IFERROR(__xludf.DUMMYFUNCTION("""COMPUTED_VALUE"""),175.0)</f>
        <v>175</v>
      </c>
      <c r="E3" s="80">
        <f>IFERROR(__xludf.DUMMYFUNCTION("""COMPUTED_VALUE"""),57.97)</f>
        <v>57.97</v>
      </c>
      <c r="F3" s="76"/>
      <c r="G3" s="76" t="str">
        <f>IFERROR(__xludf.DUMMYFUNCTION("IFERROR(FILTER('Montos Odoo'!A1:B1000, ISNA(MATCH(ARRAYFORMULA(VALUE(REGEXEXTRACT('Montos Odoo'!A1:A1000, ""\d+""))), Ventas!I:I, 0)), 'Montos Odoo'!A1:A1000 &lt;&gt; """"), {""Ninguna"",""""})"),"Ninguna")</f>
        <v>Ninguna</v>
      </c>
      <c r="H3" s="80" t="str">
        <f>IFERROR(__xludf.DUMMYFUNCTION("""COMPUTED_VALUE"""),"")</f>
        <v/>
      </c>
      <c r="I3" s="76"/>
      <c r="J3" s="76">
        <f>IFERROR(__xludf.DUMMYFUNCTION("IFERROR(FILTER({Ventas!I2:I1000, Ventas!M2:M1000}, ISNA(MATCH(Ventas!I2:I1000, ARRAYFORMULA(IFERROR(VALUE(REGEXEXTRACT('Montos Odoo'!A:A, ""\d+"")), """")), 0)), Ventas!I2:I1000 &lt;&gt; """", Ventas!I2:I1000 &lt;&gt; 0), {""Ninguna"",""""})"),374.0)</f>
        <v>374</v>
      </c>
      <c r="K3" s="80">
        <f>IFERROR(__xludf.DUMMYFUNCTION("""COMPUTED_VALUE"""),0.0)</f>
        <v>0</v>
      </c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</row>
    <row r="4">
      <c r="A4" s="76" t="str">
        <f>IFERROR(__xludf.DUMMYFUNCTION("""COMPUTED_VALUE"""),"S00028")</f>
        <v>S00028</v>
      </c>
      <c r="B4" s="80">
        <f>IFERROR(__xludf.DUMMYFUNCTION("""COMPUTED_VALUE"""),69.28)</f>
        <v>69.28</v>
      </c>
      <c r="C4" s="80">
        <f>IFERROR(__xludf.DUMMYFUNCTION("""COMPUTED_VALUE"""),69.28)</f>
        <v>69.28</v>
      </c>
      <c r="D4" s="80">
        <f>IFERROR(__xludf.DUMMYFUNCTION("""COMPUTED_VALUE"""),68.91196274532622)</f>
        <v>68.91196275</v>
      </c>
      <c r="E4" s="80">
        <f>IFERROR(__xludf.DUMMYFUNCTION("""COMPUTED_VALUE"""),0.36803725467378)</f>
        <v>0.3680372547</v>
      </c>
      <c r="F4" s="76"/>
      <c r="G4" s="76"/>
      <c r="H4" s="80"/>
      <c r="I4" s="76"/>
      <c r="J4" s="76">
        <f>IFERROR(__xludf.DUMMYFUNCTION("""COMPUTED_VALUE"""),498.0)</f>
        <v>498</v>
      </c>
      <c r="K4" s="80">
        <f>IFERROR(__xludf.DUMMYFUNCTION("""COMPUTED_VALUE"""),0.0)</f>
        <v>0</v>
      </c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</row>
    <row r="5">
      <c r="A5" s="76" t="str">
        <f>IFERROR(__xludf.DUMMYFUNCTION("""COMPUTED_VALUE"""),"S00029")</f>
        <v>S00029</v>
      </c>
      <c r="B5" s="80">
        <f>IFERROR(__xludf.DUMMYFUNCTION("""COMPUTED_VALUE"""),261.97)</f>
        <v>261.97</v>
      </c>
      <c r="C5" s="80">
        <f>IFERROR(__xludf.DUMMYFUNCTION("""COMPUTED_VALUE"""),261.98)</f>
        <v>261.98</v>
      </c>
      <c r="D5" s="80">
        <f>IFERROR(__xludf.DUMMYFUNCTION("""COMPUTED_VALUE"""),198.0)</f>
        <v>198</v>
      </c>
      <c r="E5" s="80">
        <f>IFERROR(__xludf.DUMMYFUNCTION("""COMPUTED_VALUE"""),63.97000000000003)</f>
        <v>63.97</v>
      </c>
      <c r="F5" s="76"/>
      <c r="G5" s="76"/>
      <c r="H5" s="80"/>
      <c r="I5" s="76"/>
      <c r="J5" s="76">
        <f>IFERROR(__xludf.DUMMYFUNCTION("""COMPUTED_VALUE"""),555.0)</f>
        <v>555</v>
      </c>
      <c r="K5" s="80">
        <f>IFERROR(__xludf.DUMMYFUNCTION("""COMPUTED_VALUE"""),21577.54)</f>
        <v>21577.54</v>
      </c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</row>
    <row r="6">
      <c r="A6" s="76" t="str">
        <f>IFERROR(__xludf.DUMMYFUNCTION("""COMPUTED_VALUE"""),"S00030")</f>
        <v>S00030</v>
      </c>
      <c r="B6" s="80">
        <f>IFERROR(__xludf.DUMMYFUNCTION("""COMPUTED_VALUE"""),146.08)</f>
        <v>146.08</v>
      </c>
      <c r="C6" s="80">
        <f>IFERROR(__xludf.DUMMYFUNCTION("""COMPUTED_VALUE"""),146.08)</f>
        <v>146.08</v>
      </c>
      <c r="D6" s="80">
        <f>IFERROR(__xludf.DUMMYFUNCTION("""COMPUTED_VALUE"""),146.0)</f>
        <v>146</v>
      </c>
      <c r="E6" s="80">
        <f>IFERROR(__xludf.DUMMYFUNCTION("""COMPUTED_VALUE"""),0.0800000000000125)</f>
        <v>0.08</v>
      </c>
      <c r="F6" s="76"/>
      <c r="G6" s="76"/>
      <c r="H6" s="80"/>
      <c r="I6" s="76"/>
      <c r="J6" s="76">
        <f>IFERROR(__xludf.DUMMYFUNCTION("""COMPUTED_VALUE"""),579.0)</f>
        <v>579</v>
      </c>
      <c r="K6" s="80">
        <f>IFERROR(__xludf.DUMMYFUNCTION("""COMPUTED_VALUE"""),109.35)</f>
        <v>109.35</v>
      </c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</row>
    <row r="7">
      <c r="A7" s="76" t="str">
        <f>IFERROR(__xludf.DUMMYFUNCTION("""COMPUTED_VALUE"""),"S00032")</f>
        <v>S00032</v>
      </c>
      <c r="B7" s="80">
        <f>IFERROR(__xludf.DUMMYFUNCTION("""COMPUTED_VALUE"""),101.0)</f>
        <v>101</v>
      </c>
      <c r="C7" s="80">
        <f>IFERROR(__xludf.DUMMYFUNCTION("""COMPUTED_VALUE"""),101.0)</f>
        <v>101</v>
      </c>
      <c r="D7" s="80">
        <f>IFERROR(__xludf.DUMMYFUNCTION("""COMPUTED_VALUE"""),86.70221035218145)</f>
        <v>86.70221035</v>
      </c>
      <c r="E7" s="80">
        <f>IFERROR(__xludf.DUMMYFUNCTION("""COMPUTED_VALUE"""),14.297789647818547)</f>
        <v>14.29778965</v>
      </c>
      <c r="F7" s="76"/>
      <c r="G7" s="76"/>
      <c r="H7" s="80"/>
      <c r="I7" s="76"/>
      <c r="J7" s="76">
        <f>IFERROR(__xludf.DUMMYFUNCTION("""COMPUTED_VALUE"""),580.0)</f>
        <v>580</v>
      </c>
      <c r="K7" s="80">
        <f>IFERROR(__xludf.DUMMYFUNCTION("""COMPUTED_VALUE"""),614.35)</f>
        <v>614.35</v>
      </c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</row>
    <row r="8">
      <c r="A8" s="76" t="str">
        <f>IFERROR(__xludf.DUMMYFUNCTION("""COMPUTED_VALUE"""),"S00033")</f>
        <v>S00033</v>
      </c>
      <c r="B8" s="80">
        <f>IFERROR(__xludf.DUMMYFUNCTION("""COMPUTED_VALUE"""),243.01)</f>
        <v>243.01</v>
      </c>
      <c r="C8" s="80">
        <f>IFERROR(__xludf.DUMMYFUNCTION("""COMPUTED_VALUE"""),243.01)</f>
        <v>243.01</v>
      </c>
      <c r="D8" s="80">
        <f>IFERROR(__xludf.DUMMYFUNCTION("""COMPUTED_VALUE"""),195.0)</f>
        <v>195</v>
      </c>
      <c r="E8" s="80">
        <f>IFERROR(__xludf.DUMMYFUNCTION("""COMPUTED_VALUE"""),48.00999999999999)</f>
        <v>48.01</v>
      </c>
      <c r="F8" s="76"/>
      <c r="G8" s="76"/>
      <c r="H8" s="80"/>
      <c r="I8" s="76"/>
      <c r="J8" s="76">
        <f>IFERROR(__xludf.DUMMYFUNCTION("""COMPUTED_VALUE"""),581.0)</f>
        <v>581</v>
      </c>
      <c r="K8" s="80">
        <f>IFERROR(__xludf.DUMMYFUNCTION("""COMPUTED_VALUE"""),338.12)</f>
        <v>338.12</v>
      </c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</row>
    <row r="9">
      <c r="A9" s="76" t="str">
        <f>IFERROR(__xludf.DUMMYFUNCTION("""COMPUTED_VALUE"""),"S00037")</f>
        <v>S00037</v>
      </c>
      <c r="B9" s="80">
        <f>IFERROR(__xludf.DUMMYFUNCTION("""COMPUTED_VALUE"""),75.01)</f>
        <v>75.01</v>
      </c>
      <c r="C9" s="80">
        <f>IFERROR(__xludf.DUMMYFUNCTION("""COMPUTED_VALUE"""),75.0)</f>
        <v>75</v>
      </c>
      <c r="D9" s="80">
        <f>IFERROR(__xludf.DUMMYFUNCTION("""COMPUTED_VALUE"""),58.0)</f>
        <v>58</v>
      </c>
      <c r="E9" s="80">
        <f>IFERROR(__xludf.DUMMYFUNCTION("""COMPUTED_VALUE"""),17.010000000000005)</f>
        <v>17.01</v>
      </c>
      <c r="F9" s="76"/>
      <c r="G9" s="76"/>
      <c r="H9" s="80"/>
      <c r="I9" s="76"/>
      <c r="J9" s="76">
        <f>IFERROR(__xludf.DUMMYFUNCTION("""COMPUTED_VALUE"""),582.0)</f>
        <v>582</v>
      </c>
      <c r="K9" s="80">
        <f>IFERROR(__xludf.DUMMYFUNCTION("""COMPUTED_VALUE"""),54.22)</f>
        <v>54.22</v>
      </c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</row>
    <row r="10">
      <c r="A10" s="76" t="str">
        <f>IFERROR(__xludf.DUMMYFUNCTION("""COMPUTED_VALUE"""),"S00038")</f>
        <v>S00038</v>
      </c>
      <c r="B10" s="80">
        <f>IFERROR(__xludf.DUMMYFUNCTION("""COMPUTED_VALUE"""),90.02)</f>
        <v>90.02</v>
      </c>
      <c r="C10" s="80">
        <f>IFERROR(__xludf.DUMMYFUNCTION("""COMPUTED_VALUE"""),90.02)</f>
        <v>90.02</v>
      </c>
      <c r="D10" s="80">
        <f>IFERROR(__xludf.DUMMYFUNCTION("""COMPUTED_VALUE"""),72.0)</f>
        <v>72</v>
      </c>
      <c r="E10" s="80">
        <f>IFERROR(__xludf.DUMMYFUNCTION("""COMPUTED_VALUE"""),18.019999999999996)</f>
        <v>18.02</v>
      </c>
      <c r="F10" s="76"/>
      <c r="G10" s="76"/>
      <c r="H10" s="80"/>
      <c r="I10" s="76"/>
      <c r="J10" s="76">
        <f>IFERROR(__xludf.DUMMYFUNCTION("""COMPUTED_VALUE"""),583.0)</f>
        <v>583</v>
      </c>
      <c r="K10" s="80">
        <f>IFERROR(__xludf.DUMMYFUNCTION("""COMPUTED_VALUE"""),325.29)</f>
        <v>325.29</v>
      </c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</row>
    <row r="11">
      <c r="A11" s="76" t="str">
        <f>IFERROR(__xludf.DUMMYFUNCTION("""COMPUTED_VALUE"""),"S00042")</f>
        <v>S00042</v>
      </c>
      <c r="B11" s="80">
        <f>IFERROR(__xludf.DUMMYFUNCTION("""COMPUTED_VALUE"""),151.96)</f>
        <v>151.96</v>
      </c>
      <c r="C11" s="80">
        <f>IFERROR(__xludf.DUMMYFUNCTION("""COMPUTED_VALUE"""),151.96)</f>
        <v>151.96</v>
      </c>
      <c r="D11" s="80">
        <f>IFERROR(__xludf.DUMMYFUNCTION("""COMPUTED_VALUE"""),130.99999930396257)</f>
        <v>130.9999993</v>
      </c>
      <c r="E11" s="80">
        <f>IFERROR(__xludf.DUMMYFUNCTION("""COMPUTED_VALUE"""),20.96000069603744)</f>
        <v>20.9600007</v>
      </c>
      <c r="F11" s="76"/>
      <c r="G11" s="76"/>
      <c r="H11" s="80"/>
      <c r="I11" s="76"/>
      <c r="J11" s="76">
        <f>IFERROR(__xludf.DUMMYFUNCTION("""COMPUTED_VALUE"""),584.0)</f>
        <v>584</v>
      </c>
      <c r="K11" s="80">
        <f>IFERROR(__xludf.DUMMYFUNCTION("""COMPUTED_VALUE"""),21970.0)</f>
        <v>21970</v>
      </c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</row>
    <row r="12">
      <c r="A12" s="76" t="str">
        <f>IFERROR(__xludf.DUMMYFUNCTION("""COMPUTED_VALUE"""),"S00044")</f>
        <v>S00044</v>
      </c>
      <c r="B12" s="80">
        <f>IFERROR(__xludf.DUMMYFUNCTION("""COMPUTED_VALUE"""),2421.89)</f>
        <v>2421.89</v>
      </c>
      <c r="C12" s="80">
        <f>IFERROR(__xludf.DUMMYFUNCTION("""COMPUTED_VALUE"""),2421.89)</f>
        <v>2421.89</v>
      </c>
      <c r="D12" s="80">
        <f>IFERROR(__xludf.DUMMYFUNCTION("""COMPUTED_VALUE"""),2147.0)</f>
        <v>2147</v>
      </c>
      <c r="E12" s="80">
        <f>IFERROR(__xludf.DUMMYFUNCTION("""COMPUTED_VALUE"""),274.8899999999999)</f>
        <v>274.89</v>
      </c>
      <c r="F12" s="76"/>
      <c r="G12" s="76"/>
      <c r="H12" s="80"/>
      <c r="I12" s="76"/>
      <c r="J12" s="76">
        <f>IFERROR(__xludf.DUMMYFUNCTION("""COMPUTED_VALUE"""),585.0)</f>
        <v>585</v>
      </c>
      <c r="K12" s="80">
        <f>IFERROR(__xludf.DUMMYFUNCTION("""COMPUTED_VALUE"""),600.64)</f>
        <v>600.64</v>
      </c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</row>
    <row r="13">
      <c r="A13" s="76" t="str">
        <f>IFERROR(__xludf.DUMMYFUNCTION("""COMPUTED_VALUE"""),"S00047")</f>
        <v>S00047</v>
      </c>
      <c r="B13" s="80">
        <f>IFERROR(__xludf.DUMMYFUNCTION("""COMPUTED_VALUE"""),1893.12)</f>
        <v>1893.12</v>
      </c>
      <c r="C13" s="80">
        <f>IFERROR(__xludf.DUMMYFUNCTION("""COMPUTED_VALUE"""),1893.12)</f>
        <v>1893.12</v>
      </c>
      <c r="D13" s="80">
        <f>IFERROR(__xludf.DUMMYFUNCTION("""COMPUTED_VALUE"""),1796.760192)</f>
        <v>1796.760192</v>
      </c>
      <c r="E13" s="80">
        <f>IFERROR(__xludf.DUMMYFUNCTION("""COMPUTED_VALUE"""),96.35980799999993)</f>
        <v>96.359808</v>
      </c>
      <c r="F13" s="76"/>
      <c r="G13" s="76"/>
      <c r="H13" s="80"/>
      <c r="I13" s="76"/>
      <c r="J13" s="76">
        <f>IFERROR(__xludf.DUMMYFUNCTION("""COMPUTED_VALUE"""),586.0)</f>
        <v>586</v>
      </c>
      <c r="K13" s="80">
        <f>IFERROR(__xludf.DUMMYFUNCTION("""COMPUTED_VALUE"""),226.85)</f>
        <v>226.85</v>
      </c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</row>
    <row r="14">
      <c r="A14" s="76" t="str">
        <f>IFERROR(__xludf.DUMMYFUNCTION("""COMPUTED_VALUE"""),"S00051")</f>
        <v>S00051</v>
      </c>
      <c r="B14" s="80">
        <f>IFERROR(__xludf.DUMMYFUNCTION("""COMPUTED_VALUE"""),120.01)</f>
        <v>120.01</v>
      </c>
      <c r="C14" s="80">
        <f>IFERROR(__xludf.DUMMYFUNCTION("""COMPUTED_VALUE"""),120.02)</f>
        <v>120.02</v>
      </c>
      <c r="D14" s="80">
        <f>IFERROR(__xludf.DUMMYFUNCTION("""COMPUTED_VALUE"""),119.48)</f>
        <v>119.48</v>
      </c>
      <c r="E14" s="80">
        <f>IFERROR(__xludf.DUMMYFUNCTION("""COMPUTED_VALUE"""),0.5300000000000011)</f>
        <v>0.53</v>
      </c>
      <c r="F14" s="76"/>
      <c r="G14" s="76"/>
      <c r="H14" s="80"/>
      <c r="I14" s="76"/>
      <c r="J14" s="76">
        <f>IFERROR(__xludf.DUMMYFUNCTION("""COMPUTED_VALUE"""),587.0)</f>
        <v>587</v>
      </c>
      <c r="K14" s="80">
        <f>IFERROR(__xludf.DUMMYFUNCTION("""COMPUTED_VALUE"""),38.52)</f>
        <v>38.52</v>
      </c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</row>
    <row r="15">
      <c r="A15" s="76" t="str">
        <f>IFERROR(__xludf.DUMMYFUNCTION("""COMPUTED_VALUE"""),"S00060")</f>
        <v>S00060</v>
      </c>
      <c r="B15" s="80">
        <f>IFERROR(__xludf.DUMMYFUNCTION("""COMPUTED_VALUE"""),209.87)</f>
        <v>209.87</v>
      </c>
      <c r="C15" s="80">
        <f>IFERROR(__xludf.DUMMYFUNCTION("""COMPUTED_VALUE"""),209.87)</f>
        <v>209.87</v>
      </c>
      <c r="D15" s="80">
        <f>IFERROR(__xludf.DUMMYFUNCTION("""COMPUTED_VALUE"""),190.0)</f>
        <v>190</v>
      </c>
      <c r="E15" s="80">
        <f>IFERROR(__xludf.DUMMYFUNCTION("""COMPUTED_VALUE"""),19.870000000000005)</f>
        <v>19.87</v>
      </c>
      <c r="F15" s="76"/>
      <c r="G15" s="76"/>
      <c r="H15" s="80"/>
      <c r="I15" s="76"/>
      <c r="J15" s="76">
        <f>IFERROR(__xludf.DUMMYFUNCTION("""COMPUTED_VALUE"""),588.0)</f>
        <v>588</v>
      </c>
      <c r="K15" s="80">
        <f>IFERROR(__xludf.DUMMYFUNCTION("""COMPUTED_VALUE"""),497.93)</f>
        <v>497.93</v>
      </c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</row>
    <row r="16">
      <c r="A16" s="76" t="str">
        <f>IFERROR(__xludf.DUMMYFUNCTION("""COMPUTED_VALUE"""),"S00062")</f>
        <v>S00062</v>
      </c>
      <c r="B16" s="80">
        <f>IFERROR(__xludf.DUMMYFUNCTION("""COMPUTED_VALUE"""),3393.87)</f>
        <v>3393.87</v>
      </c>
      <c r="C16" s="80">
        <f>IFERROR(__xludf.DUMMYFUNCTION("""COMPUTED_VALUE"""),3393.87)</f>
        <v>3393.87</v>
      </c>
      <c r="D16" s="80">
        <f>IFERROR(__xludf.DUMMYFUNCTION("""COMPUTED_VALUE"""),2492.0)</f>
        <v>2492</v>
      </c>
      <c r="E16" s="80">
        <f>IFERROR(__xludf.DUMMYFUNCTION("""COMPUTED_VALUE"""),901.8699999999999)</f>
        <v>901.87</v>
      </c>
      <c r="F16" s="76"/>
      <c r="G16" s="76"/>
      <c r="H16" s="80"/>
      <c r="I16" s="76"/>
      <c r="J16" s="76">
        <f>IFERROR(__xludf.DUMMYFUNCTION("""COMPUTED_VALUE"""),589.0)</f>
        <v>589</v>
      </c>
      <c r="K16" s="80">
        <f>IFERROR(__xludf.DUMMYFUNCTION("""COMPUTED_VALUE"""),900.28)</f>
        <v>900.28</v>
      </c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</row>
    <row r="17">
      <c r="A17" s="76" t="str">
        <f>IFERROR(__xludf.DUMMYFUNCTION("""COMPUTED_VALUE"""),"S00064")</f>
        <v>S00064</v>
      </c>
      <c r="B17" s="80">
        <f>IFERROR(__xludf.DUMMYFUNCTION("""COMPUTED_VALUE"""),170.36)</f>
        <v>170.36</v>
      </c>
      <c r="C17" s="80">
        <f>IFERROR(__xludf.DUMMYFUNCTION("""COMPUTED_VALUE"""),170.36)</f>
        <v>170.36</v>
      </c>
      <c r="D17" s="80">
        <f>IFERROR(__xludf.DUMMYFUNCTION("""COMPUTED_VALUE"""),154.49144837269924)</f>
        <v>154.4914484</v>
      </c>
      <c r="E17" s="80">
        <f>IFERROR(__xludf.DUMMYFUNCTION("""COMPUTED_VALUE"""),15.868551627300775)</f>
        <v>15.86855163</v>
      </c>
      <c r="F17" s="76"/>
      <c r="G17" s="76"/>
      <c r="H17" s="80"/>
      <c r="I17" s="76"/>
      <c r="J17" s="76">
        <f>IFERROR(__xludf.DUMMYFUNCTION("""COMPUTED_VALUE"""),590.0)</f>
        <v>590</v>
      </c>
      <c r="K17" s="80">
        <f>IFERROR(__xludf.DUMMYFUNCTION("""COMPUTED_VALUE"""),178.29)</f>
        <v>178.29</v>
      </c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</row>
    <row r="18">
      <c r="A18" s="76" t="str">
        <f>IFERROR(__xludf.DUMMYFUNCTION("""COMPUTED_VALUE"""),"S00067")</f>
        <v>S00067</v>
      </c>
      <c r="B18" s="80">
        <f>IFERROR(__xludf.DUMMYFUNCTION("""COMPUTED_VALUE"""),160.5)</f>
        <v>160.5</v>
      </c>
      <c r="C18" s="80">
        <f>IFERROR(__xludf.DUMMYFUNCTION("""COMPUTED_VALUE"""),160.5)</f>
        <v>160.5</v>
      </c>
      <c r="D18" s="80">
        <f>IFERROR(__xludf.DUMMYFUNCTION("""COMPUTED_VALUE"""),159.99817437044305)</f>
        <v>159.9981744</v>
      </c>
      <c r="E18" s="80">
        <f>IFERROR(__xludf.DUMMYFUNCTION("""COMPUTED_VALUE"""),0.5018256295569472)</f>
        <v>0.5018256296</v>
      </c>
      <c r="F18" s="76"/>
      <c r="G18" s="76"/>
      <c r="H18" s="80"/>
      <c r="I18" s="76"/>
      <c r="J18" s="76">
        <f>IFERROR(__xludf.DUMMYFUNCTION("""COMPUTED_VALUE"""),591.0)</f>
        <v>591</v>
      </c>
      <c r="K18" s="80">
        <f>IFERROR(__xludf.DUMMYFUNCTION("""COMPUTED_VALUE"""),107.54)</f>
        <v>107.54</v>
      </c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</row>
    <row r="19">
      <c r="A19" s="76" t="str">
        <f>IFERROR(__xludf.DUMMYFUNCTION("""COMPUTED_VALUE"""),"S00074")</f>
        <v>S00074</v>
      </c>
      <c r="B19" s="80">
        <f>IFERROR(__xludf.DUMMYFUNCTION("""COMPUTED_VALUE"""),183.5)</f>
        <v>183.5</v>
      </c>
      <c r="C19" s="80">
        <f>IFERROR(__xludf.DUMMYFUNCTION("""COMPUTED_VALUE"""),183.49)</f>
        <v>183.49</v>
      </c>
      <c r="D19" s="80">
        <f>IFERROR(__xludf.DUMMYFUNCTION("""COMPUTED_VALUE"""),166.8520706121061)</f>
        <v>166.8520706</v>
      </c>
      <c r="E19" s="80">
        <f>IFERROR(__xludf.DUMMYFUNCTION("""COMPUTED_VALUE"""),16.647929387893896)</f>
        <v>16.64792939</v>
      </c>
      <c r="F19" s="76"/>
      <c r="G19" s="76"/>
      <c r="H19" s="80"/>
      <c r="I19" s="76"/>
      <c r="J19" s="76">
        <f>IFERROR(__xludf.DUMMYFUNCTION("""COMPUTED_VALUE"""),592.0)</f>
        <v>592</v>
      </c>
      <c r="K19" s="80">
        <f>IFERROR(__xludf.DUMMYFUNCTION("""COMPUTED_VALUE"""),91.98)</f>
        <v>91.98</v>
      </c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</row>
    <row r="20">
      <c r="A20" s="76" t="str">
        <f>IFERROR(__xludf.DUMMYFUNCTION("""COMPUTED_VALUE"""),"S00079")</f>
        <v>S00079</v>
      </c>
      <c r="B20" s="80">
        <f>IFERROR(__xludf.DUMMYFUNCTION("""COMPUTED_VALUE"""),533.34)</f>
        <v>533.34</v>
      </c>
      <c r="C20" s="80">
        <f>IFERROR(__xludf.DUMMYFUNCTION("""COMPUTED_VALUE"""),533.34)</f>
        <v>533.34</v>
      </c>
      <c r="D20" s="80">
        <f>IFERROR(__xludf.DUMMYFUNCTION("""COMPUTED_VALUE"""),459.5356037151703)</f>
        <v>459.5356037</v>
      </c>
      <c r="E20" s="80">
        <f>IFERROR(__xludf.DUMMYFUNCTION("""COMPUTED_VALUE"""),73.80439628482975)</f>
        <v>73.80439628</v>
      </c>
      <c r="F20" s="76"/>
      <c r="G20" s="76"/>
      <c r="H20" s="80"/>
      <c r="I20" s="76"/>
      <c r="J20" s="76">
        <f>IFERROR(__xludf.DUMMYFUNCTION("""COMPUTED_VALUE"""),589.0)</f>
        <v>589</v>
      </c>
      <c r="K20" s="80">
        <f>IFERROR(__xludf.DUMMYFUNCTION("""COMPUTED_VALUE"""),900.28)</f>
        <v>900.28</v>
      </c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</row>
    <row r="21">
      <c r="A21" s="76" t="str">
        <f>IFERROR(__xludf.DUMMYFUNCTION("""COMPUTED_VALUE"""),"S00082")</f>
        <v>S00082</v>
      </c>
      <c r="B21" s="80">
        <f>IFERROR(__xludf.DUMMYFUNCTION("""COMPUTED_VALUE"""),1633.07)</f>
        <v>1633.07</v>
      </c>
      <c r="C21" s="80">
        <f>IFERROR(__xludf.DUMMYFUNCTION("""COMPUTED_VALUE"""),1633.07)</f>
        <v>1633.07</v>
      </c>
      <c r="D21" s="80">
        <f>IFERROR(__xludf.DUMMYFUNCTION("""COMPUTED_VALUE"""),1250.0)</f>
        <v>1250</v>
      </c>
      <c r="E21" s="80">
        <f>IFERROR(__xludf.DUMMYFUNCTION("""COMPUTED_VALUE"""),383.06999999999994)</f>
        <v>383.07</v>
      </c>
      <c r="F21" s="76"/>
      <c r="G21" s="76"/>
      <c r="H21" s="80"/>
      <c r="I21" s="76"/>
      <c r="J21" s="76">
        <f>IFERROR(__xludf.DUMMYFUNCTION("""COMPUTED_VALUE"""),590.0)</f>
        <v>590</v>
      </c>
      <c r="K21" s="80">
        <f>IFERROR(__xludf.DUMMYFUNCTION("""COMPUTED_VALUE"""),178.29)</f>
        <v>178.29</v>
      </c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</row>
    <row r="22">
      <c r="A22" s="76" t="str">
        <f>IFERROR(__xludf.DUMMYFUNCTION("""COMPUTED_VALUE"""),"S00087")</f>
        <v>S00087</v>
      </c>
      <c r="B22" s="80">
        <f>IFERROR(__xludf.DUMMYFUNCTION("""COMPUTED_VALUE"""),392.65)</f>
        <v>392.65</v>
      </c>
      <c r="C22" s="80">
        <f>IFERROR(__xludf.DUMMYFUNCTION("""COMPUTED_VALUE"""),392.65)</f>
        <v>392.65</v>
      </c>
      <c r="D22" s="80">
        <f>IFERROR(__xludf.DUMMYFUNCTION("""COMPUTED_VALUE"""),333.0)</f>
        <v>333</v>
      </c>
      <c r="E22" s="80">
        <f>IFERROR(__xludf.DUMMYFUNCTION("""COMPUTED_VALUE"""),59.64999999999998)</f>
        <v>59.65</v>
      </c>
      <c r="F22" s="76"/>
      <c r="G22" s="76"/>
      <c r="H22" s="80"/>
      <c r="I22" s="76"/>
      <c r="J22" s="76">
        <f>IFERROR(__xludf.DUMMYFUNCTION("""COMPUTED_VALUE"""),591.0)</f>
        <v>591</v>
      </c>
      <c r="K22" s="80">
        <f>IFERROR(__xludf.DUMMYFUNCTION("""COMPUTED_VALUE"""),107.54)</f>
        <v>107.54</v>
      </c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</row>
    <row r="23">
      <c r="A23" s="76" t="str">
        <f>IFERROR(__xludf.DUMMYFUNCTION("""COMPUTED_VALUE"""),"S00093")</f>
        <v>S00093</v>
      </c>
      <c r="B23" s="80">
        <f>IFERROR(__xludf.DUMMYFUNCTION("""COMPUTED_VALUE"""),246.0)</f>
        <v>246</v>
      </c>
      <c r="C23" s="80">
        <f>IFERROR(__xludf.DUMMYFUNCTION("""COMPUTED_VALUE"""),246.0)</f>
        <v>246</v>
      </c>
      <c r="D23" s="80">
        <f>IFERROR(__xludf.DUMMYFUNCTION("""COMPUTED_VALUE"""),218.0)</f>
        <v>218</v>
      </c>
      <c r="E23" s="80">
        <f>IFERROR(__xludf.DUMMYFUNCTION("""COMPUTED_VALUE"""),28.0)</f>
        <v>28</v>
      </c>
      <c r="F23" s="76"/>
      <c r="G23" s="76"/>
      <c r="H23" s="80"/>
      <c r="I23" s="76"/>
      <c r="J23" s="76">
        <f>IFERROR(__xludf.DUMMYFUNCTION("""COMPUTED_VALUE"""),592.0)</f>
        <v>592</v>
      </c>
      <c r="K23" s="80">
        <f>IFERROR(__xludf.DUMMYFUNCTION("""COMPUTED_VALUE"""),91.98)</f>
        <v>91.98</v>
      </c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</row>
    <row r="24">
      <c r="A24" s="76" t="str">
        <f>IFERROR(__xludf.DUMMYFUNCTION("""COMPUTED_VALUE"""),"S00095")</f>
        <v>S00095</v>
      </c>
      <c r="B24" s="80">
        <f>IFERROR(__xludf.DUMMYFUNCTION("""COMPUTED_VALUE"""),368.51)</f>
        <v>368.51</v>
      </c>
      <c r="C24" s="80">
        <f>IFERROR(__xludf.DUMMYFUNCTION("""COMPUTED_VALUE"""),368.51)</f>
        <v>368.51</v>
      </c>
      <c r="D24" s="80">
        <f>IFERROR(__xludf.DUMMYFUNCTION("""COMPUTED_VALUE"""),317.6741321186326)</f>
        <v>317.6741321</v>
      </c>
      <c r="E24" s="80">
        <f>IFERROR(__xludf.DUMMYFUNCTION("""COMPUTED_VALUE"""),50.83586788136739)</f>
        <v>50.83586788</v>
      </c>
      <c r="F24" s="76"/>
      <c r="G24" s="76"/>
      <c r="H24" s="80"/>
      <c r="I24" s="76"/>
      <c r="J24" s="76"/>
      <c r="K24" s="80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</row>
    <row r="25">
      <c r="A25" s="76" t="str">
        <f>IFERROR(__xludf.DUMMYFUNCTION("""COMPUTED_VALUE"""),"S00099")</f>
        <v>S00099</v>
      </c>
      <c r="B25" s="80">
        <f>IFERROR(__xludf.DUMMYFUNCTION("""COMPUTED_VALUE"""),93.0)</f>
        <v>93</v>
      </c>
      <c r="C25" s="80">
        <f>IFERROR(__xludf.DUMMYFUNCTION("""COMPUTED_VALUE"""),93.0)</f>
        <v>93</v>
      </c>
      <c r="D25" s="80">
        <f>IFERROR(__xludf.DUMMYFUNCTION("""COMPUTED_VALUE"""),92.92978422710223)</f>
        <v>92.92978423</v>
      </c>
      <c r="E25" s="80">
        <f>IFERROR(__xludf.DUMMYFUNCTION("""COMPUTED_VALUE"""),0.07021577289776815)</f>
        <v>0.0702157729</v>
      </c>
      <c r="F25" s="76"/>
      <c r="G25" s="76"/>
      <c r="H25" s="80"/>
      <c r="I25" s="76"/>
      <c r="J25" s="76"/>
      <c r="K25" s="80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</row>
    <row r="26">
      <c r="A26" s="76" t="str">
        <f>IFERROR(__xludf.DUMMYFUNCTION("""COMPUTED_VALUE"""),"S00100")</f>
        <v>S00100</v>
      </c>
      <c r="B26" s="80">
        <f>IFERROR(__xludf.DUMMYFUNCTION("""COMPUTED_VALUE"""),197.55)</f>
        <v>197.55</v>
      </c>
      <c r="C26" s="80">
        <f>IFERROR(__xludf.DUMMYFUNCTION("""COMPUTED_VALUE"""),197.55)</f>
        <v>197.55</v>
      </c>
      <c r="D26" s="80">
        <f>IFERROR(__xludf.DUMMYFUNCTION("""COMPUTED_VALUE"""),193.9201998556126)</f>
        <v>193.9201999</v>
      </c>
      <c r="E26" s="80">
        <f>IFERROR(__xludf.DUMMYFUNCTION("""COMPUTED_VALUE"""),3.629800144387417)</f>
        <v>3.629800144</v>
      </c>
      <c r="F26" s="76"/>
      <c r="G26" s="76"/>
      <c r="H26" s="80"/>
      <c r="I26" s="76"/>
      <c r="J26" s="76"/>
      <c r="K26" s="80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</row>
    <row r="27">
      <c r="A27" s="76" t="str">
        <f>IFERROR(__xludf.DUMMYFUNCTION("""COMPUTED_VALUE"""),"S00104")</f>
        <v>S00104</v>
      </c>
      <c r="B27" s="80">
        <f>IFERROR(__xludf.DUMMYFUNCTION("""COMPUTED_VALUE"""),297.02)</f>
        <v>297.02</v>
      </c>
      <c r="C27" s="80">
        <f>IFERROR(__xludf.DUMMYFUNCTION("""COMPUTED_VALUE"""),297.02)</f>
        <v>297.02</v>
      </c>
      <c r="D27" s="80">
        <f>IFERROR(__xludf.DUMMYFUNCTION("""COMPUTED_VALUE"""),198.0)</f>
        <v>198</v>
      </c>
      <c r="E27" s="80">
        <f>IFERROR(__xludf.DUMMYFUNCTION("""COMPUTED_VALUE"""),99.01999999999998)</f>
        <v>99.02</v>
      </c>
      <c r="F27" s="76"/>
      <c r="G27" s="76"/>
      <c r="H27" s="80"/>
      <c r="I27" s="76"/>
      <c r="J27" s="76"/>
      <c r="K27" s="80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</row>
    <row r="28">
      <c r="A28" s="76" t="str">
        <f>IFERROR(__xludf.DUMMYFUNCTION("""COMPUTED_VALUE"""),"S00113")</f>
        <v>S00113</v>
      </c>
      <c r="B28" s="80">
        <f>IFERROR(__xludf.DUMMYFUNCTION("""COMPUTED_VALUE"""),108.0)</f>
        <v>108</v>
      </c>
      <c r="C28" s="80">
        <f>IFERROR(__xludf.DUMMYFUNCTION("""COMPUTED_VALUE"""),108.0)</f>
        <v>108</v>
      </c>
      <c r="D28" s="80">
        <f>IFERROR(__xludf.DUMMYFUNCTION("""COMPUTED_VALUE"""),72.0)</f>
        <v>72</v>
      </c>
      <c r="E28" s="80">
        <f>IFERROR(__xludf.DUMMYFUNCTION("""COMPUTED_VALUE"""),36.0)</f>
        <v>36</v>
      </c>
      <c r="F28" s="76"/>
      <c r="G28" s="76"/>
      <c r="H28" s="80"/>
      <c r="I28" s="76"/>
      <c r="J28" s="76"/>
      <c r="K28" s="80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</row>
    <row r="29">
      <c r="A29" s="76" t="str">
        <f>IFERROR(__xludf.DUMMYFUNCTION("""COMPUTED_VALUE"""),"S00117")</f>
        <v>S00117</v>
      </c>
      <c r="B29" s="80">
        <f>IFERROR(__xludf.DUMMYFUNCTION("""COMPUTED_VALUE"""),207.05)</f>
        <v>207.05</v>
      </c>
      <c r="C29" s="80">
        <f>IFERROR(__xludf.DUMMYFUNCTION("""COMPUTED_VALUE"""),207.05)</f>
        <v>207.05</v>
      </c>
      <c r="D29" s="80">
        <f>IFERROR(__xludf.DUMMYFUNCTION("""COMPUTED_VALUE"""),140.0)</f>
        <v>140</v>
      </c>
      <c r="E29" s="80">
        <f>IFERROR(__xludf.DUMMYFUNCTION("""COMPUTED_VALUE"""),67.05000000000001)</f>
        <v>67.05</v>
      </c>
      <c r="F29" s="76"/>
      <c r="G29" s="76"/>
      <c r="H29" s="80"/>
      <c r="I29" s="76"/>
      <c r="J29" s="76"/>
      <c r="K29" s="80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</row>
    <row r="30">
      <c r="A30" s="76" t="str">
        <f>IFERROR(__xludf.DUMMYFUNCTION("""COMPUTED_VALUE"""),"S00118")</f>
        <v>S00118</v>
      </c>
      <c r="B30" s="80">
        <f>IFERROR(__xludf.DUMMYFUNCTION("""COMPUTED_VALUE"""),50.65)</f>
        <v>50.65</v>
      </c>
      <c r="C30" s="80">
        <f>IFERROR(__xludf.DUMMYFUNCTION("""COMPUTED_VALUE"""),50.65)</f>
        <v>50.65</v>
      </c>
      <c r="D30" s="80">
        <f>IFERROR(__xludf.DUMMYFUNCTION("""COMPUTED_VALUE"""),34.0)</f>
        <v>34</v>
      </c>
      <c r="E30" s="80">
        <f>IFERROR(__xludf.DUMMYFUNCTION("""COMPUTED_VALUE"""),16.65)</f>
        <v>16.65</v>
      </c>
      <c r="F30" s="76"/>
      <c r="G30" s="76"/>
      <c r="H30" s="80"/>
      <c r="I30" s="76"/>
      <c r="J30" s="76"/>
      <c r="K30" s="80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</row>
    <row r="31">
      <c r="A31" s="76" t="str">
        <f>IFERROR(__xludf.DUMMYFUNCTION("""COMPUTED_VALUE"""),"S00119")</f>
        <v>S00119</v>
      </c>
      <c r="B31" s="80">
        <f>IFERROR(__xludf.DUMMYFUNCTION("""COMPUTED_VALUE"""),289.79)</f>
        <v>289.79</v>
      </c>
      <c r="C31" s="80">
        <f>IFERROR(__xludf.DUMMYFUNCTION("""COMPUTED_VALUE"""),289.79)</f>
        <v>289.79</v>
      </c>
      <c r="D31" s="80">
        <f>IFERROR(__xludf.DUMMYFUNCTION("""COMPUTED_VALUE"""),197.0)</f>
        <v>197</v>
      </c>
      <c r="E31" s="80">
        <f>IFERROR(__xludf.DUMMYFUNCTION("""COMPUTED_VALUE"""),92.79000000000002)</f>
        <v>92.79</v>
      </c>
      <c r="F31" s="76"/>
      <c r="G31" s="76"/>
      <c r="H31" s="80"/>
      <c r="I31" s="76"/>
      <c r="J31" s="76"/>
      <c r="K31" s="80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</row>
    <row r="32">
      <c r="A32" s="76" t="str">
        <f>IFERROR(__xludf.DUMMYFUNCTION("""COMPUTED_VALUE"""),"S00121")</f>
        <v>S00121</v>
      </c>
      <c r="B32" s="80">
        <f>IFERROR(__xludf.DUMMYFUNCTION("""COMPUTED_VALUE"""),390.77)</f>
        <v>390.77</v>
      </c>
      <c r="C32" s="80">
        <f>IFERROR(__xludf.DUMMYFUNCTION("""COMPUTED_VALUE"""),390.77)</f>
        <v>390.77</v>
      </c>
      <c r="D32" s="80">
        <f>IFERROR(__xludf.DUMMYFUNCTION("""COMPUTED_VALUE"""),371.2300101955719)</f>
        <v>371.2300102</v>
      </c>
      <c r="E32" s="80">
        <f>IFERROR(__xludf.DUMMYFUNCTION("""COMPUTED_VALUE"""),19.539989804428103)</f>
        <v>19.5399898</v>
      </c>
      <c r="F32" s="76"/>
      <c r="G32" s="76"/>
      <c r="H32" s="80"/>
      <c r="I32" s="76"/>
      <c r="J32" s="76"/>
      <c r="K32" s="80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</row>
    <row r="33">
      <c r="A33" s="76" t="str">
        <f>IFERROR(__xludf.DUMMYFUNCTION("""COMPUTED_VALUE"""),"S00123")</f>
        <v>S00123</v>
      </c>
      <c r="B33" s="80">
        <f>IFERROR(__xludf.DUMMYFUNCTION("""COMPUTED_VALUE"""),106.5)</f>
        <v>106.5</v>
      </c>
      <c r="C33" s="80">
        <f>IFERROR(__xludf.DUMMYFUNCTION("""COMPUTED_VALUE"""),106.49)</f>
        <v>106.49</v>
      </c>
      <c r="D33" s="80">
        <f>IFERROR(__xludf.DUMMYFUNCTION("""COMPUTED_VALUE"""),76.0)</f>
        <v>76</v>
      </c>
      <c r="E33" s="80">
        <f>IFERROR(__xludf.DUMMYFUNCTION("""COMPUTED_VALUE"""),30.5)</f>
        <v>30.5</v>
      </c>
      <c r="F33" s="76"/>
      <c r="G33" s="76"/>
      <c r="H33" s="80"/>
      <c r="I33" s="76"/>
      <c r="J33" s="76"/>
      <c r="K33" s="80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</row>
    <row r="34">
      <c r="A34" s="76" t="str">
        <f>IFERROR(__xludf.DUMMYFUNCTION("""COMPUTED_VALUE"""),"S00130")</f>
        <v>S00130</v>
      </c>
      <c r="B34" s="80">
        <f>IFERROR(__xludf.DUMMYFUNCTION("""COMPUTED_VALUE"""),850.49)</f>
        <v>850.49</v>
      </c>
      <c r="C34" s="80">
        <f>IFERROR(__xludf.DUMMYFUNCTION("""COMPUTED_VALUE"""),850.5)</f>
        <v>850.5</v>
      </c>
      <c r="D34" s="80">
        <f>IFERROR(__xludf.DUMMYFUNCTION("""COMPUTED_VALUE"""),565.0)</f>
        <v>565</v>
      </c>
      <c r="E34" s="80">
        <f>IFERROR(__xludf.DUMMYFUNCTION("""COMPUTED_VALUE"""),285.49)</f>
        <v>285.49</v>
      </c>
      <c r="F34" s="76"/>
      <c r="G34" s="76"/>
      <c r="H34" s="80"/>
      <c r="I34" s="76"/>
      <c r="J34" s="76"/>
      <c r="K34" s="80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</row>
    <row r="35">
      <c r="A35" s="76" t="str">
        <f>IFERROR(__xludf.DUMMYFUNCTION("""COMPUTED_VALUE"""),"S00131")</f>
        <v>S00131</v>
      </c>
      <c r="B35" s="80">
        <f>IFERROR(__xludf.DUMMYFUNCTION("""COMPUTED_VALUE"""),51.01)</f>
        <v>51.01</v>
      </c>
      <c r="C35" s="80">
        <f>IFERROR(__xludf.DUMMYFUNCTION("""COMPUTED_VALUE"""),51.01)</f>
        <v>51.01</v>
      </c>
      <c r="D35" s="80">
        <f>IFERROR(__xludf.DUMMYFUNCTION("""COMPUTED_VALUE"""),32.9798)</f>
        <v>32.9798</v>
      </c>
      <c r="E35" s="80">
        <f>IFERROR(__xludf.DUMMYFUNCTION("""COMPUTED_VALUE"""),18.0302)</f>
        <v>18.0302</v>
      </c>
      <c r="F35" s="76"/>
      <c r="G35" s="76"/>
      <c r="H35" s="80"/>
      <c r="I35" s="76"/>
      <c r="J35" s="76"/>
      <c r="K35" s="80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</row>
    <row r="36">
      <c r="A36" s="76" t="str">
        <f>IFERROR(__xludf.DUMMYFUNCTION("""COMPUTED_VALUE"""),"S00141")</f>
        <v>S00141</v>
      </c>
      <c r="B36" s="80">
        <f>IFERROR(__xludf.DUMMYFUNCTION("""COMPUTED_VALUE"""),301.51)</f>
        <v>301.51</v>
      </c>
      <c r="C36" s="80">
        <f>IFERROR(__xludf.DUMMYFUNCTION("""COMPUTED_VALUE"""),301.5)</f>
        <v>301.5</v>
      </c>
      <c r="D36" s="80">
        <f>IFERROR(__xludf.DUMMYFUNCTION("""COMPUTED_VALUE"""),200.0)</f>
        <v>200</v>
      </c>
      <c r="E36" s="80">
        <f>IFERROR(__xludf.DUMMYFUNCTION("""COMPUTED_VALUE"""),101.50999999999999)</f>
        <v>101.51</v>
      </c>
      <c r="F36" s="76"/>
      <c r="G36" s="76"/>
      <c r="H36" s="80"/>
      <c r="I36" s="76"/>
      <c r="J36" s="76"/>
      <c r="K36" s="80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</row>
    <row r="37">
      <c r="A37" s="76" t="str">
        <f>IFERROR(__xludf.DUMMYFUNCTION("""COMPUTED_VALUE"""),"S00142")</f>
        <v>S00142</v>
      </c>
      <c r="B37" s="80">
        <f>IFERROR(__xludf.DUMMYFUNCTION("""COMPUTED_VALUE"""),192.05)</f>
        <v>192.05</v>
      </c>
      <c r="C37" s="80">
        <f>IFERROR(__xludf.DUMMYFUNCTION("""COMPUTED_VALUE"""),192.05)</f>
        <v>192.05</v>
      </c>
      <c r="D37" s="80">
        <f>IFERROR(__xludf.DUMMYFUNCTION("""COMPUTED_VALUE"""),139.0)</f>
        <v>139</v>
      </c>
      <c r="E37" s="80">
        <f>IFERROR(__xludf.DUMMYFUNCTION("""COMPUTED_VALUE"""),53.05000000000001)</f>
        <v>53.05</v>
      </c>
      <c r="F37" s="76"/>
      <c r="G37" s="76"/>
      <c r="H37" s="80"/>
      <c r="I37" s="76"/>
      <c r="J37" s="76"/>
      <c r="K37" s="80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</row>
    <row r="38">
      <c r="A38" s="76" t="str">
        <f>IFERROR(__xludf.DUMMYFUNCTION("""COMPUTED_VALUE"""),"S00143")</f>
        <v>S00143</v>
      </c>
      <c r="B38" s="80">
        <f>IFERROR(__xludf.DUMMYFUNCTION("""COMPUTED_VALUE"""),309.0)</f>
        <v>309</v>
      </c>
      <c r="C38" s="80">
        <f>IFERROR(__xludf.DUMMYFUNCTION("""COMPUTED_VALUE"""),309.0)</f>
        <v>309</v>
      </c>
      <c r="D38" s="80">
        <f>IFERROR(__xludf.DUMMYFUNCTION("""COMPUTED_VALUE"""),202.0)</f>
        <v>202</v>
      </c>
      <c r="E38" s="80">
        <f>IFERROR(__xludf.DUMMYFUNCTION("""COMPUTED_VALUE"""),107.0)</f>
        <v>107</v>
      </c>
      <c r="F38" s="76"/>
      <c r="G38" s="76"/>
      <c r="H38" s="80"/>
      <c r="I38" s="76"/>
      <c r="J38" s="76"/>
      <c r="K38" s="80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</row>
    <row r="39">
      <c r="A39" s="76" t="str">
        <f>IFERROR(__xludf.DUMMYFUNCTION("""COMPUTED_VALUE"""),"S00152")</f>
        <v>S00152</v>
      </c>
      <c r="B39" s="80">
        <f>IFERROR(__xludf.DUMMYFUNCTION("""COMPUTED_VALUE"""),35.99)</f>
        <v>35.99</v>
      </c>
      <c r="C39" s="80">
        <f>IFERROR(__xludf.DUMMYFUNCTION("""COMPUTED_VALUE"""),35.99)</f>
        <v>35.99</v>
      </c>
      <c r="D39" s="80">
        <f>IFERROR(__xludf.DUMMYFUNCTION("""COMPUTED_VALUE"""),35.0)</f>
        <v>35</v>
      </c>
      <c r="E39" s="80">
        <f>IFERROR(__xludf.DUMMYFUNCTION("""COMPUTED_VALUE"""),0.990000000000002)</f>
        <v>0.99</v>
      </c>
      <c r="F39" s="76"/>
      <c r="G39" s="76"/>
      <c r="H39" s="80"/>
      <c r="I39" s="76"/>
      <c r="J39" s="76"/>
      <c r="K39" s="80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</row>
    <row r="40">
      <c r="A40" s="76" t="str">
        <f>IFERROR(__xludf.DUMMYFUNCTION("""COMPUTED_VALUE"""),"S00156")</f>
        <v>S00156</v>
      </c>
      <c r="B40" s="80">
        <f>IFERROR(__xludf.DUMMYFUNCTION("""COMPUTED_VALUE"""),55.58)</f>
        <v>55.58</v>
      </c>
      <c r="C40" s="80">
        <f>IFERROR(__xludf.DUMMYFUNCTION("""COMPUTED_VALUE"""),55.58)</f>
        <v>55.58</v>
      </c>
      <c r="D40" s="80">
        <f>IFERROR(__xludf.DUMMYFUNCTION("""COMPUTED_VALUE"""),39.0)</f>
        <v>39</v>
      </c>
      <c r="E40" s="80">
        <f>IFERROR(__xludf.DUMMYFUNCTION("""COMPUTED_VALUE"""),16.58)</f>
        <v>16.58</v>
      </c>
      <c r="F40" s="76"/>
      <c r="G40" s="76"/>
      <c r="H40" s="80"/>
      <c r="I40" s="76"/>
      <c r="J40" s="76"/>
      <c r="K40" s="80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</row>
    <row r="41">
      <c r="A41" s="76" t="str">
        <f>IFERROR(__xludf.DUMMYFUNCTION("""COMPUTED_VALUE"""),"S00159")</f>
        <v>S00159</v>
      </c>
      <c r="B41" s="80">
        <f>IFERROR(__xludf.DUMMYFUNCTION("""COMPUTED_VALUE"""),2119.47)</f>
        <v>2119.47</v>
      </c>
      <c r="C41" s="80">
        <f>IFERROR(__xludf.DUMMYFUNCTION("""COMPUTED_VALUE"""),2119.46)</f>
        <v>2119.46</v>
      </c>
      <c r="D41" s="80">
        <f>IFERROR(__xludf.DUMMYFUNCTION("""COMPUTED_VALUE"""),1433.0)</f>
        <v>1433</v>
      </c>
      <c r="E41" s="80">
        <f>IFERROR(__xludf.DUMMYFUNCTION("""COMPUTED_VALUE"""),686.4699999999998)</f>
        <v>686.47</v>
      </c>
      <c r="F41" s="76"/>
      <c r="G41" s="76"/>
      <c r="H41" s="80"/>
      <c r="I41" s="76"/>
      <c r="J41" s="76"/>
      <c r="K41" s="80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</row>
    <row r="42">
      <c r="A42" s="76" t="str">
        <f>IFERROR(__xludf.DUMMYFUNCTION("""COMPUTED_VALUE"""),"S00163")</f>
        <v>S00163</v>
      </c>
      <c r="B42" s="80">
        <f>IFERROR(__xludf.DUMMYFUNCTION("""COMPUTED_VALUE"""),345.1)</f>
        <v>345.1</v>
      </c>
      <c r="C42" s="80">
        <f>IFERROR(__xludf.DUMMYFUNCTION("""COMPUTED_VALUE"""),345.1)</f>
        <v>345.1</v>
      </c>
      <c r="D42" s="80">
        <f>IFERROR(__xludf.DUMMYFUNCTION("""COMPUTED_VALUE"""),226.0)</f>
        <v>226</v>
      </c>
      <c r="E42" s="80">
        <f>IFERROR(__xludf.DUMMYFUNCTION("""COMPUTED_VALUE"""),119.10000000000002)</f>
        <v>119.1</v>
      </c>
      <c r="F42" s="76"/>
      <c r="G42" s="76"/>
      <c r="H42" s="80"/>
      <c r="I42" s="76"/>
      <c r="J42" s="76"/>
      <c r="K42" s="80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</row>
    <row r="43">
      <c r="A43" s="76" t="str">
        <f>IFERROR(__xludf.DUMMYFUNCTION("""COMPUTED_VALUE"""),"S00164")</f>
        <v>S00164</v>
      </c>
      <c r="B43" s="80">
        <f>IFERROR(__xludf.DUMMYFUNCTION("""COMPUTED_VALUE"""),354.76)</f>
        <v>354.76</v>
      </c>
      <c r="C43" s="80">
        <f>IFERROR(__xludf.DUMMYFUNCTION("""COMPUTED_VALUE"""),354.77)</f>
        <v>354.77</v>
      </c>
      <c r="D43" s="80">
        <f>IFERROR(__xludf.DUMMYFUNCTION("""COMPUTED_VALUE"""),290.0)</f>
        <v>290</v>
      </c>
      <c r="E43" s="80">
        <f>IFERROR(__xludf.DUMMYFUNCTION("""COMPUTED_VALUE"""),64.75999999999999)</f>
        <v>64.76</v>
      </c>
      <c r="F43" s="76"/>
      <c r="G43" s="76"/>
      <c r="H43" s="80"/>
      <c r="I43" s="76"/>
      <c r="J43" s="76"/>
      <c r="K43" s="80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</row>
    <row r="44">
      <c r="A44" s="76" t="str">
        <f>IFERROR(__xludf.DUMMYFUNCTION("""COMPUTED_VALUE"""),"S00168")</f>
        <v>S00168</v>
      </c>
      <c r="B44" s="80">
        <f>IFERROR(__xludf.DUMMYFUNCTION("""COMPUTED_VALUE"""),373.5)</f>
        <v>373.5</v>
      </c>
      <c r="C44" s="80">
        <f>IFERROR(__xludf.DUMMYFUNCTION("""COMPUTED_VALUE"""),373.5)</f>
        <v>373.5</v>
      </c>
      <c r="D44" s="80">
        <f>IFERROR(__xludf.DUMMYFUNCTION("""COMPUTED_VALUE"""),250.0)</f>
        <v>250</v>
      </c>
      <c r="E44" s="80">
        <f>IFERROR(__xludf.DUMMYFUNCTION("""COMPUTED_VALUE"""),123.5)</f>
        <v>123.5</v>
      </c>
      <c r="F44" s="76"/>
      <c r="G44" s="76"/>
      <c r="H44" s="80"/>
      <c r="I44" s="76"/>
      <c r="J44" s="76"/>
      <c r="K44" s="80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</row>
    <row r="45">
      <c r="A45" s="76" t="str">
        <f>IFERROR(__xludf.DUMMYFUNCTION("""COMPUTED_VALUE"""),"S00175")</f>
        <v>S00175</v>
      </c>
      <c r="B45" s="80">
        <f>IFERROR(__xludf.DUMMYFUNCTION("""COMPUTED_VALUE"""),161.99)</f>
        <v>161.99</v>
      </c>
      <c r="C45" s="80">
        <f>IFERROR(__xludf.DUMMYFUNCTION("""COMPUTED_VALUE"""),162.0)</f>
        <v>162</v>
      </c>
      <c r="D45" s="80">
        <f>IFERROR(__xludf.DUMMYFUNCTION("""COMPUTED_VALUE"""),108.0)</f>
        <v>108</v>
      </c>
      <c r="E45" s="80">
        <f>IFERROR(__xludf.DUMMYFUNCTION("""COMPUTED_VALUE"""),53.99000000000001)</f>
        <v>53.99</v>
      </c>
      <c r="F45" s="76"/>
      <c r="G45" s="76"/>
      <c r="H45" s="80"/>
      <c r="I45" s="76"/>
      <c r="J45" s="76"/>
      <c r="K45" s="80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</row>
    <row r="46">
      <c r="A46" s="76" t="str">
        <f>IFERROR(__xludf.DUMMYFUNCTION("""COMPUTED_VALUE"""),"S00185")</f>
        <v>S00185</v>
      </c>
      <c r="B46" s="80">
        <f>IFERROR(__xludf.DUMMYFUNCTION("""COMPUTED_VALUE"""),157.76)</f>
        <v>157.76</v>
      </c>
      <c r="C46" s="80">
        <f>IFERROR(__xludf.DUMMYFUNCTION("""COMPUTED_VALUE"""),157.76)</f>
        <v>157.76</v>
      </c>
      <c r="D46" s="80">
        <f>IFERROR(__xludf.DUMMYFUNCTION("""COMPUTED_VALUE"""),157.44616702765768)</f>
        <v>157.446167</v>
      </c>
      <c r="E46" s="80">
        <f>IFERROR(__xludf.DUMMYFUNCTION("""COMPUTED_VALUE"""),0.3138329723423112)</f>
        <v>0.3138329723</v>
      </c>
      <c r="F46" s="76"/>
      <c r="G46" s="76"/>
      <c r="H46" s="80"/>
      <c r="I46" s="76"/>
      <c r="J46" s="76"/>
      <c r="K46" s="80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</row>
    <row r="47">
      <c r="A47" s="76" t="str">
        <f>IFERROR(__xludf.DUMMYFUNCTION("""COMPUTED_VALUE"""),"S00188")</f>
        <v>S00188</v>
      </c>
      <c r="B47" s="80">
        <f>IFERROR(__xludf.DUMMYFUNCTION("""COMPUTED_VALUE"""),143.52)</f>
        <v>143.52</v>
      </c>
      <c r="C47" s="80">
        <f>IFERROR(__xludf.DUMMYFUNCTION("""COMPUTED_VALUE"""),143.52)</f>
        <v>143.52</v>
      </c>
      <c r="D47" s="80">
        <f>IFERROR(__xludf.DUMMYFUNCTION("""COMPUTED_VALUE"""),143.0)</f>
        <v>143</v>
      </c>
      <c r="E47" s="80">
        <f>IFERROR(__xludf.DUMMYFUNCTION("""COMPUTED_VALUE"""),0.5200000000000102)</f>
        <v>0.52</v>
      </c>
      <c r="F47" s="76"/>
      <c r="G47" s="76"/>
      <c r="H47" s="80"/>
      <c r="I47" s="76"/>
      <c r="J47" s="76"/>
      <c r="K47" s="80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</row>
    <row r="48">
      <c r="A48" s="76" t="str">
        <f>IFERROR(__xludf.DUMMYFUNCTION("""COMPUTED_VALUE"""),"S00201")</f>
        <v>S00201</v>
      </c>
      <c r="B48" s="80">
        <f>IFERROR(__xludf.DUMMYFUNCTION("""COMPUTED_VALUE"""),199.52)</f>
        <v>199.52</v>
      </c>
      <c r="C48" s="80">
        <f>IFERROR(__xludf.DUMMYFUNCTION("""COMPUTED_VALUE"""),199.52)</f>
        <v>199.52</v>
      </c>
      <c r="D48" s="80">
        <f>IFERROR(__xludf.DUMMYFUNCTION("""COMPUTED_VALUE"""),130.0)</f>
        <v>130</v>
      </c>
      <c r="E48" s="80">
        <f>IFERROR(__xludf.DUMMYFUNCTION("""COMPUTED_VALUE"""),69.52000000000001)</f>
        <v>69.52</v>
      </c>
      <c r="F48" s="76"/>
      <c r="G48" s="76"/>
      <c r="H48" s="80"/>
      <c r="I48" s="76"/>
      <c r="J48" s="76"/>
      <c r="K48" s="80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</row>
    <row r="49">
      <c r="A49" s="76" t="str">
        <f>IFERROR(__xludf.DUMMYFUNCTION("""COMPUTED_VALUE"""),"S00208")</f>
        <v>S00208</v>
      </c>
      <c r="B49" s="80">
        <f>IFERROR(__xludf.DUMMYFUNCTION("""COMPUTED_VALUE"""),227.02)</f>
        <v>227.02</v>
      </c>
      <c r="C49" s="80">
        <f>IFERROR(__xludf.DUMMYFUNCTION("""COMPUTED_VALUE"""),227.03)</f>
        <v>227.03</v>
      </c>
      <c r="D49" s="80">
        <f>IFERROR(__xludf.DUMMYFUNCTION("""COMPUTED_VALUE"""),150.0)</f>
        <v>150</v>
      </c>
      <c r="E49" s="80">
        <f>IFERROR(__xludf.DUMMYFUNCTION("""COMPUTED_VALUE"""),77.02000000000001)</f>
        <v>77.02</v>
      </c>
      <c r="F49" s="76"/>
      <c r="G49" s="76"/>
      <c r="H49" s="80"/>
      <c r="I49" s="76"/>
      <c r="J49" s="76"/>
      <c r="K49" s="80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</row>
    <row r="50">
      <c r="A50" s="76" t="str">
        <f>IFERROR(__xludf.DUMMYFUNCTION("""COMPUTED_VALUE"""),"S00220")</f>
        <v>S00220</v>
      </c>
      <c r="B50" s="80">
        <f>IFERROR(__xludf.DUMMYFUNCTION("""COMPUTED_VALUE"""),125.28)</f>
        <v>125.28</v>
      </c>
      <c r="C50" s="80">
        <f>IFERROR(__xludf.DUMMYFUNCTION("""COMPUTED_VALUE"""),125.28)</f>
        <v>125.28</v>
      </c>
      <c r="D50" s="80">
        <f>IFERROR(__xludf.DUMMYFUNCTION("""COMPUTED_VALUE"""),111.0)</f>
        <v>111</v>
      </c>
      <c r="E50" s="80">
        <f>IFERROR(__xludf.DUMMYFUNCTION("""COMPUTED_VALUE"""),14.280000000000001)</f>
        <v>14.28</v>
      </c>
      <c r="F50" s="76"/>
      <c r="G50" s="76"/>
      <c r="H50" s="80"/>
      <c r="I50" s="76"/>
      <c r="J50" s="76"/>
      <c r="K50" s="80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</row>
    <row r="51">
      <c r="A51" s="76" t="str">
        <f>IFERROR(__xludf.DUMMYFUNCTION("""COMPUTED_VALUE"""),"S00227")</f>
        <v>S00227</v>
      </c>
      <c r="B51" s="80">
        <f>IFERROR(__xludf.DUMMYFUNCTION("""COMPUTED_VALUE"""),676.28)</f>
        <v>676.28</v>
      </c>
      <c r="C51" s="80">
        <f>IFERROR(__xludf.DUMMYFUNCTION("""COMPUTED_VALUE"""),676.28)</f>
        <v>676.28</v>
      </c>
      <c r="D51" s="80">
        <f>IFERROR(__xludf.DUMMYFUNCTION("""COMPUTED_VALUE"""),606.31944438714)</f>
        <v>606.3194444</v>
      </c>
      <c r="E51" s="80">
        <f>IFERROR(__xludf.DUMMYFUNCTION("""COMPUTED_VALUE"""),69.96055561285993)</f>
        <v>69.96055561</v>
      </c>
      <c r="F51" s="76"/>
      <c r="G51" s="76"/>
      <c r="H51" s="80"/>
      <c r="I51" s="76"/>
      <c r="J51" s="76"/>
      <c r="K51" s="80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</row>
    <row r="52">
      <c r="A52" s="76" t="str">
        <f>IFERROR(__xludf.DUMMYFUNCTION("""COMPUTED_VALUE"""),"S00228")</f>
        <v>S00228</v>
      </c>
      <c r="B52" s="80">
        <f>IFERROR(__xludf.DUMMYFUNCTION("""COMPUTED_VALUE"""),295.8)</f>
        <v>295.8</v>
      </c>
      <c r="C52" s="80">
        <f>IFERROR(__xludf.DUMMYFUNCTION("""COMPUTED_VALUE"""),295.8)</f>
        <v>295.8</v>
      </c>
      <c r="D52" s="80">
        <f>IFERROR(__xludf.DUMMYFUNCTION("""COMPUTED_VALUE"""),294.00375121424776)</f>
        <v>294.0037512</v>
      </c>
      <c r="E52" s="80">
        <f>IFERROR(__xludf.DUMMYFUNCTION("""COMPUTED_VALUE"""),1.7962487857522547)</f>
        <v>1.796248786</v>
      </c>
      <c r="F52" s="76"/>
      <c r="G52" s="76"/>
      <c r="H52" s="80"/>
      <c r="I52" s="76"/>
      <c r="J52" s="76"/>
      <c r="K52" s="80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</row>
    <row r="53">
      <c r="A53" s="76" t="str">
        <f>IFERROR(__xludf.DUMMYFUNCTION("""COMPUTED_VALUE"""),"S00230")</f>
        <v>S00230</v>
      </c>
      <c r="B53" s="80">
        <f>IFERROR(__xludf.DUMMYFUNCTION("""COMPUTED_VALUE"""),1409.4)</f>
        <v>1409.4</v>
      </c>
      <c r="C53" s="80">
        <f>IFERROR(__xludf.DUMMYFUNCTION("""COMPUTED_VALUE"""),1409.4)</f>
        <v>1409.4</v>
      </c>
      <c r="D53" s="80">
        <f>IFERROR(__xludf.DUMMYFUNCTION("""COMPUTED_VALUE"""),1321.363714931283)</f>
        <v>1321.363715</v>
      </c>
      <c r="E53" s="80">
        <f>IFERROR(__xludf.DUMMYFUNCTION("""COMPUTED_VALUE"""),88.036285068717)</f>
        <v>88.03628507</v>
      </c>
      <c r="F53" s="76"/>
      <c r="G53" s="76"/>
      <c r="H53" s="80"/>
      <c r="I53" s="76"/>
      <c r="J53" s="76"/>
      <c r="K53" s="80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</row>
    <row r="54">
      <c r="A54" s="76" t="str">
        <f>IFERROR(__xludf.DUMMYFUNCTION("""COMPUTED_VALUE"""),"S00233")</f>
        <v>S00233</v>
      </c>
      <c r="B54" s="80">
        <f>IFERROR(__xludf.DUMMYFUNCTION("""COMPUTED_VALUE"""),164.72)</f>
        <v>164.72</v>
      </c>
      <c r="C54" s="80">
        <f>IFERROR(__xludf.DUMMYFUNCTION("""COMPUTED_VALUE"""),164.72)</f>
        <v>164.72</v>
      </c>
      <c r="D54" s="80">
        <f>IFERROR(__xludf.DUMMYFUNCTION("""COMPUTED_VALUE"""),164.4012754748009)</f>
        <v>164.4012755</v>
      </c>
      <c r="E54" s="80">
        <f>IFERROR(__xludf.DUMMYFUNCTION("""COMPUTED_VALUE"""),0.31872452519908734)</f>
        <v>0.3187245252</v>
      </c>
      <c r="F54" s="76"/>
      <c r="G54" s="76"/>
      <c r="H54" s="80"/>
      <c r="I54" s="76"/>
      <c r="J54" s="76"/>
      <c r="K54" s="80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</row>
    <row r="55">
      <c r="A55" s="76" t="str">
        <f>IFERROR(__xludf.DUMMYFUNCTION("""COMPUTED_VALUE"""),"S00234")</f>
        <v>S00234</v>
      </c>
      <c r="B55" s="80">
        <f>IFERROR(__xludf.DUMMYFUNCTION("""COMPUTED_VALUE"""),251.99)</f>
        <v>251.99</v>
      </c>
      <c r="C55" s="80">
        <f>IFERROR(__xludf.DUMMYFUNCTION("""COMPUTED_VALUE"""),251.99)</f>
        <v>251.99</v>
      </c>
      <c r="D55" s="80">
        <f>IFERROR(__xludf.DUMMYFUNCTION("""COMPUTED_VALUE"""),239.3905)</f>
        <v>239.3905</v>
      </c>
      <c r="E55" s="80">
        <f>IFERROR(__xludf.DUMMYFUNCTION("""COMPUTED_VALUE"""),12.599500000000006)</f>
        <v>12.5995</v>
      </c>
      <c r="F55" s="76"/>
      <c r="G55" s="76"/>
      <c r="H55" s="80"/>
      <c r="I55" s="76"/>
      <c r="J55" s="76"/>
      <c r="K55" s="80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</row>
    <row r="56">
      <c r="A56" s="76" t="str">
        <f>IFERROR(__xludf.DUMMYFUNCTION("""COMPUTED_VALUE"""),"S00237")</f>
        <v>S00237</v>
      </c>
      <c r="B56" s="80">
        <f>IFERROR(__xludf.DUMMYFUNCTION("""COMPUTED_VALUE"""),445.44)</f>
        <v>445.44</v>
      </c>
      <c r="C56" s="80">
        <f>IFERROR(__xludf.DUMMYFUNCTION("""COMPUTED_VALUE"""),445.44)</f>
        <v>445.44</v>
      </c>
      <c r="D56" s="80">
        <f>IFERROR(__xludf.DUMMYFUNCTION("""COMPUTED_VALUE"""),386.08904652406403)</f>
        <v>386.0890465</v>
      </c>
      <c r="E56" s="80">
        <f>IFERROR(__xludf.DUMMYFUNCTION("""COMPUTED_VALUE"""),59.35095347593597)</f>
        <v>59.35095348</v>
      </c>
      <c r="F56" s="76"/>
      <c r="G56" s="76"/>
      <c r="H56" s="80"/>
      <c r="I56" s="76"/>
      <c r="J56" s="76"/>
      <c r="K56" s="80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</row>
    <row r="57">
      <c r="A57" s="76" t="str">
        <f>IFERROR(__xludf.DUMMYFUNCTION("""COMPUTED_VALUE"""),"S00240")</f>
        <v>S00240</v>
      </c>
      <c r="B57" s="80">
        <f>IFERROR(__xludf.DUMMYFUNCTION("""COMPUTED_VALUE"""),116.0)</f>
        <v>116</v>
      </c>
      <c r="C57" s="80">
        <f>IFERROR(__xludf.DUMMYFUNCTION("""COMPUTED_VALUE"""),116.0)</f>
        <v>116</v>
      </c>
      <c r="D57" s="80">
        <f>IFERROR(__xludf.DUMMYFUNCTION("""COMPUTED_VALUE"""),76.0)</f>
        <v>76</v>
      </c>
      <c r="E57" s="80">
        <f>IFERROR(__xludf.DUMMYFUNCTION("""COMPUTED_VALUE"""),40.0)</f>
        <v>40</v>
      </c>
      <c r="F57" s="76"/>
      <c r="G57" s="76"/>
      <c r="H57" s="80"/>
      <c r="I57" s="76"/>
      <c r="J57" s="76"/>
      <c r="K57" s="80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</row>
    <row r="58">
      <c r="A58" s="76" t="str">
        <f>IFERROR(__xludf.DUMMYFUNCTION("""COMPUTED_VALUE"""),"S00242")</f>
        <v>S00242</v>
      </c>
      <c r="B58" s="80">
        <f>IFERROR(__xludf.DUMMYFUNCTION("""COMPUTED_VALUE"""),1090.4)</f>
        <v>1090.4</v>
      </c>
      <c r="C58" s="80">
        <f>IFERROR(__xludf.DUMMYFUNCTION("""COMPUTED_VALUE"""),1090.4)</f>
        <v>1090.4</v>
      </c>
      <c r="D58" s="80">
        <f>IFERROR(__xludf.DUMMYFUNCTION("""COMPUTED_VALUE"""),943.8162256658335)</f>
        <v>943.8162257</v>
      </c>
      <c r="E58" s="80">
        <f>IFERROR(__xludf.DUMMYFUNCTION("""COMPUTED_VALUE"""),146.5837743341666)</f>
        <v>146.5837743</v>
      </c>
      <c r="F58" s="76"/>
      <c r="G58" s="76"/>
      <c r="H58" s="80"/>
      <c r="I58" s="76"/>
      <c r="J58" s="76"/>
      <c r="K58" s="80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</row>
    <row r="59">
      <c r="A59" s="76" t="str">
        <f>IFERROR(__xludf.DUMMYFUNCTION("""COMPUTED_VALUE"""),"S00246")</f>
        <v>S00246</v>
      </c>
      <c r="B59" s="80">
        <f>IFERROR(__xludf.DUMMYFUNCTION("""COMPUTED_VALUE"""),3853.52)</f>
        <v>3853.52</v>
      </c>
      <c r="C59" s="80">
        <f>IFERROR(__xludf.DUMMYFUNCTION("""COMPUTED_VALUE"""),3853.52)</f>
        <v>3853.52</v>
      </c>
      <c r="D59" s="80">
        <f>IFERROR(__xludf.DUMMYFUNCTION("""COMPUTED_VALUE"""),3853.0)</f>
        <v>3853</v>
      </c>
      <c r="E59" s="80">
        <f>IFERROR(__xludf.DUMMYFUNCTION("""COMPUTED_VALUE"""),0.5199999999999818)</f>
        <v>0.52</v>
      </c>
      <c r="F59" s="76"/>
      <c r="G59" s="76"/>
      <c r="H59" s="80"/>
      <c r="I59" s="76"/>
      <c r="J59" s="76"/>
      <c r="K59" s="80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</row>
    <row r="60">
      <c r="A60" s="76" t="str">
        <f>IFERROR(__xludf.DUMMYFUNCTION("""COMPUTED_VALUE"""),"S00260")</f>
        <v>S00260</v>
      </c>
      <c r="B60" s="80">
        <f>IFERROR(__xludf.DUMMYFUNCTION("""COMPUTED_VALUE"""),313.2)</f>
        <v>313.2</v>
      </c>
      <c r="C60" s="80">
        <f>IFERROR(__xludf.DUMMYFUNCTION("""COMPUTED_VALUE"""),313.2)</f>
        <v>313.2</v>
      </c>
      <c r="D60" s="80">
        <f>IFERROR(__xludf.DUMMYFUNCTION("""COMPUTED_VALUE"""),312.99999596018506)</f>
        <v>312.999996</v>
      </c>
      <c r="E60" s="80">
        <f>IFERROR(__xludf.DUMMYFUNCTION("""COMPUTED_VALUE"""),0.2000040398149281)</f>
        <v>0.2000040398</v>
      </c>
      <c r="F60" s="76"/>
      <c r="G60" s="76"/>
      <c r="H60" s="80"/>
      <c r="I60" s="76"/>
      <c r="J60" s="76"/>
      <c r="K60" s="80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</row>
    <row r="61">
      <c r="A61" s="76" t="str">
        <f>IFERROR(__xludf.DUMMYFUNCTION("""COMPUTED_VALUE"""),"S00262")</f>
        <v>S00262</v>
      </c>
      <c r="B61" s="80">
        <f>IFERROR(__xludf.DUMMYFUNCTION("""COMPUTED_VALUE"""),5151.59)</f>
        <v>5151.59</v>
      </c>
      <c r="C61" s="80">
        <f>IFERROR(__xludf.DUMMYFUNCTION("""COMPUTED_VALUE"""),5151.59)</f>
        <v>5151.59</v>
      </c>
      <c r="D61" s="80">
        <f>IFERROR(__xludf.DUMMYFUNCTION("""COMPUTED_VALUE"""),5141.253857758865)</f>
        <v>5141.253858</v>
      </c>
      <c r="E61" s="80">
        <f>IFERROR(__xludf.DUMMYFUNCTION("""COMPUTED_VALUE"""),10.336142241135349)</f>
        <v>10.33614224</v>
      </c>
      <c r="F61" s="76"/>
      <c r="G61" s="76"/>
      <c r="H61" s="80"/>
      <c r="I61" s="76"/>
      <c r="J61" s="76"/>
      <c r="K61" s="80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</row>
    <row r="62">
      <c r="A62" s="76" t="str">
        <f>IFERROR(__xludf.DUMMYFUNCTION("""COMPUTED_VALUE"""),"S00280")</f>
        <v>S00280</v>
      </c>
      <c r="B62" s="80">
        <f>IFERROR(__xludf.DUMMYFUNCTION("""COMPUTED_VALUE"""),177.48)</f>
        <v>177.48</v>
      </c>
      <c r="C62" s="80">
        <f>IFERROR(__xludf.DUMMYFUNCTION("""COMPUTED_VALUE"""),177.48)</f>
        <v>177.48</v>
      </c>
      <c r="D62" s="80">
        <f>IFERROR(__xludf.DUMMYFUNCTION("""COMPUTED_VALUE"""),158.92814309516837)</f>
        <v>158.9281431</v>
      </c>
      <c r="E62" s="80">
        <f>IFERROR(__xludf.DUMMYFUNCTION("""COMPUTED_VALUE"""),18.551856904831624)</f>
        <v>18.5518569</v>
      </c>
      <c r="F62" s="76"/>
      <c r="G62" s="76"/>
      <c r="H62" s="80"/>
      <c r="I62" s="76"/>
      <c r="J62" s="76"/>
      <c r="K62" s="80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</row>
    <row r="63">
      <c r="A63" s="76" t="str">
        <f>IFERROR(__xludf.DUMMYFUNCTION("""COMPUTED_VALUE"""),"S00284")</f>
        <v>S00284</v>
      </c>
      <c r="B63" s="80">
        <f>IFERROR(__xludf.DUMMYFUNCTION("""COMPUTED_VALUE"""),59.16)</f>
        <v>59.16</v>
      </c>
      <c r="C63" s="80">
        <f>IFERROR(__xludf.DUMMYFUNCTION("""COMPUTED_VALUE"""),59.16)</f>
        <v>59.16</v>
      </c>
      <c r="D63" s="80">
        <f>IFERROR(__xludf.DUMMYFUNCTION("""COMPUTED_VALUE"""),51.7657905138503)</f>
        <v>51.76579051</v>
      </c>
      <c r="E63" s="80">
        <f>IFERROR(__xludf.DUMMYFUNCTION("""COMPUTED_VALUE"""),7.394209486149698)</f>
        <v>7.394209486</v>
      </c>
      <c r="F63" s="76"/>
      <c r="G63" s="76"/>
      <c r="H63" s="80"/>
      <c r="I63" s="76"/>
      <c r="J63" s="76"/>
      <c r="K63" s="80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</row>
    <row r="64">
      <c r="A64" s="76" t="str">
        <f>IFERROR(__xludf.DUMMYFUNCTION("""COMPUTED_VALUE"""),"S00289")</f>
        <v>S00289</v>
      </c>
      <c r="B64" s="80">
        <f>IFERROR(__xludf.DUMMYFUNCTION("""COMPUTED_VALUE"""),120.59)</f>
        <v>120.59</v>
      </c>
      <c r="C64" s="80">
        <f>IFERROR(__xludf.DUMMYFUNCTION("""COMPUTED_VALUE"""),120.59)</f>
        <v>120.59</v>
      </c>
      <c r="D64" s="80">
        <f>IFERROR(__xludf.DUMMYFUNCTION("""COMPUTED_VALUE"""),81.0)</f>
        <v>81</v>
      </c>
      <c r="E64" s="80">
        <f>IFERROR(__xludf.DUMMYFUNCTION("""COMPUTED_VALUE"""),39.59)</f>
        <v>39.59</v>
      </c>
      <c r="F64" s="76"/>
      <c r="G64" s="76"/>
      <c r="H64" s="80"/>
      <c r="I64" s="76"/>
      <c r="J64" s="76"/>
      <c r="K64" s="80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</row>
    <row r="65">
      <c r="A65" s="76" t="str">
        <f>IFERROR(__xludf.DUMMYFUNCTION("""COMPUTED_VALUE"""),"S00295")</f>
        <v>S00295</v>
      </c>
      <c r="B65" s="80">
        <f>IFERROR(__xludf.DUMMYFUNCTION("""COMPUTED_VALUE"""),116.0)</f>
        <v>116</v>
      </c>
      <c r="C65" s="80">
        <f>IFERROR(__xludf.DUMMYFUNCTION("""COMPUTED_VALUE"""),116.0)</f>
        <v>116</v>
      </c>
      <c r="D65" s="80">
        <f>IFERROR(__xludf.DUMMYFUNCTION("""COMPUTED_VALUE"""),76.0)</f>
        <v>76</v>
      </c>
      <c r="E65" s="80">
        <f>IFERROR(__xludf.DUMMYFUNCTION("""COMPUTED_VALUE"""),40.0)</f>
        <v>40</v>
      </c>
      <c r="F65" s="76"/>
      <c r="G65" s="76"/>
      <c r="H65" s="80"/>
      <c r="I65" s="76"/>
      <c r="J65" s="76"/>
      <c r="K65" s="80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</row>
    <row r="66">
      <c r="A66" s="76" t="str">
        <f>IFERROR(__xludf.DUMMYFUNCTION("""COMPUTED_VALUE"""),"S00298")</f>
        <v>S00298</v>
      </c>
      <c r="B66" s="80">
        <f>IFERROR(__xludf.DUMMYFUNCTION("""COMPUTED_VALUE"""),0.59)</f>
        <v>0.59</v>
      </c>
      <c r="C66" s="80">
        <f>IFERROR(__xludf.DUMMYFUNCTION("""COMPUTED_VALUE"""),284.61)</f>
        <v>284.61</v>
      </c>
      <c r="D66" s="80">
        <f>IFERROR(__xludf.DUMMYFUNCTION("""COMPUTED_VALUE"""),284.61)</f>
        <v>284.61</v>
      </c>
      <c r="E66" s="80">
        <f>IFERROR(__xludf.DUMMYFUNCTION("""COMPUTED_VALUE"""),-284.02000000000004)</f>
        <v>-284.02</v>
      </c>
      <c r="F66" s="76"/>
      <c r="G66" s="76"/>
      <c r="H66" s="80"/>
      <c r="I66" s="76"/>
      <c r="J66" s="76"/>
      <c r="K66" s="80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</row>
    <row r="67">
      <c r="A67" s="76" t="str">
        <f>IFERROR(__xludf.DUMMYFUNCTION("""COMPUTED_VALUE"""),"S00302")</f>
        <v>S00302</v>
      </c>
      <c r="B67" s="80">
        <f>IFERROR(__xludf.DUMMYFUNCTION("""COMPUTED_VALUE"""),104.4)</f>
        <v>104.4</v>
      </c>
      <c r="C67" s="80">
        <f>IFERROR(__xludf.DUMMYFUNCTION("""COMPUTED_VALUE"""),104.4)</f>
        <v>104.4</v>
      </c>
      <c r="D67" s="80">
        <f>IFERROR(__xludf.DUMMYFUNCTION("""COMPUTED_VALUE"""),68.0)</f>
        <v>68</v>
      </c>
      <c r="E67" s="80">
        <f>IFERROR(__xludf.DUMMYFUNCTION("""COMPUTED_VALUE"""),36.400000000000006)</f>
        <v>36.4</v>
      </c>
      <c r="F67" s="76"/>
      <c r="G67" s="76"/>
      <c r="H67" s="80"/>
      <c r="I67" s="76"/>
      <c r="J67" s="76"/>
      <c r="K67" s="80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</row>
    <row r="68">
      <c r="A68" s="76" t="str">
        <f>IFERROR(__xludf.DUMMYFUNCTION("""COMPUTED_VALUE"""),"S00316")</f>
        <v>S00316</v>
      </c>
      <c r="B68" s="80">
        <f>IFERROR(__xludf.DUMMYFUNCTION("""COMPUTED_VALUE"""),83.52)</f>
        <v>83.52</v>
      </c>
      <c r="C68" s="80">
        <f>IFERROR(__xludf.DUMMYFUNCTION("""COMPUTED_VALUE"""),83.52)</f>
        <v>83.52</v>
      </c>
      <c r="D68" s="80">
        <f>IFERROR(__xludf.DUMMYFUNCTION("""COMPUTED_VALUE"""),83.05533230569259)</f>
        <v>83.05533231</v>
      </c>
      <c r="E68" s="80">
        <f>IFERROR(__xludf.DUMMYFUNCTION("""COMPUTED_VALUE"""),0.4646676943074084)</f>
        <v>0.4646676943</v>
      </c>
      <c r="F68" s="76"/>
      <c r="G68" s="76"/>
      <c r="H68" s="80"/>
      <c r="I68" s="76"/>
      <c r="J68" s="76"/>
      <c r="K68" s="80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</row>
    <row r="69">
      <c r="A69" s="76" t="str">
        <f>IFERROR(__xludf.DUMMYFUNCTION("""COMPUTED_VALUE"""),"S00318")</f>
        <v>S00318</v>
      </c>
      <c r="B69" s="80">
        <f>IFERROR(__xludf.DUMMYFUNCTION("""COMPUTED_VALUE"""),81.2)</f>
        <v>81.2</v>
      </c>
      <c r="C69" s="80">
        <f>IFERROR(__xludf.DUMMYFUNCTION("""COMPUTED_VALUE"""),81.2)</f>
        <v>81.2</v>
      </c>
      <c r="D69" s="80">
        <f>IFERROR(__xludf.DUMMYFUNCTION("""COMPUTED_VALUE"""),53.0)</f>
        <v>53</v>
      </c>
      <c r="E69" s="80">
        <f>IFERROR(__xludf.DUMMYFUNCTION("""COMPUTED_VALUE"""),28.200000000000003)</f>
        <v>28.2</v>
      </c>
      <c r="F69" s="76"/>
      <c r="G69" s="76"/>
      <c r="H69" s="80"/>
      <c r="I69" s="76"/>
      <c r="J69" s="76"/>
      <c r="K69" s="80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</row>
    <row r="70">
      <c r="A70" s="76" t="str">
        <f>IFERROR(__xludf.DUMMYFUNCTION("""COMPUTED_VALUE"""),"S00322")</f>
        <v>S00322</v>
      </c>
      <c r="B70" s="80">
        <f>IFERROR(__xludf.DUMMYFUNCTION("""COMPUTED_VALUE"""),98.6)</f>
        <v>98.6</v>
      </c>
      <c r="C70" s="80">
        <f>IFERROR(__xludf.DUMMYFUNCTION("""COMPUTED_VALUE"""),98.6)</f>
        <v>98.6</v>
      </c>
      <c r="D70" s="80">
        <f>IFERROR(__xludf.DUMMYFUNCTION("""COMPUTED_VALUE"""),97.93405239203732)</f>
        <v>97.93405239</v>
      </c>
      <c r="E70" s="80">
        <f>IFERROR(__xludf.DUMMYFUNCTION("""COMPUTED_VALUE"""),0.6659476079626785)</f>
        <v>0.665947608</v>
      </c>
      <c r="F70" s="76"/>
      <c r="G70" s="76"/>
      <c r="H70" s="80"/>
      <c r="I70" s="76"/>
      <c r="J70" s="76"/>
      <c r="K70" s="80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</row>
    <row r="71">
      <c r="A71" s="76" t="str">
        <f>IFERROR(__xludf.DUMMYFUNCTION("""COMPUTED_VALUE"""),"S00325")</f>
        <v>S00325</v>
      </c>
      <c r="B71" s="80">
        <f>IFERROR(__xludf.DUMMYFUNCTION("""COMPUTED_VALUE"""),79.96)</f>
        <v>79.96</v>
      </c>
      <c r="C71" s="80">
        <f>IFERROR(__xludf.DUMMYFUNCTION("""COMPUTED_VALUE"""),79.96)</f>
        <v>79.96</v>
      </c>
      <c r="D71" s="80">
        <f>IFERROR(__xludf.DUMMYFUNCTION("""COMPUTED_VALUE"""),52.0)</f>
        <v>52</v>
      </c>
      <c r="E71" s="80">
        <f>IFERROR(__xludf.DUMMYFUNCTION("""COMPUTED_VALUE"""),27.959999999999994)</f>
        <v>27.96</v>
      </c>
      <c r="F71" s="76"/>
      <c r="G71" s="76"/>
      <c r="H71" s="80"/>
      <c r="I71" s="76"/>
      <c r="J71" s="76"/>
      <c r="K71" s="80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</row>
    <row r="72">
      <c r="A72" s="76" t="str">
        <f>IFERROR(__xludf.DUMMYFUNCTION("""COMPUTED_VALUE"""),"S00326")</f>
        <v>S00326</v>
      </c>
      <c r="B72" s="80">
        <f>IFERROR(__xludf.DUMMYFUNCTION("""COMPUTED_VALUE"""),74.24)</f>
        <v>74.24</v>
      </c>
      <c r="C72" s="80">
        <f>IFERROR(__xludf.DUMMYFUNCTION("""COMPUTED_VALUE"""),74.24)</f>
        <v>74.24</v>
      </c>
      <c r="D72" s="80">
        <f>IFERROR(__xludf.DUMMYFUNCTION("""COMPUTED_VALUE"""),49.0)</f>
        <v>49</v>
      </c>
      <c r="E72" s="80">
        <f>IFERROR(__xludf.DUMMYFUNCTION("""COMPUTED_VALUE"""),25.239999999999995)</f>
        <v>25.24</v>
      </c>
      <c r="F72" s="76"/>
      <c r="G72" s="76"/>
      <c r="H72" s="80"/>
      <c r="I72" s="76"/>
      <c r="J72" s="76"/>
      <c r="K72" s="80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</row>
    <row r="73">
      <c r="A73" s="76" t="str">
        <f>IFERROR(__xludf.DUMMYFUNCTION("""COMPUTED_VALUE"""),"S00330")</f>
        <v>S00330</v>
      </c>
      <c r="B73" s="80">
        <f>IFERROR(__xludf.DUMMYFUNCTION("""COMPUTED_VALUE"""),280.72)</f>
        <v>280.72</v>
      </c>
      <c r="C73" s="80">
        <f>IFERROR(__xludf.DUMMYFUNCTION("""COMPUTED_VALUE"""),280.72)</f>
        <v>280.72</v>
      </c>
      <c r="D73" s="80">
        <f>IFERROR(__xludf.DUMMYFUNCTION("""COMPUTED_VALUE"""),257.9744284031261)</f>
        <v>257.9744284</v>
      </c>
      <c r="E73" s="80">
        <f>IFERROR(__xludf.DUMMYFUNCTION("""COMPUTED_VALUE"""),22.7455715968739)</f>
        <v>22.7455716</v>
      </c>
      <c r="F73" s="76"/>
      <c r="G73" s="76"/>
      <c r="H73" s="80"/>
      <c r="I73" s="76"/>
      <c r="J73" s="76"/>
      <c r="K73" s="80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</row>
    <row r="74">
      <c r="A74" s="76" t="str">
        <f>IFERROR(__xludf.DUMMYFUNCTION("""COMPUTED_VALUE"""),"S00334")</f>
        <v>S00334</v>
      </c>
      <c r="B74" s="80">
        <f>IFERROR(__xludf.DUMMYFUNCTION("""COMPUTED_VALUE"""),299.28)</f>
        <v>299.28</v>
      </c>
      <c r="C74" s="80">
        <f>IFERROR(__xludf.DUMMYFUNCTION("""COMPUTED_VALUE"""),299.28)</f>
        <v>299.28</v>
      </c>
      <c r="D74" s="80">
        <f>IFERROR(__xludf.DUMMYFUNCTION("""COMPUTED_VALUE"""),195.0)</f>
        <v>195</v>
      </c>
      <c r="E74" s="80">
        <f>IFERROR(__xludf.DUMMYFUNCTION("""COMPUTED_VALUE"""),104.27999999999997)</f>
        <v>104.28</v>
      </c>
      <c r="F74" s="76"/>
      <c r="G74" s="76"/>
      <c r="H74" s="80"/>
      <c r="I74" s="76"/>
      <c r="J74" s="76"/>
      <c r="K74" s="80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</row>
    <row r="75">
      <c r="A75" s="76" t="str">
        <f>IFERROR(__xludf.DUMMYFUNCTION("""COMPUTED_VALUE"""),"S00340")</f>
        <v>S00340</v>
      </c>
      <c r="B75" s="80">
        <f>IFERROR(__xludf.DUMMYFUNCTION("""COMPUTED_VALUE"""),225.04)</f>
        <v>225.04</v>
      </c>
      <c r="C75" s="80">
        <f>IFERROR(__xludf.DUMMYFUNCTION("""COMPUTED_VALUE"""),225.04)</f>
        <v>225.04</v>
      </c>
      <c r="D75" s="80">
        <f>IFERROR(__xludf.DUMMYFUNCTION("""COMPUTED_VALUE"""),191.4256215647114)</f>
        <v>191.4256216</v>
      </c>
      <c r="E75" s="80">
        <f>IFERROR(__xludf.DUMMYFUNCTION("""COMPUTED_VALUE"""),33.614378435288586)</f>
        <v>33.61437844</v>
      </c>
      <c r="F75" s="76"/>
      <c r="G75" s="76"/>
      <c r="H75" s="80"/>
      <c r="I75" s="76"/>
      <c r="J75" s="76"/>
      <c r="K75" s="80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</row>
    <row r="76">
      <c r="A76" s="76" t="str">
        <f>IFERROR(__xludf.DUMMYFUNCTION("""COMPUTED_VALUE"""),"S00348")</f>
        <v>S00348</v>
      </c>
      <c r="B76" s="80">
        <f>IFERROR(__xludf.DUMMYFUNCTION("""COMPUTED_VALUE"""),487.2)</f>
        <v>487.2</v>
      </c>
      <c r="C76" s="80">
        <f>IFERROR(__xludf.DUMMYFUNCTION("""COMPUTED_VALUE"""),487.2)</f>
        <v>487.2</v>
      </c>
      <c r="D76" s="80">
        <f>IFERROR(__xludf.DUMMYFUNCTION("""COMPUTED_VALUE"""),472.8462708053072)</f>
        <v>472.8462708</v>
      </c>
      <c r="E76" s="80">
        <f>IFERROR(__xludf.DUMMYFUNCTION("""COMPUTED_VALUE"""),14.35372919469279)</f>
        <v>14.35372919</v>
      </c>
      <c r="F76" s="76"/>
      <c r="G76" s="76"/>
      <c r="H76" s="80"/>
      <c r="I76" s="76"/>
      <c r="J76" s="76"/>
      <c r="K76" s="80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</row>
    <row r="77">
      <c r="A77" s="76" t="str">
        <f>IFERROR(__xludf.DUMMYFUNCTION("""COMPUTED_VALUE"""),"S00358")</f>
        <v>S00358</v>
      </c>
      <c r="B77" s="80">
        <f>IFERROR(__xludf.DUMMYFUNCTION("""COMPUTED_VALUE"""),1077.51)</f>
        <v>1077.51</v>
      </c>
      <c r="C77" s="80">
        <f>IFERROR(__xludf.DUMMYFUNCTION("""COMPUTED_VALUE"""),1077.51)</f>
        <v>1077.51</v>
      </c>
      <c r="D77" s="80">
        <f>IFERROR(__xludf.DUMMYFUNCTION("""COMPUTED_VALUE"""),965.678296502457)</f>
        <v>965.6782965</v>
      </c>
      <c r="E77" s="80">
        <f>IFERROR(__xludf.DUMMYFUNCTION("""COMPUTED_VALUE"""),111.831703497543)</f>
        <v>111.8317035</v>
      </c>
      <c r="F77" s="76"/>
      <c r="G77" s="76"/>
      <c r="H77" s="80"/>
      <c r="I77" s="76"/>
      <c r="J77" s="76"/>
      <c r="K77" s="80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</row>
    <row r="78">
      <c r="A78" s="76" t="str">
        <f>IFERROR(__xludf.DUMMYFUNCTION("""COMPUTED_VALUE"""),"S00359")</f>
        <v>S00359</v>
      </c>
      <c r="B78" s="80">
        <f>IFERROR(__xludf.DUMMYFUNCTION("""COMPUTED_VALUE"""),324.41)</f>
        <v>324.41</v>
      </c>
      <c r="C78" s="80">
        <f>IFERROR(__xludf.DUMMYFUNCTION("""COMPUTED_VALUE"""),324.41)</f>
        <v>324.41</v>
      </c>
      <c r="D78" s="80">
        <f>IFERROR(__xludf.DUMMYFUNCTION("""COMPUTED_VALUE"""),290.84749283682834)</f>
        <v>290.8474928</v>
      </c>
      <c r="E78" s="80">
        <f>IFERROR(__xludf.DUMMYFUNCTION("""COMPUTED_VALUE"""),33.56250716317169)</f>
        <v>33.56250716</v>
      </c>
      <c r="F78" s="76"/>
      <c r="G78" s="76"/>
      <c r="H78" s="80"/>
      <c r="I78" s="76"/>
      <c r="J78" s="76"/>
      <c r="K78" s="80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</row>
    <row r="79">
      <c r="A79" s="76" t="str">
        <f>IFERROR(__xludf.DUMMYFUNCTION("""COMPUTED_VALUE"""),"S00364")</f>
        <v>S00364</v>
      </c>
      <c r="B79" s="80">
        <f>IFERROR(__xludf.DUMMYFUNCTION("""COMPUTED_VALUE"""),162.2)</f>
        <v>162.2</v>
      </c>
      <c r="C79" s="80">
        <f>IFERROR(__xludf.DUMMYFUNCTION("""COMPUTED_VALUE"""),162.2)</f>
        <v>162.2</v>
      </c>
      <c r="D79" s="80">
        <f>IFERROR(__xludf.DUMMYFUNCTION("""COMPUTED_VALUE"""),106.0)</f>
        <v>106</v>
      </c>
      <c r="E79" s="80">
        <f>IFERROR(__xludf.DUMMYFUNCTION("""COMPUTED_VALUE"""),56.19999999999999)</f>
        <v>56.2</v>
      </c>
      <c r="F79" s="76"/>
      <c r="G79" s="76"/>
      <c r="H79" s="80"/>
      <c r="I79" s="76"/>
      <c r="J79" s="76"/>
      <c r="K79" s="80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</row>
    <row r="80">
      <c r="A80" s="76" t="str">
        <f>IFERROR(__xludf.DUMMYFUNCTION("""COMPUTED_VALUE"""),"S00365")</f>
        <v>S00365</v>
      </c>
      <c r="B80" s="80">
        <f>IFERROR(__xludf.DUMMYFUNCTION("""COMPUTED_VALUE"""),112.38)</f>
        <v>112.38</v>
      </c>
      <c r="C80" s="80">
        <f>IFERROR(__xludf.DUMMYFUNCTION("""COMPUTED_VALUE"""),112.38)</f>
        <v>112.38</v>
      </c>
      <c r="D80" s="80">
        <f>IFERROR(__xludf.DUMMYFUNCTION("""COMPUTED_VALUE"""),101.70066716424132)</f>
        <v>101.7006672</v>
      </c>
      <c r="E80" s="80">
        <f>IFERROR(__xludf.DUMMYFUNCTION("""COMPUTED_VALUE"""),10.679332835758672)</f>
        <v>10.67933284</v>
      </c>
      <c r="F80" s="76"/>
      <c r="G80" s="76"/>
      <c r="H80" s="80"/>
      <c r="I80" s="76"/>
      <c r="J80" s="76"/>
      <c r="K80" s="80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</row>
    <row r="81">
      <c r="A81" s="76" t="str">
        <f>IFERROR(__xludf.DUMMYFUNCTION("""COMPUTED_VALUE"""),"S00366")</f>
        <v>S00366</v>
      </c>
      <c r="B81" s="80">
        <f>IFERROR(__xludf.DUMMYFUNCTION("""COMPUTED_VALUE"""),115.86)</f>
        <v>115.86</v>
      </c>
      <c r="C81" s="80">
        <f>IFERROR(__xludf.DUMMYFUNCTION("""COMPUTED_VALUE"""),115.86)</f>
        <v>115.86</v>
      </c>
      <c r="D81" s="80">
        <f>IFERROR(__xludf.DUMMYFUNCTION("""COMPUTED_VALUE"""),76.0)</f>
        <v>76</v>
      </c>
      <c r="E81" s="80">
        <f>IFERROR(__xludf.DUMMYFUNCTION("""COMPUTED_VALUE"""),39.86)</f>
        <v>39.86</v>
      </c>
      <c r="F81" s="76"/>
      <c r="G81" s="76"/>
      <c r="H81" s="80"/>
      <c r="I81" s="76"/>
      <c r="J81" s="76"/>
      <c r="K81" s="80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</row>
    <row r="82">
      <c r="A82" s="76" t="str">
        <f>IFERROR(__xludf.DUMMYFUNCTION("""COMPUTED_VALUE"""),"S00372")</f>
        <v>S00372</v>
      </c>
      <c r="B82" s="80">
        <f>IFERROR(__xludf.DUMMYFUNCTION("""COMPUTED_VALUE"""),644.14)</f>
        <v>644.14</v>
      </c>
      <c r="C82" s="80">
        <f>IFERROR(__xludf.DUMMYFUNCTION("""COMPUTED_VALUE"""),644.13)</f>
        <v>644.13</v>
      </c>
      <c r="D82" s="80">
        <f>IFERROR(__xludf.DUMMYFUNCTION("""COMPUTED_VALUE"""),555.2912070065223)</f>
        <v>555.291207</v>
      </c>
      <c r="E82" s="80">
        <f>IFERROR(__xludf.DUMMYFUNCTION("""COMPUTED_VALUE"""),88.84879299347767)</f>
        <v>88.84879299</v>
      </c>
      <c r="F82" s="76"/>
      <c r="G82" s="76"/>
      <c r="H82" s="80"/>
      <c r="I82" s="76"/>
      <c r="J82" s="76"/>
      <c r="K82" s="80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</row>
    <row r="83">
      <c r="A83" s="76" t="str">
        <f>IFERROR(__xludf.DUMMYFUNCTION("""COMPUTED_VALUE"""),"S00376")</f>
        <v>S00376</v>
      </c>
      <c r="B83" s="80">
        <f>IFERROR(__xludf.DUMMYFUNCTION("""COMPUTED_VALUE"""),102.6)</f>
        <v>102.6</v>
      </c>
      <c r="C83" s="80">
        <f>IFERROR(__xludf.DUMMYFUNCTION("""COMPUTED_VALUE"""),102.6)</f>
        <v>102.6</v>
      </c>
      <c r="D83" s="80">
        <f>IFERROR(__xludf.DUMMYFUNCTION("""COMPUTED_VALUE"""),67.0)</f>
        <v>67</v>
      </c>
      <c r="E83" s="80">
        <f>IFERROR(__xludf.DUMMYFUNCTION("""COMPUTED_VALUE"""),35.599999999999994)</f>
        <v>35.6</v>
      </c>
      <c r="F83" s="76"/>
      <c r="G83" s="76"/>
      <c r="H83" s="80"/>
      <c r="I83" s="76"/>
      <c r="J83" s="76"/>
      <c r="K83" s="80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</row>
    <row r="84">
      <c r="A84" s="76" t="str">
        <f>IFERROR(__xludf.DUMMYFUNCTION("""COMPUTED_VALUE"""),"S00379")</f>
        <v>S00379</v>
      </c>
      <c r="B84" s="80">
        <f>IFERROR(__xludf.DUMMYFUNCTION("""COMPUTED_VALUE"""),171.01)</f>
        <v>171.01</v>
      </c>
      <c r="C84" s="80">
        <f>IFERROR(__xludf.DUMMYFUNCTION("""COMPUTED_VALUE"""),171.0)</f>
        <v>171</v>
      </c>
      <c r="D84" s="80">
        <f>IFERROR(__xludf.DUMMYFUNCTION("""COMPUTED_VALUE"""),146.8997939712403)</f>
        <v>146.899794</v>
      </c>
      <c r="E84" s="80">
        <f>IFERROR(__xludf.DUMMYFUNCTION("""COMPUTED_VALUE"""),24.110206028759677)</f>
        <v>24.11020603</v>
      </c>
      <c r="F84" s="76"/>
      <c r="G84" s="76"/>
      <c r="H84" s="80"/>
      <c r="I84" s="76"/>
      <c r="J84" s="76"/>
      <c r="K84" s="80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</row>
    <row r="85">
      <c r="A85" s="76" t="str">
        <f>IFERROR(__xludf.DUMMYFUNCTION("""COMPUTED_VALUE"""),"S00380")</f>
        <v>S00380</v>
      </c>
      <c r="B85" s="80">
        <f>IFERROR(__xludf.DUMMYFUNCTION("""COMPUTED_VALUE"""),134.53)</f>
        <v>134.53</v>
      </c>
      <c r="C85" s="80">
        <f>IFERROR(__xludf.DUMMYFUNCTION("""COMPUTED_VALUE"""),134.52)</f>
        <v>134.52</v>
      </c>
      <c r="D85" s="80">
        <f>IFERROR(__xludf.DUMMYFUNCTION("""COMPUTED_VALUE"""),99.0)</f>
        <v>99</v>
      </c>
      <c r="E85" s="80">
        <f>IFERROR(__xludf.DUMMYFUNCTION("""COMPUTED_VALUE"""),35.53)</f>
        <v>35.53</v>
      </c>
      <c r="F85" s="76"/>
      <c r="G85" s="76"/>
      <c r="H85" s="80"/>
      <c r="I85" s="76"/>
      <c r="J85" s="76"/>
      <c r="K85" s="80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</row>
    <row r="86">
      <c r="A86" s="76" t="str">
        <f>IFERROR(__xludf.DUMMYFUNCTION("""COMPUTED_VALUE"""),"S00382")</f>
        <v>S00382</v>
      </c>
      <c r="B86" s="80">
        <f>IFERROR(__xludf.DUMMYFUNCTION("""COMPUTED_VALUE"""),220.13)</f>
        <v>220.13</v>
      </c>
      <c r="C86" s="80">
        <f>IFERROR(__xludf.DUMMYFUNCTION("""COMPUTED_VALUE"""),220.13)</f>
        <v>220.13</v>
      </c>
      <c r="D86" s="80">
        <f>IFERROR(__xludf.DUMMYFUNCTION("""COMPUTED_VALUE"""),202.5069926366611)</f>
        <v>202.5069926</v>
      </c>
      <c r="E86" s="80">
        <f>IFERROR(__xludf.DUMMYFUNCTION("""COMPUTED_VALUE"""),17.6230073633389)</f>
        <v>17.62300736</v>
      </c>
      <c r="F86" s="76"/>
      <c r="G86" s="76"/>
      <c r="H86" s="80"/>
      <c r="I86" s="76"/>
      <c r="J86" s="76"/>
      <c r="K86" s="80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</row>
    <row r="87">
      <c r="A87" s="76" t="str">
        <f>IFERROR(__xludf.DUMMYFUNCTION("""COMPUTED_VALUE"""),"S00394")</f>
        <v>S00394</v>
      </c>
      <c r="B87" s="80">
        <f>IFERROR(__xludf.DUMMYFUNCTION("""COMPUTED_VALUE"""),341.55)</f>
        <v>341.55</v>
      </c>
      <c r="C87" s="80">
        <f>IFERROR(__xludf.DUMMYFUNCTION("""COMPUTED_VALUE"""),341.55)</f>
        <v>341.55</v>
      </c>
      <c r="D87" s="80">
        <f>IFERROR(__xludf.DUMMYFUNCTION("""COMPUTED_VALUE"""),339.37799263442514)</f>
        <v>339.3779926</v>
      </c>
      <c r="E87" s="80">
        <f>IFERROR(__xludf.DUMMYFUNCTION("""COMPUTED_VALUE"""),2.1720073655748706)</f>
        <v>2.172007366</v>
      </c>
      <c r="F87" s="76"/>
      <c r="G87" s="76"/>
      <c r="H87" s="80"/>
      <c r="I87" s="76"/>
      <c r="J87" s="76"/>
      <c r="K87" s="80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</row>
    <row r="88">
      <c r="A88" s="76" t="str">
        <f>IFERROR(__xludf.DUMMYFUNCTION("""COMPUTED_VALUE"""),"S00412")</f>
        <v>S00412</v>
      </c>
      <c r="B88" s="80">
        <f>IFERROR(__xludf.DUMMYFUNCTION("""COMPUTED_VALUE"""),109.98)</f>
        <v>109.98</v>
      </c>
      <c r="C88" s="80">
        <f>IFERROR(__xludf.DUMMYFUNCTION("""COMPUTED_VALUE"""),109.98)</f>
        <v>109.98</v>
      </c>
      <c r="D88" s="80">
        <f>IFERROR(__xludf.DUMMYFUNCTION("""COMPUTED_VALUE"""),109.0)</f>
        <v>109</v>
      </c>
      <c r="E88" s="80">
        <f>IFERROR(__xludf.DUMMYFUNCTION("""COMPUTED_VALUE"""),0.980000000000004)</f>
        <v>0.98</v>
      </c>
      <c r="F88" s="76"/>
      <c r="G88" s="76"/>
      <c r="H88" s="80"/>
      <c r="I88" s="76"/>
      <c r="J88" s="76"/>
      <c r="K88" s="80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</row>
    <row r="89">
      <c r="A89" s="76" t="str">
        <f>IFERROR(__xludf.DUMMYFUNCTION("""COMPUTED_VALUE"""),"S00418")</f>
        <v>S00418</v>
      </c>
      <c r="B89" s="80">
        <f>IFERROR(__xludf.DUMMYFUNCTION("""COMPUTED_VALUE"""),81.54)</f>
        <v>81.54</v>
      </c>
      <c r="C89" s="80">
        <f>IFERROR(__xludf.DUMMYFUNCTION("""COMPUTED_VALUE"""),81.54)</f>
        <v>81.54</v>
      </c>
      <c r="D89" s="80">
        <f>IFERROR(__xludf.DUMMYFUNCTION("""COMPUTED_VALUE"""),78.0)</f>
        <v>78</v>
      </c>
      <c r="E89" s="80">
        <f>IFERROR(__xludf.DUMMYFUNCTION("""COMPUTED_VALUE"""),3.5400000000000063)</f>
        <v>3.54</v>
      </c>
      <c r="F89" s="76"/>
      <c r="G89" s="76"/>
      <c r="H89" s="80"/>
      <c r="I89" s="76"/>
      <c r="J89" s="76"/>
      <c r="K89" s="80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</row>
    <row r="90">
      <c r="A90" s="76" t="str">
        <f>IFERROR(__xludf.DUMMYFUNCTION("""COMPUTED_VALUE"""),"S00431")</f>
        <v>S00431</v>
      </c>
      <c r="B90" s="80">
        <f>IFERROR(__xludf.DUMMYFUNCTION("""COMPUTED_VALUE"""),304.63)</f>
        <v>304.63</v>
      </c>
      <c r="C90" s="80">
        <f>IFERROR(__xludf.DUMMYFUNCTION("""COMPUTED_VALUE"""),304.63)</f>
        <v>304.63</v>
      </c>
      <c r="D90" s="80">
        <f>IFERROR(__xludf.DUMMYFUNCTION("""COMPUTED_VALUE"""),273.9300057540969)</f>
        <v>273.9300058</v>
      </c>
      <c r="E90" s="80">
        <f>IFERROR(__xludf.DUMMYFUNCTION("""COMPUTED_VALUE"""),30.6999942459031)</f>
        <v>30.69999425</v>
      </c>
      <c r="F90" s="76"/>
      <c r="G90" s="76"/>
      <c r="H90" s="80"/>
      <c r="I90" s="76"/>
      <c r="J90" s="76"/>
      <c r="K90" s="80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</row>
    <row r="91">
      <c r="A91" s="76" t="str">
        <f>IFERROR(__xludf.DUMMYFUNCTION("""COMPUTED_VALUE"""),"S00435")</f>
        <v>S00435</v>
      </c>
      <c r="B91" s="80">
        <f>IFERROR(__xludf.DUMMYFUNCTION("""COMPUTED_VALUE"""),2858.47)</f>
        <v>2858.47</v>
      </c>
      <c r="C91" s="80">
        <f>IFERROR(__xludf.DUMMYFUNCTION("""COMPUTED_VALUE"""),2858.47)</f>
        <v>2858.47</v>
      </c>
      <c r="D91" s="80">
        <f>IFERROR(__xludf.DUMMYFUNCTION("""COMPUTED_VALUE"""),2464.200008578976)</f>
        <v>2464.200009</v>
      </c>
      <c r="E91" s="80">
        <f>IFERROR(__xludf.DUMMYFUNCTION("""COMPUTED_VALUE"""),394.26999142102386)</f>
        <v>394.2699914</v>
      </c>
      <c r="F91" s="76"/>
      <c r="G91" s="76"/>
      <c r="H91" s="80"/>
      <c r="I91" s="76"/>
      <c r="J91" s="76"/>
      <c r="K91" s="80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</row>
    <row r="92">
      <c r="A92" s="76" t="str">
        <f>IFERROR(__xludf.DUMMYFUNCTION("""COMPUTED_VALUE"""),"S00441")</f>
        <v>S00441</v>
      </c>
      <c r="B92" s="80">
        <f>IFERROR(__xludf.DUMMYFUNCTION("""COMPUTED_VALUE"""),1850.75)</f>
        <v>1850.75</v>
      </c>
      <c r="C92" s="80">
        <f>IFERROR(__xludf.DUMMYFUNCTION("""COMPUTED_VALUE"""),1850.74)</f>
        <v>1850.74</v>
      </c>
      <c r="D92" s="80">
        <f>IFERROR(__xludf.DUMMYFUNCTION("""COMPUTED_VALUE"""),1203.0)</f>
        <v>1203</v>
      </c>
      <c r="E92" s="80">
        <f>IFERROR(__xludf.DUMMYFUNCTION("""COMPUTED_VALUE"""),647.75)</f>
        <v>647.75</v>
      </c>
      <c r="F92" s="76"/>
      <c r="G92" s="76"/>
      <c r="H92" s="80"/>
      <c r="I92" s="76"/>
      <c r="J92" s="76"/>
      <c r="K92" s="80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</row>
    <row r="93">
      <c r="A93" s="76" t="str">
        <f>IFERROR(__xludf.DUMMYFUNCTION("""COMPUTED_VALUE"""),"S00443")</f>
        <v>S00443</v>
      </c>
      <c r="B93" s="80">
        <f>IFERROR(__xludf.DUMMYFUNCTION("""COMPUTED_VALUE"""),260.0)</f>
        <v>260</v>
      </c>
      <c r="C93" s="80">
        <f>IFERROR(__xludf.DUMMYFUNCTION("""COMPUTED_VALUE"""),260.01)</f>
        <v>260.01</v>
      </c>
      <c r="D93" s="80">
        <f>IFERROR(__xludf.DUMMYFUNCTION("""COMPUTED_VALUE"""),257.77235187339676)</f>
        <v>257.7723519</v>
      </c>
      <c r="E93" s="80">
        <f>IFERROR(__xludf.DUMMYFUNCTION("""COMPUTED_VALUE"""),2.227648126603242)</f>
        <v>2.227648127</v>
      </c>
      <c r="F93" s="76"/>
      <c r="G93" s="76"/>
      <c r="H93" s="80"/>
      <c r="I93" s="76"/>
      <c r="J93" s="76"/>
      <c r="K93" s="80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</row>
    <row r="94">
      <c r="A94" s="76" t="str">
        <f>IFERROR(__xludf.DUMMYFUNCTION("""COMPUTED_VALUE"""),"S00449")</f>
        <v>S00449</v>
      </c>
      <c r="B94" s="80">
        <f>IFERROR(__xludf.DUMMYFUNCTION("""COMPUTED_VALUE"""),2020.77)</f>
        <v>2020.77</v>
      </c>
      <c r="C94" s="80">
        <f>IFERROR(__xludf.DUMMYFUNCTION("""COMPUTED_VALUE"""),2020.77)</f>
        <v>2020.77</v>
      </c>
      <c r="D94" s="80">
        <f>IFERROR(__xludf.DUMMYFUNCTION("""COMPUTED_VALUE"""),1354.0)</f>
        <v>1354</v>
      </c>
      <c r="E94" s="80">
        <f>IFERROR(__xludf.DUMMYFUNCTION("""COMPUTED_VALUE"""),666.77)</f>
        <v>666.77</v>
      </c>
      <c r="F94" s="76"/>
      <c r="G94" s="76"/>
      <c r="H94" s="80"/>
      <c r="I94" s="76"/>
      <c r="J94" s="76"/>
      <c r="K94" s="80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</row>
    <row r="95">
      <c r="A95" s="76" t="str">
        <f>IFERROR(__xludf.DUMMYFUNCTION("""COMPUTED_VALUE"""),"S00452")</f>
        <v>S00452</v>
      </c>
      <c r="B95" s="80">
        <f>IFERROR(__xludf.DUMMYFUNCTION("""COMPUTED_VALUE"""),497.48)</f>
        <v>497.48</v>
      </c>
      <c r="C95" s="80">
        <f>IFERROR(__xludf.DUMMYFUNCTION("""COMPUTED_VALUE"""),497.48)</f>
        <v>497.48</v>
      </c>
      <c r="D95" s="80">
        <f>IFERROR(__xludf.DUMMYFUNCTION("""COMPUTED_VALUE"""),487.53040000000004)</f>
        <v>487.5304</v>
      </c>
      <c r="E95" s="80">
        <f>IFERROR(__xludf.DUMMYFUNCTION("""COMPUTED_VALUE"""),9.949599999999975)</f>
        <v>9.9496</v>
      </c>
      <c r="F95" s="76"/>
      <c r="G95" s="76"/>
      <c r="H95" s="80"/>
      <c r="I95" s="76"/>
      <c r="J95" s="76"/>
      <c r="K95" s="80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</row>
    <row r="96">
      <c r="A96" s="76" t="str">
        <f>IFERROR(__xludf.DUMMYFUNCTION("""COMPUTED_VALUE"""),"S00454")</f>
        <v>S00454</v>
      </c>
      <c r="B96" s="80">
        <f>IFERROR(__xludf.DUMMYFUNCTION("""COMPUTED_VALUE"""),40.0)</f>
        <v>40</v>
      </c>
      <c r="C96" s="80">
        <f>IFERROR(__xludf.DUMMYFUNCTION("""COMPUTED_VALUE"""),40.0)</f>
        <v>40</v>
      </c>
      <c r="D96" s="80">
        <f>IFERROR(__xludf.DUMMYFUNCTION("""COMPUTED_VALUE"""),37.6)</f>
        <v>37.6</v>
      </c>
      <c r="E96" s="80">
        <f>IFERROR(__xludf.DUMMYFUNCTION("""COMPUTED_VALUE"""),2.3999999999999986)</f>
        <v>2.4</v>
      </c>
      <c r="F96" s="76"/>
      <c r="G96" s="76"/>
      <c r="H96" s="80"/>
      <c r="I96" s="76"/>
      <c r="J96" s="76"/>
      <c r="K96" s="80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</row>
    <row r="97">
      <c r="A97" s="76" t="str">
        <f>IFERROR(__xludf.DUMMYFUNCTION("""COMPUTED_VALUE"""),"S00457")</f>
        <v>S00457</v>
      </c>
      <c r="B97" s="80">
        <f>IFERROR(__xludf.DUMMYFUNCTION("""COMPUTED_VALUE"""),1361.52)</f>
        <v>1361.52</v>
      </c>
      <c r="C97" s="80">
        <f>IFERROR(__xludf.DUMMYFUNCTION("""COMPUTED_VALUE"""),1361.52)</f>
        <v>1361.52</v>
      </c>
      <c r="D97" s="80">
        <f>IFERROR(__xludf.DUMMYFUNCTION("""COMPUTED_VALUE"""),885.0)</f>
        <v>885</v>
      </c>
      <c r="E97" s="80">
        <f>IFERROR(__xludf.DUMMYFUNCTION("""COMPUTED_VALUE"""),476.52)</f>
        <v>476.52</v>
      </c>
      <c r="F97" s="76"/>
      <c r="G97" s="76"/>
      <c r="H97" s="80"/>
      <c r="I97" s="76"/>
      <c r="J97" s="76"/>
      <c r="K97" s="80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</row>
    <row r="98">
      <c r="A98" s="76" t="str">
        <f>IFERROR(__xludf.DUMMYFUNCTION("""COMPUTED_VALUE"""),"S00503")</f>
        <v>S00503</v>
      </c>
      <c r="B98" s="80">
        <f>IFERROR(__xludf.DUMMYFUNCTION("""COMPUTED_VALUE"""),116.93)</f>
        <v>116.93</v>
      </c>
      <c r="C98" s="80">
        <f>IFERROR(__xludf.DUMMYFUNCTION("""COMPUTED_VALUE"""),116.93)</f>
        <v>116.93</v>
      </c>
      <c r="D98" s="80">
        <f>IFERROR(__xludf.DUMMYFUNCTION("""COMPUTED_VALUE"""),101.08111086985839)</f>
        <v>101.0811109</v>
      </c>
      <c r="E98" s="80">
        <f>IFERROR(__xludf.DUMMYFUNCTION("""COMPUTED_VALUE"""),15.848889130141615)</f>
        <v>15.84888913</v>
      </c>
      <c r="F98" s="76"/>
      <c r="G98" s="76"/>
      <c r="H98" s="80"/>
      <c r="I98" s="76"/>
      <c r="J98" s="76"/>
      <c r="K98" s="80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</row>
    <row r="99">
      <c r="A99" s="76" t="str">
        <f>IFERROR(__xludf.DUMMYFUNCTION("""COMPUTED_VALUE"""),"S00506")</f>
        <v>S00506</v>
      </c>
      <c r="B99" s="80">
        <f>IFERROR(__xludf.DUMMYFUNCTION("""COMPUTED_VALUE"""),76.0)</f>
        <v>76</v>
      </c>
      <c r="C99" s="80">
        <f>IFERROR(__xludf.DUMMYFUNCTION("""COMPUTED_VALUE"""),76.0)</f>
        <v>76</v>
      </c>
      <c r="D99" s="80">
        <f>IFERROR(__xludf.DUMMYFUNCTION("""COMPUTED_VALUE"""),75.0)</f>
        <v>75</v>
      </c>
      <c r="E99" s="80">
        <f>IFERROR(__xludf.DUMMYFUNCTION("""COMPUTED_VALUE"""),1.0)</f>
        <v>1</v>
      </c>
      <c r="F99" s="76"/>
      <c r="G99" s="76"/>
      <c r="H99" s="80"/>
      <c r="I99" s="76"/>
      <c r="J99" s="76"/>
      <c r="K99" s="80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</row>
    <row r="100">
      <c r="A100" s="76" t="str">
        <f>IFERROR(__xludf.DUMMYFUNCTION("""COMPUTED_VALUE"""),"S00507")</f>
        <v>S00507</v>
      </c>
      <c r="B100" s="80">
        <f>IFERROR(__xludf.DUMMYFUNCTION("""COMPUTED_VALUE"""),158.47)</f>
        <v>158.47</v>
      </c>
      <c r="C100" s="80">
        <f>IFERROR(__xludf.DUMMYFUNCTION("""COMPUTED_VALUE"""),158.47)</f>
        <v>158.47</v>
      </c>
      <c r="D100" s="80">
        <f>IFERROR(__xludf.DUMMYFUNCTION("""COMPUTED_VALUE"""),141.03747019280314)</f>
        <v>141.0374702</v>
      </c>
      <c r="E100" s="80">
        <f>IFERROR(__xludf.DUMMYFUNCTION("""COMPUTED_VALUE"""),17.432529807196858)</f>
        <v>17.43252981</v>
      </c>
      <c r="F100" s="76"/>
      <c r="G100" s="76"/>
      <c r="H100" s="80"/>
      <c r="I100" s="76"/>
      <c r="J100" s="76"/>
      <c r="K100" s="80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</row>
    <row r="101">
      <c r="A101" s="76" t="str">
        <f>IFERROR(__xludf.DUMMYFUNCTION("""COMPUTED_VALUE"""),"S00540")</f>
        <v>S00540</v>
      </c>
      <c r="B101" s="80">
        <f>IFERROR(__xludf.DUMMYFUNCTION("""COMPUTED_VALUE"""),298.11)</f>
        <v>298.11</v>
      </c>
      <c r="C101" s="80">
        <f>IFERROR(__xludf.DUMMYFUNCTION("""COMPUTED_VALUE"""),298.11)</f>
        <v>298.11</v>
      </c>
      <c r="D101" s="80">
        <f>IFERROR(__xludf.DUMMYFUNCTION("""COMPUTED_VALUE"""),274.2599992607798)</f>
        <v>274.2599993</v>
      </c>
      <c r="E101" s="80">
        <f>IFERROR(__xludf.DUMMYFUNCTION("""COMPUTED_VALUE"""),23.850000739220206)</f>
        <v>23.85000074</v>
      </c>
      <c r="F101" s="76"/>
      <c r="G101" s="76"/>
      <c r="H101" s="80"/>
      <c r="I101" s="76"/>
      <c r="J101" s="76"/>
      <c r="K101" s="80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</row>
    <row r="102">
      <c r="A102" s="76"/>
      <c r="B102" s="80"/>
      <c r="C102" s="80"/>
      <c r="D102" s="80"/>
      <c r="E102" s="80"/>
      <c r="F102" s="76"/>
      <c r="G102" s="76"/>
      <c r="H102" s="80"/>
      <c r="I102" s="76"/>
      <c r="J102" s="76"/>
      <c r="K102" s="80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</row>
    <row r="103">
      <c r="A103" s="76"/>
      <c r="B103" s="80"/>
      <c r="C103" s="80"/>
      <c r="D103" s="80"/>
      <c r="E103" s="80"/>
      <c r="F103" s="76"/>
      <c r="G103" s="76"/>
      <c r="H103" s="80"/>
      <c r="I103" s="76"/>
      <c r="J103" s="76"/>
      <c r="K103" s="80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</row>
    <row r="104">
      <c r="A104" s="76"/>
      <c r="B104" s="80"/>
      <c r="C104" s="80"/>
      <c r="D104" s="80"/>
      <c r="E104" s="80"/>
      <c r="F104" s="76"/>
      <c r="G104" s="76"/>
      <c r="H104" s="80"/>
      <c r="I104" s="76"/>
      <c r="J104" s="76"/>
      <c r="K104" s="80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</row>
    <row r="105">
      <c r="A105" s="76"/>
      <c r="B105" s="80"/>
      <c r="C105" s="80"/>
      <c r="D105" s="80"/>
      <c r="E105" s="80"/>
      <c r="F105" s="76"/>
      <c r="G105" s="76"/>
      <c r="H105" s="80"/>
      <c r="I105" s="76"/>
      <c r="J105" s="76"/>
      <c r="K105" s="80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</row>
    <row r="106">
      <c r="A106" s="76"/>
      <c r="B106" s="80"/>
      <c r="C106" s="80"/>
      <c r="D106" s="80"/>
      <c r="E106" s="80"/>
      <c r="F106" s="76"/>
      <c r="G106" s="76"/>
      <c r="H106" s="80"/>
      <c r="I106" s="76"/>
      <c r="J106" s="76"/>
      <c r="K106" s="80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</row>
    <row r="107">
      <c r="A107" s="76"/>
      <c r="B107" s="80"/>
      <c r="C107" s="80"/>
      <c r="D107" s="80"/>
      <c r="E107" s="80"/>
      <c r="F107" s="76"/>
      <c r="G107" s="76"/>
      <c r="H107" s="80"/>
      <c r="I107" s="76"/>
      <c r="J107" s="76"/>
      <c r="K107" s="80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</row>
    <row r="108">
      <c r="A108" s="76"/>
      <c r="B108" s="80"/>
      <c r="C108" s="80"/>
      <c r="D108" s="80"/>
      <c r="E108" s="80"/>
      <c r="F108" s="76"/>
      <c r="G108" s="76"/>
      <c r="H108" s="80"/>
      <c r="I108" s="76"/>
      <c r="J108" s="76"/>
      <c r="K108" s="80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</row>
    <row r="109">
      <c r="A109" s="76"/>
      <c r="B109" s="80"/>
      <c r="C109" s="80"/>
      <c r="D109" s="80"/>
      <c r="E109" s="80"/>
      <c r="F109" s="76"/>
      <c r="G109" s="76"/>
      <c r="H109" s="80"/>
      <c r="I109" s="76"/>
      <c r="J109" s="76"/>
      <c r="K109" s="80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</row>
    <row r="110">
      <c r="A110" s="76"/>
      <c r="B110" s="80"/>
      <c r="C110" s="80"/>
      <c r="D110" s="80"/>
      <c r="E110" s="80"/>
      <c r="F110" s="76"/>
      <c r="G110" s="76"/>
      <c r="H110" s="80"/>
      <c r="I110" s="76"/>
      <c r="J110" s="76"/>
      <c r="K110" s="80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</row>
    <row r="111">
      <c r="A111" s="76"/>
      <c r="B111" s="80"/>
      <c r="C111" s="80"/>
      <c r="D111" s="80"/>
      <c r="E111" s="80"/>
      <c r="F111" s="76"/>
      <c r="G111" s="76"/>
      <c r="H111" s="80"/>
      <c r="I111" s="76"/>
      <c r="J111" s="76"/>
      <c r="K111" s="80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</row>
    <row r="112">
      <c r="A112" s="76"/>
      <c r="B112" s="80"/>
      <c r="C112" s="80"/>
      <c r="D112" s="80"/>
      <c r="E112" s="80"/>
      <c r="F112" s="76"/>
      <c r="G112" s="76"/>
      <c r="H112" s="80"/>
      <c r="I112" s="76"/>
      <c r="J112" s="76"/>
      <c r="K112" s="80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</row>
    <row r="113">
      <c r="A113" s="76"/>
      <c r="B113" s="80"/>
      <c r="C113" s="80"/>
      <c r="D113" s="80"/>
      <c r="E113" s="80"/>
      <c r="F113" s="76"/>
      <c r="G113" s="76"/>
      <c r="H113" s="80"/>
      <c r="I113" s="76"/>
      <c r="J113" s="76"/>
      <c r="K113" s="80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</row>
    <row r="114">
      <c r="A114" s="76"/>
      <c r="B114" s="80"/>
      <c r="C114" s="80"/>
      <c r="D114" s="80"/>
      <c r="E114" s="80"/>
      <c r="F114" s="76"/>
      <c r="G114" s="76"/>
      <c r="H114" s="80"/>
      <c r="I114" s="76"/>
      <c r="J114" s="76"/>
      <c r="K114" s="80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</row>
    <row r="115">
      <c r="A115" s="76"/>
      <c r="B115" s="80"/>
      <c r="C115" s="80"/>
      <c r="D115" s="80"/>
      <c r="E115" s="80"/>
      <c r="F115" s="76"/>
      <c r="G115" s="76"/>
      <c r="H115" s="80"/>
      <c r="I115" s="76"/>
      <c r="J115" s="76"/>
      <c r="K115" s="80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</row>
    <row r="116">
      <c r="A116" s="76"/>
      <c r="B116" s="80"/>
      <c r="C116" s="80"/>
      <c r="D116" s="80"/>
      <c r="E116" s="80"/>
      <c r="F116" s="76"/>
      <c r="G116" s="76"/>
      <c r="H116" s="80"/>
      <c r="I116" s="76"/>
      <c r="J116" s="76"/>
      <c r="K116" s="80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</row>
    <row r="117">
      <c r="A117" s="76"/>
      <c r="B117" s="80"/>
      <c r="C117" s="80"/>
      <c r="D117" s="80"/>
      <c r="E117" s="80"/>
      <c r="F117" s="76"/>
      <c r="G117" s="76"/>
      <c r="H117" s="80"/>
      <c r="I117" s="76"/>
      <c r="J117" s="76"/>
      <c r="K117" s="80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</row>
    <row r="118">
      <c r="A118" s="76"/>
      <c r="B118" s="80"/>
      <c r="C118" s="80"/>
      <c r="D118" s="80"/>
      <c r="E118" s="80"/>
      <c r="F118" s="76"/>
      <c r="G118" s="76"/>
      <c r="H118" s="80"/>
      <c r="I118" s="76"/>
      <c r="J118" s="76"/>
      <c r="K118" s="80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</row>
    <row r="119">
      <c r="A119" s="76"/>
      <c r="B119" s="80"/>
      <c r="C119" s="80"/>
      <c r="D119" s="80"/>
      <c r="E119" s="80"/>
      <c r="F119" s="76"/>
      <c r="G119" s="76"/>
      <c r="H119" s="80"/>
      <c r="I119" s="76"/>
      <c r="J119" s="76"/>
      <c r="K119" s="80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</row>
    <row r="120">
      <c r="A120" s="76"/>
      <c r="B120" s="80"/>
      <c r="C120" s="80"/>
      <c r="D120" s="80"/>
      <c r="E120" s="80"/>
      <c r="F120" s="76"/>
      <c r="G120" s="76"/>
      <c r="H120" s="80"/>
      <c r="I120" s="76"/>
      <c r="J120" s="76"/>
      <c r="K120" s="80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</row>
    <row r="121">
      <c r="A121" s="76"/>
      <c r="B121" s="80"/>
      <c r="C121" s="80"/>
      <c r="D121" s="80"/>
      <c r="E121" s="80"/>
      <c r="F121" s="76"/>
      <c r="G121" s="76"/>
      <c r="H121" s="80"/>
      <c r="I121" s="76"/>
      <c r="J121" s="76"/>
      <c r="K121" s="80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</row>
    <row r="122">
      <c r="A122" s="76"/>
      <c r="B122" s="80"/>
      <c r="C122" s="80"/>
      <c r="D122" s="80"/>
      <c r="E122" s="80"/>
      <c r="F122" s="76"/>
      <c r="G122" s="76"/>
      <c r="H122" s="80"/>
      <c r="I122" s="76"/>
      <c r="J122" s="76"/>
      <c r="K122" s="80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</row>
    <row r="123">
      <c r="A123" s="76"/>
      <c r="B123" s="80"/>
      <c r="C123" s="80"/>
      <c r="D123" s="80"/>
      <c r="E123" s="80"/>
      <c r="F123" s="76"/>
      <c r="G123" s="76"/>
      <c r="H123" s="80"/>
      <c r="I123" s="76"/>
      <c r="J123" s="76"/>
      <c r="K123" s="80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</row>
    <row r="124">
      <c r="A124" s="76"/>
      <c r="B124" s="80"/>
      <c r="C124" s="80"/>
      <c r="D124" s="80"/>
      <c r="E124" s="80"/>
      <c r="F124" s="76"/>
      <c r="G124" s="76"/>
      <c r="H124" s="80"/>
      <c r="I124" s="76"/>
      <c r="J124" s="76"/>
      <c r="K124" s="80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</row>
    <row r="125">
      <c r="A125" s="76"/>
      <c r="B125" s="80"/>
      <c r="C125" s="80"/>
      <c r="D125" s="80"/>
      <c r="E125" s="80"/>
      <c r="F125" s="76"/>
      <c r="G125" s="76"/>
      <c r="H125" s="80"/>
      <c r="I125" s="76"/>
      <c r="J125" s="76"/>
      <c r="K125" s="80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</row>
    <row r="126">
      <c r="A126" s="76"/>
      <c r="B126" s="80"/>
      <c r="C126" s="80"/>
      <c r="D126" s="80"/>
      <c r="E126" s="80"/>
      <c r="F126" s="76"/>
      <c r="G126" s="76"/>
      <c r="H126" s="80"/>
      <c r="I126" s="76"/>
      <c r="J126" s="76"/>
      <c r="K126" s="80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</row>
    <row r="127">
      <c r="A127" s="76"/>
      <c r="B127" s="80"/>
      <c r="C127" s="80"/>
      <c r="D127" s="80"/>
      <c r="E127" s="80"/>
      <c r="F127" s="76"/>
      <c r="G127" s="76"/>
      <c r="H127" s="80"/>
      <c r="I127" s="76"/>
      <c r="J127" s="76"/>
      <c r="K127" s="80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</row>
    <row r="128">
      <c r="A128" s="76"/>
      <c r="B128" s="80"/>
      <c r="C128" s="80"/>
      <c r="D128" s="80"/>
      <c r="E128" s="80"/>
      <c r="F128" s="76"/>
      <c r="G128" s="76"/>
      <c r="H128" s="80"/>
      <c r="I128" s="76"/>
      <c r="J128" s="76"/>
      <c r="K128" s="80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</row>
    <row r="129">
      <c r="A129" s="76"/>
      <c r="B129" s="80"/>
      <c r="C129" s="80"/>
      <c r="D129" s="80"/>
      <c r="E129" s="80"/>
      <c r="F129" s="76"/>
      <c r="G129" s="76"/>
      <c r="H129" s="80"/>
      <c r="I129" s="76"/>
      <c r="J129" s="76"/>
      <c r="K129" s="80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</row>
    <row r="130">
      <c r="A130" s="76"/>
      <c r="B130" s="80"/>
      <c r="C130" s="80"/>
      <c r="D130" s="80"/>
      <c r="E130" s="80"/>
      <c r="F130" s="76"/>
      <c r="G130" s="76"/>
      <c r="H130" s="80"/>
      <c r="I130" s="76"/>
      <c r="J130" s="76"/>
      <c r="K130" s="80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</row>
    <row r="131">
      <c r="A131" s="76"/>
      <c r="B131" s="80"/>
      <c r="C131" s="80"/>
      <c r="D131" s="80"/>
      <c r="E131" s="80"/>
      <c r="F131" s="76"/>
      <c r="G131" s="76"/>
      <c r="H131" s="80"/>
      <c r="I131" s="76"/>
      <c r="J131" s="76"/>
      <c r="K131" s="80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</row>
    <row r="132">
      <c r="A132" s="76"/>
      <c r="B132" s="80"/>
      <c r="C132" s="80"/>
      <c r="D132" s="80"/>
      <c r="E132" s="80"/>
      <c r="F132" s="76"/>
      <c r="G132" s="76"/>
      <c r="H132" s="80"/>
      <c r="I132" s="76"/>
      <c r="J132" s="76"/>
      <c r="K132" s="80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</row>
    <row r="133">
      <c r="A133" s="76"/>
      <c r="B133" s="80"/>
      <c r="C133" s="80"/>
      <c r="D133" s="80"/>
      <c r="E133" s="80"/>
      <c r="F133" s="76"/>
      <c r="G133" s="76"/>
      <c r="H133" s="80"/>
      <c r="I133" s="76"/>
      <c r="J133" s="76"/>
      <c r="K133" s="80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</row>
    <row r="134">
      <c r="A134" s="76"/>
      <c r="B134" s="80"/>
      <c r="C134" s="80"/>
      <c r="D134" s="80"/>
      <c r="E134" s="80"/>
      <c r="F134" s="76"/>
      <c r="G134" s="76"/>
      <c r="H134" s="80"/>
      <c r="I134" s="76"/>
      <c r="J134" s="76"/>
      <c r="K134" s="80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</row>
    <row r="135">
      <c r="A135" s="76"/>
      <c r="B135" s="80"/>
      <c r="C135" s="80"/>
      <c r="D135" s="80"/>
      <c r="E135" s="80"/>
      <c r="F135" s="76"/>
      <c r="G135" s="76"/>
      <c r="H135" s="80"/>
      <c r="I135" s="76"/>
      <c r="J135" s="76"/>
      <c r="K135" s="80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</row>
    <row r="136">
      <c r="A136" s="76"/>
      <c r="B136" s="80"/>
      <c r="C136" s="80"/>
      <c r="D136" s="80"/>
      <c r="E136" s="80"/>
      <c r="F136" s="76"/>
      <c r="G136" s="76"/>
      <c r="H136" s="80"/>
      <c r="I136" s="76"/>
      <c r="J136" s="76"/>
      <c r="K136" s="80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</row>
    <row r="137">
      <c r="A137" s="76"/>
      <c r="B137" s="80"/>
      <c r="C137" s="80"/>
      <c r="D137" s="80"/>
      <c r="E137" s="80"/>
      <c r="F137" s="76"/>
      <c r="G137" s="76"/>
      <c r="H137" s="80"/>
      <c r="I137" s="76"/>
      <c r="J137" s="76"/>
      <c r="K137" s="80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</row>
    <row r="138">
      <c r="A138" s="76"/>
      <c r="B138" s="80"/>
      <c r="C138" s="80"/>
      <c r="D138" s="80"/>
      <c r="E138" s="80"/>
      <c r="F138" s="76"/>
      <c r="G138" s="76"/>
      <c r="H138" s="80"/>
      <c r="I138" s="76"/>
      <c r="J138" s="76"/>
      <c r="K138" s="80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</row>
    <row r="139">
      <c r="A139" s="76"/>
      <c r="B139" s="80"/>
      <c r="C139" s="80"/>
      <c r="D139" s="80"/>
      <c r="E139" s="80"/>
      <c r="F139" s="76"/>
      <c r="G139" s="76"/>
      <c r="H139" s="80"/>
      <c r="I139" s="76"/>
      <c r="J139" s="76"/>
      <c r="K139" s="80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</row>
    <row r="140">
      <c r="A140" s="76"/>
      <c r="B140" s="80"/>
      <c r="C140" s="80"/>
      <c r="D140" s="80"/>
      <c r="E140" s="80"/>
      <c r="F140" s="76"/>
      <c r="G140" s="76"/>
      <c r="H140" s="80"/>
      <c r="I140" s="76"/>
      <c r="J140" s="76"/>
      <c r="K140" s="80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</row>
    <row r="141">
      <c r="A141" s="76"/>
      <c r="B141" s="80"/>
      <c r="C141" s="80"/>
      <c r="D141" s="80"/>
      <c r="E141" s="80"/>
      <c r="F141" s="76"/>
      <c r="G141" s="76"/>
      <c r="H141" s="80"/>
      <c r="I141" s="76"/>
      <c r="J141" s="76"/>
      <c r="K141" s="80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</row>
    <row r="142">
      <c r="A142" s="76"/>
      <c r="B142" s="80"/>
      <c r="C142" s="80"/>
      <c r="D142" s="80"/>
      <c r="E142" s="80"/>
      <c r="F142" s="76"/>
      <c r="G142" s="76"/>
      <c r="H142" s="80"/>
      <c r="I142" s="76"/>
      <c r="J142" s="76"/>
      <c r="K142" s="80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</row>
    <row r="143">
      <c r="A143" s="76"/>
      <c r="B143" s="80"/>
      <c r="C143" s="80"/>
      <c r="D143" s="80"/>
      <c r="E143" s="80"/>
      <c r="F143" s="76"/>
      <c r="G143" s="76"/>
      <c r="H143" s="80"/>
      <c r="I143" s="76"/>
      <c r="J143" s="76"/>
      <c r="K143" s="80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</row>
    <row r="144">
      <c r="A144" s="76"/>
      <c r="B144" s="80"/>
      <c r="C144" s="80"/>
      <c r="D144" s="80"/>
      <c r="E144" s="80"/>
      <c r="F144" s="76"/>
      <c r="G144" s="76"/>
      <c r="H144" s="80"/>
      <c r="I144" s="76"/>
      <c r="J144" s="76"/>
      <c r="K144" s="80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</row>
    <row r="145">
      <c r="A145" s="76"/>
      <c r="B145" s="80"/>
      <c r="C145" s="80"/>
      <c r="D145" s="80"/>
      <c r="E145" s="80"/>
      <c r="F145" s="76"/>
      <c r="G145" s="76"/>
      <c r="H145" s="80"/>
      <c r="I145" s="76"/>
      <c r="J145" s="76"/>
      <c r="K145" s="80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</row>
    <row r="146">
      <c r="A146" s="76"/>
      <c r="B146" s="80"/>
      <c r="C146" s="80"/>
      <c r="D146" s="80"/>
      <c r="E146" s="80"/>
      <c r="F146" s="76"/>
      <c r="G146" s="76"/>
      <c r="H146" s="80"/>
      <c r="I146" s="76"/>
      <c r="J146" s="76"/>
      <c r="K146" s="80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</row>
    <row r="147">
      <c r="A147" s="76"/>
      <c r="B147" s="80"/>
      <c r="C147" s="80"/>
      <c r="D147" s="80"/>
      <c r="E147" s="80"/>
      <c r="F147" s="76"/>
      <c r="G147" s="76"/>
      <c r="H147" s="80"/>
      <c r="I147" s="76"/>
      <c r="J147" s="76"/>
      <c r="K147" s="80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</row>
    <row r="148">
      <c r="A148" s="76"/>
      <c r="B148" s="80"/>
      <c r="C148" s="80"/>
      <c r="D148" s="80"/>
      <c r="E148" s="80"/>
      <c r="F148" s="76"/>
      <c r="G148" s="76"/>
      <c r="H148" s="80"/>
      <c r="I148" s="76"/>
      <c r="J148" s="76"/>
      <c r="K148" s="80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</row>
    <row r="149">
      <c r="A149" s="76"/>
      <c r="B149" s="80"/>
      <c r="C149" s="80"/>
      <c r="D149" s="80"/>
      <c r="E149" s="80"/>
      <c r="F149" s="76"/>
      <c r="G149" s="76"/>
      <c r="H149" s="80"/>
      <c r="I149" s="76"/>
      <c r="J149" s="76"/>
      <c r="K149" s="80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</row>
    <row r="150">
      <c r="A150" s="76"/>
      <c r="B150" s="80"/>
      <c r="C150" s="80"/>
      <c r="D150" s="80"/>
      <c r="E150" s="80"/>
      <c r="F150" s="76"/>
      <c r="G150" s="76"/>
      <c r="H150" s="80"/>
      <c r="I150" s="76"/>
      <c r="J150" s="76"/>
      <c r="K150" s="80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</row>
    <row r="151">
      <c r="A151" s="76"/>
      <c r="B151" s="80"/>
      <c r="C151" s="80"/>
      <c r="D151" s="80"/>
      <c r="E151" s="80"/>
      <c r="F151" s="76"/>
      <c r="G151" s="76"/>
      <c r="H151" s="80"/>
      <c r="I151" s="76"/>
      <c r="J151" s="76"/>
      <c r="K151" s="80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</row>
    <row r="152">
      <c r="A152" s="76"/>
      <c r="B152" s="80"/>
      <c r="C152" s="80"/>
      <c r="D152" s="80"/>
      <c r="E152" s="80"/>
      <c r="F152" s="76"/>
      <c r="G152" s="76"/>
      <c r="H152" s="80"/>
      <c r="I152" s="76"/>
      <c r="J152" s="76"/>
      <c r="K152" s="80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</row>
    <row r="153">
      <c r="A153" s="76"/>
      <c r="B153" s="80"/>
      <c r="C153" s="80"/>
      <c r="D153" s="80"/>
      <c r="E153" s="80"/>
      <c r="F153" s="76"/>
      <c r="G153" s="76"/>
      <c r="H153" s="80"/>
      <c r="I153" s="76"/>
      <c r="J153" s="76"/>
      <c r="K153" s="80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</row>
    <row r="154">
      <c r="A154" s="76"/>
      <c r="B154" s="80"/>
      <c r="C154" s="80"/>
      <c r="D154" s="80"/>
      <c r="E154" s="80"/>
      <c r="F154" s="76"/>
      <c r="G154" s="76"/>
      <c r="H154" s="80"/>
      <c r="I154" s="76"/>
      <c r="J154" s="76"/>
      <c r="K154" s="80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</row>
    <row r="155">
      <c r="A155" s="76"/>
      <c r="B155" s="80"/>
      <c r="C155" s="80"/>
      <c r="D155" s="80"/>
      <c r="E155" s="80"/>
      <c r="F155" s="76"/>
      <c r="G155" s="76"/>
      <c r="H155" s="80"/>
      <c r="I155" s="76"/>
      <c r="J155" s="76"/>
      <c r="K155" s="80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</row>
    <row r="156">
      <c r="A156" s="76"/>
      <c r="B156" s="80"/>
      <c r="C156" s="80"/>
      <c r="D156" s="80"/>
      <c r="E156" s="80"/>
      <c r="F156" s="76"/>
      <c r="G156" s="76"/>
      <c r="H156" s="80"/>
      <c r="I156" s="76"/>
      <c r="J156" s="76"/>
      <c r="K156" s="80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</row>
    <row r="157">
      <c r="A157" s="76"/>
      <c r="B157" s="80"/>
      <c r="C157" s="80"/>
      <c r="D157" s="80"/>
      <c r="E157" s="80"/>
      <c r="F157" s="76"/>
      <c r="G157" s="76"/>
      <c r="H157" s="80"/>
      <c r="I157" s="76"/>
      <c r="J157" s="76"/>
      <c r="K157" s="80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</row>
    <row r="158">
      <c r="A158" s="76"/>
      <c r="B158" s="80"/>
      <c r="C158" s="80"/>
      <c r="D158" s="80"/>
      <c r="E158" s="80"/>
      <c r="F158" s="76"/>
      <c r="G158" s="76"/>
      <c r="H158" s="80"/>
      <c r="I158" s="76"/>
      <c r="J158" s="76"/>
      <c r="K158" s="80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</row>
    <row r="159">
      <c r="A159" s="76"/>
      <c r="B159" s="80"/>
      <c r="C159" s="80"/>
      <c r="D159" s="80"/>
      <c r="E159" s="80"/>
      <c r="F159" s="76"/>
      <c r="G159" s="76"/>
      <c r="H159" s="80"/>
      <c r="I159" s="76"/>
      <c r="J159" s="76"/>
      <c r="K159" s="80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</row>
    <row r="160">
      <c r="A160" s="76"/>
      <c r="B160" s="80"/>
      <c r="C160" s="80"/>
      <c r="D160" s="80"/>
      <c r="E160" s="80"/>
      <c r="F160" s="76"/>
      <c r="G160" s="76"/>
      <c r="H160" s="80"/>
      <c r="I160" s="76"/>
      <c r="J160" s="76"/>
      <c r="K160" s="80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</row>
    <row r="161">
      <c r="A161" s="76"/>
      <c r="B161" s="80"/>
      <c r="C161" s="80"/>
      <c r="D161" s="80"/>
      <c r="E161" s="80"/>
      <c r="F161" s="76"/>
      <c r="G161" s="76"/>
      <c r="H161" s="80"/>
      <c r="I161" s="76"/>
      <c r="J161" s="76"/>
      <c r="K161" s="80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</row>
    <row r="162">
      <c r="A162" s="76"/>
      <c r="B162" s="80"/>
      <c r="C162" s="80"/>
      <c r="D162" s="80"/>
      <c r="E162" s="80"/>
      <c r="F162" s="76"/>
      <c r="G162" s="76"/>
      <c r="H162" s="80"/>
      <c r="I162" s="76"/>
      <c r="J162" s="76"/>
      <c r="K162" s="80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</row>
    <row r="163">
      <c r="A163" s="76"/>
      <c r="B163" s="80"/>
      <c r="C163" s="80"/>
      <c r="D163" s="80"/>
      <c r="E163" s="80"/>
      <c r="F163" s="76"/>
      <c r="G163" s="76"/>
      <c r="H163" s="80"/>
      <c r="I163" s="76"/>
      <c r="J163" s="76"/>
      <c r="K163" s="80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</row>
    <row r="164">
      <c r="A164" s="76"/>
      <c r="B164" s="80"/>
      <c r="C164" s="80"/>
      <c r="D164" s="80"/>
      <c r="E164" s="80"/>
      <c r="F164" s="76"/>
      <c r="G164" s="76"/>
      <c r="H164" s="80"/>
      <c r="I164" s="76"/>
      <c r="J164" s="76"/>
      <c r="K164" s="80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</row>
    <row r="165">
      <c r="A165" s="76"/>
      <c r="B165" s="80"/>
      <c r="C165" s="80"/>
      <c r="D165" s="80"/>
      <c r="E165" s="80"/>
      <c r="F165" s="76"/>
      <c r="G165" s="76"/>
      <c r="H165" s="80"/>
      <c r="I165" s="76"/>
      <c r="J165" s="76"/>
      <c r="K165" s="80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</row>
    <row r="166">
      <c r="A166" s="76"/>
      <c r="B166" s="80"/>
      <c r="C166" s="80"/>
      <c r="D166" s="80"/>
      <c r="E166" s="80"/>
      <c r="F166" s="76"/>
      <c r="G166" s="76"/>
      <c r="H166" s="80"/>
      <c r="I166" s="76"/>
      <c r="J166" s="76"/>
      <c r="K166" s="80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</row>
    <row r="167">
      <c r="A167" s="76"/>
      <c r="B167" s="80"/>
      <c r="C167" s="80"/>
      <c r="D167" s="80"/>
      <c r="E167" s="80"/>
      <c r="F167" s="76"/>
      <c r="G167" s="76"/>
      <c r="H167" s="80"/>
      <c r="I167" s="76"/>
      <c r="J167" s="76"/>
      <c r="K167" s="80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</row>
    <row r="168">
      <c r="A168" s="76"/>
      <c r="B168" s="80"/>
      <c r="C168" s="80"/>
      <c r="D168" s="80"/>
      <c r="E168" s="80"/>
      <c r="F168" s="76"/>
      <c r="G168" s="76"/>
      <c r="H168" s="80"/>
      <c r="I168" s="76"/>
      <c r="J168" s="76"/>
      <c r="K168" s="80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</row>
    <row r="169">
      <c r="A169" s="76"/>
      <c r="B169" s="80"/>
      <c r="C169" s="80"/>
      <c r="D169" s="80"/>
      <c r="E169" s="80"/>
      <c r="F169" s="76"/>
      <c r="G169" s="76"/>
      <c r="H169" s="80"/>
      <c r="I169" s="76"/>
      <c r="J169" s="76"/>
      <c r="K169" s="80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</row>
    <row r="170">
      <c r="A170" s="76"/>
      <c r="B170" s="80"/>
      <c r="C170" s="80"/>
      <c r="D170" s="80"/>
      <c r="E170" s="80"/>
      <c r="F170" s="76"/>
      <c r="G170" s="76"/>
      <c r="H170" s="80"/>
      <c r="I170" s="76"/>
      <c r="J170" s="76"/>
      <c r="K170" s="80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</row>
    <row r="171">
      <c r="A171" s="76"/>
      <c r="B171" s="80"/>
      <c r="C171" s="80"/>
      <c r="D171" s="80"/>
      <c r="E171" s="80"/>
      <c r="F171" s="76"/>
      <c r="G171" s="76"/>
      <c r="H171" s="80"/>
      <c r="I171" s="76"/>
      <c r="J171" s="76"/>
      <c r="K171" s="80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</row>
    <row r="172">
      <c r="A172" s="76"/>
      <c r="B172" s="80"/>
      <c r="C172" s="80"/>
      <c r="D172" s="80"/>
      <c r="E172" s="80"/>
      <c r="F172" s="76"/>
      <c r="G172" s="76"/>
      <c r="H172" s="80"/>
      <c r="I172" s="76"/>
      <c r="J172" s="76"/>
      <c r="K172" s="80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</row>
    <row r="173">
      <c r="A173" s="76"/>
      <c r="B173" s="80"/>
      <c r="C173" s="80"/>
      <c r="D173" s="80"/>
      <c r="E173" s="80"/>
      <c r="F173" s="76"/>
      <c r="G173" s="76"/>
      <c r="H173" s="80"/>
      <c r="I173" s="76"/>
      <c r="J173" s="76"/>
      <c r="K173" s="80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</row>
    <row r="174">
      <c r="A174" s="76"/>
      <c r="B174" s="80"/>
      <c r="C174" s="80"/>
      <c r="D174" s="80"/>
      <c r="E174" s="80"/>
      <c r="F174" s="76"/>
      <c r="G174" s="76"/>
      <c r="H174" s="80"/>
      <c r="I174" s="76"/>
      <c r="J174" s="76"/>
      <c r="K174" s="80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</row>
    <row r="175">
      <c r="A175" s="76"/>
      <c r="B175" s="80"/>
      <c r="C175" s="80"/>
      <c r="D175" s="80"/>
      <c r="E175" s="80"/>
      <c r="F175" s="76"/>
      <c r="G175" s="76"/>
      <c r="H175" s="80"/>
      <c r="I175" s="76"/>
      <c r="J175" s="76"/>
      <c r="K175" s="80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</row>
    <row r="176">
      <c r="A176" s="76"/>
      <c r="B176" s="80"/>
      <c r="C176" s="80"/>
      <c r="D176" s="80"/>
      <c r="E176" s="80"/>
      <c r="F176" s="76"/>
      <c r="G176" s="76"/>
      <c r="H176" s="80"/>
      <c r="I176" s="76"/>
      <c r="J176" s="76"/>
      <c r="K176" s="80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</row>
    <row r="177">
      <c r="A177" s="76"/>
      <c r="B177" s="80"/>
      <c r="C177" s="80"/>
      <c r="D177" s="80"/>
      <c r="E177" s="80"/>
      <c r="F177" s="76"/>
      <c r="G177" s="76"/>
      <c r="H177" s="80"/>
      <c r="I177" s="76"/>
      <c r="J177" s="76"/>
      <c r="K177" s="80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</row>
    <row r="178">
      <c r="A178" s="76"/>
      <c r="B178" s="80"/>
      <c r="C178" s="80"/>
      <c r="D178" s="80"/>
      <c r="E178" s="80"/>
      <c r="F178" s="76"/>
      <c r="G178" s="76"/>
      <c r="H178" s="80"/>
      <c r="I178" s="76"/>
      <c r="J178" s="76"/>
      <c r="K178" s="80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</row>
    <row r="179">
      <c r="A179" s="76"/>
      <c r="B179" s="80"/>
      <c r="C179" s="80"/>
      <c r="D179" s="80"/>
      <c r="E179" s="80"/>
      <c r="F179" s="76"/>
      <c r="G179" s="76"/>
      <c r="H179" s="80"/>
      <c r="I179" s="76"/>
      <c r="J179" s="76"/>
      <c r="K179" s="80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</row>
    <row r="180">
      <c r="A180" s="76"/>
      <c r="B180" s="80"/>
      <c r="C180" s="80"/>
      <c r="D180" s="80"/>
      <c r="E180" s="80"/>
      <c r="F180" s="76"/>
      <c r="G180" s="76"/>
      <c r="H180" s="80"/>
      <c r="I180" s="76"/>
      <c r="J180" s="76"/>
      <c r="K180" s="80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</row>
    <row r="181">
      <c r="A181" s="76"/>
      <c r="B181" s="80"/>
      <c r="C181" s="80"/>
      <c r="D181" s="80"/>
      <c r="E181" s="80"/>
      <c r="F181" s="76"/>
      <c r="G181" s="76"/>
      <c r="H181" s="80"/>
      <c r="I181" s="76"/>
      <c r="J181" s="76"/>
      <c r="K181" s="80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</row>
    <row r="182">
      <c r="A182" s="76"/>
      <c r="B182" s="80"/>
      <c r="C182" s="80"/>
      <c r="D182" s="80"/>
      <c r="E182" s="80"/>
      <c r="F182" s="76"/>
      <c r="G182" s="76"/>
      <c r="H182" s="80"/>
      <c r="I182" s="76"/>
      <c r="J182" s="76"/>
      <c r="K182" s="80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</row>
    <row r="183">
      <c r="A183" s="76"/>
      <c r="B183" s="80"/>
      <c r="C183" s="80"/>
      <c r="D183" s="80"/>
      <c r="E183" s="80"/>
      <c r="F183" s="76"/>
      <c r="G183" s="76"/>
      <c r="H183" s="80"/>
      <c r="I183" s="76"/>
      <c r="J183" s="76"/>
      <c r="K183" s="80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</row>
    <row r="184">
      <c r="A184" s="76"/>
      <c r="B184" s="80"/>
      <c r="C184" s="80"/>
      <c r="D184" s="80"/>
      <c r="E184" s="80"/>
      <c r="F184" s="76"/>
      <c r="G184" s="76"/>
      <c r="H184" s="80"/>
      <c r="I184" s="76"/>
      <c r="J184" s="76"/>
      <c r="K184" s="80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</row>
    <row r="185">
      <c r="A185" s="76"/>
      <c r="B185" s="80"/>
      <c r="C185" s="80"/>
      <c r="D185" s="80"/>
      <c r="E185" s="80"/>
      <c r="F185" s="76"/>
      <c r="G185" s="76"/>
      <c r="H185" s="80"/>
      <c r="I185" s="76"/>
      <c r="J185" s="76"/>
      <c r="K185" s="80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</row>
    <row r="186">
      <c r="A186" s="76"/>
      <c r="B186" s="80"/>
      <c r="C186" s="80"/>
      <c r="D186" s="80"/>
      <c r="E186" s="80"/>
      <c r="F186" s="76"/>
      <c r="G186" s="76"/>
      <c r="H186" s="80"/>
      <c r="I186" s="76"/>
      <c r="J186" s="76"/>
      <c r="K186" s="80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</row>
    <row r="187">
      <c r="A187" s="76"/>
      <c r="B187" s="80"/>
      <c r="C187" s="80"/>
      <c r="D187" s="80"/>
      <c r="E187" s="80"/>
      <c r="F187" s="76"/>
      <c r="G187" s="76"/>
      <c r="H187" s="80"/>
      <c r="I187" s="76"/>
      <c r="J187" s="76"/>
      <c r="K187" s="80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</row>
    <row r="188">
      <c r="A188" s="76"/>
      <c r="B188" s="80"/>
      <c r="C188" s="80"/>
      <c r="D188" s="80"/>
      <c r="E188" s="80"/>
      <c r="F188" s="76"/>
      <c r="G188" s="76"/>
      <c r="H188" s="80"/>
      <c r="I188" s="76"/>
      <c r="J188" s="76"/>
      <c r="K188" s="80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</row>
    <row r="189">
      <c r="A189" s="76"/>
      <c r="B189" s="80"/>
      <c r="C189" s="80"/>
      <c r="D189" s="80"/>
      <c r="E189" s="80"/>
      <c r="F189" s="76"/>
      <c r="G189" s="76"/>
      <c r="H189" s="80"/>
      <c r="I189" s="76"/>
      <c r="J189" s="76"/>
      <c r="K189" s="80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</row>
    <row r="190">
      <c r="A190" s="76"/>
      <c r="B190" s="80"/>
      <c r="C190" s="80"/>
      <c r="D190" s="80"/>
      <c r="E190" s="80"/>
      <c r="F190" s="76"/>
      <c r="G190" s="76"/>
      <c r="H190" s="80"/>
      <c r="I190" s="76"/>
      <c r="J190" s="76"/>
      <c r="K190" s="80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</row>
    <row r="191">
      <c r="A191" s="76"/>
      <c r="B191" s="80"/>
      <c r="C191" s="80"/>
      <c r="D191" s="80"/>
      <c r="E191" s="80"/>
      <c r="F191" s="76"/>
      <c r="G191" s="76"/>
      <c r="H191" s="80"/>
      <c r="I191" s="76"/>
      <c r="J191" s="76"/>
      <c r="K191" s="80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</row>
    <row r="192">
      <c r="A192" s="76"/>
      <c r="B192" s="80"/>
      <c r="C192" s="80"/>
      <c r="D192" s="80"/>
      <c r="E192" s="80"/>
      <c r="F192" s="76"/>
      <c r="G192" s="76"/>
      <c r="H192" s="80"/>
      <c r="I192" s="76"/>
      <c r="J192" s="76"/>
      <c r="K192" s="80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</row>
    <row r="193">
      <c r="A193" s="76"/>
      <c r="B193" s="80"/>
      <c r="C193" s="80"/>
      <c r="D193" s="80"/>
      <c r="E193" s="80"/>
      <c r="F193" s="76"/>
      <c r="G193" s="76"/>
      <c r="H193" s="80"/>
      <c r="I193" s="76"/>
      <c r="J193" s="76"/>
      <c r="K193" s="80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</row>
    <row r="194">
      <c r="A194" s="76"/>
      <c r="B194" s="80"/>
      <c r="C194" s="80"/>
      <c r="D194" s="80"/>
      <c r="E194" s="80"/>
      <c r="F194" s="76"/>
      <c r="G194" s="76"/>
      <c r="H194" s="80"/>
      <c r="I194" s="76"/>
      <c r="J194" s="76"/>
      <c r="K194" s="80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</row>
    <row r="195">
      <c r="A195" s="76"/>
      <c r="B195" s="80"/>
      <c r="C195" s="80"/>
      <c r="D195" s="80"/>
      <c r="E195" s="80"/>
      <c r="F195" s="76"/>
      <c r="G195" s="76"/>
      <c r="H195" s="80"/>
      <c r="I195" s="76"/>
      <c r="J195" s="76"/>
      <c r="K195" s="80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</row>
    <row r="196">
      <c r="A196" s="76"/>
      <c r="B196" s="80"/>
      <c r="C196" s="80"/>
      <c r="D196" s="80"/>
      <c r="E196" s="80"/>
      <c r="F196" s="76"/>
      <c r="G196" s="76"/>
      <c r="H196" s="80"/>
      <c r="I196" s="76"/>
      <c r="J196" s="76"/>
      <c r="K196" s="80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</row>
    <row r="197">
      <c r="A197" s="76"/>
      <c r="B197" s="80"/>
      <c r="C197" s="80"/>
      <c r="D197" s="80"/>
      <c r="E197" s="80"/>
      <c r="F197" s="76"/>
      <c r="G197" s="76"/>
      <c r="H197" s="80"/>
      <c r="I197" s="76"/>
      <c r="J197" s="76"/>
      <c r="K197" s="80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</row>
    <row r="198">
      <c r="A198" s="76"/>
      <c r="B198" s="80"/>
      <c r="C198" s="80"/>
      <c r="D198" s="80"/>
      <c r="E198" s="80"/>
      <c r="F198" s="76"/>
      <c r="G198" s="76"/>
      <c r="H198" s="80"/>
      <c r="I198" s="76"/>
      <c r="J198" s="76"/>
      <c r="K198" s="80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</row>
    <row r="199">
      <c r="A199" s="76"/>
      <c r="B199" s="80"/>
      <c r="C199" s="80"/>
      <c r="D199" s="80"/>
      <c r="E199" s="80"/>
      <c r="F199" s="76"/>
      <c r="G199" s="76"/>
      <c r="H199" s="80"/>
      <c r="I199" s="76"/>
      <c r="J199" s="76"/>
      <c r="K199" s="80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</row>
    <row r="200">
      <c r="A200" s="76"/>
      <c r="B200" s="80"/>
      <c r="C200" s="80"/>
      <c r="D200" s="80"/>
      <c r="E200" s="80"/>
      <c r="F200" s="76"/>
      <c r="G200" s="76"/>
      <c r="H200" s="80"/>
      <c r="I200" s="76"/>
      <c r="J200" s="76"/>
      <c r="K200" s="80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</row>
    <row r="201">
      <c r="A201" s="76"/>
      <c r="B201" s="80"/>
      <c r="C201" s="80"/>
      <c r="D201" s="80"/>
      <c r="E201" s="80"/>
      <c r="F201" s="76"/>
      <c r="G201" s="76"/>
      <c r="H201" s="80"/>
      <c r="I201" s="76"/>
      <c r="J201" s="76"/>
      <c r="K201" s="80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</row>
    <row r="202">
      <c r="A202" s="76"/>
      <c r="B202" s="80"/>
      <c r="C202" s="80"/>
      <c r="D202" s="80"/>
      <c r="E202" s="80"/>
      <c r="F202" s="76"/>
      <c r="G202" s="76"/>
      <c r="H202" s="80"/>
      <c r="I202" s="76"/>
      <c r="J202" s="76"/>
      <c r="K202" s="80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</row>
    <row r="203">
      <c r="A203" s="76"/>
      <c r="B203" s="80"/>
      <c r="C203" s="80"/>
      <c r="D203" s="80"/>
      <c r="E203" s="80"/>
      <c r="F203" s="76"/>
      <c r="G203" s="76"/>
      <c r="H203" s="80"/>
      <c r="I203" s="76"/>
      <c r="J203" s="76"/>
      <c r="K203" s="80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</row>
    <row r="204">
      <c r="A204" s="76"/>
      <c r="B204" s="80"/>
      <c r="C204" s="80"/>
      <c r="D204" s="80"/>
      <c r="E204" s="80"/>
      <c r="F204" s="76"/>
      <c r="G204" s="76"/>
      <c r="H204" s="80"/>
      <c r="I204" s="76"/>
      <c r="J204" s="76"/>
      <c r="K204" s="80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</row>
    <row r="205">
      <c r="A205" s="76"/>
      <c r="B205" s="80"/>
      <c r="C205" s="80"/>
      <c r="D205" s="80"/>
      <c r="E205" s="80"/>
      <c r="F205" s="76"/>
      <c r="G205" s="76"/>
      <c r="H205" s="80"/>
      <c r="I205" s="76"/>
      <c r="J205" s="76"/>
      <c r="K205" s="80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</row>
    <row r="206">
      <c r="A206" s="76"/>
      <c r="B206" s="80"/>
      <c r="C206" s="80"/>
      <c r="D206" s="80"/>
      <c r="E206" s="80"/>
      <c r="F206" s="76"/>
      <c r="G206" s="76"/>
      <c r="H206" s="80"/>
      <c r="I206" s="76"/>
      <c r="J206" s="76"/>
      <c r="K206" s="80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</row>
    <row r="207">
      <c r="A207" s="76"/>
      <c r="B207" s="80"/>
      <c r="C207" s="80"/>
      <c r="D207" s="80"/>
      <c r="E207" s="80"/>
      <c r="F207" s="76"/>
      <c r="G207" s="76"/>
      <c r="H207" s="80"/>
      <c r="I207" s="76"/>
      <c r="J207" s="76"/>
      <c r="K207" s="80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</row>
    <row r="208">
      <c r="A208" s="76"/>
      <c r="B208" s="80"/>
      <c r="C208" s="80"/>
      <c r="D208" s="80"/>
      <c r="E208" s="80"/>
      <c r="F208" s="76"/>
      <c r="G208" s="76"/>
      <c r="H208" s="80"/>
      <c r="I208" s="76"/>
      <c r="J208" s="76"/>
      <c r="K208" s="80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</row>
    <row r="209">
      <c r="A209" s="76"/>
      <c r="B209" s="80"/>
      <c r="C209" s="80"/>
      <c r="D209" s="80"/>
      <c r="E209" s="80"/>
      <c r="F209" s="76"/>
      <c r="G209" s="76"/>
      <c r="H209" s="80"/>
      <c r="I209" s="76"/>
      <c r="J209" s="76"/>
      <c r="K209" s="80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</row>
    <row r="210">
      <c r="A210" s="76"/>
      <c r="B210" s="80"/>
      <c r="C210" s="80"/>
      <c r="D210" s="80"/>
      <c r="E210" s="80"/>
      <c r="F210" s="76"/>
      <c r="G210" s="76"/>
      <c r="H210" s="80"/>
      <c r="I210" s="76"/>
      <c r="J210" s="76"/>
      <c r="K210" s="80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</row>
    <row r="211">
      <c r="A211" s="76"/>
      <c r="B211" s="80"/>
      <c r="C211" s="80"/>
      <c r="D211" s="80"/>
      <c r="E211" s="80"/>
      <c r="F211" s="76"/>
      <c r="G211" s="76"/>
      <c r="H211" s="80"/>
      <c r="I211" s="76"/>
      <c r="J211" s="76"/>
      <c r="K211" s="80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</row>
    <row r="212">
      <c r="A212" s="76"/>
      <c r="B212" s="80"/>
      <c r="C212" s="80"/>
      <c r="D212" s="80"/>
      <c r="E212" s="80"/>
      <c r="F212" s="76"/>
      <c r="G212" s="76"/>
      <c r="H212" s="80"/>
      <c r="I212" s="76"/>
      <c r="J212" s="76"/>
      <c r="K212" s="80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</row>
    <row r="213">
      <c r="A213" s="76"/>
      <c r="B213" s="80"/>
      <c r="C213" s="80"/>
      <c r="D213" s="80"/>
      <c r="E213" s="80"/>
      <c r="F213" s="76"/>
      <c r="G213" s="76"/>
      <c r="H213" s="80"/>
      <c r="I213" s="76"/>
      <c r="J213" s="76"/>
      <c r="K213" s="80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</row>
    <row r="214">
      <c r="A214" s="76"/>
      <c r="B214" s="80"/>
      <c r="C214" s="80"/>
      <c r="D214" s="80"/>
      <c r="E214" s="80"/>
      <c r="F214" s="76"/>
      <c r="G214" s="76"/>
      <c r="H214" s="80"/>
      <c r="I214" s="76"/>
      <c r="J214" s="76"/>
      <c r="K214" s="80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</row>
    <row r="215">
      <c r="A215" s="76"/>
      <c r="B215" s="80"/>
      <c r="C215" s="80"/>
      <c r="D215" s="80"/>
      <c r="E215" s="80"/>
      <c r="F215" s="76"/>
      <c r="G215" s="76"/>
      <c r="H215" s="80"/>
      <c r="I215" s="76"/>
      <c r="J215" s="76"/>
      <c r="K215" s="80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</row>
    <row r="216">
      <c r="A216" s="76"/>
      <c r="B216" s="80"/>
      <c r="C216" s="80"/>
      <c r="D216" s="80"/>
      <c r="E216" s="80"/>
      <c r="F216" s="76"/>
      <c r="G216" s="76"/>
      <c r="H216" s="80"/>
      <c r="I216" s="76"/>
      <c r="J216" s="76"/>
      <c r="K216" s="80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</row>
    <row r="217">
      <c r="A217" s="76"/>
      <c r="B217" s="80"/>
      <c r="C217" s="80"/>
      <c r="D217" s="80"/>
      <c r="E217" s="80"/>
      <c r="F217" s="76"/>
      <c r="G217" s="76"/>
      <c r="H217" s="80"/>
      <c r="I217" s="76"/>
      <c r="J217" s="76"/>
      <c r="K217" s="80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</row>
    <row r="218">
      <c r="A218" s="76"/>
      <c r="B218" s="80"/>
      <c r="C218" s="80"/>
      <c r="D218" s="80"/>
      <c r="E218" s="80"/>
      <c r="F218" s="76"/>
      <c r="G218" s="76"/>
      <c r="H218" s="80"/>
      <c r="I218" s="76"/>
      <c r="J218" s="76"/>
      <c r="K218" s="80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</row>
    <row r="219">
      <c r="A219" s="76"/>
      <c r="B219" s="80"/>
      <c r="C219" s="80"/>
      <c r="D219" s="80"/>
      <c r="E219" s="80"/>
      <c r="F219" s="76"/>
      <c r="G219" s="76"/>
      <c r="H219" s="80"/>
      <c r="I219" s="76"/>
      <c r="J219" s="76"/>
      <c r="K219" s="80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</row>
    <row r="220">
      <c r="A220" s="76"/>
      <c r="B220" s="80"/>
      <c r="C220" s="80"/>
      <c r="D220" s="80"/>
      <c r="E220" s="80"/>
      <c r="F220" s="76"/>
      <c r="G220" s="76"/>
      <c r="H220" s="80"/>
      <c r="I220" s="76"/>
      <c r="J220" s="76"/>
      <c r="K220" s="80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</row>
    <row r="221">
      <c r="A221" s="76"/>
      <c r="B221" s="80"/>
      <c r="C221" s="80"/>
      <c r="D221" s="80"/>
      <c r="E221" s="80"/>
      <c r="F221" s="76"/>
      <c r="G221" s="76"/>
      <c r="H221" s="80"/>
      <c r="I221" s="76"/>
      <c r="J221" s="76"/>
      <c r="K221" s="80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</row>
    <row r="222">
      <c r="A222" s="76"/>
      <c r="B222" s="80"/>
      <c r="C222" s="80"/>
      <c r="D222" s="80"/>
      <c r="E222" s="80"/>
      <c r="F222" s="76"/>
      <c r="G222" s="76"/>
      <c r="H222" s="80"/>
      <c r="I222" s="76"/>
      <c r="J222" s="76"/>
      <c r="K222" s="80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</row>
    <row r="223">
      <c r="A223" s="76"/>
      <c r="B223" s="80"/>
      <c r="C223" s="80"/>
      <c r="D223" s="80"/>
      <c r="E223" s="80"/>
      <c r="F223" s="76"/>
      <c r="G223" s="76"/>
      <c r="H223" s="80"/>
      <c r="I223" s="76"/>
      <c r="J223" s="76"/>
      <c r="K223" s="80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</row>
    <row r="224">
      <c r="A224" s="76"/>
      <c r="B224" s="80"/>
      <c r="C224" s="80"/>
      <c r="D224" s="80"/>
      <c r="E224" s="80"/>
      <c r="F224" s="76"/>
      <c r="G224" s="76"/>
      <c r="H224" s="80"/>
      <c r="I224" s="76"/>
      <c r="J224" s="76"/>
      <c r="K224" s="80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</row>
    <row r="225">
      <c r="A225" s="76"/>
      <c r="B225" s="80"/>
      <c r="C225" s="80"/>
      <c r="D225" s="80"/>
      <c r="E225" s="80"/>
      <c r="F225" s="76"/>
      <c r="G225" s="76"/>
      <c r="H225" s="80"/>
      <c r="I225" s="76"/>
      <c r="J225" s="76"/>
      <c r="K225" s="80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</row>
    <row r="226">
      <c r="A226" s="76"/>
      <c r="B226" s="80"/>
      <c r="C226" s="80"/>
      <c r="D226" s="80"/>
      <c r="E226" s="80"/>
      <c r="F226" s="76"/>
      <c r="G226" s="76"/>
      <c r="H226" s="80"/>
      <c r="I226" s="76"/>
      <c r="J226" s="76"/>
      <c r="K226" s="80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</row>
    <row r="227">
      <c r="A227" s="76"/>
      <c r="B227" s="80"/>
      <c r="C227" s="80"/>
      <c r="D227" s="80"/>
      <c r="E227" s="80"/>
      <c r="F227" s="76"/>
      <c r="G227" s="76"/>
      <c r="H227" s="80"/>
      <c r="I227" s="76"/>
      <c r="J227" s="76"/>
      <c r="K227" s="80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</row>
    <row r="228">
      <c r="A228" s="76"/>
      <c r="B228" s="80"/>
      <c r="C228" s="80"/>
      <c r="D228" s="80"/>
      <c r="E228" s="80"/>
      <c r="F228" s="76"/>
      <c r="G228" s="76"/>
      <c r="H228" s="80"/>
      <c r="I228" s="76"/>
      <c r="J228" s="76"/>
      <c r="K228" s="80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</row>
    <row r="229">
      <c r="A229" s="76"/>
      <c r="B229" s="80"/>
      <c r="C229" s="80"/>
      <c r="D229" s="80"/>
      <c r="E229" s="80"/>
      <c r="F229" s="76"/>
      <c r="G229" s="76"/>
      <c r="H229" s="80"/>
      <c r="I229" s="76"/>
      <c r="J229" s="76"/>
      <c r="K229" s="80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</row>
    <row r="230">
      <c r="A230" s="76"/>
      <c r="B230" s="80"/>
      <c r="C230" s="80"/>
      <c r="D230" s="80"/>
      <c r="E230" s="80"/>
      <c r="F230" s="76"/>
      <c r="G230" s="76"/>
      <c r="H230" s="80"/>
      <c r="I230" s="76"/>
      <c r="J230" s="76"/>
      <c r="K230" s="80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</row>
    <row r="231">
      <c r="A231" s="76"/>
      <c r="B231" s="80"/>
      <c r="C231" s="80"/>
      <c r="D231" s="80"/>
      <c r="E231" s="80"/>
      <c r="F231" s="76"/>
      <c r="G231" s="76"/>
      <c r="H231" s="80"/>
      <c r="I231" s="76"/>
      <c r="J231" s="76"/>
      <c r="K231" s="80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</row>
    <row r="232">
      <c r="A232" s="76"/>
      <c r="B232" s="80"/>
      <c r="C232" s="80"/>
      <c r="D232" s="80"/>
      <c r="E232" s="80"/>
      <c r="F232" s="76"/>
      <c r="G232" s="76"/>
      <c r="H232" s="80"/>
      <c r="I232" s="76"/>
      <c r="J232" s="76"/>
      <c r="K232" s="80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</row>
    <row r="233">
      <c r="A233" s="76"/>
      <c r="B233" s="80"/>
      <c r="C233" s="80"/>
      <c r="D233" s="80"/>
      <c r="E233" s="80"/>
      <c r="F233" s="76"/>
      <c r="G233" s="76"/>
      <c r="H233" s="80"/>
      <c r="I233" s="76"/>
      <c r="J233" s="76"/>
      <c r="K233" s="80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</row>
    <row r="234">
      <c r="A234" s="76"/>
      <c r="B234" s="80"/>
      <c r="C234" s="80"/>
      <c r="D234" s="80"/>
      <c r="E234" s="80"/>
      <c r="F234" s="76"/>
      <c r="G234" s="76"/>
      <c r="H234" s="80"/>
      <c r="I234" s="76"/>
      <c r="J234" s="76"/>
      <c r="K234" s="80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</row>
    <row r="235">
      <c r="A235" s="76"/>
      <c r="B235" s="80"/>
      <c r="C235" s="80"/>
      <c r="D235" s="80"/>
      <c r="E235" s="80"/>
      <c r="F235" s="76"/>
      <c r="G235" s="76"/>
      <c r="H235" s="80"/>
      <c r="I235" s="76"/>
      <c r="J235" s="76"/>
      <c r="K235" s="80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</row>
    <row r="236">
      <c r="A236" s="76"/>
      <c r="B236" s="80"/>
      <c r="C236" s="80"/>
      <c r="D236" s="80"/>
      <c r="E236" s="80"/>
      <c r="F236" s="76"/>
      <c r="G236" s="76"/>
      <c r="H236" s="80"/>
      <c r="I236" s="76"/>
      <c r="J236" s="76"/>
      <c r="K236" s="80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</row>
    <row r="237">
      <c r="A237" s="76"/>
      <c r="B237" s="80"/>
      <c r="C237" s="80"/>
      <c r="D237" s="80"/>
      <c r="E237" s="80"/>
      <c r="F237" s="76"/>
      <c r="G237" s="76"/>
      <c r="H237" s="80"/>
      <c r="I237" s="76"/>
      <c r="J237" s="76"/>
      <c r="K237" s="80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</row>
    <row r="238">
      <c r="A238" s="76"/>
      <c r="B238" s="80"/>
      <c r="C238" s="80"/>
      <c r="D238" s="80"/>
      <c r="E238" s="80"/>
      <c r="F238" s="76"/>
      <c r="G238" s="76"/>
      <c r="H238" s="80"/>
      <c r="I238" s="76"/>
      <c r="J238" s="76"/>
      <c r="K238" s="80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</row>
    <row r="239">
      <c r="A239" s="76"/>
      <c r="B239" s="80"/>
      <c r="C239" s="80"/>
      <c r="D239" s="80"/>
      <c r="E239" s="80"/>
      <c r="F239" s="76"/>
      <c r="G239" s="76"/>
      <c r="H239" s="80"/>
      <c r="I239" s="76"/>
      <c r="J239" s="76"/>
      <c r="K239" s="80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</row>
    <row r="240">
      <c r="A240" s="76"/>
      <c r="B240" s="80"/>
      <c r="C240" s="80"/>
      <c r="D240" s="80"/>
      <c r="E240" s="80"/>
      <c r="F240" s="76"/>
      <c r="G240" s="76"/>
      <c r="H240" s="80"/>
      <c r="I240" s="76"/>
      <c r="J240" s="76"/>
      <c r="K240" s="80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</row>
    <row r="241">
      <c r="A241" s="76"/>
      <c r="B241" s="80"/>
      <c r="C241" s="80"/>
      <c r="D241" s="80"/>
      <c r="E241" s="80"/>
      <c r="F241" s="76"/>
      <c r="G241" s="76"/>
      <c r="H241" s="80"/>
      <c r="I241" s="76"/>
      <c r="J241" s="76"/>
      <c r="K241" s="80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</row>
    <row r="242">
      <c r="A242" s="76"/>
      <c r="B242" s="80"/>
      <c r="C242" s="80"/>
      <c r="D242" s="80"/>
      <c r="E242" s="80"/>
      <c r="F242" s="76"/>
      <c r="G242" s="76"/>
      <c r="H242" s="80"/>
      <c r="I242" s="76"/>
      <c r="J242" s="76"/>
      <c r="K242" s="80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</row>
    <row r="243">
      <c r="A243" s="76"/>
      <c r="B243" s="80"/>
      <c r="C243" s="80"/>
      <c r="D243" s="80"/>
      <c r="E243" s="80"/>
      <c r="F243" s="76"/>
      <c r="G243" s="76"/>
      <c r="H243" s="80"/>
      <c r="I243" s="76"/>
      <c r="J243" s="76"/>
      <c r="K243" s="80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</row>
    <row r="244">
      <c r="A244" s="76"/>
      <c r="B244" s="80"/>
      <c r="C244" s="80"/>
      <c r="D244" s="80"/>
      <c r="E244" s="80"/>
      <c r="F244" s="76"/>
      <c r="G244" s="76"/>
      <c r="H244" s="80"/>
      <c r="I244" s="76"/>
      <c r="J244" s="76"/>
      <c r="K244" s="80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</row>
    <row r="245">
      <c r="A245" s="76"/>
      <c r="B245" s="80"/>
      <c r="C245" s="80"/>
      <c r="D245" s="80"/>
      <c r="E245" s="80"/>
      <c r="F245" s="76"/>
      <c r="G245" s="76"/>
      <c r="H245" s="80"/>
      <c r="I245" s="76"/>
      <c r="J245" s="76"/>
      <c r="K245" s="80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</row>
    <row r="246">
      <c r="A246" s="76"/>
      <c r="B246" s="80"/>
      <c r="C246" s="80"/>
      <c r="D246" s="80"/>
      <c r="E246" s="80"/>
      <c r="F246" s="76"/>
      <c r="G246" s="76"/>
      <c r="H246" s="80"/>
      <c r="I246" s="76"/>
      <c r="J246" s="76"/>
      <c r="K246" s="80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</row>
    <row r="247">
      <c r="A247" s="76"/>
      <c r="B247" s="80"/>
      <c r="C247" s="80"/>
      <c r="D247" s="80"/>
      <c r="E247" s="80"/>
      <c r="F247" s="76"/>
      <c r="G247" s="76"/>
      <c r="H247" s="80"/>
      <c r="I247" s="76"/>
      <c r="J247" s="76"/>
      <c r="K247" s="80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</row>
    <row r="248">
      <c r="A248" s="76"/>
      <c r="B248" s="80"/>
      <c r="C248" s="80"/>
      <c r="D248" s="80"/>
      <c r="E248" s="80"/>
      <c r="F248" s="76"/>
      <c r="G248" s="76"/>
      <c r="H248" s="80"/>
      <c r="I248" s="76"/>
      <c r="J248" s="76"/>
      <c r="K248" s="80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</row>
    <row r="249">
      <c r="A249" s="76"/>
      <c r="B249" s="80"/>
      <c r="C249" s="80"/>
      <c r="D249" s="80"/>
      <c r="E249" s="80"/>
      <c r="F249" s="76"/>
      <c r="G249" s="76"/>
      <c r="H249" s="80"/>
      <c r="I249" s="76"/>
      <c r="J249" s="76"/>
      <c r="K249" s="80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</row>
    <row r="250">
      <c r="A250" s="76"/>
      <c r="B250" s="80"/>
      <c r="C250" s="80"/>
      <c r="D250" s="80"/>
      <c r="E250" s="80"/>
      <c r="F250" s="76"/>
      <c r="G250" s="76"/>
      <c r="H250" s="80"/>
      <c r="I250" s="76"/>
      <c r="J250" s="76"/>
      <c r="K250" s="80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</row>
    <row r="251">
      <c r="A251" s="76"/>
      <c r="B251" s="80"/>
      <c r="C251" s="80"/>
      <c r="D251" s="80"/>
      <c r="E251" s="80"/>
      <c r="F251" s="76"/>
      <c r="G251" s="76"/>
      <c r="H251" s="80"/>
      <c r="I251" s="76"/>
      <c r="J251" s="76"/>
      <c r="K251" s="80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</row>
    <row r="252">
      <c r="A252" s="76"/>
      <c r="B252" s="80"/>
      <c r="C252" s="80"/>
      <c r="D252" s="80"/>
      <c r="E252" s="80"/>
      <c r="F252" s="76"/>
      <c r="G252" s="76"/>
      <c r="H252" s="80"/>
      <c r="I252" s="76"/>
      <c r="J252" s="76"/>
      <c r="K252" s="80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</row>
    <row r="253">
      <c r="A253" s="76"/>
      <c r="B253" s="80"/>
      <c r="C253" s="80"/>
      <c r="D253" s="80"/>
      <c r="E253" s="80"/>
      <c r="F253" s="76"/>
      <c r="G253" s="76"/>
      <c r="H253" s="80"/>
      <c r="I253" s="76"/>
      <c r="J253" s="76"/>
      <c r="K253" s="80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</row>
    <row r="254">
      <c r="A254" s="76"/>
      <c r="B254" s="80"/>
      <c r="C254" s="80"/>
      <c r="D254" s="80"/>
      <c r="E254" s="80"/>
      <c r="F254" s="76"/>
      <c r="G254" s="76"/>
      <c r="H254" s="80"/>
      <c r="I254" s="76"/>
      <c r="J254" s="76"/>
      <c r="K254" s="80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</row>
    <row r="255">
      <c r="A255" s="76"/>
      <c r="B255" s="80"/>
      <c r="C255" s="80"/>
      <c r="D255" s="80"/>
      <c r="E255" s="80"/>
      <c r="F255" s="76"/>
      <c r="G255" s="76"/>
      <c r="H255" s="80"/>
      <c r="I255" s="76"/>
      <c r="J255" s="76"/>
      <c r="K255" s="80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</row>
    <row r="256">
      <c r="A256" s="76"/>
      <c r="B256" s="80"/>
      <c r="C256" s="80"/>
      <c r="D256" s="80"/>
      <c r="E256" s="80"/>
      <c r="F256" s="76"/>
      <c r="G256" s="76"/>
      <c r="H256" s="80"/>
      <c r="I256" s="76"/>
      <c r="J256" s="76"/>
      <c r="K256" s="80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</row>
    <row r="257">
      <c r="A257" s="76"/>
      <c r="B257" s="80"/>
      <c r="C257" s="80"/>
      <c r="D257" s="80"/>
      <c r="E257" s="80"/>
      <c r="F257" s="76"/>
      <c r="G257" s="76"/>
      <c r="H257" s="80"/>
      <c r="I257" s="76"/>
      <c r="J257" s="76"/>
      <c r="K257" s="80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</row>
    <row r="258">
      <c r="A258" s="76"/>
      <c r="B258" s="80"/>
      <c r="C258" s="80"/>
      <c r="D258" s="80"/>
      <c r="E258" s="80"/>
      <c r="F258" s="76"/>
      <c r="G258" s="76"/>
      <c r="H258" s="80"/>
      <c r="I258" s="76"/>
      <c r="J258" s="76"/>
      <c r="K258" s="80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</row>
    <row r="259">
      <c r="A259" s="76"/>
      <c r="B259" s="80"/>
      <c r="C259" s="80"/>
      <c r="D259" s="80"/>
      <c r="E259" s="80"/>
      <c r="F259" s="76"/>
      <c r="G259" s="76"/>
      <c r="H259" s="80"/>
      <c r="I259" s="76"/>
      <c r="J259" s="76"/>
      <c r="K259" s="80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</row>
    <row r="260">
      <c r="A260" s="76"/>
      <c r="B260" s="80"/>
      <c r="C260" s="80"/>
      <c r="D260" s="80"/>
      <c r="E260" s="80"/>
      <c r="F260" s="76"/>
      <c r="G260" s="76"/>
      <c r="H260" s="80"/>
      <c r="I260" s="76"/>
      <c r="J260" s="76"/>
      <c r="K260" s="80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</row>
    <row r="261">
      <c r="A261" s="76"/>
      <c r="B261" s="80"/>
      <c r="C261" s="80"/>
      <c r="D261" s="80"/>
      <c r="E261" s="80"/>
      <c r="F261" s="76"/>
      <c r="G261" s="76"/>
      <c r="H261" s="80"/>
      <c r="I261" s="76"/>
      <c r="J261" s="76"/>
      <c r="K261" s="80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</row>
    <row r="262">
      <c r="A262" s="76"/>
      <c r="B262" s="80"/>
      <c r="C262" s="80"/>
      <c r="D262" s="80"/>
      <c r="E262" s="80"/>
      <c r="F262" s="76"/>
      <c r="G262" s="76"/>
      <c r="H262" s="80"/>
      <c r="I262" s="76"/>
      <c r="J262" s="76"/>
      <c r="K262" s="80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</row>
    <row r="263">
      <c r="A263" s="76"/>
      <c r="B263" s="80"/>
      <c r="C263" s="80"/>
      <c r="D263" s="80"/>
      <c r="E263" s="80"/>
      <c r="F263" s="76"/>
      <c r="G263" s="76"/>
      <c r="H263" s="80"/>
      <c r="I263" s="76"/>
      <c r="J263" s="76"/>
      <c r="K263" s="80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</row>
    <row r="264">
      <c r="A264" s="76"/>
      <c r="B264" s="80"/>
      <c r="C264" s="80"/>
      <c r="D264" s="80"/>
      <c r="E264" s="80"/>
      <c r="F264" s="76"/>
      <c r="G264" s="76"/>
      <c r="H264" s="80"/>
      <c r="I264" s="76"/>
      <c r="J264" s="76"/>
      <c r="K264" s="80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</row>
    <row r="265">
      <c r="A265" s="76"/>
      <c r="B265" s="80"/>
      <c r="C265" s="80"/>
      <c r="D265" s="80"/>
      <c r="E265" s="80"/>
      <c r="F265" s="76"/>
      <c r="G265" s="76"/>
      <c r="H265" s="80"/>
      <c r="I265" s="76"/>
      <c r="J265" s="76"/>
      <c r="K265" s="80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</row>
    <row r="266">
      <c r="A266" s="76"/>
      <c r="B266" s="80"/>
      <c r="C266" s="80"/>
      <c r="D266" s="80"/>
      <c r="E266" s="80"/>
      <c r="F266" s="76"/>
      <c r="G266" s="76"/>
      <c r="H266" s="80"/>
      <c r="I266" s="76"/>
      <c r="J266" s="76"/>
      <c r="K266" s="80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</row>
    <row r="267">
      <c r="A267" s="76"/>
      <c r="B267" s="80"/>
      <c r="C267" s="80"/>
      <c r="D267" s="80"/>
      <c r="E267" s="80"/>
      <c r="F267" s="76"/>
      <c r="G267" s="76"/>
      <c r="H267" s="80"/>
      <c r="I267" s="76"/>
      <c r="J267" s="76"/>
      <c r="K267" s="80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</row>
    <row r="268">
      <c r="A268" s="76"/>
      <c r="B268" s="80"/>
      <c r="C268" s="80"/>
      <c r="D268" s="80"/>
      <c r="E268" s="80"/>
      <c r="F268" s="76"/>
      <c r="G268" s="76"/>
      <c r="H268" s="80"/>
      <c r="I268" s="76"/>
      <c r="J268" s="76"/>
      <c r="K268" s="80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</row>
    <row r="269">
      <c r="A269" s="76"/>
      <c r="B269" s="80"/>
      <c r="C269" s="80"/>
      <c r="D269" s="80"/>
      <c r="E269" s="80"/>
      <c r="F269" s="76"/>
      <c r="G269" s="76"/>
      <c r="H269" s="80"/>
      <c r="I269" s="76"/>
      <c r="J269" s="76"/>
      <c r="K269" s="80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</row>
    <row r="270">
      <c r="A270" s="76"/>
      <c r="B270" s="80"/>
      <c r="C270" s="80"/>
      <c r="D270" s="80"/>
      <c r="E270" s="80"/>
      <c r="F270" s="76"/>
      <c r="G270" s="76"/>
      <c r="H270" s="80"/>
      <c r="I270" s="76"/>
      <c r="J270" s="76"/>
      <c r="K270" s="80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</row>
    <row r="271">
      <c r="A271" s="76"/>
      <c r="B271" s="80"/>
      <c r="C271" s="80"/>
      <c r="D271" s="80"/>
      <c r="E271" s="80"/>
      <c r="F271" s="76"/>
      <c r="G271" s="76"/>
      <c r="H271" s="80"/>
      <c r="I271" s="76"/>
      <c r="J271" s="76"/>
      <c r="K271" s="80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</row>
    <row r="272">
      <c r="A272" s="76"/>
      <c r="B272" s="80"/>
      <c r="C272" s="80"/>
      <c r="D272" s="80"/>
      <c r="E272" s="80"/>
      <c r="F272" s="76"/>
      <c r="G272" s="76"/>
      <c r="H272" s="80"/>
      <c r="I272" s="76"/>
      <c r="J272" s="76"/>
      <c r="K272" s="80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</row>
    <row r="273">
      <c r="A273" s="76"/>
      <c r="B273" s="80"/>
      <c r="C273" s="80"/>
      <c r="D273" s="80"/>
      <c r="E273" s="80"/>
      <c r="F273" s="76"/>
      <c r="G273" s="76"/>
      <c r="H273" s="80"/>
      <c r="I273" s="76"/>
      <c r="J273" s="76"/>
      <c r="K273" s="80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</row>
    <row r="274">
      <c r="A274" s="76"/>
      <c r="B274" s="80"/>
      <c r="C274" s="80"/>
      <c r="D274" s="80"/>
      <c r="E274" s="80"/>
      <c r="F274" s="76"/>
      <c r="G274" s="76"/>
      <c r="H274" s="80"/>
      <c r="I274" s="76"/>
      <c r="J274" s="76"/>
      <c r="K274" s="80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</row>
    <row r="275">
      <c r="A275" s="76"/>
      <c r="B275" s="80"/>
      <c r="C275" s="80"/>
      <c r="D275" s="80"/>
      <c r="E275" s="80"/>
      <c r="F275" s="76"/>
      <c r="G275" s="76"/>
      <c r="H275" s="80"/>
      <c r="I275" s="76"/>
      <c r="J275" s="76"/>
      <c r="K275" s="80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</row>
    <row r="276">
      <c r="A276" s="76"/>
      <c r="B276" s="80"/>
      <c r="C276" s="80"/>
      <c r="D276" s="80"/>
      <c r="E276" s="80"/>
      <c r="F276" s="76"/>
      <c r="G276" s="76"/>
      <c r="H276" s="80"/>
      <c r="I276" s="76"/>
      <c r="J276" s="76"/>
      <c r="K276" s="80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</row>
    <row r="277">
      <c r="A277" s="76"/>
      <c r="B277" s="80"/>
      <c r="C277" s="80"/>
      <c r="D277" s="80"/>
      <c r="E277" s="80"/>
      <c r="F277" s="76"/>
      <c r="G277" s="76"/>
      <c r="H277" s="80"/>
      <c r="I277" s="76"/>
      <c r="J277" s="76"/>
      <c r="K277" s="80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</row>
    <row r="278">
      <c r="A278" s="76"/>
      <c r="B278" s="80"/>
      <c r="C278" s="80"/>
      <c r="D278" s="80"/>
      <c r="E278" s="80"/>
      <c r="F278" s="76"/>
      <c r="G278" s="76"/>
      <c r="H278" s="80"/>
      <c r="I278" s="76"/>
      <c r="J278" s="76"/>
      <c r="K278" s="80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</row>
    <row r="279">
      <c r="A279" s="76"/>
      <c r="B279" s="80"/>
      <c r="C279" s="80"/>
      <c r="D279" s="80"/>
      <c r="E279" s="80"/>
      <c r="F279" s="76"/>
      <c r="G279" s="76"/>
      <c r="H279" s="80"/>
      <c r="I279" s="76"/>
      <c r="J279" s="76"/>
      <c r="K279" s="80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</row>
    <row r="280">
      <c r="A280" s="76"/>
      <c r="B280" s="80"/>
      <c r="C280" s="80"/>
      <c r="D280" s="80"/>
      <c r="E280" s="80"/>
      <c r="F280" s="76"/>
      <c r="G280" s="76"/>
      <c r="H280" s="80"/>
      <c r="I280" s="76"/>
      <c r="J280" s="76"/>
      <c r="K280" s="80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</row>
    <row r="281">
      <c r="A281" s="76"/>
      <c r="B281" s="80"/>
      <c r="C281" s="80"/>
      <c r="D281" s="80"/>
      <c r="E281" s="80"/>
      <c r="F281" s="76"/>
      <c r="G281" s="76"/>
      <c r="H281" s="80"/>
      <c r="I281" s="76"/>
      <c r="J281" s="76"/>
      <c r="K281" s="80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</row>
    <row r="282">
      <c r="A282" s="76"/>
      <c r="B282" s="80"/>
      <c r="C282" s="80"/>
      <c r="D282" s="80"/>
      <c r="E282" s="80"/>
      <c r="F282" s="76"/>
      <c r="G282" s="76"/>
      <c r="H282" s="80"/>
      <c r="I282" s="76"/>
      <c r="J282" s="76"/>
      <c r="K282" s="80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</row>
    <row r="283">
      <c r="A283" s="76"/>
      <c r="B283" s="80"/>
      <c r="C283" s="80"/>
      <c r="D283" s="80"/>
      <c r="E283" s="80"/>
      <c r="F283" s="76"/>
      <c r="G283" s="76"/>
      <c r="H283" s="80"/>
      <c r="I283" s="76"/>
      <c r="J283" s="76"/>
      <c r="K283" s="80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</row>
    <row r="284">
      <c r="A284" s="76"/>
      <c r="B284" s="80"/>
      <c r="C284" s="80"/>
      <c r="D284" s="80"/>
      <c r="E284" s="80"/>
      <c r="F284" s="76"/>
      <c r="G284" s="76"/>
      <c r="H284" s="80"/>
      <c r="I284" s="76"/>
      <c r="J284" s="76"/>
      <c r="K284" s="80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</row>
    <row r="285">
      <c r="A285" s="76"/>
      <c r="B285" s="80"/>
      <c r="C285" s="80"/>
      <c r="D285" s="80"/>
      <c r="E285" s="80"/>
      <c r="F285" s="76"/>
      <c r="G285" s="76"/>
      <c r="H285" s="80"/>
      <c r="I285" s="76"/>
      <c r="J285" s="76"/>
      <c r="K285" s="80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</row>
    <row r="286">
      <c r="A286" s="76"/>
      <c r="B286" s="80"/>
      <c r="C286" s="80"/>
      <c r="D286" s="80"/>
      <c r="E286" s="80"/>
      <c r="F286" s="76"/>
      <c r="G286" s="76"/>
      <c r="H286" s="80"/>
      <c r="I286" s="76"/>
      <c r="J286" s="76"/>
      <c r="K286" s="80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</row>
    <row r="287">
      <c r="A287" s="76"/>
      <c r="B287" s="80"/>
      <c r="C287" s="80"/>
      <c r="D287" s="80"/>
      <c r="E287" s="80"/>
      <c r="F287" s="76"/>
      <c r="G287" s="76"/>
      <c r="H287" s="80"/>
      <c r="I287" s="76"/>
      <c r="J287" s="76"/>
      <c r="K287" s="80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</row>
    <row r="288">
      <c r="A288" s="76"/>
      <c r="B288" s="80"/>
      <c r="C288" s="80"/>
      <c r="D288" s="80"/>
      <c r="E288" s="80"/>
      <c r="F288" s="76"/>
      <c r="G288" s="76"/>
      <c r="H288" s="80"/>
      <c r="I288" s="76"/>
      <c r="J288" s="76"/>
      <c r="K288" s="80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</row>
    <row r="289">
      <c r="A289" s="76"/>
      <c r="B289" s="80"/>
      <c r="C289" s="80"/>
      <c r="D289" s="80"/>
      <c r="E289" s="80"/>
      <c r="F289" s="76"/>
      <c r="G289" s="76"/>
      <c r="H289" s="80"/>
      <c r="I289" s="76"/>
      <c r="J289" s="76"/>
      <c r="K289" s="80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</row>
    <row r="290">
      <c r="A290" s="76"/>
      <c r="B290" s="80"/>
      <c r="C290" s="80"/>
      <c r="D290" s="80"/>
      <c r="E290" s="80"/>
      <c r="F290" s="76"/>
      <c r="G290" s="76"/>
      <c r="H290" s="80"/>
      <c r="I290" s="76"/>
      <c r="J290" s="76"/>
      <c r="K290" s="80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</row>
    <row r="291">
      <c r="A291" s="76"/>
      <c r="B291" s="80"/>
      <c r="C291" s="80"/>
      <c r="D291" s="80"/>
      <c r="E291" s="80"/>
      <c r="F291" s="76"/>
      <c r="G291" s="76"/>
      <c r="H291" s="80"/>
      <c r="I291" s="76"/>
      <c r="J291" s="76"/>
      <c r="K291" s="80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</row>
    <row r="292">
      <c r="A292" s="76"/>
      <c r="B292" s="80"/>
      <c r="C292" s="80"/>
      <c r="D292" s="80"/>
      <c r="E292" s="80"/>
      <c r="F292" s="76"/>
      <c r="G292" s="76"/>
      <c r="H292" s="80"/>
      <c r="I292" s="76"/>
      <c r="J292" s="76"/>
      <c r="K292" s="80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</row>
    <row r="293">
      <c r="A293" s="76"/>
      <c r="B293" s="80"/>
      <c r="C293" s="80"/>
      <c r="D293" s="80"/>
      <c r="E293" s="80"/>
      <c r="F293" s="76"/>
      <c r="G293" s="76"/>
      <c r="H293" s="80"/>
      <c r="I293" s="76"/>
      <c r="J293" s="76"/>
      <c r="K293" s="80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</row>
    <row r="294">
      <c r="A294" s="76"/>
      <c r="B294" s="80"/>
      <c r="C294" s="80"/>
      <c r="D294" s="80"/>
      <c r="E294" s="80"/>
      <c r="F294" s="76"/>
      <c r="G294" s="76"/>
      <c r="H294" s="80"/>
      <c r="I294" s="76"/>
      <c r="J294" s="76"/>
      <c r="K294" s="80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</row>
    <row r="295">
      <c r="A295" s="76"/>
      <c r="B295" s="80"/>
      <c r="C295" s="80"/>
      <c r="D295" s="80"/>
      <c r="E295" s="80"/>
      <c r="F295" s="76"/>
      <c r="G295" s="76"/>
      <c r="H295" s="80"/>
      <c r="I295" s="76"/>
      <c r="J295" s="76"/>
      <c r="K295" s="80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</row>
    <row r="296">
      <c r="A296" s="76"/>
      <c r="B296" s="80"/>
      <c r="C296" s="80"/>
      <c r="D296" s="80"/>
      <c r="E296" s="80"/>
      <c r="F296" s="76"/>
      <c r="G296" s="76"/>
      <c r="H296" s="80"/>
      <c r="I296" s="76"/>
      <c r="J296" s="76"/>
      <c r="K296" s="80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</row>
    <row r="297">
      <c r="A297" s="76"/>
      <c r="B297" s="80"/>
      <c r="C297" s="80"/>
      <c r="D297" s="80"/>
      <c r="E297" s="80"/>
      <c r="F297" s="76"/>
      <c r="G297" s="76"/>
      <c r="H297" s="80"/>
      <c r="I297" s="76"/>
      <c r="J297" s="76"/>
      <c r="K297" s="80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</row>
    <row r="298">
      <c r="A298" s="76"/>
      <c r="B298" s="80"/>
      <c r="C298" s="80"/>
      <c r="D298" s="80"/>
      <c r="E298" s="80"/>
      <c r="F298" s="76"/>
      <c r="G298" s="76"/>
      <c r="H298" s="80"/>
      <c r="I298" s="76"/>
      <c r="J298" s="76"/>
      <c r="K298" s="80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</row>
    <row r="299">
      <c r="A299" s="76"/>
      <c r="B299" s="80"/>
      <c r="C299" s="80"/>
      <c r="D299" s="80"/>
      <c r="E299" s="80"/>
      <c r="F299" s="76"/>
      <c r="G299" s="76"/>
      <c r="H299" s="80"/>
      <c r="I299" s="76"/>
      <c r="J299" s="76"/>
      <c r="K299" s="80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</row>
    <row r="300">
      <c r="A300" s="76"/>
      <c r="B300" s="80"/>
      <c r="C300" s="80"/>
      <c r="D300" s="80"/>
      <c r="E300" s="80"/>
      <c r="F300" s="76"/>
      <c r="G300" s="76"/>
      <c r="H300" s="80"/>
      <c r="I300" s="76"/>
      <c r="J300" s="76"/>
      <c r="K300" s="80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</row>
    <row r="301">
      <c r="A301" s="76"/>
      <c r="B301" s="80"/>
      <c r="C301" s="80"/>
      <c r="D301" s="80"/>
      <c r="E301" s="80"/>
      <c r="F301" s="76"/>
      <c r="G301" s="76"/>
      <c r="H301" s="80"/>
      <c r="I301" s="76"/>
      <c r="J301" s="76"/>
      <c r="K301" s="80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</row>
    <row r="302">
      <c r="A302" s="76"/>
      <c r="B302" s="80"/>
      <c r="C302" s="80"/>
      <c r="D302" s="80"/>
      <c r="E302" s="80"/>
      <c r="F302" s="76"/>
      <c r="G302" s="76"/>
      <c r="H302" s="80"/>
      <c r="I302" s="76"/>
      <c r="J302" s="76"/>
      <c r="K302" s="80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</row>
    <row r="303">
      <c r="A303" s="76"/>
      <c r="B303" s="80"/>
      <c r="C303" s="80"/>
      <c r="D303" s="80"/>
      <c r="E303" s="80"/>
      <c r="F303" s="76"/>
      <c r="G303" s="76"/>
      <c r="H303" s="80"/>
      <c r="I303" s="76"/>
      <c r="J303" s="76"/>
      <c r="K303" s="80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</row>
    <row r="304">
      <c r="A304" s="76"/>
      <c r="B304" s="80"/>
      <c r="C304" s="80"/>
      <c r="D304" s="80"/>
      <c r="E304" s="80"/>
      <c r="F304" s="76"/>
      <c r="G304" s="76"/>
      <c r="H304" s="80"/>
      <c r="I304" s="76"/>
      <c r="J304" s="76"/>
      <c r="K304" s="80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</row>
    <row r="305">
      <c r="A305" s="76"/>
      <c r="B305" s="80"/>
      <c r="C305" s="80"/>
      <c r="D305" s="80"/>
      <c r="E305" s="80"/>
      <c r="F305" s="76"/>
      <c r="G305" s="76"/>
      <c r="H305" s="80"/>
      <c r="I305" s="76"/>
      <c r="J305" s="76"/>
      <c r="K305" s="80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</row>
    <row r="306">
      <c r="A306" s="76"/>
      <c r="B306" s="80"/>
      <c r="C306" s="80"/>
      <c r="D306" s="80"/>
      <c r="E306" s="80"/>
      <c r="F306" s="76"/>
      <c r="G306" s="76"/>
      <c r="H306" s="80"/>
      <c r="I306" s="76"/>
      <c r="J306" s="76"/>
      <c r="K306" s="80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</row>
    <row r="307">
      <c r="A307" s="76"/>
      <c r="B307" s="80"/>
      <c r="C307" s="80"/>
      <c r="D307" s="80"/>
      <c r="E307" s="80"/>
      <c r="F307" s="76"/>
      <c r="G307" s="76"/>
      <c r="H307" s="80"/>
      <c r="I307" s="76"/>
      <c r="J307" s="76"/>
      <c r="K307" s="80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</row>
    <row r="308">
      <c r="A308" s="76"/>
      <c r="B308" s="80"/>
      <c r="C308" s="80"/>
      <c r="D308" s="80"/>
      <c r="E308" s="80"/>
      <c r="F308" s="76"/>
      <c r="G308" s="76"/>
      <c r="H308" s="80"/>
      <c r="I308" s="76"/>
      <c r="J308" s="76"/>
      <c r="K308" s="80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</row>
    <row r="309">
      <c r="A309" s="76"/>
      <c r="B309" s="80"/>
      <c r="C309" s="80"/>
      <c r="D309" s="80"/>
      <c r="E309" s="80"/>
      <c r="F309" s="76"/>
      <c r="G309" s="76"/>
      <c r="H309" s="80"/>
      <c r="I309" s="76"/>
      <c r="J309" s="76"/>
      <c r="K309" s="80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</row>
    <row r="310">
      <c r="A310" s="76"/>
      <c r="B310" s="80"/>
      <c r="C310" s="80"/>
      <c r="D310" s="80"/>
      <c r="E310" s="80"/>
      <c r="F310" s="76"/>
      <c r="G310" s="76"/>
      <c r="H310" s="80"/>
      <c r="I310" s="76"/>
      <c r="J310" s="76"/>
      <c r="K310" s="80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</row>
    <row r="311">
      <c r="A311" s="76"/>
      <c r="B311" s="80"/>
      <c r="C311" s="80"/>
      <c r="D311" s="80"/>
      <c r="E311" s="80"/>
      <c r="F311" s="76"/>
      <c r="G311" s="76"/>
      <c r="H311" s="80"/>
      <c r="I311" s="76"/>
      <c r="J311" s="76"/>
      <c r="K311" s="80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</row>
    <row r="312">
      <c r="A312" s="76"/>
      <c r="B312" s="80"/>
      <c r="C312" s="80"/>
      <c r="D312" s="80"/>
      <c r="E312" s="80"/>
      <c r="F312" s="76"/>
      <c r="G312" s="76"/>
      <c r="H312" s="80"/>
      <c r="I312" s="76"/>
      <c r="J312" s="76"/>
      <c r="K312" s="80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</row>
    <row r="313">
      <c r="A313" s="76"/>
      <c r="B313" s="80"/>
      <c r="C313" s="80"/>
      <c r="D313" s="80"/>
      <c r="E313" s="80"/>
      <c r="F313" s="76"/>
      <c r="G313" s="76"/>
      <c r="H313" s="80"/>
      <c r="I313" s="76"/>
      <c r="J313" s="76"/>
      <c r="K313" s="80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</row>
    <row r="314">
      <c r="A314" s="76"/>
      <c r="B314" s="80"/>
      <c r="C314" s="80"/>
      <c r="D314" s="80"/>
      <c r="E314" s="80"/>
      <c r="F314" s="76"/>
      <c r="G314" s="76"/>
      <c r="H314" s="80"/>
      <c r="I314" s="76"/>
      <c r="J314" s="76"/>
      <c r="K314" s="80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</row>
    <row r="315">
      <c r="A315" s="76"/>
      <c r="B315" s="80"/>
      <c r="C315" s="80"/>
      <c r="D315" s="80"/>
      <c r="E315" s="80"/>
      <c r="F315" s="76"/>
      <c r="G315" s="76"/>
      <c r="H315" s="80"/>
      <c r="I315" s="76"/>
      <c r="J315" s="76"/>
      <c r="K315" s="80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</row>
    <row r="316">
      <c r="A316" s="76"/>
      <c r="B316" s="80"/>
      <c r="C316" s="80"/>
      <c r="D316" s="80"/>
      <c r="E316" s="80"/>
      <c r="F316" s="76"/>
      <c r="G316" s="76"/>
      <c r="H316" s="80"/>
      <c r="I316" s="76"/>
      <c r="J316" s="76"/>
      <c r="K316" s="80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</row>
    <row r="317">
      <c r="A317" s="76"/>
      <c r="B317" s="80"/>
      <c r="C317" s="80"/>
      <c r="D317" s="80"/>
      <c r="E317" s="80"/>
      <c r="F317" s="76"/>
      <c r="G317" s="76"/>
      <c r="H317" s="80"/>
      <c r="I317" s="76"/>
      <c r="J317" s="76"/>
      <c r="K317" s="80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</row>
    <row r="318">
      <c r="A318" s="76"/>
      <c r="B318" s="80"/>
      <c r="C318" s="80"/>
      <c r="D318" s="80"/>
      <c r="E318" s="80"/>
      <c r="F318" s="76"/>
      <c r="G318" s="76"/>
      <c r="H318" s="80"/>
      <c r="I318" s="76"/>
      <c r="J318" s="76"/>
      <c r="K318" s="80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</row>
    <row r="319">
      <c r="A319" s="76"/>
      <c r="B319" s="80"/>
      <c r="C319" s="80"/>
      <c r="D319" s="80"/>
      <c r="E319" s="80"/>
      <c r="F319" s="76"/>
      <c r="G319" s="76"/>
      <c r="H319" s="80"/>
      <c r="I319" s="76"/>
      <c r="J319" s="76"/>
      <c r="K319" s="80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</row>
    <row r="320">
      <c r="A320" s="76"/>
      <c r="B320" s="80"/>
      <c r="C320" s="80"/>
      <c r="D320" s="80"/>
      <c r="E320" s="80"/>
      <c r="F320" s="76"/>
      <c r="G320" s="76"/>
      <c r="H320" s="80"/>
      <c r="I320" s="76"/>
      <c r="J320" s="76"/>
      <c r="K320" s="80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</row>
    <row r="321">
      <c r="A321" s="76"/>
      <c r="B321" s="80"/>
      <c r="C321" s="80"/>
      <c r="D321" s="80"/>
      <c r="E321" s="80"/>
      <c r="F321" s="76"/>
      <c r="G321" s="76"/>
      <c r="H321" s="80"/>
      <c r="I321" s="76"/>
      <c r="J321" s="76"/>
      <c r="K321" s="80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</row>
    <row r="322">
      <c r="A322" s="76"/>
      <c r="B322" s="80"/>
      <c r="C322" s="80"/>
      <c r="D322" s="80"/>
      <c r="E322" s="80"/>
      <c r="F322" s="76"/>
      <c r="G322" s="76"/>
      <c r="H322" s="80"/>
      <c r="I322" s="76"/>
      <c r="J322" s="76"/>
      <c r="K322" s="80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</row>
    <row r="323">
      <c r="A323" s="76"/>
      <c r="B323" s="80"/>
      <c r="C323" s="80"/>
      <c r="D323" s="80"/>
      <c r="E323" s="80"/>
      <c r="F323" s="76"/>
      <c r="G323" s="76"/>
      <c r="H323" s="80"/>
      <c r="I323" s="76"/>
      <c r="J323" s="76"/>
      <c r="K323" s="80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</row>
    <row r="324">
      <c r="A324" s="76"/>
      <c r="B324" s="80"/>
      <c r="C324" s="80"/>
      <c r="D324" s="80"/>
      <c r="E324" s="80"/>
      <c r="F324" s="76"/>
      <c r="G324" s="76"/>
      <c r="H324" s="80"/>
      <c r="I324" s="76"/>
      <c r="J324" s="76"/>
      <c r="K324" s="80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</row>
    <row r="325">
      <c r="A325" s="76"/>
      <c r="B325" s="80"/>
      <c r="C325" s="80"/>
      <c r="D325" s="80"/>
      <c r="E325" s="80"/>
      <c r="F325" s="76"/>
      <c r="G325" s="76"/>
      <c r="H325" s="80"/>
      <c r="I325" s="76"/>
      <c r="J325" s="76"/>
      <c r="K325" s="80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</row>
    <row r="326">
      <c r="A326" s="76"/>
      <c r="B326" s="80"/>
      <c r="C326" s="80"/>
      <c r="D326" s="80"/>
      <c r="E326" s="80"/>
      <c r="F326" s="76"/>
      <c r="G326" s="76"/>
      <c r="H326" s="80"/>
      <c r="I326" s="76"/>
      <c r="J326" s="76"/>
      <c r="K326" s="80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</row>
    <row r="327">
      <c r="A327" s="76"/>
      <c r="B327" s="80"/>
      <c r="C327" s="80"/>
      <c r="D327" s="80"/>
      <c r="E327" s="80"/>
      <c r="F327" s="76"/>
      <c r="G327" s="76"/>
      <c r="H327" s="80"/>
      <c r="I327" s="76"/>
      <c r="J327" s="76"/>
      <c r="K327" s="80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</row>
    <row r="328">
      <c r="A328" s="76"/>
      <c r="B328" s="80"/>
      <c r="C328" s="80"/>
      <c r="D328" s="80"/>
      <c r="E328" s="80"/>
      <c r="F328" s="76"/>
      <c r="G328" s="76"/>
      <c r="H328" s="80"/>
      <c r="I328" s="76"/>
      <c r="J328" s="76"/>
      <c r="K328" s="80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</row>
    <row r="329">
      <c r="A329" s="76"/>
      <c r="B329" s="80"/>
      <c r="C329" s="80"/>
      <c r="D329" s="80"/>
      <c r="E329" s="80"/>
      <c r="F329" s="76"/>
      <c r="G329" s="76"/>
      <c r="H329" s="80"/>
      <c r="I329" s="76"/>
      <c r="J329" s="76"/>
      <c r="K329" s="80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</row>
    <row r="330">
      <c r="A330" s="76"/>
      <c r="B330" s="80"/>
      <c r="C330" s="80"/>
      <c r="D330" s="80"/>
      <c r="E330" s="80"/>
      <c r="F330" s="76"/>
      <c r="G330" s="76"/>
      <c r="H330" s="80"/>
      <c r="I330" s="76"/>
      <c r="J330" s="76"/>
      <c r="K330" s="80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</row>
    <row r="331">
      <c r="A331" s="76"/>
      <c r="B331" s="80"/>
      <c r="C331" s="80"/>
      <c r="D331" s="80"/>
      <c r="E331" s="80"/>
      <c r="F331" s="76"/>
      <c r="G331" s="76"/>
      <c r="H331" s="80"/>
      <c r="I331" s="76"/>
      <c r="J331" s="76"/>
      <c r="K331" s="80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</row>
    <row r="332">
      <c r="A332" s="76"/>
      <c r="B332" s="80"/>
      <c r="C332" s="80"/>
      <c r="D332" s="80"/>
      <c r="E332" s="80"/>
      <c r="F332" s="76"/>
      <c r="G332" s="76"/>
      <c r="H332" s="80"/>
      <c r="I332" s="76"/>
      <c r="J332" s="76"/>
      <c r="K332" s="80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</row>
    <row r="333">
      <c r="A333" s="76"/>
      <c r="B333" s="80"/>
      <c r="C333" s="80"/>
      <c r="D333" s="80"/>
      <c r="E333" s="80"/>
      <c r="F333" s="76"/>
      <c r="G333" s="76"/>
      <c r="H333" s="80"/>
      <c r="I333" s="76"/>
      <c r="J333" s="76"/>
      <c r="K333" s="80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</row>
    <row r="334">
      <c r="A334" s="76"/>
      <c r="B334" s="80"/>
      <c r="C334" s="80"/>
      <c r="D334" s="80"/>
      <c r="E334" s="80"/>
      <c r="F334" s="76"/>
      <c r="G334" s="76"/>
      <c r="H334" s="80"/>
      <c r="I334" s="76"/>
      <c r="J334" s="76"/>
      <c r="K334" s="80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</row>
    <row r="335">
      <c r="A335" s="76"/>
      <c r="B335" s="80"/>
      <c r="C335" s="80"/>
      <c r="D335" s="80"/>
      <c r="E335" s="80"/>
      <c r="F335" s="76"/>
      <c r="G335" s="76"/>
      <c r="H335" s="80"/>
      <c r="I335" s="76"/>
      <c r="J335" s="76"/>
      <c r="K335" s="80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</row>
    <row r="336">
      <c r="A336" s="76"/>
      <c r="B336" s="80"/>
      <c r="C336" s="80"/>
      <c r="D336" s="80"/>
      <c r="E336" s="80"/>
      <c r="F336" s="76"/>
      <c r="G336" s="76"/>
      <c r="H336" s="80"/>
      <c r="I336" s="76"/>
      <c r="J336" s="76"/>
      <c r="K336" s="80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</row>
    <row r="337">
      <c r="A337" s="76"/>
      <c r="B337" s="80"/>
      <c r="C337" s="80"/>
      <c r="D337" s="80"/>
      <c r="E337" s="80"/>
      <c r="F337" s="76"/>
      <c r="G337" s="76"/>
      <c r="H337" s="80"/>
      <c r="I337" s="76"/>
      <c r="J337" s="76"/>
      <c r="K337" s="80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</row>
    <row r="338">
      <c r="A338" s="76"/>
      <c r="B338" s="80"/>
      <c r="C338" s="80"/>
      <c r="D338" s="80"/>
      <c r="E338" s="80"/>
      <c r="F338" s="76"/>
      <c r="G338" s="76"/>
      <c r="H338" s="80"/>
      <c r="I338" s="76"/>
      <c r="J338" s="76"/>
      <c r="K338" s="80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</row>
    <row r="339">
      <c r="A339" s="76"/>
      <c r="B339" s="80"/>
      <c r="C339" s="80"/>
      <c r="D339" s="80"/>
      <c r="E339" s="80"/>
      <c r="F339" s="76"/>
      <c r="G339" s="76"/>
      <c r="H339" s="80"/>
      <c r="I339" s="76"/>
      <c r="J339" s="76"/>
      <c r="K339" s="80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</row>
    <row r="340">
      <c r="A340" s="76"/>
      <c r="B340" s="80"/>
      <c r="C340" s="80"/>
      <c r="D340" s="80"/>
      <c r="E340" s="80"/>
      <c r="F340" s="76"/>
      <c r="G340" s="76"/>
      <c r="H340" s="80"/>
      <c r="I340" s="76"/>
      <c r="J340" s="76"/>
      <c r="K340" s="80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</row>
    <row r="341">
      <c r="A341" s="76"/>
      <c r="B341" s="80"/>
      <c r="C341" s="80"/>
      <c r="D341" s="80"/>
      <c r="E341" s="80"/>
      <c r="F341" s="76"/>
      <c r="G341" s="76"/>
      <c r="H341" s="80"/>
      <c r="I341" s="76"/>
      <c r="J341" s="76"/>
      <c r="K341" s="80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</row>
    <row r="342">
      <c r="A342" s="76"/>
      <c r="B342" s="80"/>
      <c r="C342" s="80"/>
      <c r="D342" s="80"/>
      <c r="E342" s="80"/>
      <c r="F342" s="76"/>
      <c r="G342" s="76"/>
      <c r="H342" s="80"/>
      <c r="I342" s="76"/>
      <c r="J342" s="76"/>
      <c r="K342" s="80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</row>
    <row r="343">
      <c r="A343" s="76"/>
      <c r="B343" s="80"/>
      <c r="C343" s="80"/>
      <c r="D343" s="80"/>
      <c r="E343" s="80"/>
      <c r="F343" s="76"/>
      <c r="G343" s="76"/>
      <c r="H343" s="80"/>
      <c r="I343" s="76"/>
      <c r="J343" s="76"/>
      <c r="K343" s="80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</row>
    <row r="344">
      <c r="A344" s="76"/>
      <c r="B344" s="80"/>
      <c r="C344" s="80"/>
      <c r="D344" s="80"/>
      <c r="E344" s="80"/>
      <c r="F344" s="76"/>
      <c r="G344" s="76"/>
      <c r="H344" s="80"/>
      <c r="I344" s="76"/>
      <c r="J344" s="76"/>
      <c r="K344" s="80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</row>
    <row r="345">
      <c r="A345" s="76"/>
      <c r="B345" s="80"/>
      <c r="C345" s="80"/>
      <c r="D345" s="80"/>
      <c r="E345" s="80"/>
      <c r="F345" s="76"/>
      <c r="G345" s="76"/>
      <c r="H345" s="80"/>
      <c r="I345" s="76"/>
      <c r="J345" s="76"/>
      <c r="K345" s="80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</row>
    <row r="346">
      <c r="A346" s="76"/>
      <c r="B346" s="80"/>
      <c r="C346" s="80"/>
      <c r="D346" s="80"/>
      <c r="E346" s="80"/>
      <c r="F346" s="76"/>
      <c r="G346" s="76"/>
      <c r="H346" s="80"/>
      <c r="I346" s="76"/>
      <c r="J346" s="76"/>
      <c r="K346" s="80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</row>
    <row r="347">
      <c r="A347" s="76"/>
      <c r="B347" s="80"/>
      <c r="C347" s="80"/>
      <c r="D347" s="80"/>
      <c r="E347" s="80"/>
      <c r="F347" s="76"/>
      <c r="G347" s="76"/>
      <c r="H347" s="80"/>
      <c r="I347" s="76"/>
      <c r="J347" s="76"/>
      <c r="K347" s="80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</row>
    <row r="348">
      <c r="A348" s="76"/>
      <c r="B348" s="80"/>
      <c r="C348" s="80"/>
      <c r="D348" s="80"/>
      <c r="E348" s="80"/>
      <c r="F348" s="76"/>
      <c r="G348" s="76"/>
      <c r="H348" s="80"/>
      <c r="I348" s="76"/>
      <c r="J348" s="76"/>
      <c r="K348" s="80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</row>
    <row r="349">
      <c r="A349" s="76"/>
      <c r="B349" s="80"/>
      <c r="C349" s="80"/>
      <c r="D349" s="80"/>
      <c r="E349" s="80"/>
      <c r="F349" s="76"/>
      <c r="G349" s="76"/>
      <c r="H349" s="80"/>
      <c r="I349" s="76"/>
      <c r="J349" s="76"/>
      <c r="K349" s="80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</row>
    <row r="350">
      <c r="A350" s="76"/>
      <c r="B350" s="80"/>
      <c r="C350" s="80"/>
      <c r="D350" s="80"/>
      <c r="E350" s="80"/>
      <c r="F350" s="76"/>
      <c r="G350" s="76"/>
      <c r="H350" s="80"/>
      <c r="I350" s="76"/>
      <c r="J350" s="76"/>
      <c r="K350" s="80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</row>
    <row r="351">
      <c r="A351" s="76"/>
      <c r="B351" s="80"/>
      <c r="C351" s="80"/>
      <c r="D351" s="80"/>
      <c r="E351" s="80"/>
      <c r="F351" s="76"/>
      <c r="G351" s="76"/>
      <c r="H351" s="80"/>
      <c r="I351" s="76"/>
      <c r="J351" s="76"/>
      <c r="K351" s="80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</row>
    <row r="352">
      <c r="A352" s="76"/>
      <c r="B352" s="80"/>
      <c r="C352" s="80"/>
      <c r="D352" s="80"/>
      <c r="E352" s="80"/>
      <c r="F352" s="76"/>
      <c r="G352" s="76"/>
      <c r="H352" s="80"/>
      <c r="I352" s="76"/>
      <c r="J352" s="76"/>
      <c r="K352" s="80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</row>
    <row r="353">
      <c r="A353" s="76"/>
      <c r="B353" s="80"/>
      <c r="C353" s="80"/>
      <c r="D353" s="80"/>
      <c r="E353" s="80"/>
      <c r="F353" s="76"/>
      <c r="G353" s="76"/>
      <c r="H353" s="80"/>
      <c r="I353" s="76"/>
      <c r="J353" s="76"/>
      <c r="K353" s="80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</row>
    <row r="354">
      <c r="A354" s="76"/>
      <c r="B354" s="80"/>
      <c r="C354" s="80"/>
      <c r="D354" s="80"/>
      <c r="E354" s="80"/>
      <c r="F354" s="76"/>
      <c r="G354" s="76"/>
      <c r="H354" s="80"/>
      <c r="I354" s="76"/>
      <c r="J354" s="76"/>
      <c r="K354" s="80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</row>
    <row r="355">
      <c r="A355" s="76"/>
      <c r="B355" s="80"/>
      <c r="C355" s="80"/>
      <c r="D355" s="80"/>
      <c r="E355" s="80"/>
      <c r="F355" s="76"/>
      <c r="G355" s="76"/>
      <c r="H355" s="80"/>
      <c r="I355" s="76"/>
      <c r="J355" s="76"/>
      <c r="K355" s="80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</row>
    <row r="356">
      <c r="A356" s="76"/>
      <c r="B356" s="80"/>
      <c r="C356" s="80"/>
      <c r="D356" s="80"/>
      <c r="E356" s="80"/>
      <c r="F356" s="76"/>
      <c r="G356" s="76"/>
      <c r="H356" s="80"/>
      <c r="I356" s="76"/>
      <c r="J356" s="76"/>
      <c r="K356" s="80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</row>
    <row r="357">
      <c r="A357" s="76"/>
      <c r="B357" s="80"/>
      <c r="C357" s="80"/>
      <c r="D357" s="80"/>
      <c r="E357" s="80"/>
      <c r="F357" s="76"/>
      <c r="G357" s="76"/>
      <c r="H357" s="80"/>
      <c r="I357" s="76"/>
      <c r="J357" s="76"/>
      <c r="K357" s="80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</row>
    <row r="358">
      <c r="A358" s="76"/>
      <c r="B358" s="80"/>
      <c r="C358" s="80"/>
      <c r="D358" s="80"/>
      <c r="E358" s="80"/>
      <c r="F358" s="76"/>
      <c r="G358" s="76"/>
      <c r="H358" s="80"/>
      <c r="I358" s="76"/>
      <c r="J358" s="76"/>
      <c r="K358" s="80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</row>
    <row r="359">
      <c r="A359" s="76"/>
      <c r="B359" s="80"/>
      <c r="C359" s="80"/>
      <c r="D359" s="80"/>
      <c r="E359" s="80"/>
      <c r="F359" s="76"/>
      <c r="G359" s="76"/>
      <c r="H359" s="80"/>
      <c r="I359" s="76"/>
      <c r="J359" s="76"/>
      <c r="K359" s="80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</row>
    <row r="360">
      <c r="A360" s="76"/>
      <c r="B360" s="80"/>
      <c r="C360" s="80"/>
      <c r="D360" s="80"/>
      <c r="E360" s="80"/>
      <c r="F360" s="76"/>
      <c r="G360" s="76"/>
      <c r="H360" s="80"/>
      <c r="I360" s="76"/>
      <c r="J360" s="76"/>
      <c r="K360" s="80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</row>
    <row r="361">
      <c r="A361" s="76"/>
      <c r="B361" s="80"/>
      <c r="C361" s="80"/>
      <c r="D361" s="80"/>
      <c r="E361" s="80"/>
      <c r="F361" s="76"/>
      <c r="G361" s="76"/>
      <c r="H361" s="80"/>
      <c r="I361" s="76"/>
      <c r="J361" s="76"/>
      <c r="K361" s="80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</row>
    <row r="362">
      <c r="A362" s="76"/>
      <c r="B362" s="80"/>
      <c r="C362" s="80"/>
      <c r="D362" s="80"/>
      <c r="E362" s="80"/>
      <c r="F362" s="76"/>
      <c r="G362" s="76"/>
      <c r="H362" s="80"/>
      <c r="I362" s="76"/>
      <c r="J362" s="76"/>
      <c r="K362" s="80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</row>
    <row r="363">
      <c r="A363" s="76"/>
      <c r="B363" s="80"/>
      <c r="C363" s="80"/>
      <c r="D363" s="80"/>
      <c r="E363" s="80"/>
      <c r="F363" s="76"/>
      <c r="G363" s="76"/>
      <c r="H363" s="80"/>
      <c r="I363" s="76"/>
      <c r="J363" s="76"/>
      <c r="K363" s="80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</row>
    <row r="364">
      <c r="A364" s="76"/>
      <c r="B364" s="80"/>
      <c r="C364" s="80"/>
      <c r="D364" s="80"/>
      <c r="E364" s="80"/>
      <c r="F364" s="76"/>
      <c r="G364" s="76"/>
      <c r="H364" s="80"/>
      <c r="I364" s="76"/>
      <c r="J364" s="76"/>
      <c r="K364" s="80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</row>
    <row r="365">
      <c r="A365" s="76"/>
      <c r="B365" s="80"/>
      <c r="C365" s="80"/>
      <c r="D365" s="80"/>
      <c r="E365" s="80"/>
      <c r="F365" s="76"/>
      <c r="G365" s="76"/>
      <c r="H365" s="80"/>
      <c r="I365" s="76"/>
      <c r="J365" s="76"/>
      <c r="K365" s="80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</row>
    <row r="366">
      <c r="A366" s="76"/>
      <c r="B366" s="80"/>
      <c r="C366" s="80"/>
      <c r="D366" s="80"/>
      <c r="E366" s="80"/>
      <c r="F366" s="76"/>
      <c r="G366" s="76"/>
      <c r="H366" s="80"/>
      <c r="I366" s="76"/>
      <c r="J366" s="76"/>
      <c r="K366" s="80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</row>
    <row r="367">
      <c r="A367" s="76"/>
      <c r="B367" s="80"/>
      <c r="C367" s="80"/>
      <c r="D367" s="80"/>
      <c r="E367" s="80"/>
      <c r="F367" s="76"/>
      <c r="G367" s="76"/>
      <c r="H367" s="80"/>
      <c r="I367" s="76"/>
      <c r="J367" s="76"/>
      <c r="K367" s="80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</row>
    <row r="368">
      <c r="A368" s="76"/>
      <c r="B368" s="80"/>
      <c r="C368" s="80"/>
      <c r="D368" s="80"/>
      <c r="E368" s="80"/>
      <c r="F368" s="76"/>
      <c r="G368" s="76"/>
      <c r="H368" s="80"/>
      <c r="I368" s="76"/>
      <c r="J368" s="76"/>
      <c r="K368" s="80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</row>
    <row r="369">
      <c r="A369" s="76"/>
      <c r="B369" s="80"/>
      <c r="C369" s="80"/>
      <c r="D369" s="80"/>
      <c r="E369" s="80"/>
      <c r="F369" s="76"/>
      <c r="G369" s="76"/>
      <c r="H369" s="80"/>
      <c r="I369" s="76"/>
      <c r="J369" s="76"/>
      <c r="K369" s="80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</row>
    <row r="370">
      <c r="A370" s="76"/>
      <c r="B370" s="80"/>
      <c r="C370" s="80"/>
      <c r="D370" s="80"/>
      <c r="E370" s="80"/>
      <c r="F370" s="76"/>
      <c r="G370" s="76"/>
      <c r="H370" s="80"/>
      <c r="I370" s="76"/>
      <c r="J370" s="76"/>
      <c r="K370" s="80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</row>
    <row r="371">
      <c r="A371" s="76"/>
      <c r="B371" s="80"/>
      <c r="C371" s="80"/>
      <c r="D371" s="80"/>
      <c r="E371" s="80"/>
      <c r="F371" s="76"/>
      <c r="G371" s="76"/>
      <c r="H371" s="80"/>
      <c r="I371" s="76"/>
      <c r="J371" s="76"/>
      <c r="K371" s="80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</row>
    <row r="372">
      <c r="A372" s="76"/>
      <c r="B372" s="80"/>
      <c r="C372" s="80"/>
      <c r="D372" s="80"/>
      <c r="E372" s="80"/>
      <c r="F372" s="76"/>
      <c r="G372" s="76"/>
      <c r="H372" s="80"/>
      <c r="I372" s="76"/>
      <c r="J372" s="76"/>
      <c r="K372" s="80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</row>
    <row r="373">
      <c r="A373" s="76"/>
      <c r="B373" s="80"/>
      <c r="C373" s="80"/>
      <c r="D373" s="80"/>
      <c r="E373" s="80"/>
      <c r="F373" s="76"/>
      <c r="G373" s="76"/>
      <c r="H373" s="80"/>
      <c r="I373" s="76"/>
      <c r="J373" s="76"/>
      <c r="K373" s="80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</row>
    <row r="374">
      <c r="A374" s="76"/>
      <c r="B374" s="80"/>
      <c r="C374" s="80"/>
      <c r="D374" s="80"/>
      <c r="E374" s="80"/>
      <c r="F374" s="76"/>
      <c r="G374" s="76"/>
      <c r="H374" s="80"/>
      <c r="I374" s="76"/>
      <c r="J374" s="76"/>
      <c r="K374" s="80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</row>
    <row r="375">
      <c r="A375" s="76"/>
      <c r="B375" s="80"/>
      <c r="C375" s="80"/>
      <c r="D375" s="80"/>
      <c r="E375" s="80"/>
      <c r="F375" s="76"/>
      <c r="G375" s="76"/>
      <c r="H375" s="80"/>
      <c r="I375" s="76"/>
      <c r="J375" s="76"/>
      <c r="K375" s="80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</row>
    <row r="376">
      <c r="A376" s="76"/>
      <c r="B376" s="80"/>
      <c r="C376" s="80"/>
      <c r="D376" s="80"/>
      <c r="E376" s="80"/>
      <c r="F376" s="76"/>
      <c r="G376" s="76"/>
      <c r="H376" s="80"/>
      <c r="I376" s="76"/>
      <c r="J376" s="76"/>
      <c r="K376" s="80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</row>
    <row r="377">
      <c r="A377" s="76"/>
      <c r="B377" s="80"/>
      <c r="C377" s="80"/>
      <c r="D377" s="80"/>
      <c r="E377" s="80"/>
      <c r="F377" s="76"/>
      <c r="G377" s="76"/>
      <c r="H377" s="80"/>
      <c r="I377" s="76"/>
      <c r="J377" s="76"/>
      <c r="K377" s="80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</row>
    <row r="378">
      <c r="A378" s="76"/>
      <c r="B378" s="80"/>
      <c r="C378" s="80"/>
      <c r="D378" s="80"/>
      <c r="E378" s="80"/>
      <c r="F378" s="76"/>
      <c r="G378" s="76"/>
      <c r="H378" s="80"/>
      <c r="I378" s="76"/>
      <c r="J378" s="76"/>
      <c r="K378" s="80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</row>
    <row r="379">
      <c r="A379" s="76"/>
      <c r="B379" s="80"/>
      <c r="C379" s="80"/>
      <c r="D379" s="80"/>
      <c r="E379" s="80"/>
      <c r="F379" s="76"/>
      <c r="G379" s="76"/>
      <c r="H379" s="80"/>
      <c r="I379" s="76"/>
      <c r="J379" s="76"/>
      <c r="K379" s="80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</row>
    <row r="380">
      <c r="A380" s="76"/>
      <c r="B380" s="80"/>
      <c r="C380" s="80"/>
      <c r="D380" s="80"/>
      <c r="E380" s="80"/>
      <c r="F380" s="76"/>
      <c r="G380" s="76"/>
      <c r="H380" s="80"/>
      <c r="I380" s="76"/>
      <c r="J380" s="76"/>
      <c r="K380" s="80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</row>
    <row r="381">
      <c r="A381" s="76"/>
      <c r="B381" s="80"/>
      <c r="C381" s="80"/>
      <c r="D381" s="80"/>
      <c r="E381" s="80"/>
      <c r="F381" s="76"/>
      <c r="G381" s="76"/>
      <c r="H381" s="80"/>
      <c r="I381" s="76"/>
      <c r="J381" s="76"/>
      <c r="K381" s="80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</row>
    <row r="382">
      <c r="A382" s="76"/>
      <c r="B382" s="80"/>
      <c r="C382" s="80"/>
      <c r="D382" s="80"/>
      <c r="E382" s="80"/>
      <c r="F382" s="76"/>
      <c r="G382" s="76"/>
      <c r="H382" s="80"/>
      <c r="I382" s="76"/>
      <c r="J382" s="76"/>
      <c r="K382" s="80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</row>
    <row r="383">
      <c r="A383" s="76"/>
      <c r="B383" s="80"/>
      <c r="C383" s="80"/>
      <c r="D383" s="80"/>
      <c r="E383" s="80"/>
      <c r="F383" s="76"/>
      <c r="G383" s="76"/>
      <c r="H383" s="80"/>
      <c r="I383" s="76"/>
      <c r="J383" s="76"/>
      <c r="K383" s="80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</row>
    <row r="384">
      <c r="A384" s="76"/>
      <c r="B384" s="80"/>
      <c r="C384" s="80"/>
      <c r="D384" s="80"/>
      <c r="E384" s="80"/>
      <c r="F384" s="76"/>
      <c r="G384" s="76"/>
      <c r="H384" s="80"/>
      <c r="I384" s="76"/>
      <c r="J384" s="76"/>
      <c r="K384" s="80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</row>
    <row r="385">
      <c r="A385" s="76"/>
      <c r="B385" s="80"/>
      <c r="C385" s="80"/>
      <c r="D385" s="80"/>
      <c r="E385" s="80"/>
      <c r="F385" s="76"/>
      <c r="G385" s="76"/>
      <c r="H385" s="80"/>
      <c r="I385" s="76"/>
      <c r="J385" s="76"/>
      <c r="K385" s="80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</row>
    <row r="386">
      <c r="A386" s="76"/>
      <c r="B386" s="80"/>
      <c r="C386" s="80"/>
      <c r="D386" s="80"/>
      <c r="E386" s="80"/>
      <c r="F386" s="76"/>
      <c r="G386" s="76"/>
      <c r="H386" s="80"/>
      <c r="I386" s="76"/>
      <c r="J386" s="76"/>
      <c r="K386" s="80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</row>
    <row r="387">
      <c r="A387" s="76"/>
      <c r="B387" s="80"/>
      <c r="C387" s="80"/>
      <c r="D387" s="80"/>
      <c r="E387" s="80"/>
      <c r="F387" s="76"/>
      <c r="G387" s="76"/>
      <c r="H387" s="80"/>
      <c r="I387" s="76"/>
      <c r="J387" s="76"/>
      <c r="K387" s="80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</row>
    <row r="388">
      <c r="A388" s="76"/>
      <c r="B388" s="80"/>
      <c r="C388" s="80"/>
      <c r="D388" s="80"/>
      <c r="E388" s="80"/>
      <c r="F388" s="76"/>
      <c r="G388" s="76"/>
      <c r="H388" s="80"/>
      <c r="I388" s="76"/>
      <c r="J388" s="76"/>
      <c r="K388" s="80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</row>
    <row r="389">
      <c r="A389" s="76"/>
      <c r="B389" s="80"/>
      <c r="C389" s="80"/>
      <c r="D389" s="80"/>
      <c r="E389" s="80"/>
      <c r="F389" s="76"/>
      <c r="G389" s="76"/>
      <c r="H389" s="80"/>
      <c r="I389" s="76"/>
      <c r="J389" s="76"/>
      <c r="K389" s="80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</row>
    <row r="390">
      <c r="A390" s="76"/>
      <c r="B390" s="80"/>
      <c r="C390" s="80"/>
      <c r="D390" s="80"/>
      <c r="E390" s="80"/>
      <c r="F390" s="76"/>
      <c r="G390" s="76"/>
      <c r="H390" s="80"/>
      <c r="I390" s="76"/>
      <c r="J390" s="76"/>
      <c r="K390" s="80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</row>
    <row r="391">
      <c r="A391" s="76"/>
      <c r="B391" s="80"/>
      <c r="C391" s="80"/>
      <c r="D391" s="80"/>
      <c r="E391" s="80"/>
      <c r="F391" s="76"/>
      <c r="G391" s="76"/>
      <c r="H391" s="80"/>
      <c r="I391" s="76"/>
      <c r="J391" s="76"/>
      <c r="K391" s="80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</row>
    <row r="392">
      <c r="A392" s="76"/>
      <c r="B392" s="80"/>
      <c r="C392" s="80"/>
      <c r="D392" s="80"/>
      <c r="E392" s="80"/>
      <c r="F392" s="76"/>
      <c r="G392" s="76"/>
      <c r="H392" s="80"/>
      <c r="I392" s="76"/>
      <c r="J392" s="76"/>
      <c r="K392" s="80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</row>
    <row r="393">
      <c r="A393" s="76"/>
      <c r="B393" s="80"/>
      <c r="C393" s="80"/>
      <c r="D393" s="80"/>
      <c r="E393" s="80"/>
      <c r="F393" s="76"/>
      <c r="G393" s="76"/>
      <c r="H393" s="80"/>
      <c r="I393" s="76"/>
      <c r="J393" s="76"/>
      <c r="K393" s="80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</row>
    <row r="394">
      <c r="A394" s="76"/>
      <c r="B394" s="80"/>
      <c r="C394" s="80"/>
      <c r="D394" s="80"/>
      <c r="E394" s="80"/>
      <c r="F394" s="76"/>
      <c r="G394" s="76"/>
      <c r="H394" s="80"/>
      <c r="I394" s="76"/>
      <c r="J394" s="76"/>
      <c r="K394" s="80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</row>
    <row r="395">
      <c r="A395" s="76"/>
      <c r="B395" s="80"/>
      <c r="C395" s="80"/>
      <c r="D395" s="80"/>
      <c r="E395" s="80"/>
      <c r="F395" s="76"/>
      <c r="G395" s="76"/>
      <c r="H395" s="80"/>
      <c r="I395" s="76"/>
      <c r="J395" s="76"/>
      <c r="K395" s="80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</row>
    <row r="396">
      <c r="A396" s="76"/>
      <c r="B396" s="80"/>
      <c r="C396" s="80"/>
      <c r="D396" s="80"/>
      <c r="E396" s="80"/>
      <c r="F396" s="76"/>
      <c r="G396" s="76"/>
      <c r="H396" s="80"/>
      <c r="I396" s="76"/>
      <c r="J396" s="76"/>
      <c r="K396" s="80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</row>
    <row r="397">
      <c r="A397" s="76"/>
      <c r="B397" s="80"/>
      <c r="C397" s="80"/>
      <c r="D397" s="80"/>
      <c r="E397" s="80"/>
      <c r="F397" s="76"/>
      <c r="G397" s="76"/>
      <c r="H397" s="80"/>
      <c r="I397" s="76"/>
      <c r="J397" s="76"/>
      <c r="K397" s="80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</row>
    <row r="398">
      <c r="A398" s="76"/>
      <c r="B398" s="80"/>
      <c r="C398" s="80"/>
      <c r="D398" s="80"/>
      <c r="E398" s="80"/>
      <c r="F398" s="76"/>
      <c r="G398" s="76"/>
      <c r="H398" s="80"/>
      <c r="I398" s="76"/>
      <c r="J398" s="76"/>
      <c r="K398" s="80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</row>
    <row r="399">
      <c r="A399" s="76"/>
      <c r="B399" s="80"/>
      <c r="C399" s="80"/>
      <c r="D399" s="80"/>
      <c r="E399" s="80"/>
      <c r="F399" s="76"/>
      <c r="G399" s="76"/>
      <c r="H399" s="80"/>
      <c r="I399" s="76"/>
      <c r="J399" s="76"/>
      <c r="K399" s="80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</row>
    <row r="400">
      <c r="A400" s="76"/>
      <c r="B400" s="80"/>
      <c r="C400" s="80"/>
      <c r="D400" s="80"/>
      <c r="E400" s="80"/>
      <c r="F400" s="76"/>
      <c r="G400" s="76"/>
      <c r="H400" s="80"/>
      <c r="I400" s="76"/>
      <c r="J400" s="76"/>
      <c r="K400" s="80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</row>
    <row r="401">
      <c r="A401" s="76"/>
      <c r="B401" s="80"/>
      <c r="C401" s="80"/>
      <c r="D401" s="80"/>
      <c r="E401" s="80"/>
      <c r="F401" s="76"/>
      <c r="G401" s="76"/>
      <c r="H401" s="80"/>
      <c r="I401" s="76"/>
      <c r="J401" s="76"/>
      <c r="K401" s="80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</row>
    <row r="402">
      <c r="A402" s="76"/>
      <c r="B402" s="80"/>
      <c r="C402" s="80"/>
      <c r="D402" s="80"/>
      <c r="E402" s="80"/>
      <c r="F402" s="76"/>
      <c r="G402" s="76"/>
      <c r="H402" s="80"/>
      <c r="I402" s="76"/>
      <c r="J402" s="76"/>
      <c r="K402" s="80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</row>
    <row r="403">
      <c r="A403" s="76"/>
      <c r="B403" s="80"/>
      <c r="C403" s="80"/>
      <c r="D403" s="80"/>
      <c r="E403" s="80"/>
      <c r="F403" s="76"/>
      <c r="G403" s="76"/>
      <c r="H403" s="80"/>
      <c r="I403" s="76"/>
      <c r="J403" s="76"/>
      <c r="K403" s="80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</row>
    <row r="404">
      <c r="A404" s="76"/>
      <c r="B404" s="80"/>
      <c r="C404" s="80"/>
      <c r="D404" s="80"/>
      <c r="E404" s="80"/>
      <c r="F404" s="76"/>
      <c r="G404" s="76"/>
      <c r="H404" s="80"/>
      <c r="I404" s="76"/>
      <c r="J404" s="76"/>
      <c r="K404" s="80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</row>
    <row r="405">
      <c r="A405" s="76"/>
      <c r="B405" s="80"/>
      <c r="C405" s="80"/>
      <c r="D405" s="80"/>
      <c r="E405" s="80"/>
      <c r="F405" s="76"/>
      <c r="G405" s="76"/>
      <c r="H405" s="80"/>
      <c r="I405" s="76"/>
      <c r="J405" s="76"/>
      <c r="K405" s="80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</row>
    <row r="406">
      <c r="A406" s="76"/>
      <c r="B406" s="80"/>
      <c r="C406" s="80"/>
      <c r="D406" s="80"/>
      <c r="E406" s="80"/>
      <c r="F406" s="76"/>
      <c r="G406" s="76"/>
      <c r="H406" s="80"/>
      <c r="I406" s="76"/>
      <c r="J406" s="76"/>
      <c r="K406" s="80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</row>
    <row r="407">
      <c r="A407" s="76"/>
      <c r="B407" s="80"/>
      <c r="C407" s="80"/>
      <c r="D407" s="80"/>
      <c r="E407" s="80"/>
      <c r="F407" s="76"/>
      <c r="G407" s="76"/>
      <c r="H407" s="80"/>
      <c r="I407" s="76"/>
      <c r="J407" s="76"/>
      <c r="K407" s="80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</row>
    <row r="408">
      <c r="A408" s="76"/>
      <c r="B408" s="80"/>
      <c r="C408" s="80"/>
      <c r="D408" s="80"/>
      <c r="E408" s="80"/>
      <c r="F408" s="76"/>
      <c r="G408" s="76"/>
      <c r="H408" s="80"/>
      <c r="I408" s="76"/>
      <c r="J408" s="76"/>
      <c r="K408" s="80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</row>
    <row r="409">
      <c r="A409" s="76"/>
      <c r="B409" s="80"/>
      <c r="C409" s="80"/>
      <c r="D409" s="80"/>
      <c r="E409" s="80"/>
      <c r="F409" s="76"/>
      <c r="G409" s="76"/>
      <c r="H409" s="80"/>
      <c r="I409" s="76"/>
      <c r="J409" s="76"/>
      <c r="K409" s="80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</row>
    <row r="410">
      <c r="A410" s="76"/>
      <c r="B410" s="80"/>
      <c r="C410" s="80"/>
      <c r="D410" s="80"/>
      <c r="E410" s="80"/>
      <c r="F410" s="76"/>
      <c r="G410" s="76"/>
      <c r="H410" s="80"/>
      <c r="I410" s="76"/>
      <c r="J410" s="76"/>
      <c r="K410" s="80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</row>
    <row r="411">
      <c r="A411" s="76"/>
      <c r="B411" s="80"/>
      <c r="C411" s="80"/>
      <c r="D411" s="80"/>
      <c r="E411" s="80"/>
      <c r="F411" s="76"/>
      <c r="G411" s="76"/>
      <c r="H411" s="80"/>
      <c r="I411" s="76"/>
      <c r="J411" s="76"/>
      <c r="K411" s="80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</row>
    <row r="412">
      <c r="A412" s="76"/>
      <c r="B412" s="80"/>
      <c r="C412" s="80"/>
      <c r="D412" s="80"/>
      <c r="E412" s="80"/>
      <c r="F412" s="76"/>
      <c r="G412" s="76"/>
      <c r="H412" s="80"/>
      <c r="I412" s="76"/>
      <c r="J412" s="76"/>
      <c r="K412" s="80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</row>
    <row r="413">
      <c r="A413" s="76"/>
      <c r="B413" s="80"/>
      <c r="C413" s="80"/>
      <c r="D413" s="80"/>
      <c r="E413" s="80"/>
      <c r="F413" s="76"/>
      <c r="G413" s="76"/>
      <c r="H413" s="80"/>
      <c r="I413" s="76"/>
      <c r="J413" s="76"/>
      <c r="K413" s="80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</row>
    <row r="414">
      <c r="A414" s="76"/>
      <c r="B414" s="80"/>
      <c r="C414" s="80"/>
      <c r="D414" s="80"/>
      <c r="E414" s="80"/>
      <c r="F414" s="76"/>
      <c r="G414" s="76"/>
      <c r="H414" s="80"/>
      <c r="I414" s="76"/>
      <c r="J414" s="76"/>
      <c r="K414" s="80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</row>
    <row r="415">
      <c r="A415" s="76"/>
      <c r="B415" s="80"/>
      <c r="C415" s="80"/>
      <c r="D415" s="80"/>
      <c r="E415" s="80"/>
      <c r="F415" s="76"/>
      <c r="G415" s="76"/>
      <c r="H415" s="80"/>
      <c r="I415" s="76"/>
      <c r="J415" s="76"/>
      <c r="K415" s="80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</row>
    <row r="416">
      <c r="A416" s="76"/>
      <c r="B416" s="80"/>
      <c r="C416" s="80"/>
      <c r="D416" s="80"/>
      <c r="E416" s="80"/>
      <c r="F416" s="76"/>
      <c r="G416" s="76"/>
      <c r="H416" s="80"/>
      <c r="I416" s="76"/>
      <c r="J416" s="76"/>
      <c r="K416" s="80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</row>
    <row r="417">
      <c r="A417" s="76"/>
      <c r="B417" s="80"/>
      <c r="C417" s="80"/>
      <c r="D417" s="80"/>
      <c r="E417" s="80"/>
      <c r="F417" s="76"/>
      <c r="G417" s="76"/>
      <c r="H417" s="80"/>
      <c r="I417" s="76"/>
      <c r="J417" s="76"/>
      <c r="K417" s="80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</row>
    <row r="418">
      <c r="A418" s="76"/>
      <c r="B418" s="80"/>
      <c r="C418" s="80"/>
      <c r="D418" s="80"/>
      <c r="E418" s="80"/>
      <c r="F418" s="76"/>
      <c r="G418" s="76"/>
      <c r="H418" s="80"/>
      <c r="I418" s="76"/>
      <c r="J418" s="76"/>
      <c r="K418" s="80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</row>
    <row r="419">
      <c r="A419" s="76"/>
      <c r="B419" s="80"/>
      <c r="C419" s="80"/>
      <c r="D419" s="80"/>
      <c r="E419" s="80"/>
      <c r="F419" s="76"/>
      <c r="G419" s="76"/>
      <c r="H419" s="80"/>
      <c r="I419" s="76"/>
      <c r="J419" s="76"/>
      <c r="K419" s="80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</row>
    <row r="420">
      <c r="A420" s="76"/>
      <c r="B420" s="80"/>
      <c r="C420" s="80"/>
      <c r="D420" s="80"/>
      <c r="E420" s="80"/>
      <c r="F420" s="76"/>
      <c r="G420" s="76"/>
      <c r="H420" s="80"/>
      <c r="I420" s="76"/>
      <c r="J420" s="76"/>
      <c r="K420" s="80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</row>
    <row r="421">
      <c r="A421" s="76"/>
      <c r="B421" s="80"/>
      <c r="C421" s="80"/>
      <c r="D421" s="80"/>
      <c r="E421" s="80"/>
      <c r="F421" s="76"/>
      <c r="G421" s="76"/>
      <c r="H421" s="80"/>
      <c r="I421" s="76"/>
      <c r="J421" s="76"/>
      <c r="K421" s="80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</row>
    <row r="422">
      <c r="A422" s="76"/>
      <c r="B422" s="80"/>
      <c r="C422" s="80"/>
      <c r="D422" s="80"/>
      <c r="E422" s="80"/>
      <c r="F422" s="76"/>
      <c r="G422" s="76"/>
      <c r="H422" s="80"/>
      <c r="I422" s="76"/>
      <c r="J422" s="76"/>
      <c r="K422" s="80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</row>
    <row r="423">
      <c r="A423" s="76"/>
      <c r="B423" s="80"/>
      <c r="C423" s="80"/>
      <c r="D423" s="80"/>
      <c r="E423" s="80"/>
      <c r="F423" s="76"/>
      <c r="G423" s="76"/>
      <c r="H423" s="80"/>
      <c r="I423" s="76"/>
      <c r="J423" s="76"/>
      <c r="K423" s="80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</row>
    <row r="424">
      <c r="A424" s="76"/>
      <c r="B424" s="80"/>
      <c r="C424" s="80"/>
      <c r="D424" s="80"/>
      <c r="E424" s="80"/>
      <c r="F424" s="76"/>
      <c r="G424" s="76"/>
      <c r="H424" s="80"/>
      <c r="I424" s="76"/>
      <c r="J424" s="76"/>
      <c r="K424" s="80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</row>
    <row r="425">
      <c r="A425" s="76"/>
      <c r="B425" s="80"/>
      <c r="C425" s="80"/>
      <c r="D425" s="80"/>
      <c r="E425" s="80"/>
      <c r="F425" s="76"/>
      <c r="G425" s="76"/>
      <c r="H425" s="80"/>
      <c r="I425" s="76"/>
      <c r="J425" s="76"/>
      <c r="K425" s="80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</row>
    <row r="426">
      <c r="A426" s="76"/>
      <c r="B426" s="80"/>
      <c r="C426" s="80"/>
      <c r="D426" s="80"/>
      <c r="E426" s="80"/>
      <c r="F426" s="76"/>
      <c r="G426" s="76"/>
      <c r="H426" s="80"/>
      <c r="I426" s="76"/>
      <c r="J426" s="76"/>
      <c r="K426" s="80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</row>
    <row r="427">
      <c r="A427" s="76"/>
      <c r="B427" s="80"/>
      <c r="C427" s="80"/>
      <c r="D427" s="80"/>
      <c r="E427" s="80"/>
      <c r="F427" s="76"/>
      <c r="G427" s="76"/>
      <c r="H427" s="80"/>
      <c r="I427" s="76"/>
      <c r="J427" s="76"/>
      <c r="K427" s="80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</row>
    <row r="428">
      <c r="A428" s="76"/>
      <c r="B428" s="80"/>
      <c r="C428" s="80"/>
      <c r="D428" s="80"/>
      <c r="E428" s="80"/>
      <c r="F428" s="76"/>
      <c r="G428" s="76"/>
      <c r="H428" s="80"/>
      <c r="I428" s="76"/>
      <c r="J428" s="76"/>
      <c r="K428" s="80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</row>
    <row r="429">
      <c r="A429" s="76"/>
      <c r="B429" s="80"/>
      <c r="C429" s="80"/>
      <c r="D429" s="80"/>
      <c r="E429" s="80"/>
      <c r="F429" s="76"/>
      <c r="G429" s="76"/>
      <c r="H429" s="80"/>
      <c r="I429" s="76"/>
      <c r="J429" s="76"/>
      <c r="K429" s="80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</row>
    <row r="430">
      <c r="A430" s="76"/>
      <c r="B430" s="80"/>
      <c r="C430" s="80"/>
      <c r="D430" s="80"/>
      <c r="E430" s="80"/>
      <c r="F430" s="76"/>
      <c r="G430" s="76"/>
      <c r="H430" s="80"/>
      <c r="I430" s="76"/>
      <c r="J430" s="76"/>
      <c r="K430" s="80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</row>
    <row r="431">
      <c r="A431" s="76"/>
      <c r="B431" s="80"/>
      <c r="C431" s="80"/>
      <c r="D431" s="80"/>
      <c r="E431" s="80"/>
      <c r="F431" s="76"/>
      <c r="G431" s="76"/>
      <c r="H431" s="80"/>
      <c r="I431" s="76"/>
      <c r="J431" s="76"/>
      <c r="K431" s="80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</row>
    <row r="432">
      <c r="A432" s="76"/>
      <c r="B432" s="80"/>
      <c r="C432" s="80"/>
      <c r="D432" s="80"/>
      <c r="E432" s="80"/>
      <c r="F432" s="76"/>
      <c r="G432" s="76"/>
      <c r="H432" s="80"/>
      <c r="I432" s="76"/>
      <c r="J432" s="76"/>
      <c r="K432" s="80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</row>
    <row r="433">
      <c r="A433" s="76"/>
      <c r="B433" s="80"/>
      <c r="C433" s="80"/>
      <c r="D433" s="80"/>
      <c r="E433" s="80"/>
      <c r="F433" s="76"/>
      <c r="G433" s="76"/>
      <c r="H433" s="80"/>
      <c r="I433" s="76"/>
      <c r="J433" s="76"/>
      <c r="K433" s="80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</row>
    <row r="434">
      <c r="A434" s="76"/>
      <c r="B434" s="80"/>
      <c r="C434" s="80"/>
      <c r="D434" s="80"/>
      <c r="E434" s="80"/>
      <c r="F434" s="76"/>
      <c r="G434" s="76"/>
      <c r="H434" s="80"/>
      <c r="I434" s="76"/>
      <c r="J434" s="76"/>
      <c r="K434" s="80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</row>
    <row r="435">
      <c r="A435" s="76"/>
      <c r="B435" s="80"/>
      <c r="C435" s="80"/>
      <c r="D435" s="80"/>
      <c r="E435" s="80"/>
      <c r="F435" s="76"/>
      <c r="G435" s="76"/>
      <c r="H435" s="80"/>
      <c r="I435" s="76"/>
      <c r="J435" s="76"/>
      <c r="K435" s="80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</row>
    <row r="436">
      <c r="A436" s="76"/>
      <c r="B436" s="80"/>
      <c r="C436" s="80"/>
      <c r="D436" s="80"/>
      <c r="E436" s="80"/>
      <c r="F436" s="76"/>
      <c r="G436" s="76"/>
      <c r="H436" s="80"/>
      <c r="I436" s="76"/>
      <c r="J436" s="76"/>
      <c r="K436" s="80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</row>
    <row r="437">
      <c r="A437" s="76"/>
      <c r="B437" s="80"/>
      <c r="C437" s="80"/>
      <c r="D437" s="80"/>
      <c r="E437" s="80"/>
      <c r="F437" s="76"/>
      <c r="G437" s="76"/>
      <c r="H437" s="80"/>
      <c r="I437" s="76"/>
      <c r="J437" s="76"/>
      <c r="K437" s="80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</row>
    <row r="438">
      <c r="A438" s="76"/>
      <c r="B438" s="80"/>
      <c r="C438" s="80"/>
      <c r="D438" s="80"/>
      <c r="E438" s="80"/>
      <c r="F438" s="76"/>
      <c r="G438" s="76"/>
      <c r="H438" s="80"/>
      <c r="I438" s="76"/>
      <c r="J438" s="76"/>
      <c r="K438" s="80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</row>
    <row r="439">
      <c r="A439" s="76"/>
      <c r="B439" s="80"/>
      <c r="C439" s="80"/>
      <c r="D439" s="80"/>
      <c r="E439" s="80"/>
      <c r="F439" s="76"/>
      <c r="G439" s="76"/>
      <c r="H439" s="80"/>
      <c r="I439" s="76"/>
      <c r="J439" s="76"/>
      <c r="K439" s="80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</row>
    <row r="440">
      <c r="A440" s="76"/>
      <c r="B440" s="80"/>
      <c r="C440" s="80"/>
      <c r="D440" s="80"/>
      <c r="E440" s="80"/>
      <c r="F440" s="76"/>
      <c r="G440" s="76"/>
      <c r="H440" s="80"/>
      <c r="I440" s="76"/>
      <c r="J440" s="76"/>
      <c r="K440" s="80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</row>
    <row r="441">
      <c r="A441" s="76"/>
      <c r="B441" s="80"/>
      <c r="C441" s="80"/>
      <c r="D441" s="80"/>
      <c r="E441" s="80"/>
      <c r="F441" s="76"/>
      <c r="G441" s="76"/>
      <c r="H441" s="80"/>
      <c r="I441" s="76"/>
      <c r="J441" s="76"/>
      <c r="K441" s="80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</row>
    <row r="442">
      <c r="A442" s="76"/>
      <c r="B442" s="80"/>
      <c r="C442" s="80"/>
      <c r="D442" s="80"/>
      <c r="E442" s="80"/>
      <c r="F442" s="76"/>
      <c r="G442" s="76"/>
      <c r="H442" s="80"/>
      <c r="I442" s="76"/>
      <c r="J442" s="76"/>
      <c r="K442" s="80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</row>
    <row r="443">
      <c r="A443" s="76"/>
      <c r="B443" s="80"/>
      <c r="C443" s="80"/>
      <c r="D443" s="80"/>
      <c r="E443" s="80"/>
      <c r="F443" s="76"/>
      <c r="G443" s="76"/>
      <c r="H443" s="80"/>
      <c r="I443" s="76"/>
      <c r="J443" s="76"/>
      <c r="K443" s="80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</row>
    <row r="444">
      <c r="A444" s="76"/>
      <c r="B444" s="80"/>
      <c r="C444" s="80"/>
      <c r="D444" s="80"/>
      <c r="E444" s="80"/>
      <c r="F444" s="76"/>
      <c r="G444" s="76"/>
      <c r="H444" s="80"/>
      <c r="I444" s="76"/>
      <c r="J444" s="76"/>
      <c r="K444" s="80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</row>
    <row r="445">
      <c r="A445" s="76"/>
      <c r="B445" s="80"/>
      <c r="C445" s="80"/>
      <c r="D445" s="80"/>
      <c r="E445" s="80"/>
      <c r="F445" s="76"/>
      <c r="G445" s="76"/>
      <c r="H445" s="80"/>
      <c r="I445" s="76"/>
      <c r="J445" s="76"/>
      <c r="K445" s="80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</row>
    <row r="446">
      <c r="A446" s="76"/>
      <c r="B446" s="80"/>
      <c r="C446" s="80"/>
      <c r="D446" s="80"/>
      <c r="E446" s="80"/>
      <c r="F446" s="76"/>
      <c r="G446" s="76"/>
      <c r="H446" s="80"/>
      <c r="I446" s="76"/>
      <c r="J446" s="76"/>
      <c r="K446" s="80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</row>
    <row r="447">
      <c r="A447" s="76"/>
      <c r="B447" s="80"/>
      <c r="C447" s="80"/>
      <c r="D447" s="80"/>
      <c r="E447" s="80"/>
      <c r="F447" s="76"/>
      <c r="G447" s="76"/>
      <c r="H447" s="80"/>
      <c r="I447" s="76"/>
      <c r="J447" s="76"/>
      <c r="K447" s="80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</row>
    <row r="448">
      <c r="A448" s="76"/>
      <c r="B448" s="80"/>
      <c r="C448" s="80"/>
      <c r="D448" s="80"/>
      <c r="E448" s="80"/>
      <c r="F448" s="76"/>
      <c r="G448" s="76"/>
      <c r="H448" s="80"/>
      <c r="I448" s="76"/>
      <c r="J448" s="76"/>
      <c r="K448" s="80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</row>
    <row r="449">
      <c r="A449" s="76"/>
      <c r="B449" s="80"/>
      <c r="C449" s="80"/>
      <c r="D449" s="80"/>
      <c r="E449" s="80"/>
      <c r="F449" s="76"/>
      <c r="G449" s="76"/>
      <c r="H449" s="80"/>
      <c r="I449" s="76"/>
      <c r="J449" s="76"/>
      <c r="K449" s="80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</row>
    <row r="450">
      <c r="A450" s="76"/>
      <c r="B450" s="80"/>
      <c r="C450" s="80"/>
      <c r="D450" s="80"/>
      <c r="E450" s="80"/>
      <c r="F450" s="76"/>
      <c r="G450" s="76"/>
      <c r="H450" s="80"/>
      <c r="I450" s="76"/>
      <c r="J450" s="76"/>
      <c r="K450" s="80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</row>
    <row r="451">
      <c r="A451" s="76"/>
      <c r="B451" s="80"/>
      <c r="C451" s="80"/>
      <c r="D451" s="80"/>
      <c r="E451" s="80"/>
      <c r="F451" s="76"/>
      <c r="G451" s="76"/>
      <c r="H451" s="80"/>
      <c r="I451" s="76"/>
      <c r="J451" s="76"/>
      <c r="K451" s="80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</row>
    <row r="452">
      <c r="A452" s="76"/>
      <c r="B452" s="80"/>
      <c r="C452" s="80"/>
      <c r="D452" s="80"/>
      <c r="E452" s="80"/>
      <c r="F452" s="76"/>
      <c r="G452" s="76"/>
      <c r="H452" s="80"/>
      <c r="I452" s="76"/>
      <c r="J452" s="76"/>
      <c r="K452" s="80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</row>
    <row r="453">
      <c r="A453" s="76"/>
      <c r="B453" s="80"/>
      <c r="C453" s="80"/>
      <c r="D453" s="80"/>
      <c r="E453" s="80"/>
      <c r="F453" s="76"/>
      <c r="G453" s="76"/>
      <c r="H453" s="80"/>
      <c r="I453" s="76"/>
      <c r="J453" s="76"/>
      <c r="K453" s="80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</row>
    <row r="454">
      <c r="A454" s="76"/>
      <c r="B454" s="80"/>
      <c r="C454" s="80"/>
      <c r="D454" s="80"/>
      <c r="E454" s="80"/>
      <c r="F454" s="76"/>
      <c r="G454" s="76"/>
      <c r="H454" s="80"/>
      <c r="I454" s="76"/>
      <c r="J454" s="76"/>
      <c r="K454" s="80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</row>
    <row r="455">
      <c r="A455" s="76"/>
      <c r="B455" s="80"/>
      <c r="C455" s="80"/>
      <c r="D455" s="80"/>
      <c r="E455" s="80"/>
      <c r="F455" s="76"/>
      <c r="G455" s="76"/>
      <c r="H455" s="80"/>
      <c r="I455" s="76"/>
      <c r="J455" s="76"/>
      <c r="K455" s="80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</row>
    <row r="456">
      <c r="A456" s="76"/>
      <c r="B456" s="80"/>
      <c r="C456" s="80"/>
      <c r="D456" s="80"/>
      <c r="E456" s="80"/>
      <c r="F456" s="76"/>
      <c r="G456" s="76"/>
      <c r="H456" s="80"/>
      <c r="I456" s="76"/>
      <c r="J456" s="76"/>
      <c r="K456" s="80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</row>
    <row r="457">
      <c r="A457" s="76"/>
      <c r="B457" s="80"/>
      <c r="C457" s="80"/>
      <c r="D457" s="80"/>
      <c r="E457" s="80"/>
      <c r="F457" s="76"/>
      <c r="G457" s="76"/>
      <c r="H457" s="80"/>
      <c r="I457" s="76"/>
      <c r="J457" s="76"/>
      <c r="K457" s="80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</row>
    <row r="458">
      <c r="A458" s="76"/>
      <c r="B458" s="80"/>
      <c r="C458" s="80"/>
      <c r="D458" s="80"/>
      <c r="E458" s="80"/>
      <c r="F458" s="76"/>
      <c r="G458" s="76"/>
      <c r="H458" s="80"/>
      <c r="I458" s="76"/>
      <c r="J458" s="76"/>
      <c r="K458" s="80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</row>
    <row r="459">
      <c r="A459" s="76"/>
      <c r="B459" s="80"/>
      <c r="C459" s="80"/>
      <c r="D459" s="80"/>
      <c r="E459" s="80"/>
      <c r="F459" s="76"/>
      <c r="G459" s="76"/>
      <c r="H459" s="80"/>
      <c r="I459" s="76"/>
      <c r="J459" s="76"/>
      <c r="K459" s="80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</row>
    <row r="460">
      <c r="A460" s="76"/>
      <c r="B460" s="80"/>
      <c r="C460" s="80"/>
      <c r="D460" s="80"/>
      <c r="E460" s="80"/>
      <c r="F460" s="76"/>
      <c r="G460" s="76"/>
      <c r="H460" s="80"/>
      <c r="I460" s="76"/>
      <c r="J460" s="76"/>
      <c r="K460" s="80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</row>
    <row r="461">
      <c r="A461" s="76"/>
      <c r="B461" s="80"/>
      <c r="C461" s="80"/>
      <c r="D461" s="80"/>
      <c r="E461" s="80"/>
      <c r="F461" s="76"/>
      <c r="G461" s="76"/>
      <c r="H461" s="80"/>
      <c r="I461" s="76"/>
      <c r="J461" s="76"/>
      <c r="K461" s="80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</row>
    <row r="462">
      <c r="A462" s="76"/>
      <c r="B462" s="80"/>
      <c r="C462" s="80"/>
      <c r="D462" s="80"/>
      <c r="E462" s="80"/>
      <c r="F462" s="76"/>
      <c r="G462" s="76"/>
      <c r="H462" s="80"/>
      <c r="I462" s="76"/>
      <c r="J462" s="76"/>
      <c r="K462" s="80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</row>
    <row r="463">
      <c r="A463" s="76"/>
      <c r="B463" s="80"/>
      <c r="C463" s="80"/>
      <c r="D463" s="80"/>
      <c r="E463" s="80"/>
      <c r="F463" s="76"/>
      <c r="G463" s="76"/>
      <c r="H463" s="80"/>
      <c r="I463" s="76"/>
      <c r="J463" s="76"/>
      <c r="K463" s="80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</row>
    <row r="464">
      <c r="A464" s="76"/>
      <c r="B464" s="80"/>
      <c r="C464" s="80"/>
      <c r="D464" s="80"/>
      <c r="E464" s="80"/>
      <c r="F464" s="76"/>
      <c r="G464" s="76"/>
      <c r="H464" s="80"/>
      <c r="I464" s="76"/>
      <c r="J464" s="76"/>
      <c r="K464" s="80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</row>
    <row r="465">
      <c r="A465" s="76"/>
      <c r="B465" s="80"/>
      <c r="C465" s="80"/>
      <c r="D465" s="80"/>
      <c r="E465" s="80"/>
      <c r="F465" s="76"/>
      <c r="G465" s="76"/>
      <c r="H465" s="80"/>
      <c r="I465" s="76"/>
      <c r="J465" s="76"/>
      <c r="K465" s="80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</row>
    <row r="466">
      <c r="A466" s="76"/>
      <c r="B466" s="80"/>
      <c r="C466" s="80"/>
      <c r="D466" s="80"/>
      <c r="E466" s="80"/>
      <c r="F466" s="76"/>
      <c r="G466" s="76"/>
      <c r="H466" s="80"/>
      <c r="I466" s="76"/>
      <c r="J466" s="76"/>
      <c r="K466" s="80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</row>
    <row r="467">
      <c r="A467" s="76"/>
      <c r="B467" s="80"/>
      <c r="C467" s="80"/>
      <c r="D467" s="80"/>
      <c r="E467" s="80"/>
      <c r="F467" s="76"/>
      <c r="G467" s="76"/>
      <c r="H467" s="80"/>
      <c r="I467" s="76"/>
      <c r="J467" s="76"/>
      <c r="K467" s="80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</row>
    <row r="468">
      <c r="A468" s="76"/>
      <c r="B468" s="80"/>
      <c r="C468" s="80"/>
      <c r="D468" s="80"/>
      <c r="E468" s="80"/>
      <c r="F468" s="76"/>
      <c r="G468" s="76"/>
      <c r="H468" s="80"/>
      <c r="I468" s="76"/>
      <c r="J468" s="76"/>
      <c r="K468" s="80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</row>
    <row r="469">
      <c r="A469" s="76"/>
      <c r="B469" s="80"/>
      <c r="C469" s="80"/>
      <c r="D469" s="80"/>
      <c r="E469" s="80"/>
      <c r="F469" s="76"/>
      <c r="G469" s="76"/>
      <c r="H469" s="80"/>
      <c r="I469" s="76"/>
      <c r="J469" s="76"/>
      <c r="K469" s="80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</row>
    <row r="470">
      <c r="A470" s="76"/>
      <c r="B470" s="80"/>
      <c r="C470" s="80"/>
      <c r="D470" s="80"/>
      <c r="E470" s="80"/>
      <c r="F470" s="76"/>
      <c r="G470" s="76"/>
      <c r="H470" s="80"/>
      <c r="I470" s="76"/>
      <c r="J470" s="76"/>
      <c r="K470" s="80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</row>
    <row r="471">
      <c r="A471" s="76"/>
      <c r="B471" s="80"/>
      <c r="C471" s="80"/>
      <c r="D471" s="80"/>
      <c r="E471" s="80"/>
      <c r="F471" s="76"/>
      <c r="G471" s="76"/>
      <c r="H471" s="80"/>
      <c r="I471" s="76"/>
      <c r="J471" s="76"/>
      <c r="K471" s="80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</row>
    <row r="472">
      <c r="A472" s="76"/>
      <c r="B472" s="80"/>
      <c r="C472" s="80"/>
      <c r="D472" s="80"/>
      <c r="E472" s="80"/>
      <c r="F472" s="76"/>
      <c r="G472" s="76"/>
      <c r="H472" s="80"/>
      <c r="I472" s="76"/>
      <c r="J472" s="76"/>
      <c r="K472" s="80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</row>
    <row r="473">
      <c r="A473" s="76"/>
      <c r="B473" s="80"/>
      <c r="C473" s="80"/>
      <c r="D473" s="80"/>
      <c r="E473" s="80"/>
      <c r="F473" s="76"/>
      <c r="G473" s="76"/>
      <c r="H473" s="80"/>
      <c r="I473" s="76"/>
      <c r="J473" s="76"/>
      <c r="K473" s="80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</row>
    <row r="474">
      <c r="A474" s="76"/>
      <c r="B474" s="80"/>
      <c r="C474" s="80"/>
      <c r="D474" s="80"/>
      <c r="E474" s="80"/>
      <c r="F474" s="76"/>
      <c r="G474" s="76"/>
      <c r="H474" s="80"/>
      <c r="I474" s="76"/>
      <c r="J474" s="76"/>
      <c r="K474" s="80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</row>
    <row r="475">
      <c r="A475" s="76"/>
      <c r="B475" s="80"/>
      <c r="C475" s="80"/>
      <c r="D475" s="80"/>
      <c r="E475" s="80"/>
      <c r="F475" s="76"/>
      <c r="G475" s="76"/>
      <c r="H475" s="80"/>
      <c r="I475" s="76"/>
      <c r="J475" s="76"/>
      <c r="K475" s="80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</row>
    <row r="476">
      <c r="A476" s="76"/>
      <c r="B476" s="80"/>
      <c r="C476" s="80"/>
      <c r="D476" s="80"/>
      <c r="E476" s="80"/>
      <c r="F476" s="76"/>
      <c r="G476" s="76"/>
      <c r="H476" s="80"/>
      <c r="I476" s="76"/>
      <c r="J476" s="76"/>
      <c r="K476" s="80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</row>
    <row r="477">
      <c r="A477" s="76"/>
      <c r="B477" s="80"/>
      <c r="C477" s="80"/>
      <c r="D477" s="80"/>
      <c r="E477" s="80"/>
      <c r="F477" s="76"/>
      <c r="G477" s="76"/>
      <c r="H477" s="80"/>
      <c r="I477" s="76"/>
      <c r="J477" s="76"/>
      <c r="K477" s="80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</row>
    <row r="478">
      <c r="A478" s="76"/>
      <c r="B478" s="80"/>
      <c r="C478" s="80"/>
      <c r="D478" s="80"/>
      <c r="E478" s="80"/>
      <c r="F478" s="76"/>
      <c r="G478" s="76"/>
      <c r="H478" s="80"/>
      <c r="I478" s="76"/>
      <c r="J478" s="76"/>
      <c r="K478" s="80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</row>
    <row r="479">
      <c r="A479" s="76"/>
      <c r="B479" s="80"/>
      <c r="C479" s="80"/>
      <c r="D479" s="80"/>
      <c r="E479" s="80"/>
      <c r="F479" s="76"/>
      <c r="G479" s="76"/>
      <c r="H479" s="80"/>
      <c r="I479" s="76"/>
      <c r="J479" s="76"/>
      <c r="K479" s="80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</row>
    <row r="480">
      <c r="A480" s="76"/>
      <c r="B480" s="80"/>
      <c r="C480" s="80"/>
      <c r="D480" s="80"/>
      <c r="E480" s="80"/>
      <c r="F480" s="76"/>
      <c r="G480" s="76"/>
      <c r="H480" s="80"/>
      <c r="I480" s="76"/>
      <c r="J480" s="76"/>
      <c r="K480" s="80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</row>
    <row r="481">
      <c r="A481" s="76"/>
      <c r="B481" s="80"/>
      <c r="C481" s="80"/>
      <c r="D481" s="80"/>
      <c r="E481" s="80"/>
      <c r="F481" s="76"/>
      <c r="G481" s="76"/>
      <c r="H481" s="80"/>
      <c r="I481" s="76"/>
      <c r="J481" s="76"/>
      <c r="K481" s="80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</row>
    <row r="482">
      <c r="A482" s="76"/>
      <c r="B482" s="80"/>
      <c r="C482" s="80"/>
      <c r="D482" s="80"/>
      <c r="E482" s="80"/>
      <c r="F482" s="76"/>
      <c r="G482" s="76"/>
      <c r="H482" s="80"/>
      <c r="I482" s="76"/>
      <c r="J482" s="76"/>
      <c r="K482" s="80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</row>
    <row r="483">
      <c r="A483" s="76"/>
      <c r="B483" s="80"/>
      <c r="C483" s="80"/>
      <c r="D483" s="80"/>
      <c r="E483" s="80"/>
      <c r="F483" s="76"/>
      <c r="G483" s="76"/>
      <c r="H483" s="80"/>
      <c r="I483" s="76"/>
      <c r="J483" s="76"/>
      <c r="K483" s="80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</row>
    <row r="484">
      <c r="A484" s="76"/>
      <c r="B484" s="80"/>
      <c r="C484" s="80"/>
      <c r="D484" s="80"/>
      <c r="E484" s="80"/>
      <c r="F484" s="76"/>
      <c r="G484" s="76"/>
      <c r="H484" s="80"/>
      <c r="I484" s="76"/>
      <c r="J484" s="76"/>
      <c r="K484" s="80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</row>
    <row r="485">
      <c r="A485" s="76"/>
      <c r="B485" s="80"/>
      <c r="C485" s="80"/>
      <c r="D485" s="80"/>
      <c r="E485" s="80"/>
      <c r="F485" s="76"/>
      <c r="G485" s="76"/>
      <c r="H485" s="80"/>
      <c r="I485" s="76"/>
      <c r="J485" s="76"/>
      <c r="K485" s="80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</row>
    <row r="486">
      <c r="A486" s="76"/>
      <c r="B486" s="80"/>
      <c r="C486" s="80"/>
      <c r="D486" s="80"/>
      <c r="E486" s="80"/>
      <c r="F486" s="76"/>
      <c r="G486" s="76"/>
      <c r="H486" s="80"/>
      <c r="I486" s="76"/>
      <c r="J486" s="76"/>
      <c r="K486" s="80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</row>
    <row r="487">
      <c r="A487" s="76"/>
      <c r="B487" s="80"/>
      <c r="C487" s="80"/>
      <c r="D487" s="80"/>
      <c r="E487" s="80"/>
      <c r="F487" s="76"/>
      <c r="G487" s="76"/>
      <c r="H487" s="80"/>
      <c r="I487" s="76"/>
      <c r="J487" s="76"/>
      <c r="K487" s="80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</row>
    <row r="488">
      <c r="A488" s="76"/>
      <c r="B488" s="80"/>
      <c r="C488" s="80"/>
      <c r="D488" s="80"/>
      <c r="E488" s="80"/>
      <c r="F488" s="76"/>
      <c r="G488" s="76"/>
      <c r="H488" s="80"/>
      <c r="I488" s="76"/>
      <c r="J488" s="76"/>
      <c r="K488" s="80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</row>
    <row r="489">
      <c r="A489" s="76"/>
      <c r="B489" s="80"/>
      <c r="C489" s="80"/>
      <c r="D489" s="80"/>
      <c r="E489" s="80"/>
      <c r="F489" s="76"/>
      <c r="G489" s="76"/>
      <c r="H489" s="80"/>
      <c r="I489" s="76"/>
      <c r="J489" s="76"/>
      <c r="K489" s="80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</row>
    <row r="490">
      <c r="A490" s="76"/>
      <c r="B490" s="80"/>
      <c r="C490" s="80"/>
      <c r="D490" s="80"/>
      <c r="E490" s="80"/>
      <c r="F490" s="76"/>
      <c r="G490" s="76"/>
      <c r="H490" s="80"/>
      <c r="I490" s="76"/>
      <c r="J490" s="76"/>
      <c r="K490" s="80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</row>
    <row r="491">
      <c r="A491" s="76"/>
      <c r="B491" s="80"/>
      <c r="C491" s="80"/>
      <c r="D491" s="80"/>
      <c r="E491" s="80"/>
      <c r="F491" s="76"/>
      <c r="G491" s="76"/>
      <c r="H491" s="80"/>
      <c r="I491" s="76"/>
      <c r="J491" s="76"/>
      <c r="K491" s="80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</row>
    <row r="492">
      <c r="A492" s="76"/>
      <c r="B492" s="80"/>
      <c r="C492" s="80"/>
      <c r="D492" s="80"/>
      <c r="E492" s="80"/>
      <c r="F492" s="76"/>
      <c r="G492" s="76"/>
      <c r="H492" s="80"/>
      <c r="I492" s="76"/>
      <c r="J492" s="76"/>
      <c r="K492" s="80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</row>
    <row r="493">
      <c r="A493" s="76"/>
      <c r="B493" s="80"/>
      <c r="C493" s="80"/>
      <c r="D493" s="80"/>
      <c r="E493" s="80"/>
      <c r="F493" s="76"/>
      <c r="G493" s="76"/>
      <c r="H493" s="80"/>
      <c r="I493" s="76"/>
      <c r="J493" s="76"/>
      <c r="K493" s="80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</row>
    <row r="494">
      <c r="A494" s="76"/>
      <c r="B494" s="80"/>
      <c r="C494" s="80"/>
      <c r="D494" s="80"/>
      <c r="E494" s="80"/>
      <c r="F494" s="76"/>
      <c r="G494" s="76"/>
      <c r="H494" s="80"/>
      <c r="I494" s="76"/>
      <c r="J494" s="76"/>
      <c r="K494" s="80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</row>
    <row r="495">
      <c r="A495" s="76"/>
      <c r="B495" s="80"/>
      <c r="C495" s="80"/>
      <c r="D495" s="80"/>
      <c r="E495" s="80"/>
      <c r="F495" s="76"/>
      <c r="G495" s="76"/>
      <c r="H495" s="80"/>
      <c r="I495" s="76"/>
      <c r="J495" s="76"/>
      <c r="K495" s="80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</row>
    <row r="496">
      <c r="A496" s="76"/>
      <c r="B496" s="80"/>
      <c r="C496" s="80"/>
      <c r="D496" s="80"/>
      <c r="E496" s="80"/>
      <c r="F496" s="76"/>
      <c r="G496" s="76"/>
      <c r="H496" s="80"/>
      <c r="I496" s="76"/>
      <c r="J496" s="76"/>
      <c r="K496" s="80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</row>
    <row r="497">
      <c r="A497" s="76"/>
      <c r="B497" s="80"/>
      <c r="C497" s="80"/>
      <c r="D497" s="80"/>
      <c r="E497" s="80"/>
      <c r="F497" s="76"/>
      <c r="G497" s="76"/>
      <c r="H497" s="80"/>
      <c r="I497" s="76"/>
      <c r="J497" s="76"/>
      <c r="K497" s="80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</row>
    <row r="498">
      <c r="A498" s="76"/>
      <c r="B498" s="80"/>
      <c r="C498" s="80"/>
      <c r="D498" s="80"/>
      <c r="E498" s="80"/>
      <c r="F498" s="76"/>
      <c r="G498" s="76"/>
      <c r="H498" s="80"/>
      <c r="I498" s="76"/>
      <c r="J498" s="76"/>
      <c r="K498" s="80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</row>
    <row r="499">
      <c r="A499" s="76"/>
      <c r="B499" s="80"/>
      <c r="C499" s="80"/>
      <c r="D499" s="80"/>
      <c r="E499" s="80"/>
      <c r="F499" s="76"/>
      <c r="G499" s="76"/>
      <c r="H499" s="80"/>
      <c r="I499" s="76"/>
      <c r="J499" s="76"/>
      <c r="K499" s="80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</row>
    <row r="500">
      <c r="A500" s="76"/>
      <c r="B500" s="80"/>
      <c r="C500" s="80"/>
      <c r="D500" s="80"/>
      <c r="E500" s="80"/>
      <c r="F500" s="76"/>
      <c r="G500" s="76"/>
      <c r="H500" s="80"/>
      <c r="I500" s="76"/>
      <c r="J500" s="76"/>
      <c r="K500" s="80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</row>
    <row r="501">
      <c r="A501" s="76"/>
      <c r="B501" s="80"/>
      <c r="C501" s="80"/>
      <c r="D501" s="80"/>
      <c r="E501" s="80"/>
      <c r="F501" s="76"/>
      <c r="G501" s="76"/>
      <c r="H501" s="80"/>
      <c r="I501" s="76"/>
      <c r="J501" s="76"/>
      <c r="K501" s="80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</row>
    <row r="502">
      <c r="A502" s="76"/>
      <c r="B502" s="80"/>
      <c r="C502" s="80"/>
      <c r="D502" s="80"/>
      <c r="E502" s="80"/>
      <c r="F502" s="76"/>
      <c r="G502" s="76"/>
      <c r="H502" s="80"/>
      <c r="I502" s="76"/>
      <c r="J502" s="76"/>
      <c r="K502" s="80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</row>
    <row r="503">
      <c r="A503" s="76"/>
      <c r="B503" s="80"/>
      <c r="C503" s="80"/>
      <c r="D503" s="80"/>
      <c r="E503" s="80"/>
      <c r="F503" s="76"/>
      <c r="G503" s="76"/>
      <c r="H503" s="80"/>
      <c r="I503" s="76"/>
      <c r="J503" s="76"/>
      <c r="K503" s="80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</row>
    <row r="504">
      <c r="A504" s="76"/>
      <c r="B504" s="80"/>
      <c r="C504" s="80"/>
      <c r="D504" s="80"/>
      <c r="E504" s="80"/>
      <c r="F504" s="76"/>
      <c r="G504" s="76"/>
      <c r="H504" s="80"/>
      <c r="I504" s="76"/>
      <c r="J504" s="76"/>
      <c r="K504" s="80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</row>
    <row r="505">
      <c r="A505" s="76"/>
      <c r="B505" s="80"/>
      <c r="C505" s="80"/>
      <c r="D505" s="80"/>
      <c r="E505" s="80"/>
      <c r="F505" s="76"/>
      <c r="G505" s="76"/>
      <c r="H505" s="80"/>
      <c r="I505" s="76"/>
      <c r="J505" s="76"/>
      <c r="K505" s="80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</row>
    <row r="506">
      <c r="A506" s="76"/>
      <c r="B506" s="80"/>
      <c r="C506" s="80"/>
      <c r="D506" s="80"/>
      <c r="E506" s="80"/>
      <c r="F506" s="76"/>
      <c r="G506" s="76"/>
      <c r="H506" s="80"/>
      <c r="I506" s="76"/>
      <c r="J506" s="76"/>
      <c r="K506" s="80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</row>
    <row r="507">
      <c r="A507" s="76"/>
      <c r="B507" s="80"/>
      <c r="C507" s="80"/>
      <c r="D507" s="80"/>
      <c r="E507" s="80"/>
      <c r="F507" s="76"/>
      <c r="G507" s="76"/>
      <c r="H507" s="80"/>
      <c r="I507" s="76"/>
      <c r="J507" s="76"/>
      <c r="K507" s="80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</row>
    <row r="508">
      <c r="A508" s="76"/>
      <c r="B508" s="80"/>
      <c r="C508" s="80"/>
      <c r="D508" s="80"/>
      <c r="E508" s="80"/>
      <c r="F508" s="76"/>
      <c r="G508" s="76"/>
      <c r="H508" s="80"/>
      <c r="I508" s="76"/>
      <c r="J508" s="76"/>
      <c r="K508" s="80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</row>
    <row r="509">
      <c r="A509" s="76"/>
      <c r="B509" s="80"/>
      <c r="C509" s="80"/>
      <c r="D509" s="80"/>
      <c r="E509" s="80"/>
      <c r="F509" s="76"/>
      <c r="G509" s="76"/>
      <c r="H509" s="80"/>
      <c r="I509" s="76"/>
      <c r="J509" s="76"/>
      <c r="K509" s="80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</row>
    <row r="510">
      <c r="A510" s="76"/>
      <c r="B510" s="80"/>
      <c r="C510" s="80"/>
      <c r="D510" s="80"/>
      <c r="E510" s="80"/>
      <c r="F510" s="76"/>
      <c r="G510" s="76"/>
      <c r="H510" s="80"/>
      <c r="I510" s="76"/>
      <c r="J510" s="76"/>
      <c r="K510" s="80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</row>
    <row r="511">
      <c r="A511" s="76"/>
      <c r="B511" s="80"/>
      <c r="C511" s="80"/>
      <c r="D511" s="80"/>
      <c r="E511" s="80"/>
      <c r="F511" s="76"/>
      <c r="G511" s="76"/>
      <c r="H511" s="80"/>
      <c r="I511" s="76"/>
      <c r="J511" s="76"/>
      <c r="K511" s="80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</row>
    <row r="512">
      <c r="A512" s="76"/>
      <c r="B512" s="80"/>
      <c r="C512" s="80"/>
      <c r="D512" s="80"/>
      <c r="E512" s="80"/>
      <c r="F512" s="76"/>
      <c r="G512" s="76"/>
      <c r="H512" s="80"/>
      <c r="I512" s="76"/>
      <c r="J512" s="76"/>
      <c r="K512" s="80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</row>
    <row r="513">
      <c r="A513" s="76"/>
      <c r="B513" s="80"/>
      <c r="C513" s="80"/>
      <c r="D513" s="80"/>
      <c r="E513" s="80"/>
      <c r="F513" s="76"/>
      <c r="G513" s="76"/>
      <c r="H513" s="80"/>
      <c r="I513" s="76"/>
      <c r="J513" s="76"/>
      <c r="K513" s="80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</row>
    <row r="514">
      <c r="A514" s="76"/>
      <c r="B514" s="80"/>
      <c r="C514" s="80"/>
      <c r="D514" s="80"/>
      <c r="E514" s="80"/>
      <c r="F514" s="76"/>
      <c r="G514" s="76"/>
      <c r="H514" s="80"/>
      <c r="I514" s="76"/>
      <c r="J514" s="76"/>
      <c r="K514" s="80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</row>
    <row r="515">
      <c r="A515" s="76"/>
      <c r="B515" s="80"/>
      <c r="C515" s="80"/>
      <c r="D515" s="80"/>
      <c r="E515" s="80"/>
      <c r="F515" s="76"/>
      <c r="G515" s="76"/>
      <c r="H515" s="80"/>
      <c r="I515" s="76"/>
      <c r="J515" s="76"/>
      <c r="K515" s="80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</row>
    <row r="516">
      <c r="A516" s="76"/>
      <c r="B516" s="80"/>
      <c r="C516" s="80"/>
      <c r="D516" s="80"/>
      <c r="E516" s="80"/>
      <c r="F516" s="76"/>
      <c r="G516" s="76"/>
      <c r="H516" s="80"/>
      <c r="I516" s="76"/>
      <c r="J516" s="76"/>
      <c r="K516" s="80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</row>
    <row r="517">
      <c r="A517" s="76"/>
      <c r="B517" s="80"/>
      <c r="C517" s="80"/>
      <c r="D517" s="80"/>
      <c r="E517" s="80"/>
      <c r="F517" s="76"/>
      <c r="G517" s="76"/>
      <c r="H517" s="80"/>
      <c r="I517" s="76"/>
      <c r="J517" s="76"/>
      <c r="K517" s="80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</row>
    <row r="518">
      <c r="A518" s="76"/>
      <c r="B518" s="80"/>
      <c r="C518" s="80"/>
      <c r="D518" s="80"/>
      <c r="E518" s="80"/>
      <c r="F518" s="76"/>
      <c r="G518" s="76"/>
      <c r="H518" s="80"/>
      <c r="I518" s="76"/>
      <c r="J518" s="76"/>
      <c r="K518" s="80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</row>
    <row r="519">
      <c r="A519" s="76"/>
      <c r="B519" s="80"/>
      <c r="C519" s="80"/>
      <c r="D519" s="80"/>
      <c r="E519" s="80"/>
      <c r="F519" s="76"/>
      <c r="G519" s="76"/>
      <c r="H519" s="80"/>
      <c r="I519" s="76"/>
      <c r="J519" s="76"/>
      <c r="K519" s="80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</row>
    <row r="520">
      <c r="A520" s="76"/>
      <c r="B520" s="80"/>
      <c r="C520" s="80"/>
      <c r="D520" s="80"/>
      <c r="E520" s="80"/>
      <c r="F520" s="76"/>
      <c r="G520" s="76"/>
      <c r="H520" s="80"/>
      <c r="I520" s="76"/>
      <c r="J520" s="76"/>
      <c r="K520" s="80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</row>
    <row r="521">
      <c r="A521" s="76"/>
      <c r="B521" s="80"/>
      <c r="C521" s="80"/>
      <c r="D521" s="80"/>
      <c r="E521" s="80"/>
      <c r="F521" s="76"/>
      <c r="G521" s="76"/>
      <c r="H521" s="80"/>
      <c r="I521" s="76"/>
      <c r="J521" s="76"/>
      <c r="K521" s="80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</row>
    <row r="522">
      <c r="A522" s="76"/>
      <c r="B522" s="80"/>
      <c r="C522" s="80"/>
      <c r="D522" s="80"/>
      <c r="E522" s="80"/>
      <c r="F522" s="76"/>
      <c r="G522" s="76"/>
      <c r="H522" s="80"/>
      <c r="I522" s="76"/>
      <c r="J522" s="76"/>
      <c r="K522" s="80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</row>
    <row r="523">
      <c r="A523" s="76"/>
      <c r="B523" s="80"/>
      <c r="C523" s="80"/>
      <c r="D523" s="80"/>
      <c r="E523" s="80"/>
      <c r="F523" s="76"/>
      <c r="G523" s="76"/>
      <c r="H523" s="80"/>
      <c r="I523" s="76"/>
      <c r="J523" s="76"/>
      <c r="K523" s="80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</row>
    <row r="524">
      <c r="A524" s="76"/>
      <c r="B524" s="80"/>
      <c r="C524" s="80"/>
      <c r="D524" s="80"/>
      <c r="E524" s="80"/>
      <c r="F524" s="76"/>
      <c r="G524" s="76"/>
      <c r="H524" s="80"/>
      <c r="I524" s="76"/>
      <c r="J524" s="76"/>
      <c r="K524" s="80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</row>
    <row r="525">
      <c r="A525" s="76"/>
      <c r="B525" s="80"/>
      <c r="C525" s="80"/>
      <c r="D525" s="80"/>
      <c r="E525" s="80"/>
      <c r="F525" s="76"/>
      <c r="G525" s="76"/>
      <c r="H525" s="80"/>
      <c r="I525" s="76"/>
      <c r="J525" s="76"/>
      <c r="K525" s="80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</row>
    <row r="526">
      <c r="A526" s="76"/>
      <c r="B526" s="80"/>
      <c r="C526" s="80"/>
      <c r="D526" s="80"/>
      <c r="E526" s="80"/>
      <c r="F526" s="76"/>
      <c r="G526" s="76"/>
      <c r="H526" s="80"/>
      <c r="I526" s="76"/>
      <c r="J526" s="76"/>
      <c r="K526" s="80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</row>
    <row r="527">
      <c r="A527" s="76"/>
      <c r="B527" s="80"/>
      <c r="C527" s="80"/>
      <c r="D527" s="80"/>
      <c r="E527" s="80"/>
      <c r="F527" s="76"/>
      <c r="G527" s="76"/>
      <c r="H527" s="80"/>
      <c r="I527" s="76"/>
      <c r="J527" s="76"/>
      <c r="K527" s="80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</row>
    <row r="528">
      <c r="A528" s="76"/>
      <c r="B528" s="80"/>
      <c r="C528" s="80"/>
      <c r="D528" s="80"/>
      <c r="E528" s="80"/>
      <c r="F528" s="76"/>
      <c r="G528" s="76"/>
      <c r="H528" s="80"/>
      <c r="I528" s="76"/>
      <c r="J528" s="76"/>
      <c r="K528" s="80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</row>
    <row r="529">
      <c r="A529" s="76"/>
      <c r="B529" s="80"/>
      <c r="C529" s="80"/>
      <c r="D529" s="80"/>
      <c r="E529" s="80"/>
      <c r="F529" s="76"/>
      <c r="G529" s="76"/>
      <c r="H529" s="80"/>
      <c r="I529" s="76"/>
      <c r="J529" s="76"/>
      <c r="K529" s="80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</row>
    <row r="530">
      <c r="A530" s="76"/>
      <c r="B530" s="80"/>
      <c r="C530" s="80"/>
      <c r="D530" s="80"/>
      <c r="E530" s="80"/>
      <c r="F530" s="76"/>
      <c r="G530" s="76"/>
      <c r="H530" s="80"/>
      <c r="I530" s="76"/>
      <c r="J530" s="76"/>
      <c r="K530" s="80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</row>
    <row r="531">
      <c r="A531" s="76"/>
      <c r="B531" s="80"/>
      <c r="C531" s="80"/>
      <c r="D531" s="80"/>
      <c r="E531" s="80"/>
      <c r="F531" s="76"/>
      <c r="G531" s="76"/>
      <c r="H531" s="80"/>
      <c r="I531" s="76"/>
      <c r="J531" s="76"/>
      <c r="K531" s="80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</row>
    <row r="532">
      <c r="A532" s="76"/>
      <c r="B532" s="80"/>
      <c r="C532" s="80"/>
      <c r="D532" s="80"/>
      <c r="E532" s="80"/>
      <c r="F532" s="76"/>
      <c r="G532" s="76"/>
      <c r="H532" s="80"/>
      <c r="I532" s="76"/>
      <c r="J532" s="76"/>
      <c r="K532" s="80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</row>
    <row r="533">
      <c r="A533" s="76"/>
      <c r="B533" s="80"/>
      <c r="C533" s="80"/>
      <c r="D533" s="80"/>
      <c r="E533" s="80"/>
      <c r="F533" s="76"/>
      <c r="G533" s="76"/>
      <c r="H533" s="80"/>
      <c r="I533" s="76"/>
      <c r="J533" s="76"/>
      <c r="K533" s="80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</row>
    <row r="534">
      <c r="A534" s="76"/>
      <c r="B534" s="80"/>
      <c r="C534" s="80"/>
      <c r="D534" s="80"/>
      <c r="E534" s="80"/>
      <c r="F534" s="76"/>
      <c r="G534" s="76"/>
      <c r="H534" s="80"/>
      <c r="I534" s="76"/>
      <c r="J534" s="76"/>
      <c r="K534" s="80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</row>
    <row r="535">
      <c r="A535" s="76"/>
      <c r="B535" s="80"/>
      <c r="C535" s="80"/>
      <c r="D535" s="80"/>
      <c r="E535" s="80"/>
      <c r="F535" s="76"/>
      <c r="G535" s="76"/>
      <c r="H535" s="80"/>
      <c r="I535" s="76"/>
      <c r="J535" s="76"/>
      <c r="K535" s="80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</row>
    <row r="536">
      <c r="A536" s="76"/>
      <c r="B536" s="80"/>
      <c r="C536" s="80"/>
      <c r="D536" s="80"/>
      <c r="E536" s="80"/>
      <c r="F536" s="76"/>
      <c r="G536" s="76"/>
      <c r="H536" s="80"/>
      <c r="I536" s="76"/>
      <c r="J536" s="76"/>
      <c r="K536" s="80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</row>
    <row r="537">
      <c r="A537" s="76"/>
      <c r="B537" s="80"/>
      <c r="C537" s="80"/>
      <c r="D537" s="80"/>
      <c r="E537" s="80"/>
      <c r="F537" s="76"/>
      <c r="G537" s="76"/>
      <c r="H537" s="80"/>
      <c r="I537" s="76"/>
      <c r="J537" s="76"/>
      <c r="K537" s="80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</row>
    <row r="538">
      <c r="A538" s="76"/>
      <c r="B538" s="80"/>
      <c r="C538" s="80"/>
      <c r="D538" s="80"/>
      <c r="E538" s="80"/>
      <c r="F538" s="76"/>
      <c r="G538" s="76"/>
      <c r="H538" s="80"/>
      <c r="I538" s="76"/>
      <c r="J538" s="76"/>
      <c r="K538" s="80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</row>
    <row r="539">
      <c r="A539" s="76"/>
      <c r="B539" s="80"/>
      <c r="C539" s="80"/>
      <c r="D539" s="80"/>
      <c r="E539" s="80"/>
      <c r="F539" s="76"/>
      <c r="G539" s="76"/>
      <c r="H539" s="80"/>
      <c r="I539" s="76"/>
      <c r="J539" s="76"/>
      <c r="K539" s="80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</row>
    <row r="540">
      <c r="A540" s="76"/>
      <c r="B540" s="80"/>
      <c r="C540" s="80"/>
      <c r="D540" s="80"/>
      <c r="E540" s="80"/>
      <c r="F540" s="76"/>
      <c r="G540" s="76"/>
      <c r="H540" s="80"/>
      <c r="I540" s="76"/>
      <c r="J540" s="76"/>
      <c r="K540" s="80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</row>
    <row r="541">
      <c r="A541" s="76"/>
      <c r="B541" s="80"/>
      <c r="C541" s="80"/>
      <c r="D541" s="80"/>
      <c r="E541" s="80"/>
      <c r="F541" s="76"/>
      <c r="G541" s="76"/>
      <c r="H541" s="80"/>
      <c r="I541" s="76"/>
      <c r="J541" s="76"/>
      <c r="K541" s="80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</row>
    <row r="542">
      <c r="A542" s="76"/>
      <c r="B542" s="80"/>
      <c r="C542" s="80"/>
      <c r="D542" s="80"/>
      <c r="E542" s="80"/>
      <c r="F542" s="76"/>
      <c r="G542" s="76"/>
      <c r="H542" s="80"/>
      <c r="I542" s="76"/>
      <c r="J542" s="76"/>
      <c r="K542" s="80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</row>
    <row r="543">
      <c r="A543" s="76"/>
      <c r="B543" s="80"/>
      <c r="C543" s="80"/>
      <c r="D543" s="80"/>
      <c r="E543" s="80"/>
      <c r="F543" s="76"/>
      <c r="G543" s="76"/>
      <c r="H543" s="80"/>
      <c r="I543" s="76"/>
      <c r="J543" s="76"/>
      <c r="K543" s="80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</row>
    <row r="544">
      <c r="A544" s="76"/>
      <c r="B544" s="80"/>
      <c r="C544" s="80"/>
      <c r="D544" s="80"/>
      <c r="E544" s="80"/>
      <c r="F544" s="76"/>
      <c r="G544" s="76"/>
      <c r="H544" s="80"/>
      <c r="I544" s="76"/>
      <c r="J544" s="76"/>
      <c r="K544" s="80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</row>
    <row r="545">
      <c r="A545" s="76"/>
      <c r="B545" s="80"/>
      <c r="C545" s="80"/>
      <c r="D545" s="80"/>
      <c r="E545" s="80"/>
      <c r="F545" s="76"/>
      <c r="G545" s="76"/>
      <c r="H545" s="80"/>
      <c r="I545" s="76"/>
      <c r="J545" s="76"/>
      <c r="K545" s="80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</row>
    <row r="546">
      <c r="A546" s="76"/>
      <c r="B546" s="80"/>
      <c r="C546" s="80"/>
      <c r="D546" s="80"/>
      <c r="E546" s="80"/>
      <c r="F546" s="76"/>
      <c r="G546" s="76"/>
      <c r="H546" s="80"/>
      <c r="I546" s="76"/>
      <c r="J546" s="76"/>
      <c r="K546" s="80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</row>
    <row r="547">
      <c r="A547" s="76"/>
      <c r="B547" s="80"/>
      <c r="C547" s="80"/>
      <c r="D547" s="80"/>
      <c r="E547" s="80"/>
      <c r="F547" s="76"/>
      <c r="G547" s="76"/>
      <c r="H547" s="80"/>
      <c r="I547" s="76"/>
      <c r="J547" s="76"/>
      <c r="K547" s="80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</row>
    <row r="548">
      <c r="A548" s="76"/>
      <c r="B548" s="80"/>
      <c r="C548" s="80"/>
      <c r="D548" s="80"/>
      <c r="E548" s="80"/>
      <c r="F548" s="76"/>
      <c r="G548" s="76"/>
      <c r="H548" s="80"/>
      <c r="I548" s="76"/>
      <c r="J548" s="76"/>
      <c r="K548" s="80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</row>
    <row r="549">
      <c r="A549" s="76"/>
      <c r="B549" s="80"/>
      <c r="C549" s="80"/>
      <c r="D549" s="80"/>
      <c r="E549" s="80"/>
      <c r="F549" s="76"/>
      <c r="G549" s="76"/>
      <c r="H549" s="80"/>
      <c r="I549" s="76"/>
      <c r="J549" s="76"/>
      <c r="K549" s="80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</row>
    <row r="550">
      <c r="A550" s="76"/>
      <c r="B550" s="80"/>
      <c r="C550" s="80"/>
      <c r="D550" s="80"/>
      <c r="E550" s="80"/>
      <c r="F550" s="76"/>
      <c r="G550" s="76"/>
      <c r="H550" s="80"/>
      <c r="I550" s="76"/>
      <c r="J550" s="76"/>
      <c r="K550" s="80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</row>
    <row r="551">
      <c r="A551" s="76"/>
      <c r="B551" s="80"/>
      <c r="C551" s="80"/>
      <c r="D551" s="80"/>
      <c r="E551" s="80"/>
      <c r="F551" s="76"/>
      <c r="G551" s="76"/>
      <c r="H551" s="80"/>
      <c r="I551" s="76"/>
      <c r="J551" s="76"/>
      <c r="K551" s="80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</row>
    <row r="552">
      <c r="A552" s="76"/>
      <c r="B552" s="80"/>
      <c r="C552" s="80"/>
      <c r="D552" s="80"/>
      <c r="E552" s="80"/>
      <c r="F552" s="76"/>
      <c r="G552" s="76"/>
      <c r="H552" s="80"/>
      <c r="I552" s="76"/>
      <c r="J552" s="76"/>
      <c r="K552" s="80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</row>
    <row r="553">
      <c r="A553" s="76"/>
      <c r="B553" s="80"/>
      <c r="C553" s="80"/>
      <c r="D553" s="80"/>
      <c r="E553" s="80"/>
      <c r="F553" s="76"/>
      <c r="G553" s="76"/>
      <c r="H553" s="80"/>
      <c r="I553" s="76"/>
      <c r="J553" s="76"/>
      <c r="K553" s="80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</row>
    <row r="554">
      <c r="A554" s="76"/>
      <c r="B554" s="80"/>
      <c r="C554" s="80"/>
      <c r="D554" s="80"/>
      <c r="E554" s="80"/>
      <c r="F554" s="76"/>
      <c r="G554" s="76"/>
      <c r="H554" s="80"/>
      <c r="I554" s="76"/>
      <c r="J554" s="76"/>
      <c r="K554" s="80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</row>
    <row r="555">
      <c r="A555" s="76"/>
      <c r="B555" s="80"/>
      <c r="C555" s="80"/>
      <c r="D555" s="80"/>
      <c r="E555" s="80"/>
      <c r="F555" s="76"/>
      <c r="G555" s="76"/>
      <c r="H555" s="80"/>
      <c r="I555" s="76"/>
      <c r="J555" s="76"/>
      <c r="K555" s="80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</row>
    <row r="556">
      <c r="A556" s="76"/>
      <c r="B556" s="80"/>
      <c r="C556" s="80"/>
      <c r="D556" s="80"/>
      <c r="E556" s="80"/>
      <c r="F556" s="76"/>
      <c r="G556" s="76"/>
      <c r="H556" s="80"/>
      <c r="I556" s="76"/>
      <c r="J556" s="76"/>
      <c r="K556" s="80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</row>
    <row r="557">
      <c r="A557" s="76"/>
      <c r="B557" s="80"/>
      <c r="C557" s="80"/>
      <c r="D557" s="80"/>
      <c r="E557" s="80"/>
      <c r="F557" s="76"/>
      <c r="G557" s="76"/>
      <c r="H557" s="80"/>
      <c r="I557" s="76"/>
      <c r="J557" s="76"/>
      <c r="K557" s="80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</row>
    <row r="558">
      <c r="A558" s="76"/>
      <c r="B558" s="80"/>
      <c r="C558" s="80"/>
      <c r="D558" s="80"/>
      <c r="E558" s="80"/>
      <c r="F558" s="76"/>
      <c r="G558" s="76"/>
      <c r="H558" s="80"/>
      <c r="I558" s="76"/>
      <c r="J558" s="76"/>
      <c r="K558" s="80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</row>
    <row r="559">
      <c r="A559" s="76"/>
      <c r="B559" s="80"/>
      <c r="C559" s="80"/>
      <c r="D559" s="80"/>
      <c r="E559" s="80"/>
      <c r="F559" s="76"/>
      <c r="G559" s="76"/>
      <c r="H559" s="80"/>
      <c r="I559" s="76"/>
      <c r="J559" s="76"/>
      <c r="K559" s="80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</row>
    <row r="560">
      <c r="A560" s="76"/>
      <c r="B560" s="80"/>
      <c r="C560" s="80"/>
      <c r="D560" s="80"/>
      <c r="E560" s="80"/>
      <c r="F560" s="76"/>
      <c r="G560" s="76"/>
      <c r="H560" s="80"/>
      <c r="I560" s="76"/>
      <c r="J560" s="76"/>
      <c r="K560" s="80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</row>
    <row r="561">
      <c r="A561" s="76"/>
      <c r="B561" s="80"/>
      <c r="C561" s="80"/>
      <c r="D561" s="80"/>
      <c r="E561" s="80"/>
      <c r="F561" s="76"/>
      <c r="G561" s="76"/>
      <c r="H561" s="80"/>
      <c r="I561" s="76"/>
      <c r="J561" s="76"/>
      <c r="K561" s="80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</row>
    <row r="562">
      <c r="A562" s="76"/>
      <c r="B562" s="80"/>
      <c r="C562" s="80"/>
      <c r="D562" s="80"/>
      <c r="E562" s="80"/>
      <c r="F562" s="76"/>
      <c r="G562" s="76"/>
      <c r="H562" s="80"/>
      <c r="I562" s="76"/>
      <c r="J562" s="76"/>
      <c r="K562" s="80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</row>
    <row r="563">
      <c r="A563" s="76"/>
      <c r="B563" s="80"/>
      <c r="C563" s="80"/>
      <c r="D563" s="80"/>
      <c r="E563" s="80"/>
      <c r="F563" s="76"/>
      <c r="G563" s="76"/>
      <c r="H563" s="80"/>
      <c r="I563" s="76"/>
      <c r="J563" s="76"/>
      <c r="K563" s="80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</row>
    <row r="564">
      <c r="A564" s="76"/>
      <c r="B564" s="80"/>
      <c r="C564" s="80"/>
      <c r="D564" s="80"/>
      <c r="E564" s="80"/>
      <c r="F564" s="76"/>
      <c r="G564" s="76"/>
      <c r="H564" s="80"/>
      <c r="I564" s="76"/>
      <c r="J564" s="76"/>
      <c r="K564" s="80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</row>
    <row r="565">
      <c r="A565" s="76"/>
      <c r="B565" s="80"/>
      <c r="C565" s="80"/>
      <c r="D565" s="80"/>
      <c r="E565" s="80"/>
      <c r="F565" s="76"/>
      <c r="G565" s="76"/>
      <c r="H565" s="80"/>
      <c r="I565" s="76"/>
      <c r="J565" s="76"/>
      <c r="K565" s="80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</row>
    <row r="566">
      <c r="A566" s="76"/>
      <c r="B566" s="80"/>
      <c r="C566" s="80"/>
      <c r="D566" s="80"/>
      <c r="E566" s="80"/>
      <c r="F566" s="76"/>
      <c r="G566" s="76"/>
      <c r="H566" s="80"/>
      <c r="I566" s="76"/>
      <c r="J566" s="76"/>
      <c r="K566" s="80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</row>
    <row r="567">
      <c r="A567" s="76"/>
      <c r="B567" s="80"/>
      <c r="C567" s="80"/>
      <c r="D567" s="80"/>
      <c r="E567" s="80"/>
      <c r="F567" s="76"/>
      <c r="G567" s="76"/>
      <c r="H567" s="80"/>
      <c r="I567" s="76"/>
      <c r="J567" s="76"/>
      <c r="K567" s="80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</row>
    <row r="568">
      <c r="A568" s="76"/>
      <c r="B568" s="80"/>
      <c r="C568" s="80"/>
      <c r="D568" s="80"/>
      <c r="E568" s="80"/>
      <c r="F568" s="76"/>
      <c r="G568" s="76"/>
      <c r="H568" s="80"/>
      <c r="I568" s="76"/>
      <c r="J568" s="76"/>
      <c r="K568" s="80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</row>
    <row r="569">
      <c r="A569" s="76"/>
      <c r="B569" s="80"/>
      <c r="C569" s="80"/>
      <c r="D569" s="80"/>
      <c r="E569" s="80"/>
      <c r="F569" s="76"/>
      <c r="G569" s="76"/>
      <c r="H569" s="80"/>
      <c r="I569" s="76"/>
      <c r="J569" s="76"/>
      <c r="K569" s="80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</row>
    <row r="570">
      <c r="A570" s="76"/>
      <c r="B570" s="80"/>
      <c r="C570" s="80"/>
      <c r="D570" s="80"/>
      <c r="E570" s="80"/>
      <c r="F570" s="76"/>
      <c r="G570" s="76"/>
      <c r="H570" s="80"/>
      <c r="I570" s="76"/>
      <c r="J570" s="76"/>
      <c r="K570" s="80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</row>
    <row r="571">
      <c r="A571" s="76"/>
      <c r="B571" s="80"/>
      <c r="C571" s="80"/>
      <c r="D571" s="80"/>
      <c r="E571" s="80"/>
      <c r="F571" s="76"/>
      <c r="G571" s="76"/>
      <c r="H571" s="80"/>
      <c r="I571" s="76"/>
      <c r="J571" s="76"/>
      <c r="K571" s="80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</row>
    <row r="572">
      <c r="A572" s="76"/>
      <c r="B572" s="80"/>
      <c r="C572" s="80"/>
      <c r="D572" s="80"/>
      <c r="E572" s="80"/>
      <c r="F572" s="76"/>
      <c r="G572" s="76"/>
      <c r="H572" s="80"/>
      <c r="I572" s="76"/>
      <c r="J572" s="76"/>
      <c r="K572" s="80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</row>
    <row r="573">
      <c r="A573" s="76"/>
      <c r="B573" s="80"/>
      <c r="C573" s="80"/>
      <c r="D573" s="80"/>
      <c r="E573" s="80"/>
      <c r="F573" s="76"/>
      <c r="G573" s="76"/>
      <c r="H573" s="80"/>
      <c r="I573" s="76"/>
      <c r="J573" s="76"/>
      <c r="K573" s="80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</row>
    <row r="574">
      <c r="A574" s="76"/>
      <c r="B574" s="80"/>
      <c r="C574" s="80"/>
      <c r="D574" s="80"/>
      <c r="E574" s="80"/>
      <c r="F574" s="76"/>
      <c r="G574" s="76"/>
      <c r="H574" s="80"/>
      <c r="I574" s="76"/>
      <c r="J574" s="76"/>
      <c r="K574" s="80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</row>
    <row r="575">
      <c r="A575" s="76"/>
      <c r="B575" s="80"/>
      <c r="C575" s="80"/>
      <c r="D575" s="80"/>
      <c r="E575" s="80"/>
      <c r="F575" s="76"/>
      <c r="G575" s="76"/>
      <c r="H575" s="80"/>
      <c r="I575" s="76"/>
      <c r="J575" s="76"/>
      <c r="K575" s="80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</row>
    <row r="576">
      <c r="A576" s="76"/>
      <c r="B576" s="80"/>
      <c r="C576" s="80"/>
      <c r="D576" s="80"/>
      <c r="E576" s="80"/>
      <c r="F576" s="76"/>
      <c r="G576" s="76"/>
      <c r="H576" s="80"/>
      <c r="I576" s="76"/>
      <c r="J576" s="76"/>
      <c r="K576" s="80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</row>
    <row r="577">
      <c r="A577" s="76"/>
      <c r="B577" s="80"/>
      <c r="C577" s="80"/>
      <c r="D577" s="80"/>
      <c r="E577" s="80"/>
      <c r="F577" s="76"/>
      <c r="G577" s="76"/>
      <c r="H577" s="80"/>
      <c r="I577" s="76"/>
      <c r="J577" s="76"/>
      <c r="K577" s="80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</row>
    <row r="578">
      <c r="A578" s="76"/>
      <c r="B578" s="80"/>
      <c r="C578" s="80"/>
      <c r="D578" s="80"/>
      <c r="E578" s="80"/>
      <c r="F578" s="76"/>
      <c r="G578" s="76"/>
      <c r="H578" s="80"/>
      <c r="I578" s="76"/>
      <c r="J578" s="76"/>
      <c r="K578" s="80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</row>
    <row r="579">
      <c r="A579" s="76"/>
      <c r="B579" s="80"/>
      <c r="C579" s="80"/>
      <c r="D579" s="80"/>
      <c r="E579" s="80"/>
      <c r="F579" s="76"/>
      <c r="G579" s="76"/>
      <c r="H579" s="80"/>
      <c r="I579" s="76"/>
      <c r="J579" s="76"/>
      <c r="K579" s="80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</row>
    <row r="580">
      <c r="A580" s="76"/>
      <c r="B580" s="80"/>
      <c r="C580" s="80"/>
      <c r="D580" s="80"/>
      <c r="E580" s="80"/>
      <c r="F580" s="76"/>
      <c r="G580" s="76"/>
      <c r="H580" s="80"/>
      <c r="I580" s="76"/>
      <c r="J580" s="76"/>
      <c r="K580" s="80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</row>
    <row r="581">
      <c r="A581" s="76"/>
      <c r="B581" s="80"/>
      <c r="C581" s="80"/>
      <c r="D581" s="80"/>
      <c r="E581" s="80"/>
      <c r="F581" s="76"/>
      <c r="G581" s="76"/>
      <c r="H581" s="80"/>
      <c r="I581" s="76"/>
      <c r="J581" s="76"/>
      <c r="K581" s="80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</row>
    <row r="582">
      <c r="A582" s="76"/>
      <c r="B582" s="80"/>
      <c r="C582" s="80"/>
      <c r="D582" s="80"/>
      <c r="E582" s="80"/>
      <c r="F582" s="76"/>
      <c r="G582" s="76"/>
      <c r="H582" s="80"/>
      <c r="I582" s="76"/>
      <c r="J582" s="76"/>
      <c r="K582" s="80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</row>
    <row r="583">
      <c r="A583" s="76"/>
      <c r="B583" s="80"/>
      <c r="C583" s="80"/>
      <c r="D583" s="80"/>
      <c r="E583" s="80"/>
      <c r="F583" s="76"/>
      <c r="G583" s="76"/>
      <c r="H583" s="80"/>
      <c r="I583" s="76"/>
      <c r="J583" s="76"/>
      <c r="K583" s="80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</row>
    <row r="584">
      <c r="A584" s="76"/>
      <c r="B584" s="80"/>
      <c r="C584" s="80"/>
      <c r="D584" s="80"/>
      <c r="E584" s="80"/>
      <c r="F584" s="76"/>
      <c r="G584" s="76"/>
      <c r="H584" s="80"/>
      <c r="I584" s="76"/>
      <c r="J584" s="76"/>
      <c r="K584" s="80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</row>
    <row r="585">
      <c r="A585" s="76"/>
      <c r="B585" s="80"/>
      <c r="C585" s="80"/>
      <c r="D585" s="80"/>
      <c r="E585" s="80"/>
      <c r="F585" s="76"/>
      <c r="G585" s="76"/>
      <c r="H585" s="80"/>
      <c r="I585" s="76"/>
      <c r="J585" s="76"/>
      <c r="K585" s="80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</row>
    <row r="586">
      <c r="A586" s="76"/>
      <c r="B586" s="80"/>
      <c r="C586" s="80"/>
      <c r="D586" s="80"/>
      <c r="E586" s="80"/>
      <c r="F586" s="76"/>
      <c r="G586" s="76"/>
      <c r="H586" s="80"/>
      <c r="I586" s="76"/>
      <c r="J586" s="76"/>
      <c r="K586" s="80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</row>
    <row r="587">
      <c r="A587" s="76"/>
      <c r="B587" s="80"/>
      <c r="C587" s="80"/>
      <c r="D587" s="80"/>
      <c r="E587" s="80"/>
      <c r="F587" s="76"/>
      <c r="G587" s="76"/>
      <c r="H587" s="80"/>
      <c r="I587" s="76"/>
      <c r="J587" s="76"/>
      <c r="K587" s="80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</row>
    <row r="588">
      <c r="A588" s="76"/>
      <c r="B588" s="80"/>
      <c r="C588" s="80"/>
      <c r="D588" s="80"/>
      <c r="E588" s="80"/>
      <c r="F588" s="76"/>
      <c r="G588" s="76"/>
      <c r="H588" s="80"/>
      <c r="I588" s="76"/>
      <c r="J588" s="76"/>
      <c r="K588" s="80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</row>
    <row r="589">
      <c r="A589" s="76"/>
      <c r="B589" s="80"/>
      <c r="C589" s="80"/>
      <c r="D589" s="80"/>
      <c r="E589" s="80"/>
      <c r="F589" s="76"/>
      <c r="G589" s="76"/>
      <c r="H589" s="80"/>
      <c r="I589" s="76"/>
      <c r="J589" s="76"/>
      <c r="K589" s="80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</row>
    <row r="590">
      <c r="A590" s="76"/>
      <c r="B590" s="80"/>
      <c r="C590" s="80"/>
      <c r="D590" s="80"/>
      <c r="E590" s="80"/>
      <c r="F590" s="76"/>
      <c r="G590" s="76"/>
      <c r="H590" s="80"/>
      <c r="I590" s="76"/>
      <c r="J590" s="76"/>
      <c r="K590" s="80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</row>
    <row r="591">
      <c r="A591" s="76"/>
      <c r="B591" s="80"/>
      <c r="C591" s="80"/>
      <c r="D591" s="80"/>
      <c r="E591" s="80"/>
      <c r="F591" s="76"/>
      <c r="G591" s="76"/>
      <c r="H591" s="80"/>
      <c r="I591" s="76"/>
      <c r="J591" s="76"/>
      <c r="K591" s="80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</row>
    <row r="592">
      <c r="A592" s="76"/>
      <c r="B592" s="80"/>
      <c r="C592" s="80"/>
      <c r="D592" s="80"/>
      <c r="E592" s="80"/>
      <c r="F592" s="76"/>
      <c r="G592" s="76"/>
      <c r="H592" s="80"/>
      <c r="I592" s="76"/>
      <c r="J592" s="76"/>
      <c r="K592" s="80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</row>
    <row r="593">
      <c r="A593" s="76"/>
      <c r="B593" s="80"/>
      <c r="C593" s="80"/>
      <c r="D593" s="80"/>
      <c r="E593" s="80"/>
      <c r="F593" s="76"/>
      <c r="G593" s="76"/>
      <c r="H593" s="80"/>
      <c r="I593" s="76"/>
      <c r="J593" s="76"/>
      <c r="K593" s="80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</row>
    <row r="594">
      <c r="A594" s="76"/>
      <c r="B594" s="80"/>
      <c r="C594" s="80"/>
      <c r="D594" s="80"/>
      <c r="E594" s="80"/>
      <c r="F594" s="76"/>
      <c r="G594" s="76"/>
      <c r="H594" s="80"/>
      <c r="I594" s="76"/>
      <c r="J594" s="76"/>
      <c r="K594" s="80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</row>
    <row r="595">
      <c r="A595" s="76"/>
      <c r="B595" s="80"/>
      <c r="C595" s="80"/>
      <c r="D595" s="80"/>
      <c r="E595" s="80"/>
      <c r="F595" s="76"/>
      <c r="G595" s="76"/>
      <c r="H595" s="80"/>
      <c r="I595" s="76"/>
      <c r="J595" s="76"/>
      <c r="K595" s="80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</row>
    <row r="596">
      <c r="A596" s="76"/>
      <c r="B596" s="80"/>
      <c r="C596" s="80"/>
      <c r="D596" s="80"/>
      <c r="E596" s="80"/>
      <c r="F596" s="76"/>
      <c r="G596" s="76"/>
      <c r="H596" s="80"/>
      <c r="I596" s="76"/>
      <c r="J596" s="76"/>
      <c r="K596" s="80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</row>
    <row r="597">
      <c r="A597" s="76"/>
      <c r="B597" s="80"/>
      <c r="C597" s="80"/>
      <c r="D597" s="80"/>
      <c r="E597" s="80"/>
      <c r="F597" s="76"/>
      <c r="G597" s="76"/>
      <c r="H597" s="80"/>
      <c r="I597" s="76"/>
      <c r="J597" s="76"/>
      <c r="K597" s="80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</row>
    <row r="598">
      <c r="A598" s="76"/>
      <c r="B598" s="80"/>
      <c r="C598" s="80"/>
      <c r="D598" s="80"/>
      <c r="E598" s="80"/>
      <c r="F598" s="76"/>
      <c r="G598" s="76"/>
      <c r="H598" s="80"/>
      <c r="I598" s="76"/>
      <c r="J598" s="76"/>
      <c r="K598" s="80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</row>
    <row r="599">
      <c r="A599" s="76"/>
      <c r="B599" s="80"/>
      <c r="C599" s="80"/>
      <c r="D599" s="80"/>
      <c r="E599" s="80"/>
      <c r="F599" s="76"/>
      <c r="G599" s="76"/>
      <c r="H599" s="80"/>
      <c r="I599" s="76"/>
      <c r="J599" s="76"/>
      <c r="K599" s="80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</row>
    <row r="600">
      <c r="A600" s="76"/>
      <c r="B600" s="80"/>
      <c r="C600" s="80"/>
      <c r="D600" s="80"/>
      <c r="E600" s="80"/>
      <c r="F600" s="76"/>
      <c r="G600" s="76"/>
      <c r="H600" s="80"/>
      <c r="I600" s="76"/>
      <c r="J600" s="76"/>
      <c r="K600" s="80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</row>
    <row r="601">
      <c r="A601" s="76"/>
      <c r="B601" s="80"/>
      <c r="C601" s="80"/>
      <c r="D601" s="80"/>
      <c r="E601" s="80"/>
      <c r="F601" s="76"/>
      <c r="G601" s="76"/>
      <c r="H601" s="80"/>
      <c r="I601" s="76"/>
      <c r="J601" s="76"/>
      <c r="K601" s="80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</row>
    <row r="602">
      <c r="A602" s="76"/>
      <c r="B602" s="80"/>
      <c r="C602" s="80"/>
      <c r="D602" s="80"/>
      <c r="E602" s="80"/>
      <c r="F602" s="76"/>
      <c r="G602" s="76"/>
      <c r="H602" s="80"/>
      <c r="I602" s="76"/>
      <c r="J602" s="76"/>
      <c r="K602" s="80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</row>
    <row r="603">
      <c r="A603" s="76"/>
      <c r="B603" s="80"/>
      <c r="C603" s="80"/>
      <c r="D603" s="80"/>
      <c r="E603" s="80"/>
      <c r="F603" s="76"/>
      <c r="G603" s="76"/>
      <c r="H603" s="80"/>
      <c r="I603" s="76"/>
      <c r="J603" s="76"/>
      <c r="K603" s="80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</row>
    <row r="604">
      <c r="A604" s="76"/>
      <c r="B604" s="80"/>
      <c r="C604" s="80"/>
      <c r="D604" s="80"/>
      <c r="E604" s="80"/>
      <c r="F604" s="76"/>
      <c r="G604" s="76"/>
      <c r="H604" s="80"/>
      <c r="I604" s="76"/>
      <c r="J604" s="76"/>
      <c r="K604" s="80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</row>
    <row r="605">
      <c r="A605" s="76"/>
      <c r="B605" s="80"/>
      <c r="C605" s="80"/>
      <c r="D605" s="80"/>
      <c r="E605" s="80"/>
      <c r="F605" s="76"/>
      <c r="G605" s="76"/>
      <c r="H605" s="80"/>
      <c r="I605" s="76"/>
      <c r="J605" s="76"/>
      <c r="K605" s="80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</row>
    <row r="606">
      <c r="A606" s="76"/>
      <c r="B606" s="80"/>
      <c r="C606" s="80"/>
      <c r="D606" s="80"/>
      <c r="E606" s="80"/>
      <c r="F606" s="76"/>
      <c r="G606" s="76"/>
      <c r="H606" s="80"/>
      <c r="I606" s="76"/>
      <c r="J606" s="76"/>
      <c r="K606" s="80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</row>
    <row r="607">
      <c r="A607" s="76"/>
      <c r="B607" s="80"/>
      <c r="C607" s="80"/>
      <c r="D607" s="80"/>
      <c r="E607" s="80"/>
      <c r="F607" s="76"/>
      <c r="G607" s="76"/>
      <c r="H607" s="80"/>
      <c r="I607" s="76"/>
      <c r="J607" s="76"/>
      <c r="K607" s="80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</row>
    <row r="608">
      <c r="A608" s="76"/>
      <c r="B608" s="80"/>
      <c r="C608" s="80"/>
      <c r="D608" s="80"/>
      <c r="E608" s="80"/>
      <c r="F608" s="76"/>
      <c r="G608" s="76"/>
      <c r="H608" s="80"/>
      <c r="I608" s="76"/>
      <c r="J608" s="76"/>
      <c r="K608" s="80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</row>
    <row r="609">
      <c r="A609" s="76"/>
      <c r="B609" s="80"/>
      <c r="C609" s="80"/>
      <c r="D609" s="80"/>
      <c r="E609" s="80"/>
      <c r="F609" s="76"/>
      <c r="G609" s="76"/>
      <c r="H609" s="80"/>
      <c r="I609" s="76"/>
      <c r="J609" s="76"/>
      <c r="K609" s="80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</row>
    <row r="610">
      <c r="A610" s="76"/>
      <c r="B610" s="80"/>
      <c r="C610" s="80"/>
      <c r="D610" s="80"/>
      <c r="E610" s="80"/>
      <c r="F610" s="76"/>
      <c r="G610" s="76"/>
      <c r="H610" s="80"/>
      <c r="I610" s="76"/>
      <c r="J610" s="76"/>
      <c r="K610" s="80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</row>
    <row r="611">
      <c r="A611" s="76"/>
      <c r="B611" s="80"/>
      <c r="C611" s="80"/>
      <c r="D611" s="80"/>
      <c r="E611" s="80"/>
      <c r="F611" s="76"/>
      <c r="G611" s="76"/>
      <c r="H611" s="80"/>
      <c r="I611" s="76"/>
      <c r="J611" s="76"/>
      <c r="K611" s="80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</row>
    <row r="612">
      <c r="A612" s="76"/>
      <c r="B612" s="80"/>
      <c r="C612" s="80"/>
      <c r="D612" s="80"/>
      <c r="E612" s="80"/>
      <c r="F612" s="76"/>
      <c r="G612" s="76"/>
      <c r="H612" s="80"/>
      <c r="I612" s="76"/>
      <c r="J612" s="76"/>
      <c r="K612" s="80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</row>
    <row r="613">
      <c r="A613" s="76"/>
      <c r="B613" s="80"/>
      <c r="C613" s="80"/>
      <c r="D613" s="80"/>
      <c r="E613" s="80"/>
      <c r="F613" s="76"/>
      <c r="G613" s="76"/>
      <c r="H613" s="80"/>
      <c r="I613" s="76"/>
      <c r="J613" s="76"/>
      <c r="K613" s="80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</row>
    <row r="614">
      <c r="A614" s="76"/>
      <c r="B614" s="80"/>
      <c r="C614" s="80"/>
      <c r="D614" s="80"/>
      <c r="E614" s="80"/>
      <c r="F614" s="76"/>
      <c r="G614" s="76"/>
      <c r="H614" s="80"/>
      <c r="I614" s="76"/>
      <c r="J614" s="76"/>
      <c r="K614" s="80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</row>
    <row r="615">
      <c r="A615" s="76"/>
      <c r="B615" s="80"/>
      <c r="C615" s="80"/>
      <c r="D615" s="80"/>
      <c r="E615" s="80"/>
      <c r="F615" s="76"/>
      <c r="G615" s="76"/>
      <c r="H615" s="80"/>
      <c r="I615" s="76"/>
      <c r="J615" s="76"/>
      <c r="K615" s="80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</row>
    <row r="616">
      <c r="A616" s="76"/>
      <c r="B616" s="80"/>
      <c r="C616" s="80"/>
      <c r="D616" s="80"/>
      <c r="E616" s="80"/>
      <c r="F616" s="76"/>
      <c r="G616" s="76"/>
      <c r="H616" s="80"/>
      <c r="I616" s="76"/>
      <c r="J616" s="76"/>
      <c r="K616" s="80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</row>
    <row r="617">
      <c r="A617" s="76"/>
      <c r="B617" s="80"/>
      <c r="C617" s="80"/>
      <c r="D617" s="80"/>
      <c r="E617" s="80"/>
      <c r="F617" s="76"/>
      <c r="G617" s="76"/>
      <c r="H617" s="80"/>
      <c r="I617" s="76"/>
      <c r="J617" s="76"/>
      <c r="K617" s="80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</row>
    <row r="618">
      <c r="A618" s="76"/>
      <c r="B618" s="80"/>
      <c r="C618" s="80"/>
      <c r="D618" s="80"/>
      <c r="E618" s="80"/>
      <c r="F618" s="76"/>
      <c r="G618" s="76"/>
      <c r="H618" s="80"/>
      <c r="I618" s="76"/>
      <c r="J618" s="76"/>
      <c r="K618" s="80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</row>
    <row r="619">
      <c r="A619" s="76"/>
      <c r="B619" s="80"/>
      <c r="C619" s="80"/>
      <c r="D619" s="80"/>
      <c r="E619" s="80"/>
      <c r="F619" s="76"/>
      <c r="G619" s="76"/>
      <c r="H619" s="80"/>
      <c r="I619" s="76"/>
      <c r="J619" s="76"/>
      <c r="K619" s="80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</row>
    <row r="620">
      <c r="A620" s="76"/>
      <c r="B620" s="80"/>
      <c r="C620" s="80"/>
      <c r="D620" s="80"/>
      <c r="E620" s="80"/>
      <c r="F620" s="76"/>
      <c r="G620" s="76"/>
      <c r="H620" s="80"/>
      <c r="I620" s="76"/>
      <c r="J620" s="76"/>
      <c r="K620" s="80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</row>
    <row r="621">
      <c r="A621" s="76"/>
      <c r="B621" s="80"/>
      <c r="C621" s="80"/>
      <c r="D621" s="80"/>
      <c r="E621" s="80"/>
      <c r="F621" s="76"/>
      <c r="G621" s="76"/>
      <c r="H621" s="80"/>
      <c r="I621" s="76"/>
      <c r="J621" s="76"/>
      <c r="K621" s="80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</row>
    <row r="622">
      <c r="A622" s="76"/>
      <c r="B622" s="80"/>
      <c r="C622" s="80"/>
      <c r="D622" s="80"/>
      <c r="E622" s="80"/>
      <c r="F622" s="76"/>
      <c r="G622" s="76"/>
      <c r="H622" s="80"/>
      <c r="I622" s="76"/>
      <c r="J622" s="76"/>
      <c r="K622" s="80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</row>
    <row r="623">
      <c r="A623" s="76"/>
      <c r="B623" s="80"/>
      <c r="C623" s="80"/>
      <c r="D623" s="80"/>
      <c r="E623" s="80"/>
      <c r="F623" s="76"/>
      <c r="G623" s="76"/>
      <c r="H623" s="80"/>
      <c r="I623" s="76"/>
      <c r="J623" s="76"/>
      <c r="K623" s="80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</row>
    <row r="624">
      <c r="A624" s="76"/>
      <c r="B624" s="80"/>
      <c r="C624" s="80"/>
      <c r="D624" s="80"/>
      <c r="E624" s="80"/>
      <c r="F624" s="76"/>
      <c r="G624" s="76"/>
      <c r="H624" s="80"/>
      <c r="I624" s="76"/>
      <c r="J624" s="76"/>
      <c r="K624" s="80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</row>
    <row r="625">
      <c r="A625" s="76"/>
      <c r="B625" s="80"/>
      <c r="C625" s="80"/>
      <c r="D625" s="80"/>
      <c r="E625" s="80"/>
      <c r="F625" s="76"/>
      <c r="G625" s="76"/>
      <c r="H625" s="80"/>
      <c r="I625" s="76"/>
      <c r="J625" s="76"/>
      <c r="K625" s="80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</row>
    <row r="626">
      <c r="A626" s="76"/>
      <c r="B626" s="80"/>
      <c r="C626" s="80"/>
      <c r="D626" s="80"/>
      <c r="E626" s="80"/>
      <c r="F626" s="76"/>
      <c r="G626" s="76"/>
      <c r="H626" s="80"/>
      <c r="I626" s="76"/>
      <c r="J626" s="76"/>
      <c r="K626" s="80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</row>
    <row r="627">
      <c r="A627" s="76"/>
      <c r="B627" s="80"/>
      <c r="C627" s="80"/>
      <c r="D627" s="80"/>
      <c r="E627" s="80"/>
      <c r="F627" s="76"/>
      <c r="G627" s="76"/>
      <c r="H627" s="80"/>
      <c r="I627" s="76"/>
      <c r="J627" s="76"/>
      <c r="K627" s="80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</row>
    <row r="628">
      <c r="A628" s="76"/>
      <c r="B628" s="80"/>
      <c r="C628" s="80"/>
      <c r="D628" s="80"/>
      <c r="E628" s="80"/>
      <c r="F628" s="76"/>
      <c r="G628" s="76"/>
      <c r="H628" s="80"/>
      <c r="I628" s="76"/>
      <c r="J628" s="76"/>
      <c r="K628" s="80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</row>
    <row r="629">
      <c r="A629" s="76"/>
      <c r="B629" s="80"/>
      <c r="C629" s="80"/>
      <c r="D629" s="80"/>
      <c r="E629" s="80"/>
      <c r="F629" s="76"/>
      <c r="G629" s="76"/>
      <c r="H629" s="80"/>
      <c r="I629" s="76"/>
      <c r="J629" s="76"/>
      <c r="K629" s="80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</row>
    <row r="630">
      <c r="A630" s="76"/>
      <c r="B630" s="80"/>
      <c r="C630" s="80"/>
      <c r="D630" s="80"/>
      <c r="E630" s="80"/>
      <c r="F630" s="76"/>
      <c r="G630" s="76"/>
      <c r="H630" s="80"/>
      <c r="I630" s="76"/>
      <c r="J630" s="76"/>
      <c r="K630" s="80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</row>
    <row r="631">
      <c r="A631" s="76"/>
      <c r="B631" s="80"/>
      <c r="C631" s="80"/>
      <c r="D631" s="80"/>
      <c r="E631" s="80"/>
      <c r="F631" s="76"/>
      <c r="G631" s="76"/>
      <c r="H631" s="80"/>
      <c r="I631" s="76"/>
      <c r="J631" s="76"/>
      <c r="K631" s="80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</row>
    <row r="632">
      <c r="A632" s="76"/>
      <c r="B632" s="80"/>
      <c r="C632" s="80"/>
      <c r="D632" s="80"/>
      <c r="E632" s="80"/>
      <c r="F632" s="76"/>
      <c r="G632" s="76"/>
      <c r="H632" s="80"/>
      <c r="I632" s="76"/>
      <c r="J632" s="76"/>
      <c r="K632" s="80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</row>
    <row r="633">
      <c r="A633" s="76"/>
      <c r="B633" s="80"/>
      <c r="C633" s="80"/>
      <c r="D633" s="80"/>
      <c r="E633" s="80"/>
      <c r="F633" s="76"/>
      <c r="G633" s="76"/>
      <c r="H633" s="80"/>
      <c r="I633" s="76"/>
      <c r="J633" s="76"/>
      <c r="K633" s="80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</row>
    <row r="634">
      <c r="A634" s="76"/>
      <c r="B634" s="80"/>
      <c r="C634" s="80"/>
      <c r="D634" s="80"/>
      <c r="E634" s="80"/>
      <c r="F634" s="76"/>
      <c r="G634" s="76"/>
      <c r="H634" s="80"/>
      <c r="I634" s="76"/>
      <c r="J634" s="76"/>
      <c r="K634" s="80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</row>
    <row r="635">
      <c r="A635" s="76"/>
      <c r="B635" s="80"/>
      <c r="C635" s="80"/>
      <c r="D635" s="80"/>
      <c r="E635" s="80"/>
      <c r="F635" s="76"/>
      <c r="G635" s="76"/>
      <c r="H635" s="80"/>
      <c r="I635" s="76"/>
      <c r="J635" s="76"/>
      <c r="K635" s="80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</row>
    <row r="636">
      <c r="A636" s="76"/>
      <c r="B636" s="80"/>
      <c r="C636" s="80"/>
      <c r="D636" s="80"/>
      <c r="E636" s="80"/>
      <c r="F636" s="76"/>
      <c r="G636" s="76"/>
      <c r="H636" s="80"/>
      <c r="I636" s="76"/>
      <c r="J636" s="76"/>
      <c r="K636" s="80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</row>
    <row r="637">
      <c r="A637" s="76"/>
      <c r="B637" s="80"/>
      <c r="C637" s="80"/>
      <c r="D637" s="80"/>
      <c r="E637" s="80"/>
      <c r="F637" s="76"/>
      <c r="G637" s="76"/>
      <c r="H637" s="80"/>
      <c r="I637" s="76"/>
      <c r="J637" s="76"/>
      <c r="K637" s="80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</row>
    <row r="638">
      <c r="A638" s="76"/>
      <c r="B638" s="80"/>
      <c r="C638" s="80"/>
      <c r="D638" s="80"/>
      <c r="E638" s="80"/>
      <c r="F638" s="76"/>
      <c r="G638" s="76"/>
      <c r="H638" s="80"/>
      <c r="I638" s="76"/>
      <c r="J638" s="76"/>
      <c r="K638" s="80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</row>
    <row r="639">
      <c r="A639" s="76"/>
      <c r="B639" s="80"/>
      <c r="C639" s="80"/>
      <c r="D639" s="80"/>
      <c r="E639" s="80"/>
      <c r="F639" s="76"/>
      <c r="G639" s="76"/>
      <c r="H639" s="80"/>
      <c r="I639" s="76"/>
      <c r="J639" s="76"/>
      <c r="K639" s="80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</row>
    <row r="640">
      <c r="A640" s="76"/>
      <c r="B640" s="80"/>
      <c r="C640" s="80"/>
      <c r="D640" s="80"/>
      <c r="E640" s="80"/>
      <c r="F640" s="76"/>
      <c r="G640" s="76"/>
      <c r="H640" s="80"/>
      <c r="I640" s="76"/>
      <c r="J640" s="76"/>
      <c r="K640" s="80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</row>
    <row r="641">
      <c r="A641" s="76"/>
      <c r="B641" s="80"/>
      <c r="C641" s="80"/>
      <c r="D641" s="80"/>
      <c r="E641" s="80"/>
      <c r="F641" s="76"/>
      <c r="G641" s="76"/>
      <c r="H641" s="80"/>
      <c r="I641" s="76"/>
      <c r="J641" s="76"/>
      <c r="K641" s="80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</row>
    <row r="642">
      <c r="A642" s="76"/>
      <c r="B642" s="80"/>
      <c r="C642" s="80"/>
      <c r="D642" s="80"/>
      <c r="E642" s="80"/>
      <c r="F642" s="76"/>
      <c r="G642" s="76"/>
      <c r="H642" s="80"/>
      <c r="I642" s="76"/>
      <c r="J642" s="76"/>
      <c r="K642" s="80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</row>
    <row r="643">
      <c r="A643" s="76"/>
      <c r="B643" s="80"/>
      <c r="C643" s="80"/>
      <c r="D643" s="80"/>
      <c r="E643" s="80"/>
      <c r="F643" s="76"/>
      <c r="G643" s="76"/>
      <c r="H643" s="80"/>
      <c r="I643" s="76"/>
      <c r="J643" s="76"/>
      <c r="K643" s="80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</row>
    <row r="644">
      <c r="A644" s="76"/>
      <c r="B644" s="80"/>
      <c r="C644" s="80"/>
      <c r="D644" s="80"/>
      <c r="E644" s="80"/>
      <c r="F644" s="76"/>
      <c r="G644" s="76"/>
      <c r="H644" s="80"/>
      <c r="I644" s="76"/>
      <c r="J644" s="76"/>
      <c r="K644" s="80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</row>
    <row r="645">
      <c r="A645" s="76"/>
      <c r="B645" s="80"/>
      <c r="C645" s="80"/>
      <c r="D645" s="80"/>
      <c r="E645" s="80"/>
      <c r="F645" s="76"/>
      <c r="G645" s="76"/>
      <c r="H645" s="80"/>
      <c r="I645" s="76"/>
      <c r="J645" s="76"/>
      <c r="K645" s="80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</row>
    <row r="646">
      <c r="A646" s="76"/>
      <c r="B646" s="80"/>
      <c r="C646" s="80"/>
      <c r="D646" s="80"/>
      <c r="E646" s="80"/>
      <c r="F646" s="76"/>
      <c r="G646" s="76"/>
      <c r="H646" s="80"/>
      <c r="I646" s="76"/>
      <c r="J646" s="76"/>
      <c r="K646" s="80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</row>
    <row r="647">
      <c r="A647" s="76"/>
      <c r="B647" s="80"/>
      <c r="C647" s="80"/>
      <c r="D647" s="80"/>
      <c r="E647" s="80"/>
      <c r="F647" s="76"/>
      <c r="G647" s="76"/>
      <c r="H647" s="80"/>
      <c r="I647" s="76"/>
      <c r="J647" s="76"/>
      <c r="K647" s="80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</row>
    <row r="648">
      <c r="A648" s="76"/>
      <c r="B648" s="80"/>
      <c r="C648" s="80"/>
      <c r="D648" s="80"/>
      <c r="E648" s="80"/>
      <c r="F648" s="76"/>
      <c r="G648" s="76"/>
      <c r="H648" s="80"/>
      <c r="I648" s="76"/>
      <c r="J648" s="76"/>
      <c r="K648" s="80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</row>
    <row r="649">
      <c r="A649" s="76"/>
      <c r="B649" s="80"/>
      <c r="C649" s="80"/>
      <c r="D649" s="80"/>
      <c r="E649" s="80"/>
      <c r="F649" s="76"/>
      <c r="G649" s="76"/>
      <c r="H649" s="80"/>
      <c r="I649" s="76"/>
      <c r="J649" s="76"/>
      <c r="K649" s="80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</row>
    <row r="650">
      <c r="A650" s="76"/>
      <c r="B650" s="80"/>
      <c r="C650" s="80"/>
      <c r="D650" s="80"/>
      <c r="E650" s="80"/>
      <c r="F650" s="76"/>
      <c r="G650" s="76"/>
      <c r="H650" s="80"/>
      <c r="I650" s="76"/>
      <c r="J650" s="76"/>
      <c r="K650" s="80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</row>
    <row r="651">
      <c r="A651" s="76"/>
      <c r="B651" s="80"/>
      <c r="C651" s="80"/>
      <c r="D651" s="80"/>
      <c r="E651" s="80"/>
      <c r="F651" s="76"/>
      <c r="G651" s="76"/>
      <c r="H651" s="80"/>
      <c r="I651" s="76"/>
      <c r="J651" s="76"/>
      <c r="K651" s="80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</row>
    <row r="652">
      <c r="A652" s="76"/>
      <c r="B652" s="80"/>
      <c r="C652" s="80"/>
      <c r="D652" s="80"/>
      <c r="E652" s="80"/>
      <c r="F652" s="76"/>
      <c r="G652" s="76"/>
      <c r="H652" s="80"/>
      <c r="I652" s="76"/>
      <c r="J652" s="76"/>
      <c r="K652" s="80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</row>
    <row r="653">
      <c r="A653" s="76"/>
      <c r="B653" s="80"/>
      <c r="C653" s="80"/>
      <c r="D653" s="80"/>
      <c r="E653" s="80"/>
      <c r="F653" s="76"/>
      <c r="G653" s="76"/>
      <c r="H653" s="80"/>
      <c r="I653" s="76"/>
      <c r="J653" s="76"/>
      <c r="K653" s="80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</row>
    <row r="654">
      <c r="A654" s="76"/>
      <c r="B654" s="80"/>
      <c r="C654" s="80"/>
      <c r="D654" s="80"/>
      <c r="E654" s="80"/>
      <c r="F654" s="76"/>
      <c r="G654" s="76"/>
      <c r="H654" s="80"/>
      <c r="I654" s="76"/>
      <c r="J654" s="76"/>
      <c r="K654" s="80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</row>
    <row r="655">
      <c r="A655" s="76"/>
      <c r="B655" s="80"/>
      <c r="C655" s="80"/>
      <c r="D655" s="80"/>
      <c r="E655" s="80"/>
      <c r="F655" s="76"/>
      <c r="G655" s="76"/>
      <c r="H655" s="80"/>
      <c r="I655" s="76"/>
      <c r="J655" s="76"/>
      <c r="K655" s="80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</row>
    <row r="656">
      <c r="A656" s="76"/>
      <c r="B656" s="80"/>
      <c r="C656" s="80"/>
      <c r="D656" s="80"/>
      <c r="E656" s="80"/>
      <c r="F656" s="76"/>
      <c r="G656" s="76"/>
      <c r="H656" s="80"/>
      <c r="I656" s="76"/>
      <c r="J656" s="76"/>
      <c r="K656" s="80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</row>
    <row r="657">
      <c r="A657" s="76"/>
      <c r="B657" s="80"/>
      <c r="C657" s="80"/>
      <c r="D657" s="80"/>
      <c r="E657" s="80"/>
      <c r="F657" s="76"/>
      <c r="G657" s="76"/>
      <c r="H657" s="80"/>
      <c r="I657" s="76"/>
      <c r="J657" s="76"/>
      <c r="K657" s="80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</row>
    <row r="658">
      <c r="A658" s="76"/>
      <c r="B658" s="80"/>
      <c r="C658" s="80"/>
      <c r="D658" s="80"/>
      <c r="E658" s="80"/>
      <c r="F658" s="76"/>
      <c r="G658" s="76"/>
      <c r="H658" s="80"/>
      <c r="I658" s="76"/>
      <c r="J658" s="76"/>
      <c r="K658" s="80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</row>
    <row r="659">
      <c r="A659" s="76"/>
      <c r="B659" s="80"/>
      <c r="C659" s="80"/>
      <c r="D659" s="80"/>
      <c r="E659" s="80"/>
      <c r="F659" s="76"/>
      <c r="G659" s="76"/>
      <c r="H659" s="80"/>
      <c r="I659" s="76"/>
      <c r="J659" s="76"/>
      <c r="K659" s="80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</row>
    <row r="660">
      <c r="A660" s="76"/>
      <c r="B660" s="80"/>
      <c r="C660" s="80"/>
      <c r="D660" s="80"/>
      <c r="E660" s="80"/>
      <c r="F660" s="76"/>
      <c r="G660" s="76"/>
      <c r="H660" s="80"/>
      <c r="I660" s="76"/>
      <c r="J660" s="76"/>
      <c r="K660" s="80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</row>
    <row r="661">
      <c r="A661" s="76"/>
      <c r="B661" s="80"/>
      <c r="C661" s="80"/>
      <c r="D661" s="80"/>
      <c r="E661" s="80"/>
      <c r="F661" s="76"/>
      <c r="G661" s="76"/>
      <c r="H661" s="80"/>
      <c r="I661" s="76"/>
      <c r="J661" s="76"/>
      <c r="K661" s="80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</row>
    <row r="662">
      <c r="A662" s="76"/>
      <c r="B662" s="80"/>
      <c r="C662" s="80"/>
      <c r="D662" s="80"/>
      <c r="E662" s="80"/>
      <c r="F662" s="76"/>
      <c r="G662" s="76"/>
      <c r="H662" s="80"/>
      <c r="I662" s="76"/>
      <c r="J662" s="76"/>
      <c r="K662" s="80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</row>
    <row r="663">
      <c r="A663" s="76"/>
      <c r="B663" s="80"/>
      <c r="C663" s="80"/>
      <c r="D663" s="80"/>
      <c r="E663" s="80"/>
      <c r="F663" s="76"/>
      <c r="G663" s="76"/>
      <c r="H663" s="80"/>
      <c r="I663" s="76"/>
      <c r="J663" s="76"/>
      <c r="K663" s="80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</row>
    <row r="664">
      <c r="A664" s="76"/>
      <c r="B664" s="80"/>
      <c r="C664" s="80"/>
      <c r="D664" s="80"/>
      <c r="E664" s="80"/>
      <c r="F664" s="76"/>
      <c r="G664" s="76"/>
      <c r="H664" s="80"/>
      <c r="I664" s="76"/>
      <c r="J664" s="76"/>
      <c r="K664" s="80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</row>
    <row r="665">
      <c r="A665" s="76"/>
      <c r="B665" s="80"/>
      <c r="C665" s="80"/>
      <c r="D665" s="80"/>
      <c r="E665" s="80"/>
      <c r="F665" s="76"/>
      <c r="G665" s="76"/>
      <c r="H665" s="80"/>
      <c r="I665" s="76"/>
      <c r="J665" s="76"/>
      <c r="K665" s="80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</row>
    <row r="666">
      <c r="A666" s="76"/>
      <c r="B666" s="80"/>
      <c r="C666" s="80"/>
      <c r="D666" s="80"/>
      <c r="E666" s="80"/>
      <c r="F666" s="76"/>
      <c r="G666" s="76"/>
      <c r="H666" s="80"/>
      <c r="I666" s="76"/>
      <c r="J666" s="76"/>
      <c r="K666" s="80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</row>
    <row r="667">
      <c r="A667" s="76"/>
      <c r="B667" s="80"/>
      <c r="C667" s="80"/>
      <c r="D667" s="80"/>
      <c r="E667" s="80"/>
      <c r="F667" s="76"/>
      <c r="G667" s="76"/>
      <c r="H667" s="80"/>
      <c r="I667" s="76"/>
      <c r="J667" s="76"/>
      <c r="K667" s="80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</row>
    <row r="668">
      <c r="A668" s="76"/>
      <c r="B668" s="80"/>
      <c r="C668" s="80"/>
      <c r="D668" s="80"/>
      <c r="E668" s="80"/>
      <c r="F668" s="76"/>
      <c r="G668" s="76"/>
      <c r="H668" s="80"/>
      <c r="I668" s="76"/>
      <c r="J668" s="76"/>
      <c r="K668" s="80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</row>
    <row r="669">
      <c r="A669" s="76"/>
      <c r="B669" s="80"/>
      <c r="C669" s="80"/>
      <c r="D669" s="80"/>
      <c r="E669" s="80"/>
      <c r="F669" s="76"/>
      <c r="G669" s="76"/>
      <c r="H669" s="80"/>
      <c r="I669" s="76"/>
      <c r="J669" s="76"/>
      <c r="K669" s="80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</row>
    <row r="670">
      <c r="A670" s="76"/>
      <c r="B670" s="80"/>
      <c r="C670" s="80"/>
      <c r="D670" s="80"/>
      <c r="E670" s="80"/>
      <c r="F670" s="76"/>
      <c r="G670" s="76"/>
      <c r="H670" s="80"/>
      <c r="I670" s="76"/>
      <c r="J670" s="76"/>
      <c r="K670" s="80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</row>
    <row r="671">
      <c r="A671" s="76"/>
      <c r="B671" s="80"/>
      <c r="C671" s="80"/>
      <c r="D671" s="80"/>
      <c r="E671" s="80"/>
      <c r="F671" s="76"/>
      <c r="G671" s="76"/>
      <c r="H671" s="80"/>
      <c r="I671" s="76"/>
      <c r="J671" s="76"/>
      <c r="K671" s="80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</row>
    <row r="672">
      <c r="A672" s="76"/>
      <c r="B672" s="80"/>
      <c r="C672" s="80"/>
      <c r="D672" s="80"/>
      <c r="E672" s="80"/>
      <c r="F672" s="76"/>
      <c r="G672" s="76"/>
      <c r="H672" s="80"/>
      <c r="I672" s="76"/>
      <c r="J672" s="76"/>
      <c r="K672" s="80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</row>
    <row r="673">
      <c r="A673" s="76"/>
      <c r="B673" s="80"/>
      <c r="C673" s="80"/>
      <c r="D673" s="80"/>
      <c r="E673" s="80"/>
      <c r="F673" s="76"/>
      <c r="G673" s="76"/>
      <c r="H673" s="80"/>
      <c r="I673" s="76"/>
      <c r="J673" s="76"/>
      <c r="K673" s="80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</row>
    <row r="674">
      <c r="A674" s="76"/>
      <c r="B674" s="80"/>
      <c r="C674" s="80"/>
      <c r="D674" s="80"/>
      <c r="E674" s="80"/>
      <c r="F674" s="76"/>
      <c r="G674" s="76"/>
      <c r="H674" s="80"/>
      <c r="I674" s="76"/>
      <c r="J674" s="76"/>
      <c r="K674" s="80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</row>
    <row r="675">
      <c r="A675" s="76"/>
      <c r="B675" s="80"/>
      <c r="C675" s="80"/>
      <c r="D675" s="80"/>
      <c r="E675" s="80"/>
      <c r="F675" s="76"/>
      <c r="G675" s="76"/>
      <c r="H675" s="80"/>
      <c r="I675" s="76"/>
      <c r="J675" s="76"/>
      <c r="K675" s="80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</row>
    <row r="676">
      <c r="A676" s="76"/>
      <c r="B676" s="80"/>
      <c r="C676" s="80"/>
      <c r="D676" s="80"/>
      <c r="E676" s="80"/>
      <c r="F676" s="76"/>
      <c r="G676" s="76"/>
      <c r="H676" s="80"/>
      <c r="I676" s="76"/>
      <c r="J676" s="76"/>
      <c r="K676" s="80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</row>
    <row r="677">
      <c r="A677" s="76"/>
      <c r="B677" s="80"/>
      <c r="C677" s="80"/>
      <c r="D677" s="80"/>
      <c r="E677" s="80"/>
      <c r="F677" s="76"/>
      <c r="G677" s="76"/>
      <c r="H677" s="80"/>
      <c r="I677" s="76"/>
      <c r="J677" s="76"/>
      <c r="K677" s="80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</row>
    <row r="678">
      <c r="A678" s="76"/>
      <c r="B678" s="80"/>
      <c r="C678" s="80"/>
      <c r="D678" s="80"/>
      <c r="E678" s="80"/>
      <c r="F678" s="76"/>
      <c r="G678" s="76"/>
      <c r="H678" s="80"/>
      <c r="I678" s="76"/>
      <c r="J678" s="76"/>
      <c r="K678" s="80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</row>
    <row r="679">
      <c r="A679" s="76"/>
      <c r="B679" s="80"/>
      <c r="C679" s="80"/>
      <c r="D679" s="80"/>
      <c r="E679" s="80"/>
      <c r="F679" s="76"/>
      <c r="G679" s="76"/>
      <c r="H679" s="80"/>
      <c r="I679" s="76"/>
      <c r="J679" s="76"/>
      <c r="K679" s="80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</row>
    <row r="680">
      <c r="A680" s="76"/>
      <c r="B680" s="80"/>
      <c r="C680" s="80"/>
      <c r="D680" s="80"/>
      <c r="E680" s="80"/>
      <c r="F680" s="76"/>
      <c r="G680" s="76"/>
      <c r="H680" s="80"/>
      <c r="I680" s="76"/>
      <c r="J680" s="76"/>
      <c r="K680" s="80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</row>
    <row r="681">
      <c r="A681" s="76"/>
      <c r="B681" s="80"/>
      <c r="C681" s="80"/>
      <c r="D681" s="80"/>
      <c r="E681" s="80"/>
      <c r="F681" s="76"/>
      <c r="G681" s="76"/>
      <c r="H681" s="80"/>
      <c r="I681" s="76"/>
      <c r="J681" s="76"/>
      <c r="K681" s="80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</row>
    <row r="682">
      <c r="A682" s="76"/>
      <c r="B682" s="80"/>
      <c r="C682" s="80"/>
      <c r="D682" s="80"/>
      <c r="E682" s="80"/>
      <c r="F682" s="76"/>
      <c r="G682" s="76"/>
      <c r="H682" s="80"/>
      <c r="I682" s="76"/>
      <c r="J682" s="76"/>
      <c r="K682" s="80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</row>
    <row r="683">
      <c r="A683" s="76"/>
      <c r="B683" s="80"/>
      <c r="C683" s="80"/>
      <c r="D683" s="80"/>
      <c r="E683" s="80"/>
      <c r="F683" s="76"/>
      <c r="G683" s="76"/>
      <c r="H683" s="80"/>
      <c r="I683" s="76"/>
      <c r="J683" s="76"/>
      <c r="K683" s="80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</row>
    <row r="684">
      <c r="A684" s="76"/>
      <c r="B684" s="80"/>
      <c r="C684" s="80"/>
      <c r="D684" s="80"/>
      <c r="E684" s="80"/>
      <c r="F684" s="76"/>
      <c r="G684" s="76"/>
      <c r="H684" s="80"/>
      <c r="I684" s="76"/>
      <c r="J684" s="76"/>
      <c r="K684" s="80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</row>
    <row r="685">
      <c r="A685" s="76"/>
      <c r="B685" s="80"/>
      <c r="C685" s="80"/>
      <c r="D685" s="80"/>
      <c r="E685" s="80"/>
      <c r="F685" s="76"/>
      <c r="G685" s="76"/>
      <c r="H685" s="80"/>
      <c r="I685" s="76"/>
      <c r="J685" s="76"/>
      <c r="K685" s="80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</row>
    <row r="686">
      <c r="A686" s="76"/>
      <c r="B686" s="80"/>
      <c r="C686" s="80"/>
      <c r="D686" s="80"/>
      <c r="E686" s="80"/>
      <c r="F686" s="76"/>
      <c r="G686" s="76"/>
      <c r="H686" s="80"/>
      <c r="I686" s="76"/>
      <c r="J686" s="76"/>
      <c r="K686" s="80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</row>
    <row r="687">
      <c r="A687" s="76"/>
      <c r="B687" s="80"/>
      <c r="C687" s="80"/>
      <c r="D687" s="80"/>
      <c r="E687" s="80"/>
      <c r="F687" s="76"/>
      <c r="G687" s="76"/>
      <c r="H687" s="80"/>
      <c r="I687" s="76"/>
      <c r="J687" s="76"/>
      <c r="K687" s="80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</row>
    <row r="688">
      <c r="A688" s="76"/>
      <c r="B688" s="80"/>
      <c r="C688" s="80"/>
      <c r="D688" s="80"/>
      <c r="E688" s="80"/>
      <c r="F688" s="76"/>
      <c r="G688" s="76"/>
      <c r="H688" s="80"/>
      <c r="I688" s="76"/>
      <c r="J688" s="76"/>
      <c r="K688" s="80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</row>
    <row r="689">
      <c r="A689" s="76"/>
      <c r="B689" s="80"/>
      <c r="C689" s="80"/>
      <c r="D689" s="80"/>
      <c r="E689" s="80"/>
      <c r="F689" s="76"/>
      <c r="G689" s="76"/>
      <c r="H689" s="80"/>
      <c r="I689" s="76"/>
      <c r="J689" s="76"/>
      <c r="K689" s="80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</row>
    <row r="690">
      <c r="A690" s="76"/>
      <c r="B690" s="80"/>
      <c r="C690" s="80"/>
      <c r="D690" s="80"/>
      <c r="E690" s="80"/>
      <c r="F690" s="76"/>
      <c r="G690" s="76"/>
      <c r="H690" s="80"/>
      <c r="I690" s="76"/>
      <c r="J690" s="76"/>
      <c r="K690" s="80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</row>
    <row r="691">
      <c r="A691" s="76"/>
      <c r="B691" s="80"/>
      <c r="C691" s="80"/>
      <c r="D691" s="80"/>
      <c r="E691" s="80"/>
      <c r="F691" s="76"/>
      <c r="G691" s="76"/>
      <c r="H691" s="80"/>
      <c r="I691" s="76"/>
      <c r="J691" s="76"/>
      <c r="K691" s="80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</row>
    <row r="692">
      <c r="A692" s="76"/>
      <c r="B692" s="80"/>
      <c r="C692" s="80"/>
      <c r="D692" s="80"/>
      <c r="E692" s="80"/>
      <c r="F692" s="76"/>
      <c r="G692" s="76"/>
      <c r="H692" s="80"/>
      <c r="I692" s="76"/>
      <c r="J692" s="76"/>
      <c r="K692" s="80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</row>
    <row r="693">
      <c r="A693" s="76"/>
      <c r="B693" s="80"/>
      <c r="C693" s="80"/>
      <c r="D693" s="80"/>
      <c r="E693" s="80"/>
      <c r="F693" s="76"/>
      <c r="G693" s="76"/>
      <c r="H693" s="80"/>
      <c r="I693" s="76"/>
      <c r="J693" s="76"/>
      <c r="K693" s="80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</row>
    <row r="694">
      <c r="A694" s="76"/>
      <c r="B694" s="80"/>
      <c r="C694" s="80"/>
      <c r="D694" s="80"/>
      <c r="E694" s="80"/>
      <c r="F694" s="76"/>
      <c r="G694" s="76"/>
      <c r="H694" s="80"/>
      <c r="I694" s="76"/>
      <c r="J694" s="76"/>
      <c r="K694" s="80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</row>
    <row r="695">
      <c r="A695" s="76"/>
      <c r="B695" s="80"/>
      <c r="C695" s="80"/>
      <c r="D695" s="80"/>
      <c r="E695" s="80"/>
      <c r="F695" s="76"/>
      <c r="G695" s="76"/>
      <c r="H695" s="80"/>
      <c r="I695" s="76"/>
      <c r="J695" s="76"/>
      <c r="K695" s="80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</row>
    <row r="696">
      <c r="A696" s="76"/>
      <c r="B696" s="80"/>
      <c r="C696" s="80"/>
      <c r="D696" s="80"/>
      <c r="E696" s="80"/>
      <c r="F696" s="76"/>
      <c r="G696" s="76"/>
      <c r="H696" s="80"/>
      <c r="I696" s="76"/>
      <c r="J696" s="76"/>
      <c r="K696" s="80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</row>
    <row r="697">
      <c r="A697" s="76"/>
      <c r="B697" s="80"/>
      <c r="C697" s="80"/>
      <c r="D697" s="80"/>
      <c r="E697" s="80"/>
      <c r="F697" s="76"/>
      <c r="G697" s="76"/>
      <c r="H697" s="80"/>
      <c r="I697" s="76"/>
      <c r="J697" s="76"/>
      <c r="K697" s="80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</row>
    <row r="698">
      <c r="A698" s="76"/>
      <c r="B698" s="80"/>
      <c r="C698" s="80"/>
      <c r="D698" s="80"/>
      <c r="E698" s="80"/>
      <c r="F698" s="76"/>
      <c r="G698" s="76"/>
      <c r="H698" s="80"/>
      <c r="I698" s="76"/>
      <c r="J698" s="76"/>
      <c r="K698" s="80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</row>
    <row r="699">
      <c r="A699" s="76"/>
      <c r="B699" s="80"/>
      <c r="C699" s="80"/>
      <c r="D699" s="80"/>
      <c r="E699" s="80"/>
      <c r="F699" s="76"/>
      <c r="G699" s="76"/>
      <c r="H699" s="80"/>
      <c r="I699" s="76"/>
      <c r="J699" s="76"/>
      <c r="K699" s="80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</row>
    <row r="700">
      <c r="A700" s="76"/>
      <c r="B700" s="80"/>
      <c r="C700" s="80"/>
      <c r="D700" s="80"/>
      <c r="E700" s="80"/>
      <c r="F700" s="76"/>
      <c r="G700" s="76"/>
      <c r="H700" s="80"/>
      <c r="I700" s="76"/>
      <c r="J700" s="76"/>
      <c r="K700" s="80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</row>
    <row r="701">
      <c r="A701" s="76"/>
      <c r="B701" s="80"/>
      <c r="C701" s="80"/>
      <c r="D701" s="80"/>
      <c r="E701" s="80"/>
      <c r="F701" s="76"/>
      <c r="G701" s="76"/>
      <c r="H701" s="80"/>
      <c r="I701" s="76"/>
      <c r="J701" s="76"/>
      <c r="K701" s="80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</row>
    <row r="702">
      <c r="A702" s="76"/>
      <c r="B702" s="80"/>
      <c r="C702" s="80"/>
      <c r="D702" s="80"/>
      <c r="E702" s="80"/>
      <c r="F702" s="76"/>
      <c r="G702" s="76"/>
      <c r="H702" s="80"/>
      <c r="I702" s="76"/>
      <c r="J702" s="76"/>
      <c r="K702" s="80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</row>
    <row r="703">
      <c r="A703" s="76"/>
      <c r="B703" s="80"/>
      <c r="C703" s="80"/>
      <c r="D703" s="80"/>
      <c r="E703" s="80"/>
      <c r="F703" s="76"/>
      <c r="G703" s="76"/>
      <c r="H703" s="80"/>
      <c r="I703" s="76"/>
      <c r="J703" s="76"/>
      <c r="K703" s="80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</row>
    <row r="704">
      <c r="A704" s="76"/>
      <c r="B704" s="80"/>
      <c r="C704" s="80"/>
      <c r="D704" s="80"/>
      <c r="E704" s="80"/>
      <c r="F704" s="76"/>
      <c r="G704" s="76"/>
      <c r="H704" s="80"/>
      <c r="I704" s="76"/>
      <c r="J704" s="76"/>
      <c r="K704" s="80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</row>
    <row r="705">
      <c r="A705" s="76"/>
      <c r="B705" s="80"/>
      <c r="C705" s="80"/>
      <c r="D705" s="80"/>
      <c r="E705" s="80"/>
      <c r="F705" s="76"/>
      <c r="G705" s="76"/>
      <c r="H705" s="80"/>
      <c r="I705" s="76"/>
      <c r="J705" s="76"/>
      <c r="K705" s="80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</row>
    <row r="706">
      <c r="A706" s="76"/>
      <c r="B706" s="80"/>
      <c r="C706" s="80"/>
      <c r="D706" s="80"/>
      <c r="E706" s="80"/>
      <c r="F706" s="76"/>
      <c r="G706" s="76"/>
      <c r="H706" s="80"/>
      <c r="I706" s="76"/>
      <c r="J706" s="76"/>
      <c r="K706" s="80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</row>
    <row r="707">
      <c r="A707" s="76"/>
      <c r="B707" s="80"/>
      <c r="C707" s="80"/>
      <c r="D707" s="80"/>
      <c r="E707" s="80"/>
      <c r="F707" s="76"/>
      <c r="G707" s="76"/>
      <c r="H707" s="80"/>
      <c r="I707" s="76"/>
      <c r="J707" s="76"/>
      <c r="K707" s="80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</row>
    <row r="708">
      <c r="A708" s="76"/>
      <c r="B708" s="80"/>
      <c r="C708" s="80"/>
      <c r="D708" s="80"/>
      <c r="E708" s="80"/>
      <c r="F708" s="76"/>
      <c r="G708" s="76"/>
      <c r="H708" s="80"/>
      <c r="I708" s="76"/>
      <c r="J708" s="76"/>
      <c r="K708" s="80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</row>
    <row r="709">
      <c r="A709" s="76"/>
      <c r="B709" s="80"/>
      <c r="C709" s="80"/>
      <c r="D709" s="80"/>
      <c r="E709" s="80"/>
      <c r="F709" s="76"/>
      <c r="G709" s="76"/>
      <c r="H709" s="80"/>
      <c r="I709" s="76"/>
      <c r="J709" s="76"/>
      <c r="K709" s="80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</row>
    <row r="710">
      <c r="A710" s="76"/>
      <c r="B710" s="80"/>
      <c r="C710" s="80"/>
      <c r="D710" s="80"/>
      <c r="E710" s="80"/>
      <c r="F710" s="76"/>
      <c r="G710" s="76"/>
      <c r="H710" s="80"/>
      <c r="I710" s="76"/>
      <c r="J710" s="76"/>
      <c r="K710" s="80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</row>
    <row r="711">
      <c r="A711" s="76"/>
      <c r="B711" s="80"/>
      <c r="C711" s="80"/>
      <c r="D711" s="80"/>
      <c r="E711" s="80"/>
      <c r="F711" s="76"/>
      <c r="G711" s="76"/>
      <c r="H711" s="80"/>
      <c r="I711" s="76"/>
      <c r="J711" s="76"/>
      <c r="K711" s="80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</row>
    <row r="712">
      <c r="A712" s="76"/>
      <c r="B712" s="80"/>
      <c r="C712" s="80"/>
      <c r="D712" s="80"/>
      <c r="E712" s="80"/>
      <c r="F712" s="76"/>
      <c r="G712" s="76"/>
      <c r="H712" s="80"/>
      <c r="I712" s="76"/>
      <c r="J712" s="76"/>
      <c r="K712" s="80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</row>
    <row r="713">
      <c r="A713" s="76"/>
      <c r="B713" s="80"/>
      <c r="C713" s="80"/>
      <c r="D713" s="80"/>
      <c r="E713" s="80"/>
      <c r="F713" s="76"/>
      <c r="G713" s="76"/>
      <c r="H713" s="80"/>
      <c r="I713" s="76"/>
      <c r="J713" s="76"/>
      <c r="K713" s="80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</row>
    <row r="714">
      <c r="A714" s="76"/>
      <c r="B714" s="80"/>
      <c r="C714" s="80"/>
      <c r="D714" s="80"/>
      <c r="E714" s="80"/>
      <c r="F714" s="76"/>
      <c r="G714" s="76"/>
      <c r="H714" s="80"/>
      <c r="I714" s="76"/>
      <c r="J714" s="76"/>
      <c r="K714" s="80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</row>
    <row r="715">
      <c r="A715" s="76"/>
      <c r="B715" s="80"/>
      <c r="C715" s="80"/>
      <c r="D715" s="80"/>
      <c r="E715" s="80"/>
      <c r="F715" s="76"/>
      <c r="G715" s="76"/>
      <c r="H715" s="80"/>
      <c r="I715" s="76"/>
      <c r="J715" s="76"/>
      <c r="K715" s="80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</row>
    <row r="716">
      <c r="A716" s="76"/>
      <c r="B716" s="80"/>
      <c r="C716" s="80"/>
      <c r="D716" s="80"/>
      <c r="E716" s="80"/>
      <c r="F716" s="76"/>
      <c r="G716" s="76"/>
      <c r="H716" s="80"/>
      <c r="I716" s="76"/>
      <c r="J716" s="76"/>
      <c r="K716" s="80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</row>
    <row r="717">
      <c r="A717" s="76"/>
      <c r="B717" s="80"/>
      <c r="C717" s="80"/>
      <c r="D717" s="80"/>
      <c r="E717" s="80"/>
      <c r="F717" s="76"/>
      <c r="G717" s="76"/>
      <c r="H717" s="80"/>
      <c r="I717" s="76"/>
      <c r="J717" s="76"/>
      <c r="K717" s="80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</row>
    <row r="718">
      <c r="A718" s="76"/>
      <c r="B718" s="80"/>
      <c r="C718" s="80"/>
      <c r="D718" s="80"/>
      <c r="E718" s="80"/>
      <c r="F718" s="76"/>
      <c r="G718" s="76"/>
      <c r="H718" s="80"/>
      <c r="I718" s="76"/>
      <c r="J718" s="76"/>
      <c r="K718" s="80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</row>
    <row r="719">
      <c r="A719" s="76"/>
      <c r="B719" s="80"/>
      <c r="C719" s="80"/>
      <c r="D719" s="80"/>
      <c r="E719" s="80"/>
      <c r="F719" s="76"/>
      <c r="G719" s="76"/>
      <c r="H719" s="80"/>
      <c r="I719" s="76"/>
      <c r="J719" s="76"/>
      <c r="K719" s="80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</row>
    <row r="720">
      <c r="A720" s="76"/>
      <c r="B720" s="80"/>
      <c r="C720" s="80"/>
      <c r="D720" s="80"/>
      <c r="E720" s="80"/>
      <c r="F720" s="76"/>
      <c r="G720" s="76"/>
      <c r="H720" s="80"/>
      <c r="I720" s="76"/>
      <c r="J720" s="76"/>
      <c r="K720" s="80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</row>
    <row r="721">
      <c r="A721" s="76"/>
      <c r="B721" s="80"/>
      <c r="C721" s="80"/>
      <c r="D721" s="80"/>
      <c r="E721" s="80"/>
      <c r="F721" s="76"/>
      <c r="G721" s="76"/>
      <c r="H721" s="80"/>
      <c r="I721" s="76"/>
      <c r="J721" s="76"/>
      <c r="K721" s="80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</row>
    <row r="722">
      <c r="A722" s="76"/>
      <c r="B722" s="80"/>
      <c r="C722" s="80"/>
      <c r="D722" s="80"/>
      <c r="E722" s="80"/>
      <c r="F722" s="76"/>
      <c r="G722" s="76"/>
      <c r="H722" s="80"/>
      <c r="I722" s="76"/>
      <c r="J722" s="76"/>
      <c r="K722" s="80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</row>
    <row r="723">
      <c r="A723" s="76"/>
      <c r="B723" s="80"/>
      <c r="C723" s="80"/>
      <c r="D723" s="80"/>
      <c r="E723" s="80"/>
      <c r="F723" s="76"/>
      <c r="G723" s="76"/>
      <c r="H723" s="80"/>
      <c r="I723" s="76"/>
      <c r="J723" s="76"/>
      <c r="K723" s="80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</row>
    <row r="724">
      <c r="A724" s="76"/>
      <c r="B724" s="80"/>
      <c r="C724" s="80"/>
      <c r="D724" s="80"/>
      <c r="E724" s="80"/>
      <c r="F724" s="76"/>
      <c r="G724" s="76"/>
      <c r="H724" s="80"/>
      <c r="I724" s="76"/>
      <c r="J724" s="76"/>
      <c r="K724" s="80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</row>
    <row r="725">
      <c r="A725" s="76"/>
      <c r="B725" s="80"/>
      <c r="C725" s="80"/>
      <c r="D725" s="80"/>
      <c r="E725" s="80"/>
      <c r="F725" s="76"/>
      <c r="G725" s="76"/>
      <c r="H725" s="80"/>
      <c r="I725" s="76"/>
      <c r="J725" s="76"/>
      <c r="K725" s="80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</row>
    <row r="726">
      <c r="A726" s="76"/>
      <c r="B726" s="80"/>
      <c r="C726" s="80"/>
      <c r="D726" s="80"/>
      <c r="E726" s="80"/>
      <c r="F726" s="76"/>
      <c r="G726" s="76"/>
      <c r="H726" s="80"/>
      <c r="I726" s="76"/>
      <c r="J726" s="76"/>
      <c r="K726" s="80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</row>
    <row r="727">
      <c r="A727" s="76"/>
      <c r="B727" s="80"/>
      <c r="C727" s="80"/>
      <c r="D727" s="80"/>
      <c r="E727" s="80"/>
      <c r="F727" s="76"/>
      <c r="G727" s="76"/>
      <c r="H727" s="80"/>
      <c r="I727" s="76"/>
      <c r="J727" s="76"/>
      <c r="K727" s="80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</row>
    <row r="728">
      <c r="A728" s="76"/>
      <c r="B728" s="80"/>
      <c r="C728" s="80"/>
      <c r="D728" s="80"/>
      <c r="E728" s="80"/>
      <c r="F728" s="76"/>
      <c r="G728" s="76"/>
      <c r="H728" s="80"/>
      <c r="I728" s="76"/>
      <c r="J728" s="76"/>
      <c r="K728" s="80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</row>
    <row r="729">
      <c r="A729" s="76"/>
      <c r="B729" s="80"/>
      <c r="C729" s="80"/>
      <c r="D729" s="80"/>
      <c r="E729" s="80"/>
      <c r="F729" s="76"/>
      <c r="G729" s="76"/>
      <c r="H729" s="80"/>
      <c r="I729" s="76"/>
      <c r="J729" s="76"/>
      <c r="K729" s="80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</row>
    <row r="730">
      <c r="A730" s="76"/>
      <c r="B730" s="80"/>
      <c r="C730" s="80"/>
      <c r="D730" s="80"/>
      <c r="E730" s="80"/>
      <c r="F730" s="76"/>
      <c r="G730" s="76"/>
      <c r="H730" s="80"/>
      <c r="I730" s="76"/>
      <c r="J730" s="76"/>
      <c r="K730" s="80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</row>
    <row r="731">
      <c r="A731" s="76"/>
      <c r="B731" s="80"/>
      <c r="C731" s="80"/>
      <c r="D731" s="80"/>
      <c r="E731" s="80"/>
      <c r="F731" s="76"/>
      <c r="G731" s="76"/>
      <c r="H731" s="80"/>
      <c r="I731" s="76"/>
      <c r="J731" s="76"/>
      <c r="K731" s="80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</row>
    <row r="732">
      <c r="A732" s="76"/>
      <c r="B732" s="80"/>
      <c r="C732" s="80"/>
      <c r="D732" s="80"/>
      <c r="E732" s="80"/>
      <c r="F732" s="76"/>
      <c r="G732" s="76"/>
      <c r="H732" s="80"/>
      <c r="I732" s="76"/>
      <c r="J732" s="76"/>
      <c r="K732" s="80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</row>
    <row r="733">
      <c r="A733" s="76"/>
      <c r="B733" s="80"/>
      <c r="C733" s="80"/>
      <c r="D733" s="80"/>
      <c r="E733" s="80"/>
      <c r="F733" s="76"/>
      <c r="G733" s="76"/>
      <c r="H733" s="80"/>
      <c r="I733" s="76"/>
      <c r="J733" s="76"/>
      <c r="K733" s="80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</row>
    <row r="734">
      <c r="A734" s="76"/>
      <c r="B734" s="80"/>
      <c r="C734" s="80"/>
      <c r="D734" s="80"/>
      <c r="E734" s="80"/>
      <c r="F734" s="76"/>
      <c r="G734" s="76"/>
      <c r="H734" s="80"/>
      <c r="I734" s="76"/>
      <c r="J734" s="76"/>
      <c r="K734" s="80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</row>
    <row r="735">
      <c r="A735" s="76"/>
      <c r="B735" s="80"/>
      <c r="C735" s="80"/>
      <c r="D735" s="80"/>
      <c r="E735" s="80"/>
      <c r="F735" s="76"/>
      <c r="G735" s="76"/>
      <c r="H735" s="80"/>
      <c r="I735" s="76"/>
      <c r="J735" s="76"/>
      <c r="K735" s="80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</row>
    <row r="736">
      <c r="A736" s="76"/>
      <c r="B736" s="80"/>
      <c r="C736" s="80"/>
      <c r="D736" s="80"/>
      <c r="E736" s="80"/>
      <c r="F736" s="76"/>
      <c r="G736" s="76"/>
      <c r="H736" s="80"/>
      <c r="I736" s="76"/>
      <c r="J736" s="76"/>
      <c r="K736" s="80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</row>
    <row r="737">
      <c r="A737" s="76"/>
      <c r="B737" s="80"/>
      <c r="C737" s="80"/>
      <c r="D737" s="80"/>
      <c r="E737" s="80"/>
      <c r="F737" s="76"/>
      <c r="G737" s="76"/>
      <c r="H737" s="80"/>
      <c r="I737" s="76"/>
      <c r="J737" s="76"/>
      <c r="K737" s="80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</row>
    <row r="738">
      <c r="A738" s="76"/>
      <c r="B738" s="80"/>
      <c r="C738" s="80"/>
      <c r="D738" s="80"/>
      <c r="E738" s="80"/>
      <c r="F738" s="76"/>
      <c r="G738" s="76"/>
      <c r="H738" s="80"/>
      <c r="I738" s="76"/>
      <c r="J738" s="76"/>
      <c r="K738" s="80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</row>
    <row r="739">
      <c r="A739" s="76"/>
      <c r="B739" s="80"/>
      <c r="C739" s="80"/>
      <c r="D739" s="80"/>
      <c r="E739" s="80"/>
      <c r="F739" s="76"/>
      <c r="G739" s="76"/>
      <c r="H739" s="80"/>
      <c r="I739" s="76"/>
      <c r="J739" s="76"/>
      <c r="K739" s="80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</row>
    <row r="740">
      <c r="A740" s="76"/>
      <c r="B740" s="80"/>
      <c r="C740" s="80"/>
      <c r="D740" s="80"/>
      <c r="E740" s="80"/>
      <c r="F740" s="76"/>
      <c r="G740" s="76"/>
      <c r="H740" s="80"/>
      <c r="I740" s="76"/>
      <c r="J740" s="76"/>
      <c r="K740" s="80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</row>
    <row r="741">
      <c r="A741" s="76"/>
      <c r="B741" s="80"/>
      <c r="C741" s="80"/>
      <c r="D741" s="80"/>
      <c r="E741" s="80"/>
      <c r="F741" s="76"/>
      <c r="G741" s="76"/>
      <c r="H741" s="80"/>
      <c r="I741" s="76"/>
      <c r="J741" s="76"/>
      <c r="K741" s="80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</row>
    <row r="742">
      <c r="A742" s="76"/>
      <c r="B742" s="80"/>
      <c r="C742" s="80"/>
      <c r="D742" s="80"/>
      <c r="E742" s="80"/>
      <c r="F742" s="76"/>
      <c r="G742" s="76"/>
      <c r="H742" s="80"/>
      <c r="I742" s="76"/>
      <c r="J742" s="76"/>
      <c r="K742" s="80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</row>
    <row r="743">
      <c r="A743" s="76"/>
      <c r="B743" s="80"/>
      <c r="C743" s="80"/>
      <c r="D743" s="80"/>
      <c r="E743" s="80"/>
      <c r="F743" s="76"/>
      <c r="G743" s="76"/>
      <c r="H743" s="80"/>
      <c r="I743" s="76"/>
      <c r="J743" s="76"/>
      <c r="K743" s="80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</row>
    <row r="744">
      <c r="A744" s="76"/>
      <c r="B744" s="80"/>
      <c r="C744" s="80"/>
      <c r="D744" s="80"/>
      <c r="E744" s="80"/>
      <c r="F744" s="76"/>
      <c r="G744" s="76"/>
      <c r="H744" s="80"/>
      <c r="I744" s="76"/>
      <c r="J744" s="76"/>
      <c r="K744" s="80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</row>
    <row r="745">
      <c r="A745" s="76"/>
      <c r="B745" s="80"/>
      <c r="C745" s="80"/>
      <c r="D745" s="80"/>
      <c r="E745" s="80"/>
      <c r="F745" s="76"/>
      <c r="G745" s="76"/>
      <c r="H745" s="80"/>
      <c r="I745" s="76"/>
      <c r="J745" s="76"/>
      <c r="K745" s="80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</row>
    <row r="746">
      <c r="A746" s="76"/>
      <c r="B746" s="80"/>
      <c r="C746" s="80"/>
      <c r="D746" s="80"/>
      <c r="E746" s="80"/>
      <c r="F746" s="76"/>
      <c r="G746" s="76"/>
      <c r="H746" s="80"/>
      <c r="I746" s="76"/>
      <c r="J746" s="76"/>
      <c r="K746" s="80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</row>
    <row r="747">
      <c r="A747" s="76"/>
      <c r="B747" s="80"/>
      <c r="C747" s="80"/>
      <c r="D747" s="80"/>
      <c r="E747" s="80"/>
      <c r="F747" s="76"/>
      <c r="G747" s="76"/>
      <c r="H747" s="80"/>
      <c r="I747" s="76"/>
      <c r="J747" s="76"/>
      <c r="K747" s="80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</row>
    <row r="748">
      <c r="A748" s="76"/>
      <c r="B748" s="80"/>
      <c r="C748" s="80"/>
      <c r="D748" s="80"/>
      <c r="E748" s="80"/>
      <c r="F748" s="76"/>
      <c r="G748" s="76"/>
      <c r="H748" s="80"/>
      <c r="I748" s="76"/>
      <c r="J748" s="76"/>
      <c r="K748" s="80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</row>
    <row r="749">
      <c r="A749" s="76"/>
      <c r="B749" s="80"/>
      <c r="C749" s="80"/>
      <c r="D749" s="80"/>
      <c r="E749" s="80"/>
      <c r="F749" s="76"/>
      <c r="G749" s="76"/>
      <c r="H749" s="80"/>
      <c r="I749" s="76"/>
      <c r="J749" s="76"/>
      <c r="K749" s="80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</row>
    <row r="750">
      <c r="A750" s="76"/>
      <c r="B750" s="80"/>
      <c r="C750" s="80"/>
      <c r="D750" s="80"/>
      <c r="E750" s="80"/>
      <c r="F750" s="76"/>
      <c r="G750" s="76"/>
      <c r="H750" s="80"/>
      <c r="I750" s="76"/>
      <c r="J750" s="76"/>
      <c r="K750" s="80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</row>
    <row r="751">
      <c r="A751" s="76"/>
      <c r="B751" s="80"/>
      <c r="C751" s="80"/>
      <c r="D751" s="80"/>
      <c r="E751" s="80"/>
      <c r="F751" s="76"/>
      <c r="G751" s="76"/>
      <c r="H751" s="80"/>
      <c r="I751" s="76"/>
      <c r="J751" s="76"/>
      <c r="K751" s="80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</row>
    <row r="752">
      <c r="A752" s="76"/>
      <c r="B752" s="80"/>
      <c r="C752" s="80"/>
      <c r="D752" s="80"/>
      <c r="E752" s="80"/>
      <c r="F752" s="76"/>
      <c r="G752" s="76"/>
      <c r="H752" s="80"/>
      <c r="I752" s="76"/>
      <c r="J752" s="76"/>
      <c r="K752" s="80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</row>
    <row r="753">
      <c r="A753" s="76"/>
      <c r="B753" s="80"/>
      <c r="C753" s="80"/>
      <c r="D753" s="80"/>
      <c r="E753" s="80"/>
      <c r="F753" s="76"/>
      <c r="G753" s="76"/>
      <c r="H753" s="80"/>
      <c r="I753" s="76"/>
      <c r="J753" s="76"/>
      <c r="K753" s="80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</row>
    <row r="754">
      <c r="A754" s="76"/>
      <c r="B754" s="80"/>
      <c r="C754" s="80"/>
      <c r="D754" s="80"/>
      <c r="E754" s="80"/>
      <c r="F754" s="76"/>
      <c r="G754" s="76"/>
      <c r="H754" s="80"/>
      <c r="I754" s="76"/>
      <c r="J754" s="76"/>
      <c r="K754" s="80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</row>
    <row r="755">
      <c r="A755" s="76"/>
      <c r="B755" s="80"/>
      <c r="C755" s="80"/>
      <c r="D755" s="80"/>
      <c r="E755" s="80"/>
      <c r="F755" s="76"/>
      <c r="G755" s="76"/>
      <c r="H755" s="80"/>
      <c r="I755" s="76"/>
      <c r="J755" s="76"/>
      <c r="K755" s="80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</row>
    <row r="756">
      <c r="A756" s="76"/>
      <c r="B756" s="80"/>
      <c r="C756" s="80"/>
      <c r="D756" s="80"/>
      <c r="E756" s="80"/>
      <c r="F756" s="76"/>
      <c r="G756" s="76"/>
      <c r="H756" s="80"/>
      <c r="I756" s="76"/>
      <c r="J756" s="76"/>
      <c r="K756" s="80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</row>
    <row r="757">
      <c r="A757" s="76"/>
      <c r="B757" s="80"/>
      <c r="C757" s="80"/>
      <c r="D757" s="80"/>
      <c r="E757" s="80"/>
      <c r="F757" s="76"/>
      <c r="G757" s="76"/>
      <c r="H757" s="80"/>
      <c r="I757" s="76"/>
      <c r="J757" s="76"/>
      <c r="K757" s="80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</row>
    <row r="758">
      <c r="A758" s="76"/>
      <c r="B758" s="80"/>
      <c r="C758" s="80"/>
      <c r="D758" s="80"/>
      <c r="E758" s="80"/>
      <c r="F758" s="76"/>
      <c r="G758" s="76"/>
      <c r="H758" s="80"/>
      <c r="I758" s="76"/>
      <c r="J758" s="76"/>
      <c r="K758" s="80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</row>
    <row r="759">
      <c r="A759" s="76"/>
      <c r="B759" s="80"/>
      <c r="C759" s="80"/>
      <c r="D759" s="80"/>
      <c r="E759" s="80"/>
      <c r="F759" s="76"/>
      <c r="G759" s="76"/>
      <c r="H759" s="80"/>
      <c r="I759" s="76"/>
      <c r="J759" s="76"/>
      <c r="K759" s="80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</row>
    <row r="760">
      <c r="A760" s="76"/>
      <c r="B760" s="80"/>
      <c r="C760" s="80"/>
      <c r="D760" s="80"/>
      <c r="E760" s="80"/>
      <c r="F760" s="76"/>
      <c r="G760" s="76"/>
      <c r="H760" s="80"/>
      <c r="I760" s="76"/>
      <c r="J760" s="76"/>
      <c r="K760" s="80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</row>
    <row r="761">
      <c r="A761" s="76"/>
      <c r="B761" s="80"/>
      <c r="C761" s="80"/>
      <c r="D761" s="80"/>
      <c r="E761" s="80"/>
      <c r="F761" s="76"/>
      <c r="G761" s="76"/>
      <c r="H761" s="80"/>
      <c r="I761" s="76"/>
      <c r="J761" s="76"/>
      <c r="K761" s="80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</row>
    <row r="762">
      <c r="A762" s="76"/>
      <c r="B762" s="80"/>
      <c r="C762" s="80"/>
      <c r="D762" s="80"/>
      <c r="E762" s="80"/>
      <c r="F762" s="76"/>
      <c r="G762" s="76"/>
      <c r="H762" s="80"/>
      <c r="I762" s="76"/>
      <c r="J762" s="76"/>
      <c r="K762" s="80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</row>
    <row r="763">
      <c r="A763" s="76"/>
      <c r="B763" s="80"/>
      <c r="C763" s="80"/>
      <c r="D763" s="80"/>
      <c r="E763" s="80"/>
      <c r="F763" s="76"/>
      <c r="G763" s="76"/>
      <c r="H763" s="80"/>
      <c r="I763" s="76"/>
      <c r="J763" s="76"/>
      <c r="K763" s="80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</row>
    <row r="764">
      <c r="A764" s="76"/>
      <c r="B764" s="80"/>
      <c r="C764" s="80"/>
      <c r="D764" s="80"/>
      <c r="E764" s="80"/>
      <c r="F764" s="76"/>
      <c r="G764" s="76"/>
      <c r="H764" s="80"/>
      <c r="I764" s="76"/>
      <c r="J764" s="76"/>
      <c r="K764" s="80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</row>
    <row r="765">
      <c r="A765" s="76"/>
      <c r="B765" s="80"/>
      <c r="C765" s="80"/>
      <c r="D765" s="80"/>
      <c r="E765" s="80"/>
      <c r="F765" s="76"/>
      <c r="G765" s="76"/>
      <c r="H765" s="80"/>
      <c r="I765" s="76"/>
      <c r="J765" s="76"/>
      <c r="K765" s="80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</row>
    <row r="766">
      <c r="A766" s="76"/>
      <c r="B766" s="80"/>
      <c r="C766" s="80"/>
      <c r="D766" s="80"/>
      <c r="E766" s="80"/>
      <c r="F766" s="76"/>
      <c r="G766" s="76"/>
      <c r="H766" s="80"/>
      <c r="I766" s="76"/>
      <c r="J766" s="76"/>
      <c r="K766" s="80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</row>
    <row r="767">
      <c r="A767" s="76"/>
      <c r="B767" s="80"/>
      <c r="C767" s="80"/>
      <c r="D767" s="80"/>
      <c r="E767" s="80"/>
      <c r="F767" s="76"/>
      <c r="G767" s="76"/>
      <c r="H767" s="80"/>
      <c r="I767" s="76"/>
      <c r="J767" s="76"/>
      <c r="K767" s="80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</row>
    <row r="768">
      <c r="A768" s="76"/>
      <c r="B768" s="80"/>
      <c r="C768" s="80"/>
      <c r="D768" s="80"/>
      <c r="E768" s="80"/>
      <c r="F768" s="76"/>
      <c r="G768" s="76"/>
      <c r="H768" s="80"/>
      <c r="I768" s="76"/>
      <c r="J768" s="76"/>
      <c r="K768" s="80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</row>
    <row r="769">
      <c r="A769" s="76"/>
      <c r="B769" s="80"/>
      <c r="C769" s="80"/>
      <c r="D769" s="80"/>
      <c r="E769" s="80"/>
      <c r="F769" s="76"/>
      <c r="G769" s="76"/>
      <c r="H769" s="80"/>
      <c r="I769" s="76"/>
      <c r="J769" s="76"/>
      <c r="K769" s="80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</row>
    <row r="770">
      <c r="A770" s="76"/>
      <c r="B770" s="80"/>
      <c r="C770" s="80"/>
      <c r="D770" s="80"/>
      <c r="E770" s="80"/>
      <c r="F770" s="76"/>
      <c r="G770" s="76"/>
      <c r="H770" s="80"/>
      <c r="I770" s="76"/>
      <c r="J770" s="76"/>
      <c r="K770" s="80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</row>
    <row r="771">
      <c r="A771" s="76"/>
      <c r="B771" s="80"/>
      <c r="C771" s="80"/>
      <c r="D771" s="80"/>
      <c r="E771" s="80"/>
      <c r="F771" s="76"/>
      <c r="G771" s="76"/>
      <c r="H771" s="80"/>
      <c r="I771" s="76"/>
      <c r="J771" s="76"/>
      <c r="K771" s="80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</row>
    <row r="772">
      <c r="A772" s="76"/>
      <c r="B772" s="80"/>
      <c r="C772" s="80"/>
      <c r="D772" s="80"/>
      <c r="E772" s="80"/>
      <c r="F772" s="76"/>
      <c r="G772" s="76"/>
      <c r="H772" s="80"/>
      <c r="I772" s="76"/>
      <c r="J772" s="76"/>
      <c r="K772" s="80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</row>
    <row r="773">
      <c r="A773" s="76"/>
      <c r="B773" s="80"/>
      <c r="C773" s="80"/>
      <c r="D773" s="80"/>
      <c r="E773" s="80"/>
      <c r="F773" s="76"/>
      <c r="G773" s="76"/>
      <c r="H773" s="80"/>
      <c r="I773" s="76"/>
      <c r="J773" s="76"/>
      <c r="K773" s="80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</row>
    <row r="774">
      <c r="A774" s="76"/>
      <c r="B774" s="80"/>
      <c r="C774" s="80"/>
      <c r="D774" s="80"/>
      <c r="E774" s="80"/>
      <c r="F774" s="76"/>
      <c r="G774" s="76"/>
      <c r="H774" s="80"/>
      <c r="I774" s="76"/>
      <c r="J774" s="76"/>
      <c r="K774" s="80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</row>
    <row r="775">
      <c r="A775" s="76"/>
      <c r="B775" s="80"/>
      <c r="C775" s="80"/>
      <c r="D775" s="80"/>
      <c r="E775" s="80"/>
      <c r="F775" s="76"/>
      <c r="G775" s="76"/>
      <c r="H775" s="80"/>
      <c r="I775" s="76"/>
      <c r="J775" s="76"/>
      <c r="K775" s="80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</row>
    <row r="776">
      <c r="A776" s="76"/>
      <c r="B776" s="80"/>
      <c r="C776" s="80"/>
      <c r="D776" s="80"/>
      <c r="E776" s="80"/>
      <c r="F776" s="76"/>
      <c r="G776" s="76"/>
      <c r="H776" s="80"/>
      <c r="I776" s="76"/>
      <c r="J776" s="76"/>
      <c r="K776" s="80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</row>
    <row r="777">
      <c r="A777" s="76"/>
      <c r="B777" s="80"/>
      <c r="C777" s="80"/>
      <c r="D777" s="80"/>
      <c r="E777" s="80"/>
      <c r="F777" s="76"/>
      <c r="G777" s="76"/>
      <c r="H777" s="80"/>
      <c r="I777" s="76"/>
      <c r="J777" s="76"/>
      <c r="K777" s="80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</row>
    <row r="778">
      <c r="A778" s="76"/>
      <c r="B778" s="80"/>
      <c r="C778" s="80"/>
      <c r="D778" s="80"/>
      <c r="E778" s="80"/>
      <c r="F778" s="76"/>
      <c r="G778" s="76"/>
      <c r="H778" s="80"/>
      <c r="I778" s="76"/>
      <c r="J778" s="76"/>
      <c r="K778" s="80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</row>
    <row r="779">
      <c r="A779" s="76"/>
      <c r="B779" s="80"/>
      <c r="C779" s="80"/>
      <c r="D779" s="80"/>
      <c r="E779" s="80"/>
      <c r="F779" s="76"/>
      <c r="G779" s="76"/>
      <c r="H779" s="80"/>
      <c r="I779" s="76"/>
      <c r="J779" s="76"/>
      <c r="K779" s="80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</row>
    <row r="780">
      <c r="A780" s="76"/>
      <c r="B780" s="80"/>
      <c r="C780" s="80"/>
      <c r="D780" s="80"/>
      <c r="E780" s="80"/>
      <c r="F780" s="76"/>
      <c r="G780" s="76"/>
      <c r="H780" s="80"/>
      <c r="I780" s="76"/>
      <c r="J780" s="76"/>
      <c r="K780" s="80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</row>
    <row r="781">
      <c r="A781" s="76"/>
      <c r="B781" s="80"/>
      <c r="C781" s="80"/>
      <c r="D781" s="80"/>
      <c r="E781" s="80"/>
      <c r="F781" s="76"/>
      <c r="G781" s="76"/>
      <c r="H781" s="80"/>
      <c r="I781" s="76"/>
      <c r="J781" s="76"/>
      <c r="K781" s="80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</row>
    <row r="782">
      <c r="A782" s="76"/>
      <c r="B782" s="80"/>
      <c r="C782" s="80"/>
      <c r="D782" s="80"/>
      <c r="E782" s="80"/>
      <c r="F782" s="76"/>
      <c r="G782" s="76"/>
      <c r="H782" s="80"/>
      <c r="I782" s="76"/>
      <c r="J782" s="76"/>
      <c r="K782" s="80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</row>
    <row r="783">
      <c r="A783" s="76"/>
      <c r="B783" s="80"/>
      <c r="C783" s="80"/>
      <c r="D783" s="80"/>
      <c r="E783" s="80"/>
      <c r="F783" s="76"/>
      <c r="G783" s="76"/>
      <c r="H783" s="80"/>
      <c r="I783" s="76"/>
      <c r="J783" s="76"/>
      <c r="K783" s="80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</row>
    <row r="784">
      <c r="A784" s="76"/>
      <c r="B784" s="80"/>
      <c r="C784" s="80"/>
      <c r="D784" s="80"/>
      <c r="E784" s="80"/>
      <c r="F784" s="76"/>
      <c r="G784" s="76"/>
      <c r="H784" s="80"/>
      <c r="I784" s="76"/>
      <c r="J784" s="76"/>
      <c r="K784" s="80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</row>
    <row r="785">
      <c r="A785" s="76"/>
      <c r="B785" s="80"/>
      <c r="C785" s="80"/>
      <c r="D785" s="80"/>
      <c r="E785" s="80"/>
      <c r="F785" s="76"/>
      <c r="G785" s="76"/>
      <c r="H785" s="80"/>
      <c r="I785" s="76"/>
      <c r="J785" s="76"/>
      <c r="K785" s="80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</row>
    <row r="786">
      <c r="A786" s="76"/>
      <c r="B786" s="80"/>
      <c r="C786" s="80"/>
      <c r="D786" s="80"/>
      <c r="E786" s="80"/>
      <c r="F786" s="76"/>
      <c r="G786" s="76"/>
      <c r="H786" s="80"/>
      <c r="I786" s="76"/>
      <c r="J786" s="76"/>
      <c r="K786" s="80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</row>
    <row r="787">
      <c r="A787" s="76"/>
      <c r="B787" s="80"/>
      <c r="C787" s="80"/>
      <c r="D787" s="80"/>
      <c r="E787" s="80"/>
      <c r="F787" s="76"/>
      <c r="G787" s="76"/>
      <c r="H787" s="80"/>
      <c r="I787" s="76"/>
      <c r="J787" s="76"/>
      <c r="K787" s="80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</row>
    <row r="788">
      <c r="A788" s="76"/>
      <c r="B788" s="80"/>
      <c r="C788" s="80"/>
      <c r="D788" s="80"/>
      <c r="E788" s="80"/>
      <c r="F788" s="76"/>
      <c r="G788" s="76"/>
      <c r="H788" s="80"/>
      <c r="I788" s="76"/>
      <c r="J788" s="76"/>
      <c r="K788" s="80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</row>
    <row r="789">
      <c r="A789" s="76"/>
      <c r="B789" s="80"/>
      <c r="C789" s="80"/>
      <c r="D789" s="80"/>
      <c r="E789" s="80"/>
      <c r="F789" s="76"/>
      <c r="G789" s="76"/>
      <c r="H789" s="80"/>
      <c r="I789" s="76"/>
      <c r="J789" s="76"/>
      <c r="K789" s="80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</row>
    <row r="790">
      <c r="A790" s="76"/>
      <c r="B790" s="80"/>
      <c r="C790" s="80"/>
      <c r="D790" s="80"/>
      <c r="E790" s="80"/>
      <c r="F790" s="76"/>
      <c r="G790" s="76"/>
      <c r="H790" s="80"/>
      <c r="I790" s="76"/>
      <c r="J790" s="76"/>
      <c r="K790" s="80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</row>
    <row r="791">
      <c r="A791" s="76"/>
      <c r="B791" s="80"/>
      <c r="C791" s="80"/>
      <c r="D791" s="80"/>
      <c r="E791" s="80"/>
      <c r="F791" s="76"/>
      <c r="G791" s="76"/>
      <c r="H791" s="80"/>
      <c r="I791" s="76"/>
      <c r="J791" s="76"/>
      <c r="K791" s="80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</row>
    <row r="792">
      <c r="A792" s="76"/>
      <c r="B792" s="80"/>
      <c r="C792" s="80"/>
      <c r="D792" s="80"/>
      <c r="E792" s="80"/>
      <c r="F792" s="76"/>
      <c r="G792" s="76"/>
      <c r="H792" s="80"/>
      <c r="I792" s="76"/>
      <c r="J792" s="76"/>
      <c r="K792" s="80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</row>
    <row r="793">
      <c r="A793" s="76"/>
      <c r="B793" s="80"/>
      <c r="C793" s="80"/>
      <c r="D793" s="80"/>
      <c r="E793" s="80"/>
      <c r="F793" s="76"/>
      <c r="G793" s="76"/>
      <c r="H793" s="80"/>
      <c r="I793" s="76"/>
      <c r="J793" s="76"/>
      <c r="K793" s="80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</row>
    <row r="794">
      <c r="A794" s="76"/>
      <c r="B794" s="80"/>
      <c r="C794" s="80"/>
      <c r="D794" s="80"/>
      <c r="E794" s="80"/>
      <c r="F794" s="76"/>
      <c r="G794" s="76"/>
      <c r="H794" s="80"/>
      <c r="I794" s="76"/>
      <c r="J794" s="76"/>
      <c r="K794" s="80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</row>
    <row r="795">
      <c r="A795" s="76"/>
      <c r="B795" s="80"/>
      <c r="C795" s="80"/>
      <c r="D795" s="80"/>
      <c r="E795" s="80"/>
      <c r="F795" s="76"/>
      <c r="G795" s="76"/>
      <c r="H795" s="80"/>
      <c r="I795" s="76"/>
      <c r="J795" s="76"/>
      <c r="K795" s="80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</row>
    <row r="796">
      <c r="A796" s="76"/>
      <c r="B796" s="80"/>
      <c r="C796" s="80"/>
      <c r="D796" s="80"/>
      <c r="E796" s="80"/>
      <c r="F796" s="76"/>
      <c r="G796" s="76"/>
      <c r="H796" s="80"/>
      <c r="I796" s="76"/>
      <c r="J796" s="76"/>
      <c r="K796" s="80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</row>
    <row r="797">
      <c r="A797" s="76"/>
      <c r="B797" s="80"/>
      <c r="C797" s="80"/>
      <c r="D797" s="80"/>
      <c r="E797" s="80"/>
      <c r="F797" s="76"/>
      <c r="G797" s="76"/>
      <c r="H797" s="80"/>
      <c r="I797" s="76"/>
      <c r="J797" s="76"/>
      <c r="K797" s="80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</row>
    <row r="798">
      <c r="A798" s="76"/>
      <c r="B798" s="80"/>
      <c r="C798" s="80"/>
      <c r="D798" s="80"/>
      <c r="E798" s="80"/>
      <c r="F798" s="76"/>
      <c r="G798" s="76"/>
      <c r="H798" s="80"/>
      <c r="I798" s="76"/>
      <c r="J798" s="76"/>
      <c r="K798" s="80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</row>
    <row r="799">
      <c r="A799" s="76"/>
      <c r="B799" s="80"/>
      <c r="C799" s="80"/>
      <c r="D799" s="80"/>
      <c r="E799" s="80"/>
      <c r="F799" s="76"/>
      <c r="G799" s="76"/>
      <c r="H799" s="80"/>
      <c r="I799" s="76"/>
      <c r="J799" s="76"/>
      <c r="K799" s="80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</row>
    <row r="800">
      <c r="A800" s="76"/>
      <c r="B800" s="80"/>
      <c r="C800" s="80"/>
      <c r="D800" s="80"/>
      <c r="E800" s="80"/>
      <c r="F800" s="76"/>
      <c r="G800" s="76"/>
      <c r="H800" s="80"/>
      <c r="I800" s="76"/>
      <c r="J800" s="76"/>
      <c r="K800" s="80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</row>
    <row r="801">
      <c r="A801" s="76"/>
      <c r="B801" s="80"/>
      <c r="C801" s="80"/>
      <c r="D801" s="80"/>
      <c r="E801" s="80"/>
      <c r="F801" s="76"/>
      <c r="G801" s="76"/>
      <c r="H801" s="80"/>
      <c r="I801" s="76"/>
      <c r="J801" s="76"/>
      <c r="K801" s="80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</row>
    <row r="802">
      <c r="A802" s="76"/>
      <c r="B802" s="80"/>
      <c r="C802" s="80"/>
      <c r="D802" s="80"/>
      <c r="E802" s="80"/>
      <c r="F802" s="76"/>
      <c r="G802" s="76"/>
      <c r="H802" s="80"/>
      <c r="I802" s="76"/>
      <c r="J802" s="76"/>
      <c r="K802" s="80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</row>
    <row r="803">
      <c r="A803" s="76"/>
      <c r="B803" s="80"/>
      <c r="C803" s="80"/>
      <c r="D803" s="80"/>
      <c r="E803" s="80"/>
      <c r="F803" s="76"/>
      <c r="G803" s="76"/>
      <c r="H803" s="80"/>
      <c r="I803" s="76"/>
      <c r="J803" s="76"/>
      <c r="K803" s="80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</row>
    <row r="804">
      <c r="A804" s="76"/>
      <c r="B804" s="80"/>
      <c r="C804" s="80"/>
      <c r="D804" s="80"/>
      <c r="E804" s="80"/>
      <c r="F804" s="76"/>
      <c r="G804" s="76"/>
      <c r="H804" s="80"/>
      <c r="I804" s="76"/>
      <c r="J804" s="76"/>
      <c r="K804" s="80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</row>
    <row r="805">
      <c r="A805" s="76"/>
      <c r="B805" s="80"/>
      <c r="C805" s="80"/>
      <c r="D805" s="80"/>
      <c r="E805" s="80"/>
      <c r="F805" s="76"/>
      <c r="G805" s="76"/>
      <c r="H805" s="80"/>
      <c r="I805" s="76"/>
      <c r="J805" s="76"/>
      <c r="K805" s="80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</row>
    <row r="806">
      <c r="A806" s="76"/>
      <c r="B806" s="80"/>
      <c r="C806" s="80"/>
      <c r="D806" s="80"/>
      <c r="E806" s="80"/>
      <c r="F806" s="76"/>
      <c r="G806" s="76"/>
      <c r="H806" s="80"/>
      <c r="I806" s="76"/>
      <c r="J806" s="76"/>
      <c r="K806" s="80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</row>
    <row r="807">
      <c r="A807" s="76"/>
      <c r="B807" s="80"/>
      <c r="C807" s="80"/>
      <c r="D807" s="80"/>
      <c r="E807" s="80"/>
      <c r="F807" s="76"/>
      <c r="G807" s="76"/>
      <c r="H807" s="80"/>
      <c r="I807" s="76"/>
      <c r="J807" s="76"/>
      <c r="K807" s="80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</row>
    <row r="808">
      <c r="A808" s="76"/>
      <c r="B808" s="80"/>
      <c r="C808" s="80"/>
      <c r="D808" s="80"/>
      <c r="E808" s="80"/>
      <c r="F808" s="76"/>
      <c r="G808" s="76"/>
      <c r="H808" s="80"/>
      <c r="I808" s="76"/>
      <c r="J808" s="76"/>
      <c r="K808" s="80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</row>
    <row r="809">
      <c r="A809" s="76"/>
      <c r="B809" s="80"/>
      <c r="C809" s="80"/>
      <c r="D809" s="80"/>
      <c r="E809" s="80"/>
      <c r="F809" s="76"/>
      <c r="G809" s="76"/>
      <c r="H809" s="80"/>
      <c r="I809" s="76"/>
      <c r="J809" s="76"/>
      <c r="K809" s="80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</row>
    <row r="810">
      <c r="A810" s="76"/>
      <c r="B810" s="80"/>
      <c r="C810" s="80"/>
      <c r="D810" s="80"/>
      <c r="E810" s="80"/>
      <c r="F810" s="76"/>
      <c r="G810" s="76"/>
      <c r="H810" s="80"/>
      <c r="I810" s="76"/>
      <c r="J810" s="76"/>
      <c r="K810" s="80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</row>
    <row r="811">
      <c r="A811" s="76"/>
      <c r="B811" s="80"/>
      <c r="C811" s="80"/>
      <c r="D811" s="80"/>
      <c r="E811" s="80"/>
      <c r="F811" s="76"/>
      <c r="G811" s="76"/>
      <c r="H811" s="80"/>
      <c r="I811" s="76"/>
      <c r="J811" s="76"/>
      <c r="K811" s="80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</row>
    <row r="812">
      <c r="A812" s="76"/>
      <c r="B812" s="80"/>
      <c r="C812" s="80"/>
      <c r="D812" s="80"/>
      <c r="E812" s="80"/>
      <c r="F812" s="76"/>
      <c r="G812" s="76"/>
      <c r="H812" s="80"/>
      <c r="I812" s="76"/>
      <c r="J812" s="76"/>
      <c r="K812" s="80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</row>
    <row r="813">
      <c r="A813" s="76"/>
      <c r="B813" s="80"/>
      <c r="C813" s="80"/>
      <c r="D813" s="80"/>
      <c r="E813" s="80"/>
      <c r="F813" s="76"/>
      <c r="G813" s="76"/>
      <c r="H813" s="80"/>
      <c r="I813" s="76"/>
      <c r="J813" s="76"/>
      <c r="K813" s="80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</row>
    <row r="814">
      <c r="A814" s="76"/>
      <c r="B814" s="80"/>
      <c r="C814" s="80"/>
      <c r="D814" s="80"/>
      <c r="E814" s="80"/>
      <c r="F814" s="76"/>
      <c r="G814" s="76"/>
      <c r="H814" s="80"/>
      <c r="I814" s="76"/>
      <c r="J814" s="76"/>
      <c r="K814" s="80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</row>
    <row r="815">
      <c r="A815" s="76"/>
      <c r="B815" s="80"/>
      <c r="C815" s="80"/>
      <c r="D815" s="80"/>
      <c r="E815" s="80"/>
      <c r="F815" s="76"/>
      <c r="G815" s="76"/>
      <c r="H815" s="80"/>
      <c r="I815" s="76"/>
      <c r="J815" s="76"/>
      <c r="K815" s="80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</row>
    <row r="816">
      <c r="A816" s="76"/>
      <c r="B816" s="80"/>
      <c r="C816" s="80"/>
      <c r="D816" s="80"/>
      <c r="E816" s="80"/>
      <c r="F816" s="76"/>
      <c r="G816" s="76"/>
      <c r="H816" s="80"/>
      <c r="I816" s="76"/>
      <c r="J816" s="76"/>
      <c r="K816" s="80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</row>
    <row r="817">
      <c r="A817" s="76"/>
      <c r="B817" s="80"/>
      <c r="C817" s="80"/>
      <c r="D817" s="80"/>
      <c r="E817" s="80"/>
      <c r="F817" s="76"/>
      <c r="G817" s="76"/>
      <c r="H817" s="80"/>
      <c r="I817" s="76"/>
      <c r="J817" s="76"/>
      <c r="K817" s="80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</row>
    <row r="818">
      <c r="A818" s="76"/>
      <c r="B818" s="80"/>
      <c r="C818" s="80"/>
      <c r="D818" s="80"/>
      <c r="E818" s="80"/>
      <c r="F818" s="76"/>
      <c r="G818" s="76"/>
      <c r="H818" s="80"/>
      <c r="I818" s="76"/>
      <c r="J818" s="76"/>
      <c r="K818" s="80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</row>
    <row r="819">
      <c r="A819" s="76"/>
      <c r="B819" s="80"/>
      <c r="C819" s="80"/>
      <c r="D819" s="80"/>
      <c r="E819" s="80"/>
      <c r="F819" s="76"/>
      <c r="G819" s="76"/>
      <c r="H819" s="80"/>
      <c r="I819" s="76"/>
      <c r="J819" s="76"/>
      <c r="K819" s="80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</row>
    <row r="820">
      <c r="A820" s="76"/>
      <c r="B820" s="80"/>
      <c r="C820" s="80"/>
      <c r="D820" s="80"/>
      <c r="E820" s="80"/>
      <c r="F820" s="76"/>
      <c r="G820" s="76"/>
      <c r="H820" s="80"/>
      <c r="I820" s="76"/>
      <c r="J820" s="76"/>
      <c r="K820" s="80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</row>
    <row r="821">
      <c r="A821" s="76"/>
      <c r="B821" s="80"/>
      <c r="C821" s="80"/>
      <c r="D821" s="80"/>
      <c r="E821" s="80"/>
      <c r="F821" s="76"/>
      <c r="G821" s="76"/>
      <c r="H821" s="80"/>
      <c r="I821" s="76"/>
      <c r="J821" s="76"/>
      <c r="K821" s="80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</row>
    <row r="822">
      <c r="A822" s="76"/>
      <c r="B822" s="80"/>
      <c r="C822" s="80"/>
      <c r="D822" s="80"/>
      <c r="E822" s="80"/>
      <c r="F822" s="76"/>
      <c r="G822" s="76"/>
      <c r="H822" s="80"/>
      <c r="I822" s="76"/>
      <c r="J822" s="76"/>
      <c r="K822" s="80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</row>
    <row r="823">
      <c r="A823" s="76"/>
      <c r="B823" s="80"/>
      <c r="C823" s="80"/>
      <c r="D823" s="80"/>
      <c r="E823" s="80"/>
      <c r="F823" s="76"/>
      <c r="G823" s="76"/>
      <c r="H823" s="80"/>
      <c r="I823" s="76"/>
      <c r="J823" s="76"/>
      <c r="K823" s="80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</row>
    <row r="824">
      <c r="A824" s="76"/>
      <c r="B824" s="80"/>
      <c r="C824" s="80"/>
      <c r="D824" s="80"/>
      <c r="E824" s="80"/>
      <c r="F824" s="76"/>
      <c r="G824" s="76"/>
      <c r="H824" s="80"/>
      <c r="I824" s="76"/>
      <c r="J824" s="76"/>
      <c r="K824" s="80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</row>
    <row r="825">
      <c r="A825" s="76"/>
      <c r="B825" s="80"/>
      <c r="C825" s="80"/>
      <c r="D825" s="80"/>
      <c r="E825" s="80"/>
      <c r="F825" s="76"/>
      <c r="G825" s="76"/>
      <c r="H825" s="80"/>
      <c r="I825" s="76"/>
      <c r="J825" s="76"/>
      <c r="K825" s="80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</row>
    <row r="826">
      <c r="A826" s="76"/>
      <c r="B826" s="80"/>
      <c r="C826" s="80"/>
      <c r="D826" s="80"/>
      <c r="E826" s="80"/>
      <c r="F826" s="76"/>
      <c r="G826" s="76"/>
      <c r="H826" s="80"/>
      <c r="I826" s="76"/>
      <c r="J826" s="76"/>
      <c r="K826" s="80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</row>
    <row r="827">
      <c r="A827" s="76"/>
      <c r="B827" s="80"/>
      <c r="C827" s="80"/>
      <c r="D827" s="80"/>
      <c r="E827" s="80"/>
      <c r="F827" s="76"/>
      <c r="G827" s="76"/>
      <c r="H827" s="80"/>
      <c r="I827" s="76"/>
      <c r="J827" s="76"/>
      <c r="K827" s="80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</row>
    <row r="828">
      <c r="A828" s="76"/>
      <c r="B828" s="80"/>
      <c r="C828" s="80"/>
      <c r="D828" s="80"/>
      <c r="E828" s="80"/>
      <c r="F828" s="76"/>
      <c r="G828" s="76"/>
      <c r="H828" s="80"/>
      <c r="I828" s="76"/>
      <c r="J828" s="76"/>
      <c r="K828" s="80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</row>
    <row r="829">
      <c r="A829" s="76"/>
      <c r="B829" s="80"/>
      <c r="C829" s="80"/>
      <c r="D829" s="80"/>
      <c r="E829" s="80"/>
      <c r="F829" s="76"/>
      <c r="G829" s="76"/>
      <c r="H829" s="80"/>
      <c r="I829" s="76"/>
      <c r="J829" s="76"/>
      <c r="K829" s="80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</row>
    <row r="830">
      <c r="A830" s="76"/>
      <c r="B830" s="80"/>
      <c r="C830" s="80"/>
      <c r="D830" s="80"/>
      <c r="E830" s="80"/>
      <c r="F830" s="76"/>
      <c r="G830" s="76"/>
      <c r="H830" s="80"/>
      <c r="I830" s="76"/>
      <c r="J830" s="76"/>
      <c r="K830" s="80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</row>
    <row r="831">
      <c r="A831" s="76"/>
      <c r="B831" s="80"/>
      <c r="C831" s="80"/>
      <c r="D831" s="80"/>
      <c r="E831" s="80"/>
      <c r="F831" s="76"/>
      <c r="G831" s="76"/>
      <c r="H831" s="80"/>
      <c r="I831" s="76"/>
      <c r="J831" s="76"/>
      <c r="K831" s="80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</row>
    <row r="832">
      <c r="A832" s="76"/>
      <c r="B832" s="80"/>
      <c r="C832" s="80"/>
      <c r="D832" s="80"/>
      <c r="E832" s="80"/>
      <c r="F832" s="76"/>
      <c r="G832" s="76"/>
      <c r="H832" s="80"/>
      <c r="I832" s="76"/>
      <c r="J832" s="76"/>
      <c r="K832" s="80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</row>
    <row r="833">
      <c r="A833" s="76"/>
      <c r="B833" s="80"/>
      <c r="C833" s="80"/>
      <c r="D833" s="80"/>
      <c r="E833" s="80"/>
      <c r="F833" s="76"/>
      <c r="G833" s="76"/>
      <c r="H833" s="80"/>
      <c r="I833" s="76"/>
      <c r="J833" s="76"/>
      <c r="K833" s="80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</row>
    <row r="834">
      <c r="A834" s="76"/>
      <c r="B834" s="80"/>
      <c r="C834" s="80"/>
      <c r="D834" s="80"/>
      <c r="E834" s="80"/>
      <c r="F834" s="76"/>
      <c r="G834" s="76"/>
      <c r="H834" s="80"/>
      <c r="I834" s="76"/>
      <c r="J834" s="76"/>
      <c r="K834" s="80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</row>
    <row r="835">
      <c r="A835" s="76"/>
      <c r="B835" s="80"/>
      <c r="C835" s="80"/>
      <c r="D835" s="80"/>
      <c r="E835" s="80"/>
      <c r="F835" s="76"/>
      <c r="G835" s="76"/>
      <c r="H835" s="80"/>
      <c r="I835" s="76"/>
      <c r="J835" s="76"/>
      <c r="K835" s="80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</row>
    <row r="836">
      <c r="A836" s="76"/>
      <c r="B836" s="80"/>
      <c r="C836" s="80"/>
      <c r="D836" s="80"/>
      <c r="E836" s="80"/>
      <c r="F836" s="76"/>
      <c r="G836" s="76"/>
      <c r="H836" s="80"/>
      <c r="I836" s="76"/>
      <c r="J836" s="76"/>
      <c r="K836" s="80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</row>
    <row r="837">
      <c r="A837" s="76"/>
      <c r="B837" s="80"/>
      <c r="C837" s="80"/>
      <c r="D837" s="80"/>
      <c r="E837" s="80"/>
      <c r="F837" s="76"/>
      <c r="G837" s="76"/>
      <c r="H837" s="80"/>
      <c r="I837" s="76"/>
      <c r="J837" s="76"/>
      <c r="K837" s="80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</row>
    <row r="838">
      <c r="A838" s="76"/>
      <c r="B838" s="80"/>
      <c r="C838" s="80"/>
      <c r="D838" s="80"/>
      <c r="E838" s="80"/>
      <c r="F838" s="76"/>
      <c r="G838" s="76"/>
      <c r="H838" s="80"/>
      <c r="I838" s="76"/>
      <c r="J838" s="76"/>
      <c r="K838" s="80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</row>
    <row r="839">
      <c r="A839" s="76"/>
      <c r="B839" s="80"/>
      <c r="C839" s="80"/>
      <c r="D839" s="80"/>
      <c r="E839" s="80"/>
      <c r="F839" s="76"/>
      <c r="G839" s="76"/>
      <c r="H839" s="80"/>
      <c r="I839" s="76"/>
      <c r="J839" s="76"/>
      <c r="K839" s="80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</row>
    <row r="840">
      <c r="A840" s="76"/>
      <c r="B840" s="80"/>
      <c r="C840" s="80"/>
      <c r="D840" s="80"/>
      <c r="E840" s="80"/>
      <c r="F840" s="76"/>
      <c r="G840" s="76"/>
      <c r="H840" s="80"/>
      <c r="I840" s="76"/>
      <c r="J840" s="76"/>
      <c r="K840" s="80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</row>
    <row r="841">
      <c r="A841" s="76"/>
      <c r="B841" s="80"/>
      <c r="C841" s="80"/>
      <c r="D841" s="80"/>
      <c r="E841" s="80"/>
      <c r="F841" s="76"/>
      <c r="G841" s="76"/>
      <c r="H841" s="80"/>
      <c r="I841" s="76"/>
      <c r="J841" s="76"/>
      <c r="K841" s="80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</row>
    <row r="842">
      <c r="A842" s="76"/>
      <c r="B842" s="80"/>
      <c r="C842" s="80"/>
      <c r="D842" s="80"/>
      <c r="E842" s="80"/>
      <c r="F842" s="76"/>
      <c r="G842" s="76"/>
      <c r="H842" s="80"/>
      <c r="I842" s="76"/>
      <c r="J842" s="76"/>
      <c r="K842" s="80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</row>
    <row r="843">
      <c r="A843" s="76"/>
      <c r="B843" s="80"/>
      <c r="C843" s="80"/>
      <c r="D843" s="80"/>
      <c r="E843" s="80"/>
      <c r="F843" s="76"/>
      <c r="G843" s="76"/>
      <c r="H843" s="80"/>
      <c r="I843" s="76"/>
      <c r="J843" s="76"/>
      <c r="K843" s="80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</row>
    <row r="844">
      <c r="A844" s="76"/>
      <c r="B844" s="80"/>
      <c r="C844" s="80"/>
      <c r="D844" s="80"/>
      <c r="E844" s="80"/>
      <c r="F844" s="76"/>
      <c r="G844" s="76"/>
      <c r="H844" s="80"/>
      <c r="I844" s="76"/>
      <c r="J844" s="76"/>
      <c r="K844" s="80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</row>
    <row r="845">
      <c r="A845" s="76"/>
      <c r="B845" s="80"/>
      <c r="C845" s="80"/>
      <c r="D845" s="80"/>
      <c r="E845" s="80"/>
      <c r="F845" s="76"/>
      <c r="G845" s="76"/>
      <c r="H845" s="80"/>
      <c r="I845" s="76"/>
      <c r="J845" s="76"/>
      <c r="K845" s="80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</row>
    <row r="846">
      <c r="A846" s="76"/>
      <c r="B846" s="80"/>
      <c r="C846" s="80"/>
      <c r="D846" s="80"/>
      <c r="E846" s="80"/>
      <c r="F846" s="76"/>
      <c r="G846" s="76"/>
      <c r="H846" s="80"/>
      <c r="I846" s="76"/>
      <c r="J846" s="76"/>
      <c r="K846" s="80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</row>
    <row r="847">
      <c r="A847" s="76"/>
      <c r="B847" s="80"/>
      <c r="C847" s="80"/>
      <c r="D847" s="80"/>
      <c r="E847" s="80"/>
      <c r="F847" s="76"/>
      <c r="G847" s="76"/>
      <c r="H847" s="80"/>
      <c r="I847" s="76"/>
      <c r="J847" s="76"/>
      <c r="K847" s="80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</row>
    <row r="848">
      <c r="A848" s="76"/>
      <c r="B848" s="80"/>
      <c r="C848" s="80"/>
      <c r="D848" s="80"/>
      <c r="E848" s="80"/>
      <c r="F848" s="76"/>
      <c r="G848" s="76"/>
      <c r="H848" s="80"/>
      <c r="I848" s="76"/>
      <c r="J848" s="76"/>
      <c r="K848" s="80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</row>
    <row r="849">
      <c r="A849" s="76"/>
      <c r="B849" s="80"/>
      <c r="C849" s="80"/>
      <c r="D849" s="80"/>
      <c r="E849" s="80"/>
      <c r="F849" s="76"/>
      <c r="G849" s="76"/>
      <c r="H849" s="80"/>
      <c r="I849" s="76"/>
      <c r="J849" s="76"/>
      <c r="K849" s="80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</row>
    <row r="850">
      <c r="A850" s="76"/>
      <c r="B850" s="80"/>
      <c r="C850" s="80"/>
      <c r="D850" s="80"/>
      <c r="E850" s="80"/>
      <c r="F850" s="76"/>
      <c r="G850" s="76"/>
      <c r="H850" s="80"/>
      <c r="I850" s="76"/>
      <c r="J850" s="76"/>
      <c r="K850" s="80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</row>
    <row r="851">
      <c r="A851" s="76"/>
      <c r="B851" s="80"/>
      <c r="C851" s="80"/>
      <c r="D851" s="80"/>
      <c r="E851" s="80"/>
      <c r="F851" s="76"/>
      <c r="G851" s="76"/>
      <c r="H851" s="80"/>
      <c r="I851" s="76"/>
      <c r="J851" s="76"/>
      <c r="K851" s="80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</row>
    <row r="852">
      <c r="A852" s="76"/>
      <c r="B852" s="80"/>
      <c r="C852" s="80"/>
      <c r="D852" s="80"/>
      <c r="E852" s="80"/>
      <c r="F852" s="76"/>
      <c r="G852" s="76"/>
      <c r="H852" s="80"/>
      <c r="I852" s="76"/>
      <c r="J852" s="76"/>
      <c r="K852" s="80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</row>
    <row r="853">
      <c r="A853" s="76"/>
      <c r="B853" s="80"/>
      <c r="C853" s="80"/>
      <c r="D853" s="80"/>
      <c r="E853" s="80"/>
      <c r="F853" s="76"/>
      <c r="G853" s="76"/>
      <c r="H853" s="80"/>
      <c r="I853" s="76"/>
      <c r="J853" s="76"/>
      <c r="K853" s="80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</row>
    <row r="854">
      <c r="A854" s="76"/>
      <c r="B854" s="80"/>
      <c r="C854" s="80"/>
      <c r="D854" s="80"/>
      <c r="E854" s="80"/>
      <c r="F854" s="76"/>
      <c r="G854" s="76"/>
      <c r="H854" s="80"/>
      <c r="I854" s="76"/>
      <c r="J854" s="76"/>
      <c r="K854" s="80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</row>
    <row r="855">
      <c r="A855" s="76"/>
      <c r="B855" s="80"/>
      <c r="C855" s="80"/>
      <c r="D855" s="80"/>
      <c r="E855" s="80"/>
      <c r="F855" s="76"/>
      <c r="G855" s="76"/>
      <c r="H855" s="80"/>
      <c r="I855" s="76"/>
      <c r="J855" s="76"/>
      <c r="K855" s="80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</row>
    <row r="856">
      <c r="A856" s="76"/>
      <c r="B856" s="80"/>
      <c r="C856" s="80"/>
      <c r="D856" s="80"/>
      <c r="E856" s="80"/>
      <c r="F856" s="76"/>
      <c r="G856" s="76"/>
      <c r="H856" s="80"/>
      <c r="I856" s="76"/>
      <c r="J856" s="76"/>
      <c r="K856" s="80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</row>
    <row r="857">
      <c r="A857" s="76"/>
      <c r="B857" s="80"/>
      <c r="C857" s="80"/>
      <c r="D857" s="80"/>
      <c r="E857" s="80"/>
      <c r="F857" s="76"/>
      <c r="G857" s="76"/>
      <c r="H857" s="80"/>
      <c r="I857" s="76"/>
      <c r="J857" s="76"/>
      <c r="K857" s="80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</row>
    <row r="858">
      <c r="A858" s="76"/>
      <c r="B858" s="80"/>
      <c r="C858" s="80"/>
      <c r="D858" s="80"/>
      <c r="E858" s="80"/>
      <c r="F858" s="76"/>
      <c r="G858" s="76"/>
      <c r="H858" s="80"/>
      <c r="I858" s="76"/>
      <c r="J858" s="76"/>
      <c r="K858" s="80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</row>
    <row r="859">
      <c r="A859" s="76"/>
      <c r="B859" s="80"/>
      <c r="C859" s="80"/>
      <c r="D859" s="80"/>
      <c r="E859" s="80"/>
      <c r="F859" s="76"/>
      <c r="G859" s="76"/>
      <c r="H859" s="80"/>
      <c r="I859" s="76"/>
      <c r="J859" s="76"/>
      <c r="K859" s="80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</row>
    <row r="860">
      <c r="A860" s="76"/>
      <c r="B860" s="80"/>
      <c r="C860" s="80"/>
      <c r="D860" s="80"/>
      <c r="E860" s="80"/>
      <c r="F860" s="76"/>
      <c r="G860" s="76"/>
      <c r="H860" s="80"/>
      <c r="I860" s="76"/>
      <c r="J860" s="76"/>
      <c r="K860" s="80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</row>
    <row r="861">
      <c r="A861" s="76"/>
      <c r="B861" s="80"/>
      <c r="C861" s="80"/>
      <c r="D861" s="80"/>
      <c r="E861" s="80"/>
      <c r="F861" s="76"/>
      <c r="G861" s="76"/>
      <c r="H861" s="80"/>
      <c r="I861" s="76"/>
      <c r="J861" s="76"/>
      <c r="K861" s="80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</row>
    <row r="862">
      <c r="A862" s="76"/>
      <c r="B862" s="80"/>
      <c r="C862" s="80"/>
      <c r="D862" s="80"/>
      <c r="E862" s="80"/>
      <c r="F862" s="76"/>
      <c r="G862" s="76"/>
      <c r="H862" s="80"/>
      <c r="I862" s="76"/>
      <c r="J862" s="76"/>
      <c r="K862" s="80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</row>
    <row r="863">
      <c r="A863" s="76"/>
      <c r="B863" s="80"/>
      <c r="C863" s="80"/>
      <c r="D863" s="80"/>
      <c r="E863" s="80"/>
      <c r="F863" s="76"/>
      <c r="G863" s="76"/>
      <c r="H863" s="80"/>
      <c r="I863" s="76"/>
      <c r="J863" s="76"/>
      <c r="K863" s="80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</row>
    <row r="864">
      <c r="A864" s="76"/>
      <c r="B864" s="80"/>
      <c r="C864" s="80"/>
      <c r="D864" s="80"/>
      <c r="E864" s="80"/>
      <c r="F864" s="76"/>
      <c r="G864" s="76"/>
      <c r="H864" s="80"/>
      <c r="I864" s="76"/>
      <c r="J864" s="76"/>
      <c r="K864" s="80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</row>
    <row r="865">
      <c r="A865" s="76"/>
      <c r="B865" s="80"/>
      <c r="C865" s="80"/>
      <c r="D865" s="80"/>
      <c r="E865" s="80"/>
      <c r="F865" s="76"/>
      <c r="G865" s="76"/>
      <c r="H865" s="80"/>
      <c r="I865" s="76"/>
      <c r="J865" s="76"/>
      <c r="K865" s="80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</row>
    <row r="866">
      <c r="A866" s="76"/>
      <c r="B866" s="80"/>
      <c r="C866" s="80"/>
      <c r="D866" s="80"/>
      <c r="E866" s="80"/>
      <c r="F866" s="76"/>
      <c r="G866" s="76"/>
      <c r="H866" s="80"/>
      <c r="I866" s="76"/>
      <c r="J866" s="76"/>
      <c r="K866" s="80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</row>
    <row r="867">
      <c r="A867" s="76"/>
      <c r="B867" s="80"/>
      <c r="C867" s="80"/>
      <c r="D867" s="80"/>
      <c r="E867" s="80"/>
      <c r="F867" s="76"/>
      <c r="G867" s="76"/>
      <c r="H867" s="80"/>
      <c r="I867" s="76"/>
      <c r="J867" s="76"/>
      <c r="K867" s="80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</row>
    <row r="868">
      <c r="A868" s="76"/>
      <c r="B868" s="80"/>
      <c r="C868" s="80"/>
      <c r="D868" s="80"/>
      <c r="E868" s="80"/>
      <c r="F868" s="76"/>
      <c r="G868" s="76"/>
      <c r="H868" s="80"/>
      <c r="I868" s="76"/>
      <c r="J868" s="76"/>
      <c r="K868" s="80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</row>
    <row r="869">
      <c r="A869" s="76"/>
      <c r="B869" s="80"/>
      <c r="C869" s="80"/>
      <c r="D869" s="80"/>
      <c r="E869" s="80"/>
      <c r="F869" s="76"/>
      <c r="G869" s="76"/>
      <c r="H869" s="80"/>
      <c r="I869" s="76"/>
      <c r="J869" s="76"/>
      <c r="K869" s="80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</row>
    <row r="870">
      <c r="A870" s="76"/>
      <c r="B870" s="80"/>
      <c r="C870" s="80"/>
      <c r="D870" s="80"/>
      <c r="E870" s="80"/>
      <c r="F870" s="76"/>
      <c r="G870" s="76"/>
      <c r="H870" s="80"/>
      <c r="I870" s="76"/>
      <c r="J870" s="76"/>
      <c r="K870" s="80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</row>
    <row r="871">
      <c r="A871" s="76"/>
      <c r="B871" s="80"/>
      <c r="C871" s="80"/>
      <c r="D871" s="80"/>
      <c r="E871" s="80"/>
      <c r="F871" s="76"/>
      <c r="G871" s="76"/>
      <c r="H871" s="80"/>
      <c r="I871" s="76"/>
      <c r="J871" s="76"/>
      <c r="K871" s="80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</row>
    <row r="872">
      <c r="A872" s="76"/>
      <c r="B872" s="80"/>
      <c r="C872" s="80"/>
      <c r="D872" s="80"/>
      <c r="E872" s="80"/>
      <c r="F872" s="76"/>
      <c r="G872" s="76"/>
      <c r="H872" s="80"/>
      <c r="I872" s="76"/>
      <c r="J872" s="76"/>
      <c r="K872" s="80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</row>
    <row r="873">
      <c r="A873" s="76"/>
      <c r="B873" s="80"/>
      <c r="C873" s="80"/>
      <c r="D873" s="80"/>
      <c r="E873" s="80"/>
      <c r="F873" s="76"/>
      <c r="G873" s="76"/>
      <c r="H873" s="80"/>
      <c r="I873" s="76"/>
      <c r="J873" s="76"/>
      <c r="K873" s="80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</row>
    <row r="874">
      <c r="A874" s="76"/>
      <c r="B874" s="80"/>
      <c r="C874" s="80"/>
      <c r="D874" s="80"/>
      <c r="E874" s="80"/>
      <c r="F874" s="76"/>
      <c r="G874" s="76"/>
      <c r="H874" s="80"/>
      <c r="I874" s="76"/>
      <c r="J874" s="76"/>
      <c r="K874" s="80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</row>
    <row r="875">
      <c r="A875" s="76"/>
      <c r="B875" s="80"/>
      <c r="C875" s="80"/>
      <c r="D875" s="80"/>
      <c r="E875" s="80"/>
      <c r="F875" s="76"/>
      <c r="G875" s="76"/>
      <c r="H875" s="80"/>
      <c r="I875" s="76"/>
      <c r="J875" s="76"/>
      <c r="K875" s="80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</row>
    <row r="876">
      <c r="A876" s="76"/>
      <c r="B876" s="80"/>
      <c r="C876" s="80"/>
      <c r="D876" s="80"/>
      <c r="E876" s="80"/>
      <c r="F876" s="76"/>
      <c r="G876" s="76"/>
      <c r="H876" s="80"/>
      <c r="I876" s="76"/>
      <c r="J876" s="76"/>
      <c r="K876" s="80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</row>
    <row r="877">
      <c r="A877" s="76"/>
      <c r="B877" s="80"/>
      <c r="C877" s="80"/>
      <c r="D877" s="80"/>
      <c r="E877" s="80"/>
      <c r="F877" s="76"/>
      <c r="G877" s="76"/>
      <c r="H877" s="80"/>
      <c r="I877" s="76"/>
      <c r="J877" s="76"/>
      <c r="K877" s="80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</row>
    <row r="878">
      <c r="A878" s="76"/>
      <c r="B878" s="80"/>
      <c r="C878" s="80"/>
      <c r="D878" s="80"/>
      <c r="E878" s="80"/>
      <c r="F878" s="76"/>
      <c r="G878" s="76"/>
      <c r="H878" s="80"/>
      <c r="I878" s="76"/>
      <c r="J878" s="76"/>
      <c r="K878" s="80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</row>
    <row r="879">
      <c r="A879" s="76"/>
      <c r="B879" s="80"/>
      <c r="C879" s="80"/>
      <c r="D879" s="80"/>
      <c r="E879" s="80"/>
      <c r="F879" s="76"/>
      <c r="G879" s="76"/>
      <c r="H879" s="80"/>
      <c r="I879" s="76"/>
      <c r="J879" s="76"/>
      <c r="K879" s="80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</row>
    <row r="880">
      <c r="A880" s="76"/>
      <c r="B880" s="80"/>
      <c r="C880" s="80"/>
      <c r="D880" s="80"/>
      <c r="E880" s="80"/>
      <c r="F880" s="76"/>
      <c r="G880" s="76"/>
      <c r="H880" s="80"/>
      <c r="I880" s="76"/>
      <c r="J880" s="76"/>
      <c r="K880" s="80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</row>
    <row r="881">
      <c r="A881" s="76"/>
      <c r="B881" s="80"/>
      <c r="C881" s="80"/>
      <c r="D881" s="80"/>
      <c r="E881" s="80"/>
      <c r="F881" s="76"/>
      <c r="G881" s="76"/>
      <c r="H881" s="80"/>
      <c r="I881" s="76"/>
      <c r="J881" s="76"/>
      <c r="K881" s="80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</row>
    <row r="882">
      <c r="A882" s="76"/>
      <c r="B882" s="80"/>
      <c r="C882" s="80"/>
      <c r="D882" s="80"/>
      <c r="E882" s="80"/>
      <c r="F882" s="76"/>
      <c r="G882" s="76"/>
      <c r="H882" s="80"/>
      <c r="I882" s="76"/>
      <c r="J882" s="76"/>
      <c r="K882" s="80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</row>
    <row r="883">
      <c r="A883" s="76"/>
      <c r="B883" s="80"/>
      <c r="C883" s="80"/>
      <c r="D883" s="80"/>
      <c r="E883" s="80"/>
      <c r="F883" s="76"/>
      <c r="G883" s="76"/>
      <c r="H883" s="80"/>
      <c r="I883" s="76"/>
      <c r="J883" s="76"/>
      <c r="K883" s="80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</row>
    <row r="884">
      <c r="A884" s="76"/>
      <c r="B884" s="80"/>
      <c r="C884" s="80"/>
      <c r="D884" s="80"/>
      <c r="E884" s="80"/>
      <c r="F884" s="76"/>
      <c r="G884" s="76"/>
      <c r="H884" s="80"/>
      <c r="I884" s="76"/>
      <c r="J884" s="76"/>
      <c r="K884" s="80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</row>
    <row r="885">
      <c r="A885" s="76"/>
      <c r="B885" s="80"/>
      <c r="C885" s="80"/>
      <c r="D885" s="80"/>
      <c r="E885" s="80"/>
      <c r="F885" s="76"/>
      <c r="G885" s="76"/>
      <c r="H885" s="80"/>
      <c r="I885" s="76"/>
      <c r="J885" s="76"/>
      <c r="K885" s="80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</row>
    <row r="886">
      <c r="A886" s="76"/>
      <c r="B886" s="80"/>
      <c r="C886" s="80"/>
      <c r="D886" s="80"/>
      <c r="E886" s="80"/>
      <c r="F886" s="76"/>
      <c r="G886" s="76"/>
      <c r="H886" s="80"/>
      <c r="I886" s="76"/>
      <c r="J886" s="76"/>
      <c r="K886" s="80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</row>
    <row r="887">
      <c r="A887" s="76"/>
      <c r="B887" s="80"/>
      <c r="C887" s="80"/>
      <c r="D887" s="80"/>
      <c r="E887" s="80"/>
      <c r="F887" s="76"/>
      <c r="G887" s="76"/>
      <c r="H887" s="80"/>
      <c r="I887" s="76"/>
      <c r="J887" s="76"/>
      <c r="K887" s="80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</row>
    <row r="888">
      <c r="A888" s="76"/>
      <c r="B888" s="80"/>
      <c r="C888" s="80"/>
      <c r="D888" s="80"/>
      <c r="E888" s="80"/>
      <c r="F888" s="76"/>
      <c r="G888" s="76"/>
      <c r="H888" s="80"/>
      <c r="I888" s="76"/>
      <c r="J888" s="76"/>
      <c r="K888" s="80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</row>
    <row r="889">
      <c r="A889" s="76"/>
      <c r="B889" s="80"/>
      <c r="C889" s="80"/>
      <c r="D889" s="80"/>
      <c r="E889" s="80"/>
      <c r="F889" s="76"/>
      <c r="G889" s="76"/>
      <c r="H889" s="80"/>
      <c r="I889" s="76"/>
      <c r="J889" s="76"/>
      <c r="K889" s="80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</row>
    <row r="890">
      <c r="A890" s="76"/>
      <c r="B890" s="80"/>
      <c r="C890" s="80"/>
      <c r="D890" s="80"/>
      <c r="E890" s="80"/>
      <c r="F890" s="76"/>
      <c r="G890" s="76"/>
      <c r="H890" s="80"/>
      <c r="I890" s="76"/>
      <c r="J890" s="76"/>
      <c r="K890" s="80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</row>
    <row r="891">
      <c r="A891" s="76"/>
      <c r="B891" s="80"/>
      <c r="C891" s="80"/>
      <c r="D891" s="80"/>
      <c r="E891" s="80"/>
      <c r="F891" s="76"/>
      <c r="G891" s="76"/>
      <c r="H891" s="80"/>
      <c r="I891" s="76"/>
      <c r="J891" s="76"/>
      <c r="K891" s="80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</row>
    <row r="892">
      <c r="A892" s="76"/>
      <c r="B892" s="80"/>
      <c r="C892" s="80"/>
      <c r="D892" s="80"/>
      <c r="E892" s="80"/>
      <c r="F892" s="76"/>
      <c r="G892" s="76"/>
      <c r="H892" s="80"/>
      <c r="I892" s="76"/>
      <c r="J892" s="76"/>
      <c r="K892" s="80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</row>
    <row r="893">
      <c r="A893" s="76"/>
      <c r="B893" s="80"/>
      <c r="C893" s="80"/>
      <c r="D893" s="80"/>
      <c r="E893" s="80"/>
      <c r="F893" s="76"/>
      <c r="G893" s="76"/>
      <c r="H893" s="80"/>
      <c r="I893" s="76"/>
      <c r="J893" s="76"/>
      <c r="K893" s="80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</row>
    <row r="894">
      <c r="A894" s="76"/>
      <c r="B894" s="80"/>
      <c r="C894" s="80"/>
      <c r="D894" s="80"/>
      <c r="E894" s="80"/>
      <c r="F894" s="76"/>
      <c r="G894" s="76"/>
      <c r="H894" s="80"/>
      <c r="I894" s="76"/>
      <c r="J894" s="76"/>
      <c r="K894" s="80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</row>
    <row r="895">
      <c r="A895" s="76"/>
      <c r="B895" s="80"/>
      <c r="C895" s="80"/>
      <c r="D895" s="80"/>
      <c r="E895" s="80"/>
      <c r="F895" s="76"/>
      <c r="G895" s="76"/>
      <c r="H895" s="80"/>
      <c r="I895" s="76"/>
      <c r="J895" s="76"/>
      <c r="K895" s="80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</row>
    <row r="896">
      <c r="A896" s="76"/>
      <c r="B896" s="80"/>
      <c r="C896" s="80"/>
      <c r="D896" s="80"/>
      <c r="E896" s="80"/>
      <c r="F896" s="76"/>
      <c r="G896" s="76"/>
      <c r="H896" s="80"/>
      <c r="I896" s="76"/>
      <c r="J896" s="76"/>
      <c r="K896" s="80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</row>
    <row r="897">
      <c r="A897" s="76"/>
      <c r="B897" s="80"/>
      <c r="C897" s="80"/>
      <c r="D897" s="80"/>
      <c r="E897" s="80"/>
      <c r="F897" s="76"/>
      <c r="G897" s="76"/>
      <c r="H897" s="80"/>
      <c r="I897" s="76"/>
      <c r="J897" s="76"/>
      <c r="K897" s="80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</row>
    <row r="898">
      <c r="A898" s="76"/>
      <c r="B898" s="80"/>
      <c r="C898" s="80"/>
      <c r="D898" s="80"/>
      <c r="E898" s="80"/>
      <c r="F898" s="76"/>
      <c r="G898" s="76"/>
      <c r="H898" s="80"/>
      <c r="I898" s="76"/>
      <c r="J898" s="76"/>
      <c r="K898" s="80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</row>
    <row r="899">
      <c r="A899" s="76"/>
      <c r="B899" s="80"/>
      <c r="C899" s="80"/>
      <c r="D899" s="80"/>
      <c r="E899" s="80"/>
      <c r="F899" s="76"/>
      <c r="G899" s="76"/>
      <c r="H899" s="80"/>
      <c r="I899" s="76"/>
      <c r="J899" s="76"/>
      <c r="K899" s="80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</row>
    <row r="900">
      <c r="A900" s="76"/>
      <c r="B900" s="80"/>
      <c r="C900" s="80"/>
      <c r="D900" s="80"/>
      <c r="E900" s="80"/>
      <c r="F900" s="76"/>
      <c r="G900" s="76"/>
      <c r="H900" s="80"/>
      <c r="I900" s="76"/>
      <c r="J900" s="76"/>
      <c r="K900" s="80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</row>
    <row r="901">
      <c r="A901" s="76"/>
      <c r="B901" s="80"/>
      <c r="C901" s="80"/>
      <c r="D901" s="80"/>
      <c r="E901" s="80"/>
      <c r="F901" s="76"/>
      <c r="G901" s="76"/>
      <c r="H901" s="80"/>
      <c r="I901" s="76"/>
      <c r="J901" s="76"/>
      <c r="K901" s="80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</row>
    <row r="902">
      <c r="A902" s="76"/>
      <c r="B902" s="80"/>
      <c r="C902" s="80"/>
      <c r="D902" s="80"/>
      <c r="E902" s="80"/>
      <c r="F902" s="76"/>
      <c r="G902" s="76"/>
      <c r="H902" s="80"/>
      <c r="I902" s="76"/>
      <c r="J902" s="76"/>
      <c r="K902" s="80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</row>
    <row r="903">
      <c r="A903" s="76"/>
      <c r="B903" s="80"/>
      <c r="C903" s="80"/>
      <c r="D903" s="80"/>
      <c r="E903" s="80"/>
      <c r="F903" s="76"/>
      <c r="G903" s="76"/>
      <c r="H903" s="80"/>
      <c r="I903" s="76"/>
      <c r="J903" s="76"/>
      <c r="K903" s="80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</row>
    <row r="904">
      <c r="A904" s="76"/>
      <c r="B904" s="80"/>
      <c r="C904" s="80"/>
      <c r="D904" s="80"/>
      <c r="E904" s="80"/>
      <c r="F904" s="76"/>
      <c r="G904" s="76"/>
      <c r="H904" s="80"/>
      <c r="I904" s="76"/>
      <c r="J904" s="76"/>
      <c r="K904" s="80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</row>
    <row r="905">
      <c r="A905" s="76"/>
      <c r="B905" s="80"/>
      <c r="C905" s="80"/>
      <c r="D905" s="80"/>
      <c r="E905" s="80"/>
      <c r="F905" s="76"/>
      <c r="G905" s="76"/>
      <c r="H905" s="80"/>
      <c r="I905" s="76"/>
      <c r="J905" s="76"/>
      <c r="K905" s="80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</row>
    <row r="906">
      <c r="A906" s="76"/>
      <c r="B906" s="80"/>
      <c r="C906" s="80"/>
      <c r="D906" s="80"/>
      <c r="E906" s="80"/>
      <c r="F906" s="76"/>
      <c r="G906" s="76"/>
      <c r="H906" s="80"/>
      <c r="I906" s="76"/>
      <c r="J906" s="76"/>
      <c r="K906" s="80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</row>
    <row r="907">
      <c r="A907" s="76"/>
      <c r="B907" s="80"/>
      <c r="C907" s="80"/>
      <c r="D907" s="80"/>
      <c r="E907" s="80"/>
      <c r="F907" s="76"/>
      <c r="G907" s="76"/>
      <c r="H907" s="80"/>
      <c r="I907" s="76"/>
      <c r="J907" s="76"/>
      <c r="K907" s="80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</row>
    <row r="908">
      <c r="A908" s="76"/>
      <c r="B908" s="80"/>
      <c r="C908" s="80"/>
      <c r="D908" s="80"/>
      <c r="E908" s="80"/>
      <c r="F908" s="76"/>
      <c r="G908" s="76"/>
      <c r="H908" s="80"/>
      <c r="I908" s="76"/>
      <c r="J908" s="76"/>
      <c r="K908" s="80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</row>
    <row r="909">
      <c r="A909" s="76"/>
      <c r="B909" s="80"/>
      <c r="C909" s="80"/>
      <c r="D909" s="80"/>
      <c r="E909" s="80"/>
      <c r="F909" s="76"/>
      <c r="G909" s="76"/>
      <c r="H909" s="80"/>
      <c r="I909" s="76"/>
      <c r="J909" s="76"/>
      <c r="K909" s="80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</row>
    <row r="910">
      <c r="A910" s="76"/>
      <c r="B910" s="80"/>
      <c r="C910" s="80"/>
      <c r="D910" s="80"/>
      <c r="E910" s="80"/>
      <c r="F910" s="76"/>
      <c r="G910" s="76"/>
      <c r="H910" s="80"/>
      <c r="I910" s="76"/>
      <c r="J910" s="76"/>
      <c r="K910" s="80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</row>
    <row r="911">
      <c r="A911" s="76"/>
      <c r="B911" s="80"/>
      <c r="C911" s="80"/>
      <c r="D911" s="80"/>
      <c r="E911" s="80"/>
      <c r="F911" s="76"/>
      <c r="G911" s="76"/>
      <c r="H911" s="80"/>
      <c r="I911" s="76"/>
      <c r="J911" s="76"/>
      <c r="K911" s="80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</row>
    <row r="912">
      <c r="A912" s="76"/>
      <c r="B912" s="80"/>
      <c r="C912" s="80"/>
      <c r="D912" s="80"/>
      <c r="E912" s="80"/>
      <c r="F912" s="76"/>
      <c r="G912" s="76"/>
      <c r="H912" s="80"/>
      <c r="I912" s="76"/>
      <c r="J912" s="76"/>
      <c r="K912" s="80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</row>
    <row r="913">
      <c r="A913" s="76"/>
      <c r="B913" s="80"/>
      <c r="C913" s="80"/>
      <c r="D913" s="80"/>
      <c r="E913" s="80"/>
      <c r="F913" s="76"/>
      <c r="G913" s="76"/>
      <c r="H913" s="80"/>
      <c r="I913" s="76"/>
      <c r="J913" s="76"/>
      <c r="K913" s="80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</row>
    <row r="914">
      <c r="A914" s="76"/>
      <c r="B914" s="80"/>
      <c r="C914" s="80"/>
      <c r="D914" s="80"/>
      <c r="E914" s="80"/>
      <c r="F914" s="76"/>
      <c r="G914" s="76"/>
      <c r="H914" s="80"/>
      <c r="I914" s="76"/>
      <c r="J914" s="76"/>
      <c r="K914" s="80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</row>
    <row r="915">
      <c r="A915" s="76"/>
      <c r="B915" s="80"/>
      <c r="C915" s="80"/>
      <c r="D915" s="80"/>
      <c r="E915" s="80"/>
      <c r="F915" s="76"/>
      <c r="G915" s="76"/>
      <c r="H915" s="80"/>
      <c r="I915" s="76"/>
      <c r="J915" s="76"/>
      <c r="K915" s="80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</row>
    <row r="916">
      <c r="A916" s="76"/>
      <c r="B916" s="80"/>
      <c r="C916" s="80"/>
      <c r="D916" s="80"/>
      <c r="E916" s="80"/>
      <c r="F916" s="76"/>
      <c r="G916" s="76"/>
      <c r="H916" s="80"/>
      <c r="I916" s="76"/>
      <c r="J916" s="76"/>
      <c r="K916" s="80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</row>
    <row r="917">
      <c r="A917" s="76"/>
      <c r="B917" s="80"/>
      <c r="C917" s="80"/>
      <c r="D917" s="80"/>
      <c r="E917" s="80"/>
      <c r="F917" s="76"/>
      <c r="G917" s="76"/>
      <c r="H917" s="80"/>
      <c r="I917" s="76"/>
      <c r="J917" s="76"/>
      <c r="K917" s="80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</row>
    <row r="918">
      <c r="A918" s="76"/>
      <c r="B918" s="80"/>
      <c r="C918" s="80"/>
      <c r="D918" s="80"/>
      <c r="E918" s="80"/>
      <c r="F918" s="76"/>
      <c r="G918" s="76"/>
      <c r="H918" s="80"/>
      <c r="I918" s="76"/>
      <c r="J918" s="76"/>
      <c r="K918" s="80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</row>
    <row r="919">
      <c r="A919" s="76"/>
      <c r="B919" s="80"/>
      <c r="C919" s="80"/>
      <c r="D919" s="80"/>
      <c r="E919" s="80"/>
      <c r="F919" s="76"/>
      <c r="G919" s="76"/>
      <c r="H919" s="80"/>
      <c r="I919" s="76"/>
      <c r="J919" s="76"/>
      <c r="K919" s="80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</row>
    <row r="920">
      <c r="A920" s="76"/>
      <c r="B920" s="80"/>
      <c r="C920" s="80"/>
      <c r="D920" s="80"/>
      <c r="E920" s="80"/>
      <c r="F920" s="76"/>
      <c r="G920" s="76"/>
      <c r="H920" s="80"/>
      <c r="I920" s="76"/>
      <c r="J920" s="76"/>
      <c r="K920" s="80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</row>
    <row r="921">
      <c r="A921" s="76"/>
      <c r="B921" s="80"/>
      <c r="C921" s="80"/>
      <c r="D921" s="80"/>
      <c r="E921" s="80"/>
      <c r="F921" s="76"/>
      <c r="G921" s="76"/>
      <c r="H921" s="80"/>
      <c r="I921" s="76"/>
      <c r="J921" s="76"/>
      <c r="K921" s="80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</row>
    <row r="922">
      <c r="A922" s="76"/>
      <c r="B922" s="80"/>
      <c r="C922" s="80"/>
      <c r="D922" s="80"/>
      <c r="E922" s="80"/>
      <c r="F922" s="76"/>
      <c r="G922" s="76"/>
      <c r="H922" s="80"/>
      <c r="I922" s="76"/>
      <c r="J922" s="76"/>
      <c r="K922" s="80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</row>
    <row r="923">
      <c r="A923" s="76"/>
      <c r="B923" s="80"/>
      <c r="C923" s="80"/>
      <c r="D923" s="80"/>
      <c r="E923" s="80"/>
      <c r="F923" s="76"/>
      <c r="G923" s="76"/>
      <c r="H923" s="80"/>
      <c r="I923" s="76"/>
      <c r="J923" s="76"/>
      <c r="K923" s="80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</row>
    <row r="924">
      <c r="A924" s="76"/>
      <c r="B924" s="80"/>
      <c r="C924" s="80"/>
      <c r="D924" s="80"/>
      <c r="E924" s="80"/>
      <c r="F924" s="76"/>
      <c r="G924" s="76"/>
      <c r="H924" s="80"/>
      <c r="I924" s="76"/>
      <c r="J924" s="76"/>
      <c r="K924" s="80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</row>
    <row r="925">
      <c r="A925" s="76"/>
      <c r="B925" s="80"/>
      <c r="C925" s="80"/>
      <c r="D925" s="80"/>
      <c r="E925" s="80"/>
      <c r="F925" s="76"/>
      <c r="G925" s="76"/>
      <c r="H925" s="80"/>
      <c r="I925" s="76"/>
      <c r="J925" s="76"/>
      <c r="K925" s="80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</row>
    <row r="926">
      <c r="A926" s="76"/>
      <c r="B926" s="80"/>
      <c r="C926" s="80"/>
      <c r="D926" s="80"/>
      <c r="E926" s="80"/>
      <c r="F926" s="76"/>
      <c r="G926" s="76"/>
      <c r="H926" s="80"/>
      <c r="I926" s="76"/>
      <c r="J926" s="76"/>
      <c r="K926" s="80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</row>
    <row r="927">
      <c r="A927" s="76"/>
      <c r="B927" s="80"/>
      <c r="C927" s="80"/>
      <c r="D927" s="80"/>
      <c r="E927" s="80"/>
      <c r="F927" s="76"/>
      <c r="G927" s="76"/>
      <c r="H927" s="80"/>
      <c r="I927" s="76"/>
      <c r="J927" s="76"/>
      <c r="K927" s="80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</row>
    <row r="928">
      <c r="A928" s="76"/>
      <c r="B928" s="80"/>
      <c r="C928" s="80"/>
      <c r="D928" s="80"/>
      <c r="E928" s="80"/>
      <c r="F928" s="76"/>
      <c r="G928" s="76"/>
      <c r="H928" s="80"/>
      <c r="I928" s="76"/>
      <c r="J928" s="76"/>
      <c r="K928" s="80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</row>
    <row r="929">
      <c r="A929" s="76"/>
      <c r="B929" s="80"/>
      <c r="C929" s="80"/>
      <c r="D929" s="80"/>
      <c r="E929" s="80"/>
      <c r="F929" s="76"/>
      <c r="G929" s="76"/>
      <c r="H929" s="80"/>
      <c r="I929" s="76"/>
      <c r="J929" s="76"/>
      <c r="K929" s="80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</row>
    <row r="930">
      <c r="A930" s="76"/>
      <c r="B930" s="80"/>
      <c r="C930" s="80"/>
      <c r="D930" s="80"/>
      <c r="E930" s="80"/>
      <c r="F930" s="76"/>
      <c r="G930" s="76"/>
      <c r="H930" s="80"/>
      <c r="I930" s="76"/>
      <c r="J930" s="76"/>
      <c r="K930" s="80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</row>
    <row r="931">
      <c r="A931" s="76"/>
      <c r="B931" s="80"/>
      <c r="C931" s="80"/>
      <c r="D931" s="80"/>
      <c r="E931" s="80"/>
      <c r="F931" s="76"/>
      <c r="G931" s="76"/>
      <c r="H931" s="80"/>
      <c r="I931" s="76"/>
      <c r="J931" s="76"/>
      <c r="K931" s="80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</row>
    <row r="932">
      <c r="A932" s="76"/>
      <c r="B932" s="80"/>
      <c r="C932" s="80"/>
      <c r="D932" s="80"/>
      <c r="E932" s="80"/>
      <c r="F932" s="76"/>
      <c r="G932" s="76"/>
      <c r="H932" s="80"/>
      <c r="I932" s="76"/>
      <c r="J932" s="76"/>
      <c r="K932" s="80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</row>
    <row r="933">
      <c r="A933" s="76"/>
      <c r="B933" s="80"/>
      <c r="C933" s="80"/>
      <c r="D933" s="80"/>
      <c r="E933" s="80"/>
      <c r="F933" s="76"/>
      <c r="G933" s="76"/>
      <c r="H933" s="80"/>
      <c r="I933" s="76"/>
      <c r="J933" s="76"/>
      <c r="K933" s="80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</row>
    <row r="934">
      <c r="A934" s="76"/>
      <c r="B934" s="80"/>
      <c r="C934" s="80"/>
      <c r="D934" s="80"/>
      <c r="E934" s="80"/>
      <c r="F934" s="76"/>
      <c r="G934" s="76"/>
      <c r="H934" s="80"/>
      <c r="I934" s="76"/>
      <c r="J934" s="76"/>
      <c r="K934" s="80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</row>
    <row r="935">
      <c r="A935" s="76"/>
      <c r="B935" s="80"/>
      <c r="C935" s="80"/>
      <c r="D935" s="80"/>
      <c r="E935" s="80"/>
      <c r="F935" s="76"/>
      <c r="G935" s="76"/>
      <c r="H935" s="80"/>
      <c r="I935" s="76"/>
      <c r="J935" s="76"/>
      <c r="K935" s="80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</row>
    <row r="936">
      <c r="A936" s="76"/>
      <c r="B936" s="80"/>
      <c r="C936" s="80"/>
      <c r="D936" s="80"/>
      <c r="E936" s="80"/>
      <c r="F936" s="76"/>
      <c r="G936" s="76"/>
      <c r="H936" s="80"/>
      <c r="I936" s="76"/>
      <c r="J936" s="76"/>
      <c r="K936" s="80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</row>
    <row r="937">
      <c r="A937" s="76"/>
      <c r="B937" s="80"/>
      <c r="C937" s="80"/>
      <c r="D937" s="80"/>
      <c r="E937" s="80"/>
      <c r="F937" s="76"/>
      <c r="G937" s="76"/>
      <c r="H937" s="80"/>
      <c r="I937" s="76"/>
      <c r="J937" s="76"/>
      <c r="K937" s="80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</row>
    <row r="938">
      <c r="A938" s="76"/>
      <c r="B938" s="80"/>
      <c r="C938" s="80"/>
      <c r="D938" s="80"/>
      <c r="E938" s="80"/>
      <c r="F938" s="76"/>
      <c r="G938" s="76"/>
      <c r="H938" s="80"/>
      <c r="I938" s="76"/>
      <c r="J938" s="76"/>
      <c r="K938" s="80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</row>
    <row r="939">
      <c r="A939" s="76"/>
      <c r="B939" s="80"/>
      <c r="C939" s="80"/>
      <c r="D939" s="80"/>
      <c r="E939" s="80"/>
      <c r="F939" s="76"/>
      <c r="G939" s="76"/>
      <c r="H939" s="80"/>
      <c r="I939" s="76"/>
      <c r="J939" s="76"/>
      <c r="K939" s="80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</row>
    <row r="940">
      <c r="A940" s="76"/>
      <c r="B940" s="80"/>
      <c r="C940" s="80"/>
      <c r="D940" s="80"/>
      <c r="E940" s="80"/>
      <c r="F940" s="76"/>
      <c r="G940" s="76"/>
      <c r="H940" s="80"/>
      <c r="I940" s="76"/>
      <c r="J940" s="76"/>
      <c r="K940" s="80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</row>
    <row r="941">
      <c r="A941" s="76"/>
      <c r="B941" s="80"/>
      <c r="C941" s="80"/>
      <c r="D941" s="80"/>
      <c r="E941" s="80"/>
      <c r="F941" s="76"/>
      <c r="G941" s="76"/>
      <c r="H941" s="80"/>
      <c r="I941" s="76"/>
      <c r="J941" s="76"/>
      <c r="K941" s="80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</row>
    <row r="942">
      <c r="A942" s="76"/>
      <c r="B942" s="80"/>
      <c r="C942" s="80"/>
      <c r="D942" s="80"/>
      <c r="E942" s="80"/>
      <c r="F942" s="76"/>
      <c r="G942" s="76"/>
      <c r="H942" s="80"/>
      <c r="I942" s="76"/>
      <c r="J942" s="76"/>
      <c r="K942" s="80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</row>
    <row r="943">
      <c r="A943" s="76"/>
      <c r="B943" s="80"/>
      <c r="C943" s="80"/>
      <c r="D943" s="80"/>
      <c r="E943" s="80"/>
      <c r="F943" s="76"/>
      <c r="G943" s="76"/>
      <c r="H943" s="80"/>
      <c r="I943" s="76"/>
      <c r="J943" s="76"/>
      <c r="K943" s="80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</row>
    <row r="944">
      <c r="A944" s="76"/>
      <c r="B944" s="80"/>
      <c r="C944" s="80"/>
      <c r="D944" s="80"/>
      <c r="E944" s="80"/>
      <c r="F944" s="76"/>
      <c r="G944" s="76"/>
      <c r="H944" s="80"/>
      <c r="I944" s="76"/>
      <c r="J944" s="76"/>
      <c r="K944" s="80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</row>
    <row r="945">
      <c r="A945" s="76"/>
      <c r="B945" s="80"/>
      <c r="C945" s="80"/>
      <c r="D945" s="80"/>
      <c r="E945" s="80"/>
      <c r="F945" s="76"/>
      <c r="G945" s="76"/>
      <c r="H945" s="80"/>
      <c r="I945" s="76"/>
      <c r="J945" s="76"/>
      <c r="K945" s="80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</row>
    <row r="946">
      <c r="A946" s="76"/>
      <c r="B946" s="80"/>
      <c r="C946" s="80"/>
      <c r="D946" s="80"/>
      <c r="E946" s="80"/>
      <c r="F946" s="76"/>
      <c r="G946" s="76"/>
      <c r="H946" s="80"/>
      <c r="I946" s="76"/>
      <c r="J946" s="76"/>
      <c r="K946" s="80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</row>
    <row r="947">
      <c r="A947" s="76"/>
      <c r="B947" s="80"/>
      <c r="C947" s="80"/>
      <c r="D947" s="80"/>
      <c r="E947" s="80"/>
      <c r="F947" s="76"/>
      <c r="G947" s="76"/>
      <c r="H947" s="80"/>
      <c r="I947" s="76"/>
      <c r="J947" s="76"/>
      <c r="K947" s="80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</row>
    <row r="948">
      <c r="A948" s="76"/>
      <c r="B948" s="80"/>
      <c r="C948" s="80"/>
      <c r="D948" s="80"/>
      <c r="E948" s="80"/>
      <c r="F948" s="76"/>
      <c r="G948" s="76"/>
      <c r="H948" s="80"/>
      <c r="I948" s="76"/>
      <c r="J948" s="76"/>
      <c r="K948" s="80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</row>
    <row r="949">
      <c r="A949" s="76"/>
      <c r="B949" s="80"/>
      <c r="C949" s="80"/>
      <c r="D949" s="80"/>
      <c r="E949" s="80"/>
      <c r="F949" s="76"/>
      <c r="G949" s="76"/>
      <c r="H949" s="80"/>
      <c r="I949" s="76"/>
      <c r="J949" s="76"/>
      <c r="K949" s="80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</row>
    <row r="950">
      <c r="A950" s="76"/>
      <c r="B950" s="80"/>
      <c r="C950" s="80"/>
      <c r="D950" s="80"/>
      <c r="E950" s="80"/>
      <c r="F950" s="76"/>
      <c r="G950" s="76"/>
      <c r="H950" s="80"/>
      <c r="I950" s="76"/>
      <c r="J950" s="76"/>
      <c r="K950" s="80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</row>
    <row r="951">
      <c r="A951" s="76"/>
      <c r="B951" s="80"/>
      <c r="C951" s="80"/>
      <c r="D951" s="80"/>
      <c r="E951" s="80"/>
      <c r="F951" s="76"/>
      <c r="G951" s="76"/>
      <c r="H951" s="80"/>
      <c r="I951" s="76"/>
      <c r="J951" s="76"/>
      <c r="K951" s="80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</row>
    <row r="952">
      <c r="A952" s="76"/>
      <c r="B952" s="80"/>
      <c r="C952" s="80"/>
      <c r="D952" s="80"/>
      <c r="E952" s="80"/>
      <c r="F952" s="76"/>
      <c r="G952" s="76"/>
      <c r="H952" s="80"/>
      <c r="I952" s="76"/>
      <c r="J952" s="76"/>
      <c r="K952" s="80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</row>
    <row r="953">
      <c r="A953" s="76"/>
      <c r="B953" s="80"/>
      <c r="C953" s="80"/>
      <c r="D953" s="80"/>
      <c r="E953" s="80"/>
      <c r="F953" s="76"/>
      <c r="G953" s="76"/>
      <c r="H953" s="80"/>
      <c r="I953" s="76"/>
      <c r="J953" s="76"/>
      <c r="K953" s="80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</row>
    <row r="954">
      <c r="A954" s="76"/>
      <c r="B954" s="80"/>
      <c r="C954" s="80"/>
      <c r="D954" s="80"/>
      <c r="E954" s="80"/>
      <c r="F954" s="76"/>
      <c r="G954" s="76"/>
      <c r="H954" s="80"/>
      <c r="I954" s="76"/>
      <c r="J954" s="76"/>
      <c r="K954" s="80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</row>
    <row r="955">
      <c r="A955" s="76"/>
      <c r="B955" s="80"/>
      <c r="C955" s="80"/>
      <c r="D955" s="80"/>
      <c r="E955" s="80"/>
      <c r="F955" s="76"/>
      <c r="G955" s="76"/>
      <c r="H955" s="80"/>
      <c r="I955" s="76"/>
      <c r="J955" s="76"/>
      <c r="K955" s="80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</row>
    <row r="956">
      <c r="A956" s="76"/>
      <c r="B956" s="80"/>
      <c r="C956" s="80"/>
      <c r="D956" s="80"/>
      <c r="E956" s="80"/>
      <c r="F956" s="76"/>
      <c r="G956" s="76"/>
      <c r="H956" s="80"/>
      <c r="I956" s="76"/>
      <c r="J956" s="76"/>
      <c r="K956" s="80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</row>
    <row r="957">
      <c r="A957" s="76"/>
      <c r="B957" s="80"/>
      <c r="C957" s="80"/>
      <c r="D957" s="80"/>
      <c r="E957" s="80"/>
      <c r="F957" s="76"/>
      <c r="G957" s="76"/>
      <c r="H957" s="80"/>
      <c r="I957" s="76"/>
      <c r="J957" s="76"/>
      <c r="K957" s="80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</row>
    <row r="958">
      <c r="A958" s="76"/>
      <c r="B958" s="80"/>
      <c r="C958" s="80"/>
      <c r="D958" s="80"/>
      <c r="E958" s="80"/>
      <c r="F958" s="76"/>
      <c r="G958" s="76"/>
      <c r="H958" s="80"/>
      <c r="I958" s="76"/>
      <c r="J958" s="76"/>
      <c r="K958" s="80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</row>
    <row r="959">
      <c r="A959" s="76"/>
      <c r="B959" s="80"/>
      <c r="C959" s="80"/>
      <c r="D959" s="80"/>
      <c r="E959" s="80"/>
      <c r="F959" s="76"/>
      <c r="G959" s="76"/>
      <c r="H959" s="80"/>
      <c r="I959" s="76"/>
      <c r="J959" s="76"/>
      <c r="K959" s="80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</row>
    <row r="960">
      <c r="A960" s="76"/>
      <c r="B960" s="80"/>
      <c r="C960" s="80"/>
      <c r="D960" s="80"/>
      <c r="E960" s="80"/>
      <c r="F960" s="76"/>
      <c r="G960" s="76"/>
      <c r="H960" s="80"/>
      <c r="I960" s="76"/>
      <c r="J960" s="76"/>
      <c r="K960" s="80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</row>
    <row r="961">
      <c r="A961" s="76"/>
      <c r="B961" s="80"/>
      <c r="C961" s="80"/>
      <c r="D961" s="80"/>
      <c r="E961" s="80"/>
      <c r="F961" s="76"/>
      <c r="G961" s="76"/>
      <c r="H961" s="80"/>
      <c r="I961" s="76"/>
      <c r="J961" s="76"/>
      <c r="K961" s="80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</row>
    <row r="962">
      <c r="A962" s="76"/>
      <c r="B962" s="80"/>
      <c r="C962" s="80"/>
      <c r="D962" s="80"/>
      <c r="E962" s="80"/>
      <c r="F962" s="76"/>
      <c r="G962" s="76"/>
      <c r="H962" s="80"/>
      <c r="I962" s="76"/>
      <c r="J962" s="76"/>
      <c r="K962" s="80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</row>
    <row r="963">
      <c r="A963" s="76"/>
      <c r="B963" s="80"/>
      <c r="C963" s="80"/>
      <c r="D963" s="80"/>
      <c r="E963" s="80"/>
      <c r="F963" s="76"/>
      <c r="G963" s="76"/>
      <c r="H963" s="80"/>
      <c r="I963" s="76"/>
      <c r="J963" s="76"/>
      <c r="K963" s="80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</row>
    <row r="964">
      <c r="A964" s="76"/>
      <c r="B964" s="80"/>
      <c r="C964" s="80"/>
      <c r="D964" s="80"/>
      <c r="E964" s="80"/>
      <c r="F964" s="76"/>
      <c r="G964" s="76"/>
      <c r="H964" s="80"/>
      <c r="I964" s="76"/>
      <c r="J964" s="76"/>
      <c r="K964" s="80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</row>
    <row r="965">
      <c r="A965" s="76"/>
      <c r="B965" s="80"/>
      <c r="C965" s="80"/>
      <c r="D965" s="80"/>
      <c r="E965" s="80"/>
      <c r="F965" s="76"/>
      <c r="G965" s="76"/>
      <c r="H965" s="80"/>
      <c r="I965" s="76"/>
      <c r="J965" s="76"/>
      <c r="K965" s="80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</row>
    <row r="966">
      <c r="A966" s="76"/>
      <c r="B966" s="80"/>
      <c r="C966" s="80"/>
      <c r="D966" s="80"/>
      <c r="E966" s="80"/>
      <c r="F966" s="76"/>
      <c r="G966" s="76"/>
      <c r="H966" s="80"/>
      <c r="I966" s="76"/>
      <c r="J966" s="76"/>
      <c r="K966" s="80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</row>
    <row r="967">
      <c r="A967" s="76"/>
      <c r="B967" s="80"/>
      <c r="C967" s="80"/>
      <c r="D967" s="80"/>
      <c r="E967" s="80"/>
      <c r="F967" s="76"/>
      <c r="G967" s="76"/>
      <c r="H967" s="80"/>
      <c r="I967" s="76"/>
      <c r="J967" s="76"/>
      <c r="K967" s="80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</row>
    <row r="968">
      <c r="A968" s="76"/>
      <c r="B968" s="80"/>
      <c r="C968" s="80"/>
      <c r="D968" s="80"/>
      <c r="E968" s="80"/>
      <c r="F968" s="76"/>
      <c r="G968" s="76"/>
      <c r="H968" s="80"/>
      <c r="I968" s="76"/>
      <c r="J968" s="76"/>
      <c r="K968" s="80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</row>
    <row r="969">
      <c r="A969" s="76"/>
      <c r="B969" s="80"/>
      <c r="C969" s="80"/>
      <c r="D969" s="80"/>
      <c r="E969" s="80"/>
      <c r="F969" s="76"/>
      <c r="G969" s="76"/>
      <c r="H969" s="80"/>
      <c r="I969" s="76"/>
      <c r="J969" s="76"/>
      <c r="K969" s="80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</row>
    <row r="970">
      <c r="A970" s="76"/>
      <c r="B970" s="80"/>
      <c r="C970" s="80"/>
      <c r="D970" s="80"/>
      <c r="E970" s="80"/>
      <c r="F970" s="76"/>
      <c r="G970" s="76"/>
      <c r="H970" s="80"/>
      <c r="I970" s="76"/>
      <c r="J970" s="76"/>
      <c r="K970" s="80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</row>
    <row r="971">
      <c r="A971" s="76"/>
      <c r="B971" s="80"/>
      <c r="C971" s="80"/>
      <c r="D971" s="80"/>
      <c r="E971" s="80"/>
      <c r="F971" s="76"/>
      <c r="G971" s="76"/>
      <c r="H971" s="80"/>
      <c r="I971" s="76"/>
      <c r="J971" s="76"/>
      <c r="K971" s="80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</row>
    <row r="972">
      <c r="A972" s="76"/>
      <c r="B972" s="80"/>
      <c r="C972" s="80"/>
      <c r="D972" s="80"/>
      <c r="E972" s="80"/>
      <c r="F972" s="76"/>
      <c r="G972" s="76"/>
      <c r="H972" s="80"/>
      <c r="I972" s="76"/>
      <c r="J972" s="76"/>
      <c r="K972" s="80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</row>
    <row r="973">
      <c r="A973" s="76"/>
      <c r="B973" s="80"/>
      <c r="C973" s="80"/>
      <c r="D973" s="80"/>
      <c r="E973" s="80"/>
      <c r="F973" s="76"/>
      <c r="G973" s="76"/>
      <c r="H973" s="80"/>
      <c r="I973" s="76"/>
      <c r="J973" s="76"/>
      <c r="K973" s="80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</row>
    <row r="974">
      <c r="A974" s="76"/>
      <c r="B974" s="80"/>
      <c r="C974" s="80"/>
      <c r="D974" s="80"/>
      <c r="E974" s="80"/>
      <c r="F974" s="76"/>
      <c r="G974" s="76"/>
      <c r="H974" s="80"/>
      <c r="I974" s="76"/>
      <c r="J974" s="76"/>
      <c r="K974" s="80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</row>
    <row r="975">
      <c r="A975" s="76"/>
      <c r="B975" s="80"/>
      <c r="C975" s="80"/>
      <c r="D975" s="80"/>
      <c r="E975" s="80"/>
      <c r="F975" s="76"/>
      <c r="G975" s="76"/>
      <c r="H975" s="80"/>
      <c r="I975" s="76"/>
      <c r="J975" s="76"/>
      <c r="K975" s="80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</row>
    <row r="976">
      <c r="A976" s="76"/>
      <c r="B976" s="80"/>
      <c r="C976" s="80"/>
      <c r="D976" s="80"/>
      <c r="E976" s="80"/>
      <c r="F976" s="76"/>
      <c r="G976" s="76"/>
      <c r="H976" s="80"/>
      <c r="I976" s="76"/>
      <c r="J976" s="76"/>
      <c r="K976" s="80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</row>
    <row r="977">
      <c r="A977" s="76"/>
      <c r="B977" s="80"/>
      <c r="C977" s="80"/>
      <c r="D977" s="80"/>
      <c r="E977" s="80"/>
      <c r="F977" s="76"/>
      <c r="G977" s="76"/>
      <c r="H977" s="80"/>
      <c r="I977" s="76"/>
      <c r="J977" s="76"/>
      <c r="K977" s="80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</row>
    <row r="978">
      <c r="A978" s="76"/>
      <c r="B978" s="80"/>
      <c r="C978" s="80"/>
      <c r="D978" s="80"/>
      <c r="E978" s="80"/>
      <c r="F978" s="76"/>
      <c r="G978" s="76"/>
      <c r="H978" s="80"/>
      <c r="I978" s="76"/>
      <c r="J978" s="76"/>
      <c r="K978" s="80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</row>
    <row r="979">
      <c r="A979" s="76"/>
      <c r="B979" s="80"/>
      <c r="C979" s="80"/>
      <c r="D979" s="80"/>
      <c r="E979" s="80"/>
      <c r="F979" s="76"/>
      <c r="G979" s="76"/>
      <c r="H979" s="80"/>
      <c r="I979" s="76"/>
      <c r="J979" s="76"/>
      <c r="K979" s="80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</row>
    <row r="980">
      <c r="A980" s="76"/>
      <c r="B980" s="80"/>
      <c r="C980" s="80"/>
      <c r="D980" s="80"/>
      <c r="E980" s="80"/>
      <c r="F980" s="76"/>
      <c r="G980" s="76"/>
      <c r="H980" s="80"/>
      <c r="I980" s="76"/>
      <c r="J980" s="76"/>
      <c r="K980" s="80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</row>
    <row r="981">
      <c r="A981" s="76"/>
      <c r="B981" s="80"/>
      <c r="C981" s="80"/>
      <c r="D981" s="80"/>
      <c r="E981" s="80"/>
      <c r="F981" s="76"/>
      <c r="G981" s="76"/>
      <c r="H981" s="80"/>
      <c r="I981" s="76"/>
      <c r="J981" s="76"/>
      <c r="K981" s="80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</row>
    <row r="982">
      <c r="A982" s="76"/>
      <c r="B982" s="80"/>
      <c r="C982" s="80"/>
      <c r="D982" s="80"/>
      <c r="E982" s="80"/>
      <c r="F982" s="76"/>
      <c r="G982" s="76"/>
      <c r="H982" s="80"/>
      <c r="I982" s="76"/>
      <c r="J982" s="76"/>
      <c r="K982" s="80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</row>
    <row r="983">
      <c r="A983" s="76"/>
      <c r="B983" s="80"/>
      <c r="C983" s="80"/>
      <c r="D983" s="80"/>
      <c r="E983" s="80"/>
      <c r="F983" s="76"/>
      <c r="G983" s="76"/>
      <c r="H983" s="80"/>
      <c r="I983" s="76"/>
      <c r="J983" s="76"/>
      <c r="K983" s="80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</row>
    <row r="984">
      <c r="A984" s="76"/>
      <c r="B984" s="80"/>
      <c r="C984" s="80"/>
      <c r="D984" s="80"/>
      <c r="E984" s="80"/>
      <c r="F984" s="76"/>
      <c r="G984" s="76"/>
      <c r="H984" s="80"/>
      <c r="I984" s="76"/>
      <c r="J984" s="76"/>
      <c r="K984" s="80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</row>
    <row r="985">
      <c r="A985" s="76"/>
      <c r="B985" s="80"/>
      <c r="C985" s="80"/>
      <c r="D985" s="80"/>
      <c r="E985" s="80"/>
      <c r="F985" s="76"/>
      <c r="G985" s="76"/>
      <c r="H985" s="80"/>
      <c r="I985" s="76"/>
      <c r="J985" s="76"/>
      <c r="K985" s="80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</row>
    <row r="986">
      <c r="A986" s="76"/>
      <c r="B986" s="80"/>
      <c r="C986" s="80"/>
      <c r="D986" s="80"/>
      <c r="E986" s="80"/>
      <c r="F986" s="76"/>
      <c r="G986" s="76"/>
      <c r="H986" s="80"/>
      <c r="I986" s="76"/>
      <c r="J986" s="76"/>
      <c r="K986" s="80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</row>
    <row r="987">
      <c r="A987" s="76"/>
      <c r="B987" s="80"/>
      <c r="C987" s="80"/>
      <c r="D987" s="80"/>
      <c r="E987" s="80"/>
      <c r="F987" s="76"/>
      <c r="G987" s="76"/>
      <c r="H987" s="80"/>
      <c r="I987" s="76"/>
      <c r="J987" s="76"/>
      <c r="K987" s="80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</row>
    <row r="988">
      <c r="A988" s="76"/>
      <c r="B988" s="80"/>
      <c r="C988" s="80"/>
      <c r="D988" s="80"/>
      <c r="E988" s="80"/>
      <c r="F988" s="76"/>
      <c r="G988" s="76"/>
      <c r="H988" s="80"/>
      <c r="I988" s="76"/>
      <c r="J988" s="76"/>
      <c r="K988" s="80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</row>
    <row r="989">
      <c r="A989" s="76"/>
      <c r="B989" s="80"/>
      <c r="C989" s="80"/>
      <c r="D989" s="80"/>
      <c r="E989" s="80"/>
      <c r="F989" s="76"/>
      <c r="G989" s="76"/>
      <c r="H989" s="80"/>
      <c r="I989" s="76"/>
      <c r="J989" s="76"/>
      <c r="K989" s="80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</row>
    <row r="990">
      <c r="A990" s="76"/>
      <c r="B990" s="80"/>
      <c r="C990" s="80"/>
      <c r="D990" s="80"/>
      <c r="E990" s="80"/>
      <c r="F990" s="76"/>
      <c r="G990" s="76"/>
      <c r="H990" s="80"/>
      <c r="I990" s="76"/>
      <c r="J990" s="76"/>
      <c r="K990" s="80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</row>
    <row r="991">
      <c r="A991" s="76"/>
      <c r="B991" s="80"/>
      <c r="C991" s="80"/>
      <c r="D991" s="80"/>
      <c r="E991" s="80"/>
      <c r="F991" s="76"/>
      <c r="G991" s="76"/>
      <c r="H991" s="80"/>
      <c r="I991" s="76"/>
      <c r="J991" s="76"/>
      <c r="K991" s="80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</row>
    <row r="992">
      <c r="A992" s="76"/>
      <c r="B992" s="80"/>
      <c r="C992" s="80"/>
      <c r="D992" s="80"/>
      <c r="E992" s="80"/>
      <c r="F992" s="76"/>
      <c r="G992" s="76"/>
      <c r="H992" s="80"/>
      <c r="I992" s="76"/>
      <c r="J992" s="76"/>
      <c r="K992" s="80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</row>
    <row r="993">
      <c r="A993" s="76"/>
      <c r="B993" s="80"/>
      <c r="C993" s="80"/>
      <c r="D993" s="80"/>
      <c r="E993" s="80"/>
      <c r="F993" s="76"/>
      <c r="G993" s="76"/>
      <c r="H993" s="80"/>
      <c r="I993" s="76"/>
      <c r="J993" s="76"/>
      <c r="K993" s="80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</row>
    <row r="994">
      <c r="A994" s="76"/>
      <c r="B994" s="80"/>
      <c r="C994" s="80"/>
      <c r="D994" s="80"/>
      <c r="E994" s="80"/>
      <c r="F994" s="76"/>
      <c r="G994" s="76"/>
      <c r="H994" s="80"/>
      <c r="I994" s="76"/>
      <c r="J994" s="76"/>
      <c r="K994" s="80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</row>
    <row r="995">
      <c r="A995" s="76"/>
      <c r="B995" s="80"/>
      <c r="C995" s="80"/>
      <c r="D995" s="80"/>
      <c r="E995" s="80"/>
      <c r="F995" s="76"/>
      <c r="G995" s="76"/>
      <c r="H995" s="80"/>
      <c r="I995" s="76"/>
      <c r="J995" s="76"/>
      <c r="K995" s="80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</row>
    <row r="996">
      <c r="A996" s="76"/>
      <c r="B996" s="80"/>
      <c r="C996" s="80"/>
      <c r="D996" s="80"/>
      <c r="E996" s="80"/>
      <c r="F996" s="76"/>
      <c r="G996" s="76"/>
      <c r="H996" s="80"/>
      <c r="I996" s="76"/>
      <c r="J996" s="76"/>
      <c r="K996" s="80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</row>
    <row r="997">
      <c r="A997" s="76"/>
      <c r="B997" s="80"/>
      <c r="C997" s="80"/>
      <c r="D997" s="80"/>
      <c r="E997" s="80"/>
      <c r="F997" s="76"/>
      <c r="G997" s="76"/>
      <c r="H997" s="80"/>
      <c r="I997" s="76"/>
      <c r="J997" s="76"/>
      <c r="K997" s="80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</row>
    <row r="998">
      <c r="A998" s="76"/>
      <c r="B998" s="80"/>
      <c r="C998" s="80"/>
      <c r="D998" s="80"/>
      <c r="E998" s="80"/>
      <c r="F998" s="76"/>
      <c r="G998" s="76"/>
      <c r="H998" s="80"/>
      <c r="I998" s="76"/>
      <c r="J998" s="76"/>
      <c r="K998" s="80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</row>
    <row r="999">
      <c r="A999" s="76"/>
      <c r="B999" s="80"/>
      <c r="C999" s="80"/>
      <c r="D999" s="80"/>
      <c r="E999" s="80"/>
      <c r="F999" s="76"/>
      <c r="G999" s="76"/>
      <c r="H999" s="80"/>
      <c r="I999" s="76"/>
      <c r="J999" s="76"/>
      <c r="K999" s="80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</row>
    <row r="1000">
      <c r="A1000" s="76"/>
      <c r="B1000" s="80"/>
      <c r="C1000" s="80"/>
      <c r="D1000" s="80"/>
      <c r="E1000" s="80"/>
      <c r="F1000" s="76"/>
      <c r="G1000" s="76"/>
      <c r="H1000" s="80"/>
      <c r="I1000" s="76"/>
      <c r="J1000" s="76"/>
      <c r="K1000" s="80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</row>
  </sheetData>
  <mergeCells count="3">
    <mergeCell ref="A1:E1"/>
    <mergeCell ref="G1:H1"/>
    <mergeCell ref="J1:K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